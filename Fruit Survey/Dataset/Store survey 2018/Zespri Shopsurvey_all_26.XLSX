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7.xml" ContentType="application/vnd.openxmlformats-officedocument.spreadsheetml.externalLink+xml"/>
  <Override PartName="/xl/externalLinks/externalLink3.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4.xml" ContentType="application/vnd.openxmlformats-officedocument.spreadsheetml.externalLink+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0" windowWidth="28800" windowHeight="6435" activeTab="6"/>
  </bookViews>
  <sheets>
    <sheet name="sapporo" sheetId="17" r:id="rId1"/>
    <sheet name="miyagi" sheetId="26" r:id="rId2"/>
    <sheet name="nagoya" sheetId="27" r:id="rId3"/>
    <sheet name="osaka" sheetId="28" r:id="rId4"/>
    <sheet name="hiroshima" sheetId="29" r:id="rId5"/>
    <sheet name="fukuoka" sheetId="30" r:id="rId6"/>
    <sheet name="tokyo-east(ota)" sheetId="31" r:id="rId7"/>
    <sheet name="tokyo-west(kato)" sheetId="32" r:id="rId8"/>
  </sheets>
  <externalReferences>
    <externalReference r:id="rId9"/>
    <externalReference r:id="rId10"/>
    <externalReference r:id="rId11"/>
    <externalReference r:id="rId12"/>
    <externalReference r:id="rId13"/>
    <externalReference r:id="rId14"/>
    <externalReference r:id="rId15"/>
  </externalReferences>
  <definedNames>
    <definedName name="_xlnm._FilterDatabase" localSheetId="5" hidden="1">fukuoka!$A$1:$BA$152</definedName>
    <definedName name="_xlnm._FilterDatabase" localSheetId="4" hidden="1">hiroshima!$A$1:$BA$1</definedName>
    <definedName name="_xlnm._FilterDatabase" localSheetId="1" hidden="1">miyagi!$A$1:$BA$142</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'tokyo-west(kato)'!$A$1:$BA$84</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6">#REF!</definedName>
    <definedName name="aaa" localSheetId="7">#REF!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6">#REF!</definedName>
    <definedName name="Brand" localSheetId="7">#REF!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6">#REF!</definedName>
    <definedName name="District" localSheetId="7">#REF!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6">#REF!</definedName>
    <definedName name="Fruit" localSheetId="7">#REF!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6">#REF!</definedName>
    <definedName name="GoldSIZE" localSheetId="7">#REF!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6">#REF!</definedName>
    <definedName name="GreenSIZE" localSheetId="7">#REF!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6">#REF!</definedName>
    <definedName name="GrowingMethod" localSheetId="7">#REF!</definedName>
    <definedName name="GrowingMethod">#REF!</definedName>
    <definedName name="hiroshima" localSheetId="5">#REF!</definedName>
    <definedName name="hiroshima" localSheetId="3">#REF!</definedName>
    <definedName name="hiroshima" localSheetId="6">#REF!</definedName>
    <definedName name="hiroshima" localSheetId="7">#REF!</definedName>
    <definedName name="hiroshima">#REF!</definedName>
    <definedName name="kk" localSheetId="5">#REF!</definedName>
    <definedName name="kk" localSheetId="1">#REF!</definedName>
    <definedName name="kk" localSheetId="2">#REF!</definedName>
    <definedName name="kk" localSheetId="3">#REF!</definedName>
    <definedName name="kk" localSheetId="6">#REF!</definedName>
    <definedName name="kk" localSheetId="7">#REF!</definedName>
    <definedName name="kk">#REF!</definedName>
    <definedName name="ｌｌｌｌｌ" localSheetId="5">#REF!</definedName>
    <definedName name="ｌｌｌｌｌ" localSheetId="3">#REF!</definedName>
    <definedName name="ｌｌｌｌｌ" localSheetId="6">#REF!</definedName>
    <definedName name="ｌｌｌｌｌ" localSheetId="7">#REF!</definedName>
    <definedName name="ｌｌｌｌｌ">#REF!</definedName>
    <definedName name="miyagi" localSheetId="5">#REF!</definedName>
    <definedName name="miyagi" localSheetId="3">#REF!</definedName>
    <definedName name="miyagi" localSheetId="6">#REF!</definedName>
    <definedName name="miyagi" localSheetId="7">#REF!</definedName>
    <definedName name="miyagi">#REF!</definedName>
    <definedName name="miyagi2" localSheetId="5">#REF!</definedName>
    <definedName name="miyagi2" localSheetId="3">#REF!</definedName>
    <definedName name="miyagi2" localSheetId="6">#REF!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6">#REF!</definedName>
    <definedName name="Origin" localSheetId="7">#REF!</definedName>
    <definedName name="Origin">#REF!</definedName>
    <definedName name="_xlnm.Print_Area" localSheetId="4">hiroshima!$E$1:$S$75</definedName>
    <definedName name="_xlnm.Print_Area" localSheetId="6">'tokyo-east(ota)'!$A$1:$AH$49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6">#REF!</definedName>
    <definedName name="Shelf" localSheetId="7">#REF!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6">#REF!</definedName>
    <definedName name="Shop" localSheetId="7">#REF!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6">#REF!</definedName>
    <definedName name="ShopName1" localSheetId="7">#REF!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6">#REF!</definedName>
    <definedName name="ShopName2" localSheetId="7">#REF!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6">#REF!</definedName>
    <definedName name="Variety" localSheetId="7">#REF!</definedName>
    <definedName name="Variety">#REF!</definedName>
    <definedName name="yaginuma" localSheetId="5">#REF!</definedName>
    <definedName name="yaginuma" localSheetId="3">#REF!</definedName>
    <definedName name="yaginuma" localSheetId="6">#REF!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6">#REF!</definedName>
    <definedName name="検索店舗名" localSheetId="7">#REF!</definedName>
    <definedName name="検索店舗名">#REF!</definedName>
    <definedName name="栽培方法" localSheetId="5">#REF!</definedName>
    <definedName name="栽培方法" localSheetId="2">nagoya!$AN$1:$AN$6</definedName>
    <definedName name="栽培方法" localSheetId="3">#REF!</definedName>
    <definedName name="栽培方法" localSheetId="6">#REF!</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6">#REF!</definedName>
    <definedName name="販売ユニット個数" localSheetId="7">#REF!</definedName>
    <definedName name="販売ユニット個数">#REF!</definedName>
  </definedNames>
  <calcPr calcId="145621"/>
</workbook>
</file>

<file path=xl/calcChain.xml><?xml version="1.0" encoding="utf-8"?>
<calcChain xmlns="http://schemas.openxmlformats.org/spreadsheetml/2006/main">
  <c r="T139" i="32" l="1"/>
  <c r="T138" i="32"/>
  <c r="T137" i="32"/>
  <c r="T136" i="32"/>
  <c r="V136" i="32" s="1"/>
  <c r="T135" i="32"/>
  <c r="V135" i="32" s="1"/>
  <c r="V134" i="32"/>
  <c r="T134" i="32"/>
  <c r="T133" i="32"/>
  <c r="V133" i="32" s="1"/>
  <c r="T132" i="32"/>
  <c r="V132" i="32" s="1"/>
  <c r="Q132" i="32"/>
  <c r="T131" i="32"/>
  <c r="V131" i="32" s="1"/>
  <c r="Q131" i="32"/>
  <c r="T130" i="32"/>
  <c r="V130" i="32" s="1"/>
  <c r="Q130" i="32"/>
  <c r="T129" i="32"/>
  <c r="V129" i="32" s="1"/>
  <c r="Q129" i="32"/>
  <c r="V128" i="32"/>
  <c r="T128" i="32"/>
  <c r="Q128" i="32"/>
  <c r="V127" i="32"/>
  <c r="T127" i="32"/>
  <c r="Q127" i="32"/>
  <c r="T126" i="32"/>
  <c r="V126" i="32" s="1"/>
  <c r="Q126" i="32"/>
  <c r="T125" i="32"/>
  <c r="V125" i="32" s="1"/>
  <c r="Q125" i="32"/>
  <c r="T124" i="32"/>
  <c r="V124" i="32" s="1"/>
  <c r="Q124" i="32"/>
  <c r="T123" i="32"/>
  <c r="V123" i="32" s="1"/>
  <c r="Q123" i="32"/>
  <c r="T122" i="32"/>
  <c r="V122" i="32" s="1"/>
  <c r="Q122" i="32"/>
  <c r="T121" i="32"/>
  <c r="V121" i="32" s="1"/>
  <c r="Q121" i="32"/>
  <c r="V120" i="32"/>
  <c r="T120" i="32"/>
  <c r="Q120" i="32"/>
  <c r="V119" i="32"/>
  <c r="T119" i="32"/>
  <c r="Q119" i="32"/>
  <c r="T118" i="32"/>
  <c r="V118" i="32" s="1"/>
  <c r="Q118" i="32"/>
  <c r="T117" i="32"/>
  <c r="V117" i="32" s="1"/>
  <c r="Q117" i="32"/>
  <c r="T116" i="32"/>
  <c r="V116" i="32" s="1"/>
  <c r="Q116" i="32"/>
  <c r="T115" i="32"/>
  <c r="V115" i="32" s="1"/>
  <c r="Q115" i="32"/>
  <c r="T114" i="32"/>
  <c r="V114" i="32" s="1"/>
  <c r="Q114" i="32"/>
  <c r="T113" i="32"/>
  <c r="V113" i="32" s="1"/>
  <c r="Q113" i="32"/>
  <c r="V112" i="32"/>
  <c r="T112" i="32"/>
  <c r="Q112" i="32"/>
  <c r="V111" i="32"/>
  <c r="T111" i="32"/>
  <c r="Q111" i="32"/>
  <c r="T110" i="32"/>
  <c r="V110" i="32" s="1"/>
  <c r="Q110" i="32"/>
  <c r="T109" i="32"/>
  <c r="V109" i="32" s="1"/>
  <c r="Q109" i="32"/>
  <c r="T108" i="32"/>
  <c r="V108" i="32" s="1"/>
  <c r="Q108" i="32"/>
  <c r="T107" i="32"/>
  <c r="V107" i="32" s="1"/>
  <c r="Q107" i="32"/>
  <c r="T106" i="32"/>
  <c r="V106" i="32" s="1"/>
  <c r="Q106" i="32"/>
  <c r="T105" i="32"/>
  <c r="V105" i="32" s="1"/>
  <c r="Q105" i="32"/>
  <c r="V104" i="32"/>
  <c r="T104" i="32"/>
  <c r="Q104" i="32"/>
  <c r="V103" i="32"/>
  <c r="T103" i="32"/>
  <c r="Q103" i="32"/>
  <c r="T102" i="32"/>
  <c r="V102" i="32" s="1"/>
  <c r="Q102" i="32"/>
  <c r="T101" i="32"/>
  <c r="V101" i="32" s="1"/>
  <c r="Q101" i="32"/>
  <c r="T100" i="32"/>
  <c r="V100" i="32" s="1"/>
  <c r="Q100" i="32"/>
  <c r="T99" i="32"/>
  <c r="V99" i="32" s="1"/>
  <c r="Q99" i="32"/>
  <c r="T98" i="32"/>
  <c r="V98" i="32" s="1"/>
  <c r="Q98" i="32"/>
  <c r="T97" i="32"/>
  <c r="V97" i="32" s="1"/>
  <c r="Q97" i="32"/>
  <c r="V96" i="32"/>
  <c r="T96" i="32"/>
  <c r="Q96" i="32"/>
  <c r="V95" i="32"/>
  <c r="T95" i="32"/>
  <c r="Q95" i="32"/>
  <c r="T94" i="32"/>
  <c r="V94" i="32" s="1"/>
  <c r="Q94" i="32"/>
  <c r="T93" i="32"/>
  <c r="V93" i="32" s="1"/>
  <c r="Q93" i="32"/>
  <c r="T92" i="32"/>
  <c r="V92" i="32" s="1"/>
  <c r="Q92" i="32"/>
  <c r="T91" i="32"/>
  <c r="V91" i="32" s="1"/>
  <c r="Q91" i="32"/>
  <c r="T90" i="32"/>
  <c r="V90" i="32" s="1"/>
  <c r="Q90" i="32"/>
  <c r="T89" i="32"/>
  <c r="V89" i="32" s="1"/>
  <c r="Q89" i="32"/>
  <c r="V88" i="32"/>
  <c r="T88" i="32"/>
  <c r="Q88" i="32"/>
  <c r="V87" i="32"/>
  <c r="T87" i="32"/>
  <c r="Q87" i="32"/>
  <c r="T86" i="32"/>
  <c r="V86" i="32" s="1"/>
  <c r="Q86" i="32"/>
  <c r="T85" i="32"/>
  <c r="V85" i="32" s="1"/>
  <c r="Q85" i="32"/>
  <c r="T84" i="32"/>
  <c r="V84" i="32" s="1"/>
  <c r="Q84" i="32"/>
  <c r="T83" i="32"/>
  <c r="V83" i="32" s="1"/>
  <c r="Q83" i="32"/>
  <c r="T82" i="32"/>
  <c r="V82" i="32" s="1"/>
  <c r="Q82" i="32"/>
  <c r="T81" i="32"/>
  <c r="V81" i="32" s="1"/>
  <c r="Q81" i="32"/>
  <c r="V80" i="32"/>
  <c r="T80" i="32"/>
  <c r="Q80" i="32"/>
  <c r="V79" i="32"/>
  <c r="T79" i="32"/>
  <c r="Q79" i="32"/>
  <c r="T78" i="32"/>
  <c r="V78" i="32" s="1"/>
  <c r="Q78" i="32"/>
  <c r="T77" i="32"/>
  <c r="V77" i="32" s="1"/>
  <c r="Q77" i="32"/>
  <c r="T76" i="32"/>
  <c r="V76" i="32" s="1"/>
  <c r="Q76" i="32"/>
  <c r="T75" i="32"/>
  <c r="V75" i="32" s="1"/>
  <c r="Q75" i="32"/>
  <c r="T74" i="32"/>
  <c r="V74" i="32" s="1"/>
  <c r="Q74" i="32"/>
  <c r="T73" i="32"/>
  <c r="V73" i="32" s="1"/>
  <c r="Q73" i="32"/>
  <c r="V72" i="32"/>
  <c r="T72" i="32"/>
  <c r="Q72" i="32"/>
  <c r="V71" i="32"/>
  <c r="T71" i="32"/>
  <c r="Q71" i="32"/>
  <c r="T70" i="32"/>
  <c r="V70" i="32" s="1"/>
  <c r="Q70" i="32"/>
  <c r="T69" i="32"/>
  <c r="V69" i="32" s="1"/>
  <c r="Q69" i="32"/>
  <c r="T68" i="32"/>
  <c r="V68" i="32" s="1"/>
  <c r="Q68" i="32"/>
  <c r="T67" i="32"/>
  <c r="V67" i="32" s="1"/>
  <c r="Q67" i="32"/>
  <c r="T66" i="32"/>
  <c r="V66" i="32" s="1"/>
  <c r="Q66" i="32"/>
  <c r="T65" i="32"/>
  <c r="V65" i="32" s="1"/>
  <c r="Q65" i="32"/>
  <c r="V64" i="32"/>
  <c r="T64" i="32"/>
  <c r="Q64" i="32"/>
  <c r="V63" i="32"/>
  <c r="T63" i="32"/>
  <c r="Q63" i="32"/>
  <c r="T62" i="32"/>
  <c r="V62" i="32" s="1"/>
  <c r="Q62" i="32"/>
  <c r="T61" i="32"/>
  <c r="V61" i="32" s="1"/>
  <c r="Q61" i="32"/>
  <c r="T60" i="32"/>
  <c r="V60" i="32" s="1"/>
  <c r="Q60" i="32"/>
  <c r="T59" i="32"/>
  <c r="V59" i="32" s="1"/>
  <c r="Q59" i="32"/>
  <c r="T58" i="32"/>
  <c r="V58" i="32" s="1"/>
  <c r="Q58" i="32"/>
  <c r="T57" i="32"/>
  <c r="V57" i="32" s="1"/>
  <c r="Q57" i="32"/>
  <c r="V56" i="32"/>
  <c r="T56" i="32"/>
  <c r="Q56" i="32"/>
  <c r="V55" i="32"/>
  <c r="T55" i="32"/>
  <c r="Q55" i="32"/>
  <c r="T54" i="32"/>
  <c r="V54" i="32" s="1"/>
  <c r="Q54" i="32"/>
  <c r="T53" i="32"/>
  <c r="V53" i="32" s="1"/>
  <c r="Q53" i="32"/>
  <c r="T52" i="32"/>
  <c r="V52" i="32" s="1"/>
  <c r="Q52" i="32"/>
  <c r="T51" i="32"/>
  <c r="V51" i="32" s="1"/>
  <c r="Q51" i="32"/>
  <c r="T50" i="32"/>
  <c r="V50" i="32" s="1"/>
  <c r="Q50" i="32"/>
  <c r="T49" i="32"/>
  <c r="V49" i="32" s="1"/>
  <c r="Q49" i="32"/>
  <c r="V48" i="32"/>
  <c r="T48" i="32"/>
  <c r="Q48" i="32"/>
  <c r="V47" i="32"/>
  <c r="T47" i="32"/>
  <c r="Q47" i="32"/>
  <c r="T46" i="32"/>
  <c r="V46" i="32" s="1"/>
  <c r="Q46" i="32"/>
  <c r="T45" i="32"/>
  <c r="V45" i="32" s="1"/>
  <c r="Q45" i="32"/>
  <c r="T44" i="32"/>
  <c r="V44" i="32" s="1"/>
  <c r="Q44" i="32"/>
  <c r="T43" i="32"/>
  <c r="V43" i="32" s="1"/>
  <c r="Q43" i="32"/>
  <c r="T42" i="32"/>
  <c r="V42" i="32" s="1"/>
  <c r="Q42" i="32"/>
  <c r="T41" i="32"/>
  <c r="V41" i="32" s="1"/>
  <c r="Q41" i="32"/>
  <c r="V40" i="32"/>
  <c r="T40" i="32"/>
  <c r="Q40" i="32"/>
  <c r="V39" i="32"/>
  <c r="T39" i="32"/>
  <c r="Q39" i="32"/>
  <c r="T38" i="32"/>
  <c r="V38" i="32" s="1"/>
  <c r="Q38" i="32"/>
  <c r="T37" i="32"/>
  <c r="V37" i="32" s="1"/>
  <c r="Q37" i="32"/>
  <c r="T36" i="32"/>
  <c r="V36" i="32" s="1"/>
  <c r="Q36" i="32"/>
  <c r="T35" i="32"/>
  <c r="V35" i="32" s="1"/>
  <c r="Q35" i="32"/>
  <c r="T34" i="32"/>
  <c r="V34" i="32" s="1"/>
  <c r="Q34" i="32"/>
  <c r="T33" i="32"/>
  <c r="V33" i="32" s="1"/>
  <c r="Q33" i="32"/>
  <c r="V32" i="32"/>
  <c r="T32" i="32"/>
  <c r="Q32" i="32"/>
  <c r="V31" i="32"/>
  <c r="T31" i="32"/>
  <c r="Q31" i="32"/>
  <c r="T30" i="32"/>
  <c r="V30" i="32" s="1"/>
  <c r="Q30" i="32"/>
  <c r="T29" i="32"/>
  <c r="V29" i="32" s="1"/>
  <c r="Q29" i="32"/>
  <c r="T28" i="32"/>
  <c r="V28" i="32" s="1"/>
  <c r="Q28" i="32"/>
  <c r="T27" i="32"/>
  <c r="V27" i="32" s="1"/>
  <c r="Q27" i="32"/>
  <c r="T26" i="32"/>
  <c r="V26" i="32" s="1"/>
  <c r="Q26" i="32"/>
  <c r="T25" i="32"/>
  <c r="V25" i="32" s="1"/>
  <c r="Q25" i="32"/>
  <c r="V24" i="32"/>
  <c r="T24" i="32"/>
  <c r="Q24" i="32"/>
  <c r="V23" i="32"/>
  <c r="T23" i="32"/>
  <c r="Q23" i="32"/>
  <c r="T22" i="32"/>
  <c r="V22" i="32" s="1"/>
  <c r="Q22" i="32"/>
  <c r="T21" i="32"/>
  <c r="V21" i="32" s="1"/>
  <c r="Q21" i="32"/>
  <c r="T20" i="32"/>
  <c r="V20" i="32" s="1"/>
  <c r="Q20" i="32"/>
  <c r="T19" i="32"/>
  <c r="V19" i="32" s="1"/>
  <c r="Q19" i="32"/>
  <c r="T18" i="32"/>
  <c r="V18" i="32" s="1"/>
  <c r="Q18" i="32"/>
  <c r="T17" i="32"/>
  <c r="V17" i="32" s="1"/>
  <c r="Q17" i="32"/>
  <c r="V16" i="32"/>
  <c r="T16" i="32"/>
  <c r="Q16" i="32"/>
  <c r="V15" i="32"/>
  <c r="T15" i="32"/>
  <c r="Q15" i="32"/>
  <c r="T14" i="32"/>
  <c r="V14" i="32" s="1"/>
  <c r="Q14" i="32"/>
  <c r="T13" i="32"/>
  <c r="V13" i="32" s="1"/>
  <c r="Q13" i="32"/>
  <c r="T12" i="32"/>
  <c r="V12" i="32" s="1"/>
  <c r="Q12" i="32"/>
  <c r="T11" i="32"/>
  <c r="V11" i="32" s="1"/>
  <c r="Q11" i="32"/>
  <c r="T10" i="32"/>
  <c r="V10" i="32" s="1"/>
  <c r="Q10" i="32"/>
  <c r="T9" i="32"/>
  <c r="V9" i="32" s="1"/>
  <c r="Q9" i="32"/>
  <c r="V8" i="32"/>
  <c r="T8" i="32"/>
  <c r="Q8" i="32"/>
  <c r="V7" i="32"/>
  <c r="T7" i="32"/>
  <c r="Q7" i="32"/>
  <c r="T6" i="32"/>
  <c r="V6" i="32" s="1"/>
  <c r="Q6" i="32"/>
  <c r="T5" i="32"/>
  <c r="V5" i="32" s="1"/>
  <c r="Q5" i="32"/>
  <c r="T4" i="32"/>
  <c r="V4" i="32" s="1"/>
  <c r="Q4" i="32"/>
  <c r="T3" i="32"/>
  <c r="V3" i="32" s="1"/>
  <c r="Q3" i="32"/>
  <c r="T2" i="32"/>
  <c r="V2" i="32" s="1"/>
  <c r="Q2" i="32"/>
  <c r="T91" i="31" l="1"/>
  <c r="V91" i="31" s="1"/>
  <c r="Q91" i="31"/>
  <c r="T90" i="31"/>
  <c r="V90" i="31" s="1"/>
  <c r="Q90" i="31"/>
  <c r="T89" i="31"/>
  <c r="V89" i="31" s="1"/>
  <c r="Q89" i="31"/>
  <c r="T88" i="31"/>
  <c r="V88" i="31" s="1"/>
  <c r="Q88" i="31"/>
  <c r="T87" i="31"/>
  <c r="V87" i="31" s="1"/>
  <c r="Q87" i="31"/>
  <c r="V86" i="31"/>
  <c r="T86" i="31"/>
  <c r="Q86" i="31"/>
  <c r="T85" i="31"/>
  <c r="V85" i="31" s="1"/>
  <c r="Q85" i="31"/>
  <c r="T84" i="31"/>
  <c r="V84" i="31" s="1"/>
  <c r="Q84" i="31"/>
  <c r="T83" i="31"/>
  <c r="V83" i="31" s="1"/>
  <c r="Q83" i="31"/>
  <c r="T82" i="31"/>
  <c r="V82" i="31" s="1"/>
  <c r="Q82" i="31"/>
  <c r="T81" i="31"/>
  <c r="V81" i="31" s="1"/>
  <c r="Q81" i="31"/>
  <c r="T80" i="31"/>
  <c r="V80" i="31" s="1"/>
  <c r="Q80" i="31"/>
  <c r="T79" i="31"/>
  <c r="V79" i="31" s="1"/>
  <c r="Q79" i="31"/>
  <c r="V78" i="31"/>
  <c r="T78" i="31"/>
  <c r="Q78" i="31"/>
  <c r="T77" i="31"/>
  <c r="V77" i="31" s="1"/>
  <c r="Q77" i="31"/>
  <c r="T76" i="31"/>
  <c r="V76" i="31" s="1"/>
  <c r="Q76" i="31"/>
  <c r="T75" i="31"/>
  <c r="V75" i="31" s="1"/>
  <c r="Q75" i="31"/>
  <c r="T74" i="31"/>
  <c r="V74" i="31" s="1"/>
  <c r="Q74" i="31"/>
  <c r="T73" i="31"/>
  <c r="V73" i="31" s="1"/>
  <c r="Q73" i="31"/>
  <c r="T72" i="31"/>
  <c r="V72" i="31" s="1"/>
  <c r="Q72" i="31"/>
  <c r="T71" i="31"/>
  <c r="V71" i="31" s="1"/>
  <c r="Q71" i="31"/>
  <c r="V70" i="31"/>
  <c r="T70" i="31"/>
  <c r="Q70" i="31"/>
  <c r="T69" i="31"/>
  <c r="V69" i="31" s="1"/>
  <c r="Q69" i="31"/>
  <c r="T68" i="31"/>
  <c r="V68" i="31" s="1"/>
  <c r="Q68" i="31"/>
  <c r="T67" i="31"/>
  <c r="V67" i="31" s="1"/>
  <c r="Q67" i="31"/>
  <c r="T66" i="31"/>
  <c r="V66" i="31" s="1"/>
  <c r="Q66" i="31"/>
  <c r="T65" i="31"/>
  <c r="V65" i="31" s="1"/>
  <c r="Q65" i="31"/>
  <c r="T64" i="31"/>
  <c r="V64" i="31" s="1"/>
  <c r="Q64" i="31"/>
  <c r="T63" i="31"/>
  <c r="V63" i="31" s="1"/>
  <c r="Q63" i="31"/>
  <c r="V62" i="31"/>
  <c r="T62" i="31"/>
  <c r="Q62" i="31"/>
  <c r="T61" i="31"/>
  <c r="V61" i="31" s="1"/>
  <c r="Q61" i="31"/>
  <c r="T60" i="31"/>
  <c r="V60" i="31" s="1"/>
  <c r="Q60" i="31"/>
  <c r="T59" i="31"/>
  <c r="V59" i="31" s="1"/>
  <c r="Q59" i="31"/>
  <c r="T58" i="31"/>
  <c r="V58" i="31" s="1"/>
  <c r="Q58" i="31"/>
  <c r="T57" i="31"/>
  <c r="V57" i="31" s="1"/>
  <c r="Q57" i="31"/>
  <c r="T56" i="31"/>
  <c r="V56" i="31" s="1"/>
  <c r="Q56" i="31"/>
  <c r="T55" i="31"/>
  <c r="V55" i="31" s="1"/>
  <c r="Q55" i="31"/>
  <c r="V54" i="31"/>
  <c r="T54" i="31"/>
  <c r="Q54" i="31"/>
  <c r="T53" i="31"/>
  <c r="V53" i="31" s="1"/>
  <c r="Q53" i="31"/>
  <c r="T52" i="31"/>
  <c r="V52" i="31" s="1"/>
  <c r="Q52" i="31"/>
  <c r="T51" i="31"/>
  <c r="V51" i="31" s="1"/>
  <c r="Q51" i="31"/>
  <c r="T50" i="31"/>
  <c r="V50" i="31" s="1"/>
  <c r="Q50" i="31"/>
  <c r="T49" i="31"/>
  <c r="V49" i="31" s="1"/>
  <c r="Q49" i="31"/>
  <c r="T48" i="31"/>
  <c r="V48" i="31" s="1"/>
  <c r="Q48" i="31"/>
  <c r="T47" i="31"/>
  <c r="V47" i="31" s="1"/>
  <c r="Q47" i="31"/>
  <c r="V46" i="31"/>
  <c r="T46" i="31"/>
  <c r="Q46" i="31"/>
  <c r="T45" i="31"/>
  <c r="V45" i="31" s="1"/>
  <c r="Q45" i="31"/>
  <c r="T44" i="31"/>
  <c r="V44" i="31" s="1"/>
  <c r="Q44" i="31"/>
  <c r="T43" i="31"/>
  <c r="V43" i="31" s="1"/>
  <c r="Q43" i="31"/>
  <c r="T42" i="31"/>
  <c r="V42" i="31" s="1"/>
  <c r="Q42" i="31"/>
  <c r="T41" i="31"/>
  <c r="V41" i="31" s="1"/>
  <c r="Q41" i="31"/>
  <c r="T40" i="31"/>
  <c r="V40" i="31" s="1"/>
  <c r="Q40" i="31"/>
  <c r="T39" i="31"/>
  <c r="V39" i="31" s="1"/>
  <c r="Q39" i="31"/>
  <c r="V38" i="31"/>
  <c r="T38" i="31"/>
  <c r="Q38" i="31"/>
  <c r="T37" i="31"/>
  <c r="V37" i="31" s="1"/>
  <c r="Q37" i="31"/>
  <c r="T36" i="31"/>
  <c r="V36" i="31" s="1"/>
  <c r="Q36" i="31"/>
  <c r="T35" i="31"/>
  <c r="V35" i="31" s="1"/>
  <c r="Q35" i="31"/>
  <c r="T34" i="31"/>
  <c r="V34" i="31" s="1"/>
  <c r="Q34" i="31"/>
  <c r="T33" i="31"/>
  <c r="V33" i="31" s="1"/>
  <c r="Q33" i="31"/>
  <c r="T32" i="31"/>
  <c r="V32" i="31" s="1"/>
  <c r="Q32" i="31"/>
  <c r="T31" i="31"/>
  <c r="V31" i="31" s="1"/>
  <c r="Q31" i="31"/>
  <c r="V30" i="31"/>
  <c r="T30" i="31"/>
  <c r="Q30" i="31"/>
  <c r="T29" i="31"/>
  <c r="V29" i="31" s="1"/>
  <c r="Q29" i="31"/>
  <c r="T28" i="31"/>
  <c r="V28" i="31" s="1"/>
  <c r="Q28" i="31"/>
  <c r="T27" i="31"/>
  <c r="V27" i="31" s="1"/>
  <c r="Q27" i="31"/>
  <c r="T26" i="31"/>
  <c r="V26" i="31" s="1"/>
  <c r="Q26" i="31"/>
  <c r="T25" i="31"/>
  <c r="V25" i="31" s="1"/>
  <c r="Q25" i="31"/>
  <c r="T24" i="31"/>
  <c r="V24" i="31" s="1"/>
  <c r="Q24" i="31"/>
  <c r="T23" i="31"/>
  <c r="V23" i="31" s="1"/>
  <c r="Q23" i="31"/>
  <c r="V22" i="31"/>
  <c r="T22" i="31"/>
  <c r="Q22" i="31"/>
  <c r="T21" i="31"/>
  <c r="V21" i="31" s="1"/>
  <c r="Q21" i="31"/>
  <c r="T20" i="31"/>
  <c r="V20" i="31" s="1"/>
  <c r="Q20" i="31"/>
  <c r="T19" i="31"/>
  <c r="V19" i="31" s="1"/>
  <c r="Q19" i="31"/>
  <c r="T18" i="31"/>
  <c r="V18" i="31" s="1"/>
  <c r="Q18" i="31"/>
  <c r="T17" i="31"/>
  <c r="V17" i="31" s="1"/>
  <c r="Q17" i="31"/>
  <c r="T16" i="31"/>
  <c r="V16" i="31" s="1"/>
  <c r="Q16" i="31"/>
  <c r="T15" i="31"/>
  <c r="V15" i="31" s="1"/>
  <c r="Q15" i="31"/>
  <c r="V14" i="31"/>
  <c r="T14" i="31"/>
  <c r="Q14" i="31"/>
  <c r="T13" i="31"/>
  <c r="V13" i="31" s="1"/>
  <c r="Q13" i="31"/>
  <c r="T12" i="31"/>
  <c r="V12" i="31" s="1"/>
  <c r="Q12" i="31"/>
  <c r="T11" i="31"/>
  <c r="V11" i="31" s="1"/>
  <c r="Q11" i="31"/>
  <c r="T10" i="31"/>
  <c r="V10" i="31" s="1"/>
  <c r="Q10" i="31"/>
  <c r="T9" i="31"/>
  <c r="V9" i="31" s="1"/>
  <c r="Q9" i="31"/>
  <c r="T8" i="31"/>
  <c r="V8" i="31" s="1"/>
  <c r="Q8" i="31"/>
  <c r="T7" i="31"/>
  <c r="V7" i="31" s="1"/>
  <c r="Q7" i="31"/>
  <c r="V6" i="31"/>
  <c r="T6" i="31"/>
  <c r="Q6" i="31"/>
  <c r="T5" i="31"/>
  <c r="V5" i="31" s="1"/>
  <c r="Q5" i="31"/>
  <c r="T4" i="31"/>
  <c r="V4" i="31" s="1"/>
  <c r="Q4" i="31"/>
  <c r="T3" i="31"/>
  <c r="V3" i="31" s="1"/>
  <c r="Q3" i="31"/>
  <c r="T2" i="31"/>
  <c r="V2" i="31" s="1"/>
  <c r="Q2" i="31"/>
  <c r="V152" i="30" l="1"/>
  <c r="T152" i="30"/>
  <c r="Q152" i="30"/>
  <c r="V151" i="30"/>
  <c r="T151" i="30"/>
  <c r="Q151" i="30"/>
  <c r="V150" i="30"/>
  <c r="T150" i="30"/>
  <c r="Q150" i="30"/>
  <c r="V149" i="30"/>
  <c r="T149" i="30"/>
  <c r="Q149" i="30"/>
  <c r="V148" i="30"/>
  <c r="T148" i="30"/>
  <c r="Q148" i="30"/>
  <c r="V147" i="30"/>
  <c r="T147" i="30"/>
  <c r="Q147" i="30"/>
  <c r="V146" i="30"/>
  <c r="T146" i="30"/>
  <c r="Q146" i="30"/>
  <c r="V145" i="30"/>
  <c r="T145" i="30"/>
  <c r="Q145" i="30"/>
  <c r="V144" i="30"/>
  <c r="T144" i="30"/>
  <c r="Q144" i="30"/>
  <c r="V143" i="30"/>
  <c r="T143" i="30"/>
  <c r="Q143" i="30"/>
  <c r="V142" i="30"/>
  <c r="T142" i="30"/>
  <c r="Q142" i="30"/>
  <c r="V141" i="30"/>
  <c r="T141" i="30"/>
  <c r="Q141" i="30"/>
  <c r="V140" i="30"/>
  <c r="T140" i="30"/>
  <c r="Q140" i="30"/>
  <c r="V139" i="30"/>
  <c r="T139" i="30"/>
  <c r="Q139" i="30"/>
  <c r="V138" i="30"/>
  <c r="T138" i="30"/>
  <c r="Q138" i="30"/>
  <c r="V137" i="30"/>
  <c r="T137" i="30"/>
  <c r="Q137" i="30"/>
  <c r="V136" i="30"/>
  <c r="T136" i="30"/>
  <c r="Q136" i="30"/>
  <c r="V135" i="30"/>
  <c r="T135" i="30"/>
  <c r="Q135" i="30"/>
  <c r="V134" i="30"/>
  <c r="T134" i="30"/>
  <c r="Q134" i="30"/>
  <c r="V133" i="30"/>
  <c r="T133" i="30"/>
  <c r="Q133" i="30"/>
  <c r="V132" i="30"/>
  <c r="T132" i="30"/>
  <c r="Q132" i="30"/>
  <c r="V131" i="30"/>
  <c r="T131" i="30"/>
  <c r="Q131" i="30"/>
  <c r="V130" i="30"/>
  <c r="T130" i="30"/>
  <c r="Q130" i="30"/>
  <c r="V129" i="30"/>
  <c r="T129" i="30"/>
  <c r="Q129" i="30"/>
  <c r="V128" i="30"/>
  <c r="T128" i="30"/>
  <c r="Q128" i="30"/>
  <c r="V127" i="30"/>
  <c r="T127" i="30"/>
  <c r="Q127" i="30"/>
  <c r="V126" i="30"/>
  <c r="T126" i="30"/>
  <c r="Q126" i="30"/>
  <c r="V125" i="30"/>
  <c r="T125" i="30"/>
  <c r="Q125" i="30"/>
  <c r="V124" i="30"/>
  <c r="T124" i="30"/>
  <c r="Q124" i="30"/>
  <c r="V123" i="30"/>
  <c r="T123" i="30"/>
  <c r="Q123" i="30"/>
  <c r="V122" i="30"/>
  <c r="T122" i="30"/>
  <c r="Q122" i="30"/>
  <c r="V121" i="30"/>
  <c r="T121" i="30"/>
  <c r="Q121" i="30"/>
  <c r="V120" i="30"/>
  <c r="T120" i="30"/>
  <c r="Q120" i="30"/>
  <c r="V119" i="30"/>
  <c r="T119" i="30"/>
  <c r="Q119" i="30"/>
  <c r="V118" i="30"/>
  <c r="T118" i="30"/>
  <c r="Q118" i="30"/>
  <c r="V117" i="30"/>
  <c r="T117" i="30"/>
  <c r="Q117" i="30"/>
  <c r="V116" i="30"/>
  <c r="T116" i="30"/>
  <c r="Q116" i="30"/>
  <c r="V115" i="30"/>
  <c r="T115" i="30"/>
  <c r="Q115" i="30"/>
  <c r="V114" i="30"/>
  <c r="T114" i="30"/>
  <c r="Q114" i="30"/>
  <c r="V113" i="30"/>
  <c r="T113" i="30"/>
  <c r="Q113" i="30"/>
  <c r="V112" i="30"/>
  <c r="T112" i="30"/>
  <c r="Q112" i="30"/>
  <c r="V111" i="30"/>
  <c r="T111" i="30"/>
  <c r="Q111" i="30"/>
  <c r="V110" i="30"/>
  <c r="T110" i="30"/>
  <c r="Q110" i="30"/>
  <c r="V109" i="30"/>
  <c r="T109" i="30"/>
  <c r="Q109" i="30"/>
  <c r="V108" i="30"/>
  <c r="T108" i="30"/>
  <c r="Q108" i="30"/>
  <c r="V107" i="30"/>
  <c r="T107" i="30"/>
  <c r="Q107" i="30"/>
  <c r="V106" i="30"/>
  <c r="T106" i="30"/>
  <c r="Q106" i="30"/>
  <c r="V105" i="30"/>
  <c r="T105" i="30"/>
  <c r="Q105" i="30"/>
  <c r="V104" i="30"/>
  <c r="T104" i="30"/>
  <c r="Q104" i="30"/>
  <c r="V103" i="30"/>
  <c r="T103" i="30"/>
  <c r="Q103" i="30"/>
  <c r="V102" i="30"/>
  <c r="T102" i="30"/>
  <c r="Q102" i="30"/>
  <c r="V101" i="30"/>
  <c r="T101" i="30"/>
  <c r="Q101" i="30"/>
  <c r="T73" i="30"/>
  <c r="Q73" i="30"/>
  <c r="T72" i="30"/>
  <c r="Q72" i="30"/>
  <c r="T71" i="30"/>
  <c r="Q71" i="30"/>
  <c r="V70" i="30"/>
  <c r="T70" i="30"/>
  <c r="Q70" i="30"/>
  <c r="V69" i="30"/>
  <c r="T69" i="30"/>
  <c r="Q69" i="30"/>
  <c r="V68" i="30"/>
  <c r="T68" i="30"/>
  <c r="Q68" i="30"/>
  <c r="V67" i="30"/>
  <c r="T67" i="30"/>
  <c r="Q67" i="30"/>
  <c r="V66" i="30"/>
  <c r="T66" i="30"/>
  <c r="Q66" i="30"/>
  <c r="V65" i="30"/>
  <c r="T65" i="30"/>
  <c r="Q65" i="30"/>
  <c r="V64" i="30"/>
  <c r="T64" i="30"/>
  <c r="Q64" i="30"/>
  <c r="V63" i="30"/>
  <c r="T63" i="30"/>
  <c r="Q63" i="30"/>
  <c r="V62" i="30"/>
  <c r="T62" i="30"/>
  <c r="Q62" i="30"/>
  <c r="V61" i="30"/>
  <c r="T61" i="30"/>
  <c r="Q61" i="30"/>
  <c r="V60" i="30"/>
  <c r="T60" i="30"/>
  <c r="Q60" i="30"/>
  <c r="V59" i="30"/>
  <c r="T59" i="30"/>
  <c r="Q59" i="30"/>
  <c r="V58" i="30"/>
  <c r="T58" i="30"/>
  <c r="Q58" i="30"/>
  <c r="V57" i="30"/>
  <c r="T57" i="30"/>
  <c r="Q57" i="30"/>
  <c r="V56" i="30"/>
  <c r="T56" i="30"/>
  <c r="Q56" i="30"/>
  <c r="V55" i="30"/>
  <c r="T55" i="30"/>
  <c r="Q55" i="30"/>
  <c r="V54" i="30"/>
  <c r="T54" i="30"/>
  <c r="Q54" i="30"/>
  <c r="V53" i="30"/>
  <c r="T53" i="30"/>
  <c r="Q53" i="30"/>
  <c r="V52" i="30"/>
  <c r="T52" i="30"/>
  <c r="Q52" i="30"/>
  <c r="V51" i="30"/>
  <c r="T51" i="30"/>
  <c r="Q51" i="30"/>
  <c r="V50" i="30"/>
  <c r="T50" i="30"/>
  <c r="Q50" i="30"/>
  <c r="V49" i="30"/>
  <c r="T49" i="30"/>
  <c r="Q49" i="30"/>
  <c r="V48" i="30"/>
  <c r="T48" i="30"/>
  <c r="Q48" i="30"/>
  <c r="V47" i="30"/>
  <c r="T47" i="30"/>
  <c r="Q47" i="30"/>
  <c r="V46" i="30"/>
  <c r="T46" i="30"/>
  <c r="Q46" i="30"/>
  <c r="V45" i="30"/>
  <c r="T45" i="30"/>
  <c r="Q45" i="30"/>
  <c r="V44" i="30"/>
  <c r="T44" i="30"/>
  <c r="Q44" i="30"/>
  <c r="V43" i="30"/>
  <c r="T43" i="30"/>
  <c r="Q43" i="30"/>
  <c r="V42" i="30"/>
  <c r="T42" i="30"/>
  <c r="Q42" i="30"/>
  <c r="V41" i="30"/>
  <c r="T41" i="30"/>
  <c r="Q41" i="30"/>
  <c r="V40" i="30"/>
  <c r="T40" i="30"/>
  <c r="Q40" i="30"/>
  <c r="V39" i="30"/>
  <c r="T39" i="30"/>
  <c r="Q39" i="30"/>
  <c r="V38" i="30"/>
  <c r="T38" i="30"/>
  <c r="Q38" i="30"/>
  <c r="V37" i="30"/>
  <c r="T37" i="30"/>
  <c r="Q37" i="30"/>
  <c r="V36" i="30"/>
  <c r="T36" i="30"/>
  <c r="Q36" i="30"/>
  <c r="V35" i="30"/>
  <c r="T35" i="30"/>
  <c r="Q35" i="30"/>
  <c r="V34" i="30"/>
  <c r="T34" i="30"/>
  <c r="Q34" i="30"/>
  <c r="V33" i="30"/>
  <c r="T33" i="30"/>
  <c r="Q33" i="30"/>
  <c r="V32" i="30"/>
  <c r="T32" i="30"/>
  <c r="Q32" i="30"/>
  <c r="V31" i="30"/>
  <c r="T31" i="30"/>
  <c r="Q31" i="30"/>
  <c r="V30" i="30"/>
  <c r="T30" i="30"/>
  <c r="Q30" i="30"/>
  <c r="V29" i="30"/>
  <c r="T29" i="30"/>
  <c r="Q29" i="30"/>
  <c r="V28" i="30"/>
  <c r="T28" i="30"/>
  <c r="Q28" i="30"/>
  <c r="V27" i="30"/>
  <c r="T27" i="30"/>
  <c r="Q27" i="30"/>
  <c r="V26" i="30"/>
  <c r="T26" i="30"/>
  <c r="Q26" i="30"/>
  <c r="V25" i="30"/>
  <c r="T25" i="30"/>
  <c r="Q25" i="30"/>
  <c r="V24" i="30"/>
  <c r="T24" i="30"/>
  <c r="Q24" i="30"/>
  <c r="V23" i="30"/>
  <c r="T23" i="30"/>
  <c r="Q23" i="30"/>
  <c r="V22" i="30"/>
  <c r="T22" i="30"/>
  <c r="Q22" i="30"/>
  <c r="V21" i="30"/>
  <c r="T21" i="30"/>
  <c r="Q21" i="30"/>
  <c r="V20" i="30"/>
  <c r="T20" i="30"/>
  <c r="Q20" i="30"/>
  <c r="V19" i="30"/>
  <c r="T19" i="30"/>
  <c r="Q19" i="30"/>
  <c r="V18" i="30"/>
  <c r="T18" i="30"/>
  <c r="Q18" i="30"/>
  <c r="V17" i="30"/>
  <c r="T17" i="30"/>
  <c r="Q17" i="30"/>
  <c r="V16" i="30"/>
  <c r="T16" i="30"/>
  <c r="Q16" i="30"/>
  <c r="V15" i="30"/>
  <c r="T15" i="30"/>
  <c r="Q15" i="30"/>
  <c r="V14" i="30"/>
  <c r="T14" i="30"/>
  <c r="Q14" i="30"/>
  <c r="V13" i="30"/>
  <c r="T13" i="30"/>
  <c r="Q13" i="30"/>
  <c r="V12" i="30"/>
  <c r="T12" i="30"/>
  <c r="Q12" i="30"/>
  <c r="V11" i="30"/>
  <c r="T11" i="30"/>
  <c r="Q11" i="30"/>
  <c r="V10" i="30"/>
  <c r="T10" i="30"/>
  <c r="Q10" i="30"/>
  <c r="V9" i="30"/>
  <c r="T9" i="30"/>
  <c r="Q9" i="30"/>
  <c r="V8" i="30"/>
  <c r="T8" i="30"/>
  <c r="Q8" i="30"/>
  <c r="V7" i="30"/>
  <c r="T7" i="30"/>
  <c r="Q7" i="30"/>
  <c r="V6" i="30"/>
  <c r="T6" i="30"/>
  <c r="Q6" i="30"/>
  <c r="V5" i="30"/>
  <c r="T5" i="30"/>
  <c r="Q5" i="30"/>
  <c r="V4" i="30"/>
  <c r="T4" i="30"/>
  <c r="Q4" i="30"/>
  <c r="V3" i="30"/>
  <c r="T3" i="30"/>
  <c r="Q3" i="30"/>
  <c r="V2" i="30"/>
  <c r="T2" i="30"/>
  <c r="Q2" i="30"/>
  <c r="V85" i="29" l="1"/>
  <c r="T85" i="29"/>
  <c r="Q85" i="29"/>
  <c r="T84" i="29"/>
  <c r="V84" i="29" s="1"/>
  <c r="Q84" i="29"/>
  <c r="T83" i="29"/>
  <c r="V83" i="29" s="1"/>
  <c r="Q83" i="29"/>
  <c r="T82" i="29"/>
  <c r="V82" i="29" s="1"/>
  <c r="Q82" i="29"/>
  <c r="T81" i="29"/>
  <c r="V81" i="29" s="1"/>
  <c r="Q81" i="29"/>
  <c r="V80" i="29"/>
  <c r="T80" i="29"/>
  <c r="Q80" i="29"/>
  <c r="V79" i="29"/>
  <c r="T79" i="29"/>
  <c r="Q79" i="29"/>
  <c r="T78" i="29"/>
  <c r="V78" i="29" s="1"/>
  <c r="Q78" i="29"/>
  <c r="V77" i="29"/>
  <c r="T77" i="29"/>
  <c r="Q77" i="29"/>
  <c r="T76" i="29"/>
  <c r="V76" i="29" s="1"/>
  <c r="Q76" i="29"/>
  <c r="T75" i="29"/>
  <c r="V75" i="29" s="1"/>
  <c r="Q75" i="29"/>
  <c r="T74" i="29"/>
  <c r="V74" i="29" s="1"/>
  <c r="Q74" i="29"/>
  <c r="T73" i="29"/>
  <c r="V73" i="29" s="1"/>
  <c r="Q73" i="29"/>
  <c r="V72" i="29"/>
  <c r="T72" i="29"/>
  <c r="Q72" i="29"/>
  <c r="V71" i="29"/>
  <c r="T71" i="29"/>
  <c r="Q71" i="29"/>
  <c r="T70" i="29"/>
  <c r="V70" i="29" s="1"/>
  <c r="Q70" i="29"/>
  <c r="V69" i="29"/>
  <c r="T69" i="29"/>
  <c r="Q69" i="29"/>
  <c r="T68" i="29"/>
  <c r="V68" i="29" s="1"/>
  <c r="Q68" i="29"/>
  <c r="T67" i="29"/>
  <c r="V67" i="29" s="1"/>
  <c r="Q67" i="29"/>
  <c r="T66" i="29"/>
  <c r="V66" i="29" s="1"/>
  <c r="Q66" i="29"/>
  <c r="T65" i="29"/>
  <c r="V65" i="29" s="1"/>
  <c r="Q65" i="29"/>
  <c r="V64" i="29"/>
  <c r="T64" i="29"/>
  <c r="Q64" i="29"/>
  <c r="V63" i="29"/>
  <c r="T63" i="29"/>
  <c r="Q63" i="29"/>
  <c r="T62" i="29"/>
  <c r="V62" i="29" s="1"/>
  <c r="Q62" i="29"/>
  <c r="V61" i="29"/>
  <c r="T61" i="29"/>
  <c r="Q61" i="29"/>
  <c r="T60" i="29"/>
  <c r="V60" i="29" s="1"/>
  <c r="Q60" i="29"/>
  <c r="T59" i="29"/>
  <c r="V59" i="29" s="1"/>
  <c r="Q59" i="29"/>
  <c r="T58" i="29"/>
  <c r="V58" i="29" s="1"/>
  <c r="Q58" i="29"/>
  <c r="T57" i="29"/>
  <c r="V57" i="29" s="1"/>
  <c r="Q57" i="29"/>
  <c r="V56" i="29"/>
  <c r="T56" i="29"/>
  <c r="Q56" i="29"/>
  <c r="V55" i="29"/>
  <c r="T55" i="29"/>
  <c r="Q55" i="29"/>
  <c r="T54" i="29"/>
  <c r="V54" i="29" s="1"/>
  <c r="Q54" i="29"/>
  <c r="V53" i="29"/>
  <c r="T53" i="29"/>
  <c r="Q53" i="29"/>
  <c r="T52" i="29"/>
  <c r="V52" i="29" s="1"/>
  <c r="Q52" i="29"/>
  <c r="T51" i="29"/>
  <c r="V51" i="29" s="1"/>
  <c r="Q51" i="29"/>
  <c r="T50" i="29"/>
  <c r="V50" i="29" s="1"/>
  <c r="Q50" i="29"/>
  <c r="T49" i="29"/>
  <c r="V49" i="29" s="1"/>
  <c r="Q49" i="29"/>
  <c r="V48" i="29"/>
  <c r="T48" i="29"/>
  <c r="Q48" i="29"/>
  <c r="V47" i="29"/>
  <c r="T47" i="29"/>
  <c r="Q47" i="29"/>
  <c r="T46" i="29"/>
  <c r="V46" i="29" s="1"/>
  <c r="Q46" i="29"/>
  <c r="V45" i="29"/>
  <c r="T45" i="29"/>
  <c r="Q45" i="29"/>
  <c r="T44" i="29"/>
  <c r="V44" i="29" s="1"/>
  <c r="Q44" i="29"/>
  <c r="T43" i="29"/>
  <c r="V43" i="29" s="1"/>
  <c r="Q43" i="29"/>
  <c r="T42" i="29"/>
  <c r="V42" i="29" s="1"/>
  <c r="Q42" i="29"/>
  <c r="T41" i="29"/>
  <c r="V41" i="29" s="1"/>
  <c r="Q41" i="29"/>
  <c r="V40" i="29"/>
  <c r="T40" i="29"/>
  <c r="Q40" i="29"/>
  <c r="V39" i="29"/>
  <c r="T39" i="29"/>
  <c r="Q39" i="29"/>
  <c r="T38" i="29"/>
  <c r="V38" i="29" s="1"/>
  <c r="Q38" i="29"/>
  <c r="V37" i="29"/>
  <c r="T37" i="29"/>
  <c r="Q37" i="29"/>
  <c r="T36" i="29"/>
  <c r="V36" i="29" s="1"/>
  <c r="Q36" i="29"/>
  <c r="T35" i="29"/>
  <c r="V35" i="29" s="1"/>
  <c r="Q35" i="29"/>
  <c r="T34" i="29"/>
  <c r="V34" i="29" s="1"/>
  <c r="Q34" i="29"/>
  <c r="T33" i="29"/>
  <c r="V33" i="29" s="1"/>
  <c r="Q33" i="29"/>
  <c r="V32" i="29"/>
  <c r="T32" i="29"/>
  <c r="Q32" i="29"/>
  <c r="V31" i="29"/>
  <c r="T31" i="29"/>
  <c r="Q31" i="29"/>
  <c r="T30" i="29"/>
  <c r="V30" i="29" s="1"/>
  <c r="Q30" i="29"/>
  <c r="V29" i="29"/>
  <c r="T29" i="29"/>
  <c r="Q29" i="29"/>
  <c r="T28" i="29"/>
  <c r="V28" i="29" s="1"/>
  <c r="Q28" i="29"/>
  <c r="T27" i="29"/>
  <c r="V27" i="29" s="1"/>
  <c r="Q27" i="29"/>
  <c r="T26" i="29"/>
  <c r="V26" i="29" s="1"/>
  <c r="Q26" i="29"/>
  <c r="T25" i="29"/>
  <c r="V25" i="29" s="1"/>
  <c r="Q25" i="29"/>
  <c r="V24" i="29"/>
  <c r="T24" i="29"/>
  <c r="Q24" i="29"/>
  <c r="V23" i="29"/>
  <c r="T23" i="29"/>
  <c r="Q23" i="29"/>
  <c r="T22" i="29"/>
  <c r="V22" i="29" s="1"/>
  <c r="Q22" i="29"/>
  <c r="V21" i="29"/>
  <c r="T21" i="29"/>
  <c r="Q21" i="29"/>
  <c r="T20" i="29"/>
  <c r="V20" i="29" s="1"/>
  <c r="Q20" i="29"/>
  <c r="T19" i="29"/>
  <c r="V19" i="29" s="1"/>
  <c r="Q19" i="29"/>
  <c r="T18" i="29"/>
  <c r="V18" i="29" s="1"/>
  <c r="Q18" i="29"/>
  <c r="T17" i="29"/>
  <c r="V17" i="29" s="1"/>
  <c r="Q17" i="29"/>
  <c r="V16" i="29"/>
  <c r="T16" i="29"/>
  <c r="Q16" i="29"/>
  <c r="V15" i="29"/>
  <c r="T15" i="29"/>
  <c r="Q15" i="29"/>
  <c r="T14" i="29"/>
  <c r="V14" i="29" s="1"/>
  <c r="Q14" i="29"/>
  <c r="V13" i="29"/>
  <c r="T13" i="29"/>
  <c r="Q13" i="29"/>
  <c r="T12" i="29"/>
  <c r="V12" i="29" s="1"/>
  <c r="Q12" i="29"/>
  <c r="T11" i="29"/>
  <c r="V11" i="29" s="1"/>
  <c r="Q11" i="29"/>
  <c r="T10" i="29"/>
  <c r="V10" i="29" s="1"/>
  <c r="Q10" i="29"/>
  <c r="T9" i="29"/>
  <c r="V9" i="29" s="1"/>
  <c r="Q9" i="29"/>
  <c r="V8" i="29"/>
  <c r="T8" i="29"/>
  <c r="Q8" i="29"/>
  <c r="V7" i="29"/>
  <c r="T7" i="29"/>
  <c r="Q7" i="29"/>
  <c r="T6" i="29"/>
  <c r="V6" i="29" s="1"/>
  <c r="Q6" i="29"/>
  <c r="V5" i="29"/>
  <c r="T5" i="29"/>
  <c r="Q5" i="29"/>
  <c r="T4" i="29"/>
  <c r="V4" i="29" s="1"/>
  <c r="Q4" i="29"/>
  <c r="T3" i="29"/>
  <c r="V3" i="29" s="1"/>
  <c r="Q3" i="29"/>
  <c r="T2" i="29"/>
  <c r="V2" i="29" s="1"/>
  <c r="Q2" i="29"/>
  <c r="T85" i="28" l="1"/>
  <c r="V85" i="28" s="1"/>
  <c r="Q85" i="28"/>
  <c r="T84" i="28"/>
  <c r="V84" i="28" s="1"/>
  <c r="Q84" i="28"/>
  <c r="T83" i="28"/>
  <c r="V83" i="28" s="1"/>
  <c r="Q83" i="28"/>
  <c r="V82" i="28"/>
  <c r="T82" i="28"/>
  <c r="Q82" i="28"/>
  <c r="T81" i="28"/>
  <c r="V81" i="28" s="1"/>
  <c r="Q81" i="28"/>
  <c r="V80" i="28"/>
  <c r="T80" i="28"/>
  <c r="Q80" i="28"/>
  <c r="V79" i="28"/>
  <c r="T79" i="28"/>
  <c r="Q79" i="28"/>
  <c r="T78" i="28"/>
  <c r="V78" i="28" s="1"/>
  <c r="Q78" i="28"/>
  <c r="T77" i="28"/>
  <c r="V77" i="28" s="1"/>
  <c r="Q77" i="28"/>
  <c r="T76" i="28"/>
  <c r="V76" i="28" s="1"/>
  <c r="Q76" i="28"/>
  <c r="T75" i="28"/>
  <c r="V75" i="28" s="1"/>
  <c r="Q75" i="28"/>
  <c r="V74" i="28"/>
  <c r="T74" i="28"/>
  <c r="Q74" i="28"/>
  <c r="T73" i="28"/>
  <c r="V73" i="28" s="1"/>
  <c r="Q73" i="28"/>
  <c r="V72" i="28"/>
  <c r="T72" i="28"/>
  <c r="Q72" i="28"/>
  <c r="V71" i="28"/>
  <c r="T71" i="28"/>
  <c r="Q71" i="28"/>
  <c r="T70" i="28"/>
  <c r="V70" i="28" s="1"/>
  <c r="Q70" i="28"/>
  <c r="T69" i="28"/>
  <c r="V69" i="28" s="1"/>
  <c r="Q69" i="28"/>
  <c r="T68" i="28"/>
  <c r="V68" i="28" s="1"/>
  <c r="Q68" i="28"/>
  <c r="T67" i="28"/>
  <c r="V67" i="28" s="1"/>
  <c r="Q67" i="28"/>
  <c r="V66" i="28"/>
  <c r="T66" i="28"/>
  <c r="Q66" i="28"/>
  <c r="T65" i="28"/>
  <c r="V65" i="28" s="1"/>
  <c r="Q65" i="28"/>
  <c r="V64" i="28"/>
  <c r="T64" i="28"/>
  <c r="Q64" i="28"/>
  <c r="V63" i="28"/>
  <c r="T63" i="28"/>
  <c r="Q63" i="28"/>
  <c r="T62" i="28"/>
  <c r="V62" i="28" s="1"/>
  <c r="Q62" i="28"/>
  <c r="T61" i="28"/>
  <c r="V61" i="28" s="1"/>
  <c r="Q61" i="28"/>
  <c r="T60" i="28"/>
  <c r="V60" i="28" s="1"/>
  <c r="Q60" i="28"/>
  <c r="T59" i="28"/>
  <c r="V59" i="28" s="1"/>
  <c r="Q59" i="28"/>
  <c r="V58" i="28"/>
  <c r="T58" i="28"/>
  <c r="Q58" i="28"/>
  <c r="T57" i="28"/>
  <c r="V57" i="28" s="1"/>
  <c r="Q57" i="28"/>
  <c r="V56" i="28"/>
  <c r="T56" i="28"/>
  <c r="Q56" i="28"/>
  <c r="V55" i="28"/>
  <c r="T55" i="28"/>
  <c r="Q55" i="28"/>
  <c r="T54" i="28"/>
  <c r="V54" i="28" s="1"/>
  <c r="Q54" i="28"/>
  <c r="T53" i="28"/>
  <c r="V53" i="28" s="1"/>
  <c r="Q53" i="28"/>
  <c r="T52" i="28"/>
  <c r="V52" i="28" s="1"/>
  <c r="Q52" i="28"/>
  <c r="T51" i="28"/>
  <c r="V51" i="28" s="1"/>
  <c r="Q51" i="28"/>
  <c r="V50" i="28"/>
  <c r="T50" i="28"/>
  <c r="Q50" i="28"/>
  <c r="T49" i="28"/>
  <c r="V49" i="28" s="1"/>
  <c r="Q49" i="28"/>
  <c r="V48" i="28"/>
  <c r="T48" i="28"/>
  <c r="Q48" i="28"/>
  <c r="V47" i="28"/>
  <c r="T47" i="28"/>
  <c r="Q47" i="28"/>
  <c r="T46" i="28"/>
  <c r="V46" i="28" s="1"/>
  <c r="Q46" i="28"/>
  <c r="T45" i="28"/>
  <c r="V45" i="28" s="1"/>
  <c r="Q45" i="28"/>
  <c r="T44" i="28"/>
  <c r="V44" i="28" s="1"/>
  <c r="Q44" i="28"/>
  <c r="T43" i="28"/>
  <c r="V43" i="28" s="1"/>
  <c r="Q43" i="28"/>
  <c r="V42" i="28"/>
  <c r="T42" i="28"/>
  <c r="Q42" i="28"/>
  <c r="T41" i="28"/>
  <c r="V41" i="28" s="1"/>
  <c r="Q41" i="28"/>
  <c r="V40" i="28"/>
  <c r="T40" i="28"/>
  <c r="Q40" i="28"/>
  <c r="V39" i="28"/>
  <c r="T39" i="28"/>
  <c r="Q39" i="28"/>
  <c r="T38" i="28"/>
  <c r="V38" i="28" s="1"/>
  <c r="Q38" i="28"/>
  <c r="T37" i="28"/>
  <c r="V37" i="28" s="1"/>
  <c r="Q37" i="28"/>
  <c r="T36" i="28"/>
  <c r="V36" i="28" s="1"/>
  <c r="Q36" i="28"/>
  <c r="T35" i="28"/>
  <c r="V35" i="28" s="1"/>
  <c r="Q35" i="28"/>
  <c r="V34" i="28"/>
  <c r="T34" i="28"/>
  <c r="Q34" i="28"/>
  <c r="T33" i="28"/>
  <c r="V33" i="28" s="1"/>
  <c r="Q33" i="28"/>
  <c r="V32" i="28"/>
  <c r="T32" i="28"/>
  <c r="Q32" i="28"/>
  <c r="V31" i="28"/>
  <c r="T31" i="28"/>
  <c r="Q31" i="28"/>
  <c r="T30" i="28"/>
  <c r="V30" i="28" s="1"/>
  <c r="Q30" i="28"/>
  <c r="T29" i="28"/>
  <c r="V29" i="28" s="1"/>
  <c r="Q29" i="28"/>
  <c r="T28" i="28"/>
  <c r="V28" i="28" s="1"/>
  <c r="Q28" i="28"/>
  <c r="T27" i="28"/>
  <c r="V27" i="28" s="1"/>
  <c r="Q27" i="28"/>
  <c r="V26" i="28"/>
  <c r="T26" i="28"/>
  <c r="Q26" i="28"/>
  <c r="T25" i="28"/>
  <c r="V25" i="28" s="1"/>
  <c r="Q25" i="28"/>
  <c r="V24" i="28"/>
  <c r="T24" i="28"/>
  <c r="Q24" i="28"/>
  <c r="V23" i="28"/>
  <c r="T23" i="28"/>
  <c r="Q23" i="28"/>
  <c r="T22" i="28"/>
  <c r="V22" i="28" s="1"/>
  <c r="Q22" i="28"/>
  <c r="T21" i="28"/>
  <c r="V21" i="28" s="1"/>
  <c r="Q21" i="28"/>
  <c r="T20" i="28"/>
  <c r="V20" i="28" s="1"/>
  <c r="Q20" i="28"/>
  <c r="T19" i="28"/>
  <c r="V19" i="28" s="1"/>
  <c r="Q19" i="28"/>
  <c r="V18" i="28"/>
  <c r="T18" i="28"/>
  <c r="Q18" i="28"/>
  <c r="T17" i="28"/>
  <c r="V17" i="28" s="1"/>
  <c r="Q17" i="28"/>
  <c r="V16" i="28"/>
  <c r="T16" i="28"/>
  <c r="Q16" i="28"/>
  <c r="V15" i="28"/>
  <c r="T15" i="28"/>
  <c r="Q15" i="28"/>
  <c r="T14" i="28"/>
  <c r="V14" i="28" s="1"/>
  <c r="Q14" i="28"/>
  <c r="T13" i="28"/>
  <c r="V13" i="28" s="1"/>
  <c r="Q13" i="28"/>
  <c r="T12" i="28"/>
  <c r="V12" i="28" s="1"/>
  <c r="Q12" i="28"/>
  <c r="T11" i="28"/>
  <c r="V11" i="28" s="1"/>
  <c r="Q11" i="28"/>
  <c r="V10" i="28"/>
  <c r="T10" i="28"/>
  <c r="Q10" i="28"/>
  <c r="T9" i="28"/>
  <c r="V9" i="28" s="1"/>
  <c r="Q9" i="28"/>
  <c r="V8" i="28"/>
  <c r="T8" i="28"/>
  <c r="Q8" i="28"/>
  <c r="V7" i="28"/>
  <c r="T7" i="28"/>
  <c r="Q7" i="28"/>
  <c r="T6" i="28"/>
  <c r="V6" i="28" s="1"/>
  <c r="Q6" i="28"/>
  <c r="T5" i="28"/>
  <c r="V5" i="28" s="1"/>
  <c r="Q5" i="28"/>
  <c r="T4" i="28"/>
  <c r="V4" i="28" s="1"/>
  <c r="Q4" i="28"/>
  <c r="T3" i="28"/>
  <c r="V3" i="28" s="1"/>
  <c r="Q3" i="28"/>
  <c r="V2" i="28"/>
  <c r="T2" i="28"/>
  <c r="Q2" i="28"/>
  <c r="V79" i="27"/>
  <c r="T79" i="27"/>
  <c r="Q79" i="27"/>
  <c r="T78" i="27"/>
  <c r="V78" i="27" s="1"/>
  <c r="Q78" i="27"/>
  <c r="T77" i="27"/>
  <c r="V77" i="27" s="1"/>
  <c r="Q77" i="27"/>
  <c r="T76" i="27"/>
  <c r="V76" i="27" s="1"/>
  <c r="Q76" i="27"/>
  <c r="T75" i="27"/>
  <c r="V75" i="27" s="1"/>
  <c r="Q75" i="27"/>
  <c r="V74" i="27"/>
  <c r="T74" i="27"/>
  <c r="Q74" i="27"/>
  <c r="V73" i="27"/>
  <c r="T73" i="27"/>
  <c r="Q73" i="27"/>
  <c r="T72" i="27"/>
  <c r="V72" i="27" s="1"/>
  <c r="Q72" i="27"/>
  <c r="V71" i="27"/>
  <c r="T71" i="27"/>
  <c r="Q71" i="27"/>
  <c r="T70" i="27"/>
  <c r="V70" i="27" s="1"/>
  <c r="Q70" i="27"/>
  <c r="T69" i="27"/>
  <c r="V69" i="27" s="1"/>
  <c r="Q69" i="27"/>
  <c r="T68" i="27"/>
  <c r="V68" i="27" s="1"/>
  <c r="Q68" i="27"/>
  <c r="T67" i="27"/>
  <c r="V67" i="27" s="1"/>
  <c r="Q67" i="27"/>
  <c r="V66" i="27"/>
  <c r="T66" i="27"/>
  <c r="Q66" i="27"/>
  <c r="V65" i="27"/>
  <c r="T65" i="27"/>
  <c r="Q65" i="27"/>
  <c r="T64" i="27"/>
  <c r="V64" i="27" s="1"/>
  <c r="Q64" i="27"/>
  <c r="V63" i="27"/>
  <c r="T63" i="27"/>
  <c r="Q63" i="27"/>
  <c r="T62" i="27"/>
  <c r="V62" i="27" s="1"/>
  <c r="Q62" i="27"/>
  <c r="T61" i="27"/>
  <c r="V61" i="27" s="1"/>
  <c r="Q61" i="27"/>
  <c r="T60" i="27"/>
  <c r="V60" i="27" s="1"/>
  <c r="Q60" i="27"/>
  <c r="T59" i="27"/>
  <c r="V59" i="27" s="1"/>
  <c r="Q59" i="27"/>
  <c r="V58" i="27"/>
  <c r="T58" i="27"/>
  <c r="Q58" i="27"/>
  <c r="V57" i="27"/>
  <c r="T57" i="27"/>
  <c r="Q57" i="27"/>
  <c r="T56" i="27"/>
  <c r="V56" i="27" s="1"/>
  <c r="Q56" i="27"/>
  <c r="V55" i="27"/>
  <c r="T55" i="27"/>
  <c r="Q55" i="27"/>
  <c r="T54" i="27"/>
  <c r="V54" i="27" s="1"/>
  <c r="Q54" i="27"/>
  <c r="T53" i="27"/>
  <c r="V53" i="27" s="1"/>
  <c r="Q53" i="27"/>
  <c r="T52" i="27"/>
  <c r="V52" i="27" s="1"/>
  <c r="Q52" i="27"/>
  <c r="T51" i="27"/>
  <c r="V51" i="27" s="1"/>
  <c r="Q51" i="27"/>
  <c r="V50" i="27"/>
  <c r="T50" i="27"/>
  <c r="Q50" i="27"/>
  <c r="V49" i="27"/>
  <c r="T49" i="27"/>
  <c r="Q49" i="27"/>
  <c r="T48" i="27"/>
  <c r="V48" i="27" s="1"/>
  <c r="Q48" i="27"/>
  <c r="V47" i="27"/>
  <c r="T47" i="27"/>
  <c r="Q47" i="27"/>
  <c r="T46" i="27"/>
  <c r="V46" i="27" s="1"/>
  <c r="Q46" i="27"/>
  <c r="T45" i="27"/>
  <c r="V45" i="27" s="1"/>
  <c r="Q45" i="27"/>
  <c r="T44" i="27"/>
  <c r="V44" i="27" s="1"/>
  <c r="Q44" i="27"/>
  <c r="T43" i="27"/>
  <c r="V43" i="27" s="1"/>
  <c r="Q43" i="27"/>
  <c r="V42" i="27"/>
  <c r="T42" i="27"/>
  <c r="Q42" i="27"/>
  <c r="V41" i="27"/>
  <c r="T41" i="27"/>
  <c r="Q41" i="27"/>
  <c r="T40" i="27"/>
  <c r="V40" i="27" s="1"/>
  <c r="Q40" i="27"/>
  <c r="V39" i="27"/>
  <c r="T39" i="27"/>
  <c r="Q39" i="27"/>
  <c r="T38" i="27"/>
  <c r="V38" i="27" s="1"/>
  <c r="Q38" i="27"/>
  <c r="T37" i="27"/>
  <c r="V37" i="27" s="1"/>
  <c r="Q37" i="27"/>
  <c r="T36" i="27"/>
  <c r="V36" i="27" s="1"/>
  <c r="Q36" i="27"/>
  <c r="T35" i="27"/>
  <c r="V35" i="27" s="1"/>
  <c r="Q35" i="27"/>
  <c r="V34" i="27"/>
  <c r="T34" i="27"/>
  <c r="Q34" i="27"/>
  <c r="V33" i="27"/>
  <c r="T33" i="27"/>
  <c r="Q33" i="27"/>
  <c r="T32" i="27"/>
  <c r="V32" i="27" s="1"/>
  <c r="Q32" i="27"/>
  <c r="V31" i="27"/>
  <c r="T31" i="27"/>
  <c r="Q31" i="27"/>
  <c r="T30" i="27"/>
  <c r="V30" i="27" s="1"/>
  <c r="Q30" i="27"/>
  <c r="T29" i="27"/>
  <c r="V29" i="27" s="1"/>
  <c r="Q29" i="27"/>
  <c r="T28" i="27"/>
  <c r="V28" i="27" s="1"/>
  <c r="Q28" i="27"/>
  <c r="T27" i="27"/>
  <c r="V27" i="27" s="1"/>
  <c r="Q27" i="27"/>
  <c r="V26" i="27"/>
  <c r="T26" i="27"/>
  <c r="Q26" i="27"/>
  <c r="V25" i="27"/>
  <c r="T25" i="27"/>
  <c r="Q25" i="27"/>
  <c r="T24" i="27"/>
  <c r="V24" i="27" s="1"/>
  <c r="Q24" i="27"/>
  <c r="V23" i="27"/>
  <c r="T23" i="27"/>
  <c r="Q23" i="27"/>
  <c r="T22" i="27"/>
  <c r="V22" i="27" s="1"/>
  <c r="Q22" i="27"/>
  <c r="T21" i="27"/>
  <c r="V21" i="27" s="1"/>
  <c r="Q21" i="27"/>
  <c r="T20" i="27"/>
  <c r="V20" i="27" s="1"/>
  <c r="Q20" i="27"/>
  <c r="T19" i="27"/>
  <c r="V19" i="27" s="1"/>
  <c r="Q19" i="27"/>
  <c r="V18" i="27"/>
  <c r="T18" i="27"/>
  <c r="Q18" i="27"/>
  <c r="V17" i="27"/>
  <c r="T17" i="27"/>
  <c r="Q17" i="27"/>
  <c r="T16" i="27"/>
  <c r="V16" i="27" s="1"/>
  <c r="Q16" i="27"/>
  <c r="V15" i="27"/>
  <c r="T15" i="27"/>
  <c r="Q15" i="27"/>
  <c r="T14" i="27"/>
  <c r="V14" i="27" s="1"/>
  <c r="Q14" i="27"/>
  <c r="T13" i="27"/>
  <c r="V13" i="27" s="1"/>
  <c r="Q13" i="27"/>
  <c r="T12" i="27"/>
  <c r="V12" i="27" s="1"/>
  <c r="Q12" i="27"/>
  <c r="T11" i="27"/>
  <c r="V11" i="27" s="1"/>
  <c r="Q11" i="27"/>
  <c r="V10" i="27"/>
  <c r="T10" i="27"/>
  <c r="Q10" i="27"/>
  <c r="V9" i="27"/>
  <c r="T9" i="27"/>
  <c r="Q9" i="27"/>
  <c r="T8" i="27"/>
  <c r="V8" i="27" s="1"/>
  <c r="Q8" i="27"/>
  <c r="V7" i="27"/>
  <c r="T7" i="27"/>
  <c r="Q7" i="27"/>
  <c r="T6" i="27"/>
  <c r="V6" i="27" s="1"/>
  <c r="Q6" i="27"/>
  <c r="T5" i="27"/>
  <c r="V5" i="27" s="1"/>
  <c r="Q5" i="27"/>
  <c r="T4" i="27"/>
  <c r="V4" i="27" s="1"/>
  <c r="Q4" i="27"/>
  <c r="T3" i="27"/>
  <c r="V3" i="27" s="1"/>
  <c r="Q3" i="27"/>
  <c r="V2" i="27"/>
  <c r="T2" i="27"/>
  <c r="Q2" i="27"/>
  <c r="T142" i="26" l="1"/>
  <c r="V142" i="26" s="1"/>
  <c r="Q142" i="26"/>
  <c r="T141" i="26"/>
  <c r="V141" i="26" s="1"/>
  <c r="Q141" i="26"/>
  <c r="T140" i="26"/>
  <c r="V140" i="26" s="1"/>
  <c r="Q140" i="26"/>
  <c r="T139" i="26"/>
  <c r="V139" i="26" s="1"/>
  <c r="Q139" i="26"/>
  <c r="T138" i="26"/>
  <c r="V138" i="26" s="1"/>
  <c r="Q138" i="26"/>
  <c r="V137" i="26"/>
  <c r="T137" i="26"/>
  <c r="Q137" i="26"/>
  <c r="V136" i="26"/>
  <c r="T136" i="26"/>
  <c r="Q136" i="26"/>
  <c r="T135" i="26"/>
  <c r="V135" i="26" s="1"/>
  <c r="Q135" i="26"/>
  <c r="T134" i="26"/>
  <c r="V134" i="26" s="1"/>
  <c r="Q134" i="26"/>
  <c r="T133" i="26"/>
  <c r="V133" i="26" s="1"/>
  <c r="Q133" i="26"/>
  <c r="T132" i="26"/>
  <c r="V132" i="26" s="1"/>
  <c r="Q132" i="26"/>
  <c r="T131" i="26"/>
  <c r="V131" i="26" s="1"/>
  <c r="Q131" i="26"/>
  <c r="T130" i="26"/>
  <c r="V130" i="26" s="1"/>
  <c r="Q130" i="26"/>
  <c r="V129" i="26"/>
  <c r="T129" i="26"/>
  <c r="Q129" i="26"/>
  <c r="V128" i="26"/>
  <c r="T128" i="26"/>
  <c r="Q128" i="26"/>
  <c r="T127" i="26"/>
  <c r="V127" i="26" s="1"/>
  <c r="Q127" i="26"/>
  <c r="T126" i="26"/>
  <c r="V126" i="26" s="1"/>
  <c r="Q126" i="26"/>
  <c r="T125" i="26"/>
  <c r="V125" i="26" s="1"/>
  <c r="Q125" i="26"/>
  <c r="T124" i="26"/>
  <c r="V124" i="26" s="1"/>
  <c r="Q124" i="26"/>
  <c r="T123" i="26"/>
  <c r="V123" i="26" s="1"/>
  <c r="Q123" i="26"/>
  <c r="T122" i="26"/>
  <c r="V122" i="26" s="1"/>
  <c r="Q122" i="26"/>
  <c r="V121" i="26"/>
  <c r="T121" i="26"/>
  <c r="Q121" i="26"/>
  <c r="V120" i="26"/>
  <c r="T120" i="26"/>
  <c r="Q120" i="26"/>
  <c r="T119" i="26"/>
  <c r="V119" i="26" s="1"/>
  <c r="Q119" i="26"/>
  <c r="T118" i="26"/>
  <c r="V118" i="26" s="1"/>
  <c r="Q118" i="26"/>
  <c r="T117" i="26"/>
  <c r="V117" i="26" s="1"/>
  <c r="Q117" i="26"/>
  <c r="T116" i="26"/>
  <c r="V116" i="26" s="1"/>
  <c r="Q116" i="26"/>
  <c r="T115" i="26"/>
  <c r="V115" i="26" s="1"/>
  <c r="Q115" i="26"/>
  <c r="T114" i="26"/>
  <c r="V114" i="26" s="1"/>
  <c r="Q114" i="26"/>
  <c r="V113" i="26"/>
  <c r="T113" i="26"/>
  <c r="Q113" i="26"/>
  <c r="V112" i="26"/>
  <c r="T112" i="26"/>
  <c r="Q112" i="26"/>
  <c r="T111" i="26"/>
  <c r="V111" i="26" s="1"/>
  <c r="Q111" i="26"/>
  <c r="T110" i="26"/>
  <c r="V110" i="26" s="1"/>
  <c r="Q110" i="26"/>
  <c r="T109" i="26"/>
  <c r="V109" i="26" s="1"/>
  <c r="Q109" i="26"/>
  <c r="T108" i="26"/>
  <c r="V108" i="26" s="1"/>
  <c r="Q108" i="26"/>
  <c r="T107" i="26"/>
  <c r="V107" i="26" s="1"/>
  <c r="Q107" i="26"/>
  <c r="T106" i="26"/>
  <c r="V106" i="26" s="1"/>
  <c r="Q106" i="26"/>
  <c r="V105" i="26"/>
  <c r="T105" i="26"/>
  <c r="Q105" i="26"/>
  <c r="V104" i="26"/>
  <c r="T104" i="26"/>
  <c r="Q104" i="26"/>
  <c r="T103" i="26"/>
  <c r="V103" i="26" s="1"/>
  <c r="Q103" i="26"/>
  <c r="T102" i="26"/>
  <c r="V102" i="26" s="1"/>
  <c r="Q102" i="26"/>
  <c r="T101" i="26"/>
  <c r="V101" i="26" s="1"/>
  <c r="Q101" i="26"/>
  <c r="T100" i="26"/>
  <c r="V100" i="26" s="1"/>
  <c r="Q100" i="26"/>
  <c r="T99" i="26"/>
  <c r="V99" i="26" s="1"/>
  <c r="Q99" i="26"/>
  <c r="T98" i="26"/>
  <c r="V98" i="26" s="1"/>
  <c r="Q98" i="26"/>
  <c r="V97" i="26"/>
  <c r="T97" i="26"/>
  <c r="Q97" i="26"/>
  <c r="V96" i="26"/>
  <c r="T96" i="26"/>
  <c r="Q96" i="26"/>
  <c r="T95" i="26"/>
  <c r="V95" i="26" s="1"/>
  <c r="Q95" i="26"/>
  <c r="T94" i="26"/>
  <c r="V94" i="26" s="1"/>
  <c r="Q94" i="26"/>
  <c r="T93" i="26"/>
  <c r="V93" i="26" s="1"/>
  <c r="Q93" i="26"/>
  <c r="T92" i="26"/>
  <c r="V92" i="26" s="1"/>
  <c r="Q92" i="26"/>
  <c r="T91" i="26"/>
  <c r="V91" i="26" s="1"/>
  <c r="Q91" i="26"/>
  <c r="T90" i="26"/>
  <c r="V90" i="26" s="1"/>
  <c r="Q90" i="26"/>
  <c r="V89" i="26"/>
  <c r="T89" i="26"/>
  <c r="Q89" i="26"/>
  <c r="V88" i="26"/>
  <c r="T88" i="26"/>
  <c r="Q88" i="26"/>
  <c r="T87" i="26"/>
  <c r="V87" i="26" s="1"/>
  <c r="Q87" i="26"/>
  <c r="T86" i="26"/>
  <c r="V86" i="26" s="1"/>
  <c r="Q86" i="26"/>
  <c r="T85" i="26"/>
  <c r="V85" i="26" s="1"/>
  <c r="Q85" i="26"/>
  <c r="T84" i="26"/>
  <c r="V84" i="26" s="1"/>
  <c r="Q84" i="26"/>
  <c r="T83" i="26"/>
  <c r="V83" i="26" s="1"/>
  <c r="Q83" i="26"/>
  <c r="T82" i="26"/>
  <c r="V82" i="26" s="1"/>
  <c r="Q82" i="26"/>
  <c r="V81" i="26"/>
  <c r="T81" i="26"/>
  <c r="Q81" i="26"/>
  <c r="V80" i="26"/>
  <c r="T80" i="26"/>
  <c r="Q80" i="26"/>
  <c r="T79" i="26"/>
  <c r="V79" i="26" s="1"/>
  <c r="Q79" i="26"/>
  <c r="T78" i="26"/>
  <c r="V78" i="26" s="1"/>
  <c r="Q78" i="26"/>
  <c r="T77" i="26"/>
  <c r="V77" i="26" s="1"/>
  <c r="Q77" i="26"/>
  <c r="T76" i="26"/>
  <c r="V76" i="26" s="1"/>
  <c r="Q76" i="26"/>
  <c r="T75" i="26"/>
  <c r="V75" i="26" s="1"/>
  <c r="Q75" i="26"/>
  <c r="T74" i="26"/>
  <c r="V74" i="26" s="1"/>
  <c r="Q74" i="26"/>
  <c r="V73" i="26"/>
  <c r="T73" i="26"/>
  <c r="Q73" i="26"/>
  <c r="V72" i="26"/>
  <c r="T72" i="26"/>
  <c r="Q72" i="26"/>
  <c r="T71" i="26"/>
  <c r="V71" i="26" s="1"/>
  <c r="Q71" i="26"/>
  <c r="T70" i="26"/>
  <c r="V70" i="26" s="1"/>
  <c r="Q70" i="26"/>
  <c r="T69" i="26"/>
  <c r="V69" i="26" s="1"/>
  <c r="Q69" i="26"/>
  <c r="T68" i="26"/>
  <c r="V68" i="26" s="1"/>
  <c r="Q68" i="26"/>
  <c r="T67" i="26"/>
  <c r="V67" i="26" s="1"/>
  <c r="Q67" i="26"/>
  <c r="T66" i="26"/>
  <c r="V66" i="26" s="1"/>
  <c r="Q66" i="26"/>
  <c r="V65" i="26"/>
  <c r="T65" i="26"/>
  <c r="Q65" i="26"/>
  <c r="V64" i="26"/>
  <c r="T64" i="26"/>
  <c r="Q64" i="26"/>
  <c r="T63" i="26"/>
  <c r="V63" i="26" s="1"/>
  <c r="Q63" i="26"/>
  <c r="T62" i="26"/>
  <c r="V62" i="26" s="1"/>
  <c r="Q62" i="26"/>
  <c r="T61" i="26"/>
  <c r="V61" i="26" s="1"/>
  <c r="Q61" i="26"/>
  <c r="T60" i="26"/>
  <c r="V60" i="26" s="1"/>
  <c r="Q60" i="26"/>
  <c r="T59" i="26"/>
  <c r="V59" i="26" s="1"/>
  <c r="Q59" i="26"/>
  <c r="T58" i="26"/>
  <c r="V58" i="26" s="1"/>
  <c r="Q58" i="26"/>
  <c r="V57" i="26"/>
  <c r="T57" i="26"/>
  <c r="Q57" i="26"/>
  <c r="V56" i="26"/>
  <c r="T56" i="26"/>
  <c r="Q56" i="26"/>
  <c r="T55" i="26"/>
  <c r="V55" i="26" s="1"/>
  <c r="Q55" i="26"/>
  <c r="T54" i="26"/>
  <c r="V54" i="26" s="1"/>
  <c r="Q54" i="26"/>
  <c r="T53" i="26"/>
  <c r="V53" i="26" s="1"/>
  <c r="Q53" i="26"/>
  <c r="T52" i="26"/>
  <c r="V52" i="26" s="1"/>
  <c r="Q52" i="26"/>
  <c r="T51" i="26"/>
  <c r="V51" i="26" s="1"/>
  <c r="Q51" i="26"/>
  <c r="T50" i="26"/>
  <c r="V50" i="26" s="1"/>
  <c r="Q50" i="26"/>
  <c r="V49" i="26"/>
  <c r="T49" i="26"/>
  <c r="Q49" i="26"/>
  <c r="V48" i="26"/>
  <c r="T48" i="26"/>
  <c r="Q48" i="26"/>
  <c r="T47" i="26"/>
  <c r="V47" i="26" s="1"/>
  <c r="Q47" i="26"/>
  <c r="T46" i="26"/>
  <c r="V46" i="26" s="1"/>
  <c r="Q46" i="26"/>
  <c r="T45" i="26"/>
  <c r="V45" i="26" s="1"/>
  <c r="Q45" i="26"/>
  <c r="T44" i="26"/>
  <c r="V44" i="26" s="1"/>
  <c r="Q44" i="26"/>
  <c r="T43" i="26"/>
  <c r="V43" i="26" s="1"/>
  <c r="Q43" i="26"/>
  <c r="T42" i="26"/>
  <c r="V42" i="26" s="1"/>
  <c r="Q42" i="26"/>
  <c r="V41" i="26"/>
  <c r="T41" i="26"/>
  <c r="Q41" i="26"/>
  <c r="V40" i="26"/>
  <c r="T40" i="26"/>
  <c r="Q40" i="26"/>
  <c r="T39" i="26"/>
  <c r="V39" i="26" s="1"/>
  <c r="Q39" i="26"/>
  <c r="T38" i="26"/>
  <c r="V38" i="26" s="1"/>
  <c r="Q38" i="26"/>
  <c r="T37" i="26"/>
  <c r="V37" i="26" s="1"/>
  <c r="Q37" i="26"/>
  <c r="T36" i="26"/>
  <c r="V36" i="26" s="1"/>
  <c r="Q36" i="26"/>
  <c r="T35" i="26"/>
  <c r="V35" i="26" s="1"/>
  <c r="Q35" i="26"/>
  <c r="T34" i="26"/>
  <c r="V34" i="26" s="1"/>
  <c r="Q34" i="26"/>
  <c r="V33" i="26"/>
  <c r="T33" i="26"/>
  <c r="Q33" i="26"/>
  <c r="V32" i="26"/>
  <c r="T32" i="26"/>
  <c r="Q32" i="26"/>
  <c r="T31" i="26"/>
  <c r="V31" i="26" s="1"/>
  <c r="Q31" i="26"/>
  <c r="T30" i="26"/>
  <c r="V30" i="26" s="1"/>
  <c r="Q30" i="26"/>
  <c r="T29" i="26"/>
  <c r="V29" i="26" s="1"/>
  <c r="Q29" i="26"/>
  <c r="T28" i="26"/>
  <c r="V28" i="26" s="1"/>
  <c r="Q28" i="26"/>
  <c r="T27" i="26"/>
  <c r="V27" i="26" s="1"/>
  <c r="Q27" i="26"/>
  <c r="T26" i="26"/>
  <c r="V26" i="26" s="1"/>
  <c r="Q26" i="26"/>
  <c r="V25" i="26"/>
  <c r="T25" i="26"/>
  <c r="Q25" i="26"/>
  <c r="V24" i="26"/>
  <c r="T24" i="26"/>
  <c r="Q24" i="26"/>
  <c r="T23" i="26"/>
  <c r="V23" i="26" s="1"/>
  <c r="Q23" i="26"/>
  <c r="T22" i="26"/>
  <c r="V22" i="26" s="1"/>
  <c r="Q22" i="26"/>
  <c r="T21" i="26"/>
  <c r="V21" i="26" s="1"/>
  <c r="Q21" i="26"/>
  <c r="T20" i="26"/>
  <c r="V20" i="26" s="1"/>
  <c r="Q20" i="26"/>
  <c r="T19" i="26"/>
  <c r="V19" i="26" s="1"/>
  <c r="Q19" i="26"/>
  <c r="T18" i="26"/>
  <c r="V18" i="26" s="1"/>
  <c r="Q18" i="26"/>
  <c r="V17" i="26"/>
  <c r="T17" i="26"/>
  <c r="Q17" i="26"/>
  <c r="V16" i="26"/>
  <c r="T16" i="26"/>
  <c r="Q16" i="26"/>
  <c r="T15" i="26"/>
  <c r="V15" i="26" s="1"/>
  <c r="Q15" i="26"/>
  <c r="T14" i="26"/>
  <c r="V14" i="26" s="1"/>
  <c r="Q14" i="26"/>
  <c r="T13" i="26"/>
  <c r="V13" i="26" s="1"/>
  <c r="Q13" i="26"/>
  <c r="T12" i="26"/>
  <c r="V12" i="26" s="1"/>
  <c r="Q12" i="26"/>
  <c r="T11" i="26"/>
  <c r="V11" i="26" s="1"/>
  <c r="Q11" i="26"/>
  <c r="T10" i="26"/>
  <c r="V10" i="26" s="1"/>
  <c r="Q10" i="26"/>
  <c r="V9" i="26"/>
  <c r="T9" i="26"/>
  <c r="Q9" i="26"/>
  <c r="V8" i="26"/>
  <c r="T8" i="26"/>
  <c r="Q8" i="26"/>
  <c r="T7" i="26"/>
  <c r="V7" i="26" s="1"/>
  <c r="Q7" i="26"/>
  <c r="T6" i="26"/>
  <c r="V6" i="26" s="1"/>
  <c r="Q6" i="26"/>
  <c r="T5" i="26"/>
  <c r="V5" i="26" s="1"/>
  <c r="Q5" i="26"/>
  <c r="T4" i="26"/>
  <c r="V4" i="26" s="1"/>
  <c r="Q4" i="26"/>
  <c r="T3" i="26"/>
  <c r="V3" i="26" s="1"/>
  <c r="Q3" i="26"/>
  <c r="T2" i="26"/>
  <c r="V2" i="26" s="1"/>
  <c r="Q2" i="26"/>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<sst xmlns="http://schemas.openxmlformats.org/spreadsheetml/2006/main" count="11733" uniqueCount="527">
  <si>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</si>
  <si>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</si>
  <si>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</si>
  <si>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</si>
  <si>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</si>
  <si>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</si>
  <si>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</si>
  <si>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</si>
  <si>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</si>
  <si>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</si>
  <si>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</si>
  <si>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</si>
  <si>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</si>
  <si>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</si>
  <si>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</si>
  <si>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</si>
  <si>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</si>
  <si>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</si>
  <si>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</si>
  <si>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</si>
  <si>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</si>
  <si>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</si>
  <si>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</si>
  <si>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</si>
  <si>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</si>
  <si>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</si>
  <si>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</si>
  <si>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</si>
  <si>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</si>
  <si>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</si>
  <si>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</si>
  <si>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</si>
  <si>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</si>
  <si>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</si>
  <si>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</si>
  <si>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</si>
  <si>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</si>
  <si>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</si>
  <si>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</si>
  <si>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</si>
  <si>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</si>
  <si>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</si>
  <si>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</si>
  <si>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</si>
  <si>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</si>
  <si>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</si>
  <si>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</si>
  <si>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</si>
  <si>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</si>
  <si>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</si>
  <si>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</si>
  <si>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</si>
  <si>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</si>
  <si>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</si>
  <si>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</si>
  <si>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</si>
  <si>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</si>
  <si>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</si>
  <si>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</si>
  <si>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</si>
  <si>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</si>
  <si>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</si>
  <si>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</si>
  <si>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</si>
  <si>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</si>
  <si>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</si>
  <si>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</si>
  <si>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</si>
  <si>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</si>
  <si>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</si>
  <si>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</si>
  <si>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</si>
  <si>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</si>
  <si>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</si>
  <si>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</si>
  <si>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</si>
  <si>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</si>
  <si>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</si>
  <si>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</si>
  <si>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</si>
  <si>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</si>
  <si>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</si>
  <si>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</si>
  <si>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</si>
  <si>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</si>
  <si>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</si>
  <si>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</si>
  <si>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</si>
  <si>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</si>
  <si>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</si>
  <si>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</si>
  <si>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</si>
  <si>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</si>
  <si>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</si>
  <si>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</si>
  <si>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</si>
  <si>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</si>
  <si>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</si>
  <si>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</si>
  <si>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</si>
  <si>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</si>
  <si>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</si>
  <si>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</si>
  <si>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</si>
  <si>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</si>
  <si>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</si>
  <si>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</si>
  <si>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</si>
  <si>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</si>
  <si>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</si>
  <si>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</si>
  <si>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</si>
  <si>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</si>
  <si>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</si>
  <si>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</si>
  <si>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</si>
  <si>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</si>
  <si>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</si>
  <si>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</si>
  <si>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</si>
  <si>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</si>
  <si>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</si>
  <si>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</si>
  <si>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</si>
  <si>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</si>
  <si>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</si>
  <si>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</si>
  <si>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</si>
  <si>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</si>
  <si>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</si>
  <si>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</si>
  <si>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</si>
  <si>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</si>
  <si>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</si>
  <si>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</si>
  <si>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</si>
  <si>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</si>
  <si>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</si>
  <si>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</si>
  <si>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</si>
  <si>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トライアル</t>
  </si>
  <si>
    <t>ホクレンショップ</t>
  </si>
  <si>
    <t>スーパーアークス</t>
  </si>
  <si>
    <t>東光ストア</t>
  </si>
  <si>
    <t>ラルズマート</t>
  </si>
  <si>
    <t>とんでん店</t>
    <rPh sb="4" eb="5">
      <t>テン</t>
    </rPh>
    <phoneticPr fontId="3"/>
  </si>
  <si>
    <t>屯田店</t>
    <rPh sb="2" eb="3">
      <t>テン</t>
    </rPh>
    <phoneticPr fontId="3"/>
  </si>
  <si>
    <t>篠路店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</si>
  <si>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</si>
  <si>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</si>
  <si>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</si>
  <si>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</si>
  <si>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</si>
  <si>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</si>
  <si>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</si>
  <si>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CK</t>
  </si>
  <si>
    <t>ﾆｭｰｼﾞｰﾗﾝﾄﾞ</t>
  </si>
  <si>
    <t>HW</t>
  </si>
  <si>
    <t>OB</t>
  </si>
  <si>
    <t>検体
番号</t>
    <phoneticPr fontId="4"/>
  </si>
  <si>
    <t>硬度
２</t>
    <phoneticPr fontId="4"/>
  </si>
  <si>
    <t>Green
Other
SIZE</t>
    <phoneticPr fontId="4"/>
  </si>
  <si>
    <t>ﾆｭｰｼﾞｰﾗﾝﾄﾞ</t>
    <phoneticPr fontId="4"/>
  </si>
  <si>
    <t>D'lish</t>
    <phoneticPr fontId="4"/>
  </si>
  <si>
    <t>中国</t>
    <phoneticPr fontId="4"/>
  </si>
  <si>
    <t>GA</t>
  </si>
  <si>
    <t>HW</t>
    <phoneticPr fontId="4"/>
  </si>
  <si>
    <t>Del Monte</t>
    <phoneticPr fontId="3"/>
  </si>
  <si>
    <t>佐賀</t>
    <rPh sb="0" eb="2">
      <t>サガ</t>
    </rPh>
    <phoneticPr fontId="3"/>
  </si>
  <si>
    <t>ラフランス</t>
  </si>
  <si>
    <t>西友</t>
  </si>
  <si>
    <t>日進岩藤店</t>
    <rPh sb="0" eb="2">
      <t>ニッシン</t>
    </rPh>
    <phoneticPr fontId="4"/>
  </si>
  <si>
    <t>日進店</t>
    <rPh sb="0" eb="2">
      <t>ニッシン</t>
    </rPh>
    <rPh sb="2" eb="3">
      <t>ミセ</t>
    </rPh>
    <phoneticPr fontId="4"/>
  </si>
  <si>
    <t>その他レッド</t>
    <rPh sb="2" eb="3">
      <t>タ</t>
    </rPh>
    <phoneticPr fontId="4"/>
  </si>
  <si>
    <t>カネスエ</t>
    <phoneticPr fontId="4"/>
  </si>
  <si>
    <t>長久手店</t>
    <phoneticPr fontId="4"/>
  </si>
  <si>
    <t>Del Monte</t>
    <phoneticPr fontId="4"/>
  </si>
  <si>
    <t>アピタ</t>
    <phoneticPr fontId="4"/>
  </si>
  <si>
    <t>マックスバリュ</t>
    <phoneticPr fontId="4"/>
  </si>
  <si>
    <t>藤が丘店</t>
    <rPh sb="0" eb="1">
      <t>フジ</t>
    </rPh>
    <rPh sb="2" eb="3">
      <t>オカ</t>
    </rPh>
    <rPh sb="3" eb="4">
      <t>ミセ</t>
    </rPh>
    <phoneticPr fontId="4"/>
  </si>
  <si>
    <t>HE</t>
    <phoneticPr fontId="4"/>
  </si>
  <si>
    <t>旬楽膳</t>
    <rPh sb="0" eb="1">
      <t>シュン</t>
    </rPh>
    <rPh sb="1" eb="2">
      <t>ラク</t>
    </rPh>
    <rPh sb="2" eb="3">
      <t>ゼン</t>
    </rPh>
    <phoneticPr fontId="4"/>
  </si>
  <si>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</si>
  <si>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</si>
  <si>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</si>
  <si>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</si>
  <si>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</si>
  <si>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</si>
  <si>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</si>
  <si>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</si>
  <si>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</si>
  <si>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</si>
  <si>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</si>
  <si>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</si>
  <si>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rPr>
        <b/>
        <sz val="8"/>
        <rFont val="Arial"/>
        <family val="2"/>
      </rPr>
      <t xml:space="preserve">Green
Other
</t>
    </r>
    <r>
      <rPr>
        <b/>
        <sz val="8"/>
        <rFont val="ＭＳ Ｐゴシック"/>
        <family val="3"/>
        <charset val="128"/>
      </rPr>
      <t>最低重量</t>
    </r>
  </si>
  <si>
    <t>Green
Other
SIZE</t>
  </si>
  <si>
    <r>
      <rPr>
        <b/>
        <sz val="8"/>
        <rFont val="Arial"/>
        <family val="2"/>
      </rPr>
      <t xml:space="preserve">Gold
</t>
    </r>
    <r>
      <rPr>
        <b/>
        <sz val="8"/>
        <rFont val="ＭＳ Ｐゴシック"/>
        <family val="3"/>
        <charset val="128"/>
      </rPr>
      <t>最低重量</t>
    </r>
  </si>
  <si>
    <t>Gold
SIZE</t>
  </si>
  <si>
    <t>コノミヤ</t>
  </si>
  <si>
    <t>深井店</t>
  </si>
  <si>
    <t>上野芝店</t>
  </si>
  <si>
    <t>その他グリーン</t>
  </si>
  <si>
    <t>デイリーカナート</t>
  </si>
  <si>
    <t>向ヶ丘店</t>
  </si>
  <si>
    <t>その他ゴールド</t>
  </si>
  <si>
    <t>松源</t>
  </si>
  <si>
    <t>北条店</t>
  </si>
  <si>
    <t>その他レッド</t>
  </si>
  <si>
    <t>減農薬栽培</t>
  </si>
  <si>
    <t>D'lish</t>
  </si>
  <si>
    <t>中国</t>
  </si>
  <si>
    <t>ライフ</t>
  </si>
  <si>
    <t>Del Monte</t>
  </si>
  <si>
    <t>キンショー</t>
  </si>
  <si>
    <t>東湊店</t>
  </si>
  <si>
    <t>GK</t>
  </si>
  <si>
    <t>万代</t>
  </si>
  <si>
    <t>HE</t>
  </si>
  <si>
    <t>長野</t>
  </si>
  <si>
    <t>イズミヤ</t>
  </si>
  <si>
    <t>泉北店</t>
  </si>
  <si>
    <t>岩手</t>
  </si>
  <si>
    <t>ダイエーグルメシティ</t>
  </si>
  <si>
    <t>長崎</t>
  </si>
  <si>
    <t>福島</t>
  </si>
  <si>
    <t>和歌山</t>
  </si>
  <si>
    <t>佐賀</t>
  </si>
  <si>
    <t>埼玉</t>
  </si>
  <si>
    <t>群馬</t>
  </si>
  <si>
    <t>千葉</t>
  </si>
  <si>
    <t>熊本</t>
  </si>
  <si>
    <t>岐阜</t>
  </si>
  <si>
    <t>兵庫</t>
  </si>
  <si>
    <t>京都</t>
  </si>
  <si>
    <t>ＪＡ大分</t>
  </si>
  <si>
    <t>ＪＡ山梨</t>
  </si>
  <si>
    <t>ＪＡ香川</t>
  </si>
  <si>
    <t>山梨</t>
  </si>
  <si>
    <t>ＪＡ徳島</t>
  </si>
  <si>
    <t>いちじく</t>
  </si>
  <si>
    <t>ＪＡ広島</t>
  </si>
  <si>
    <t>ＪＡ山形</t>
  </si>
  <si>
    <t>キラキラ</t>
  </si>
  <si>
    <t>グリーンアイ</t>
  </si>
  <si>
    <t>ＪＡ大阪</t>
  </si>
  <si>
    <t>ＪＡ神奈川</t>
  </si>
  <si>
    <t>ＪＡ石川</t>
  </si>
  <si>
    <t>県名</t>
    <phoneticPr fontId="3"/>
  </si>
  <si>
    <t>チェーン名</t>
    <phoneticPr fontId="3"/>
  </si>
  <si>
    <t>品種</t>
    <phoneticPr fontId="3"/>
  </si>
  <si>
    <t>鉄砲町店</t>
    <rPh sb="3" eb="4">
      <t>テン</t>
    </rPh>
    <phoneticPr fontId="3"/>
  </si>
  <si>
    <t>福や</t>
  </si>
  <si>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</si>
  <si>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</si>
  <si>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</si>
  <si>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</si>
  <si>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</si>
  <si>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</si>
  <si>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</si>
  <si>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</si>
  <si>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</si>
  <si>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</si>
  <si>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</si>
  <si>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</si>
  <si>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</si>
  <si>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</si>
  <si>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</si>
  <si>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</si>
  <si>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販売
ユニット
個数</t>
    <phoneticPr fontId="4"/>
  </si>
  <si>
    <t>U/P JPY</t>
    <phoneticPr fontId="4"/>
  </si>
  <si>
    <t>福岡</t>
    <rPh sb="0" eb="2">
      <t>フクオカ</t>
    </rPh>
    <phoneticPr fontId="4"/>
  </si>
  <si>
    <t>西鉄ストア</t>
    <rPh sb="0" eb="2">
      <t>ニシテツ</t>
    </rPh>
    <phoneticPr fontId="3"/>
  </si>
  <si>
    <t>韓国</t>
    <rPh sb="0" eb="2">
      <t>カンコク</t>
    </rPh>
    <phoneticPr fontId="4"/>
  </si>
  <si>
    <t>JA全農ふくれん</t>
    <rPh sb="2" eb="4">
      <t>ゼンノウ</t>
    </rPh>
    <phoneticPr fontId="3"/>
  </si>
  <si>
    <t>JA伊万里</t>
    <rPh sb="2" eb="5">
      <t>イマリ</t>
    </rPh>
    <phoneticPr fontId="3"/>
  </si>
  <si>
    <t>栃木</t>
    <rPh sb="0" eb="2">
      <t>トチギ</t>
    </rPh>
    <phoneticPr fontId="4"/>
  </si>
  <si>
    <t>山神農園</t>
    <rPh sb="0" eb="4">
      <t>ヤマガミノウエン</t>
    </rPh>
    <phoneticPr fontId="3"/>
  </si>
  <si>
    <t>喜芳園</t>
    <rPh sb="0" eb="1">
      <t>ヨロコ</t>
    </rPh>
    <rPh sb="1" eb="2">
      <t>ヨシモト</t>
    </rPh>
    <rPh sb="2" eb="3">
      <t>¥</t>
    </rPh>
    <phoneticPr fontId="3"/>
  </si>
  <si>
    <t>ＪＡ八女</t>
    <rPh sb="2" eb="4">
      <t>ヤメ</t>
    </rPh>
    <phoneticPr fontId="4"/>
  </si>
  <si>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</si>
  <si>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</si>
  <si>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</si>
  <si>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甘夏</t>
    <rPh sb="0" eb="2">
      <t>アマナツ</t>
    </rPh>
    <phoneticPr fontId="3"/>
  </si>
  <si>
    <t>山口</t>
    <rPh sb="0" eb="2">
      <t>ヤマグチ</t>
    </rPh>
    <phoneticPr fontId="3"/>
  </si>
  <si>
    <t>久が原食品館</t>
    <rPh sb="0" eb="1">
      <t>ヒサ</t>
    </rPh>
    <rPh sb="2" eb="3">
      <t>ハラ</t>
    </rPh>
    <rPh sb="3" eb="5">
      <t>ショクヒン</t>
    </rPh>
    <rPh sb="5" eb="6">
      <t>カン</t>
    </rPh>
    <phoneticPr fontId="4"/>
  </si>
  <si>
    <t>大森館</t>
    <rPh sb="2" eb="3">
      <t>カン</t>
    </rPh>
    <phoneticPr fontId="4"/>
  </si>
  <si>
    <t>西友</t>
    <rPh sb="0" eb="2">
      <t>セイユウ</t>
    </rPh>
    <phoneticPr fontId="4"/>
  </si>
  <si>
    <t>大森店</t>
    <rPh sb="0" eb="2">
      <t>オオモリ</t>
    </rPh>
    <rPh sb="2" eb="3">
      <t>テン</t>
    </rPh>
    <phoneticPr fontId="4"/>
  </si>
  <si>
    <t>品川シーサイド店</t>
    <rPh sb="0" eb="2">
      <t>シナガワ</t>
    </rPh>
    <rPh sb="7" eb="8">
      <t>テン</t>
    </rPh>
    <phoneticPr fontId="4"/>
  </si>
  <si>
    <t>東急ストア</t>
    <rPh sb="0" eb="2">
      <t>トウキュウ</t>
    </rPh>
    <phoneticPr fontId="4"/>
  </si>
  <si>
    <t>蒲田店</t>
    <rPh sb="0" eb="2">
      <t>カマタ</t>
    </rPh>
    <rPh sb="2" eb="3">
      <t>テン</t>
    </rPh>
    <phoneticPr fontId="4"/>
  </si>
  <si>
    <t>大崎ﾆｭｰｼﾃｨ店</t>
    <rPh sb="0" eb="2">
      <t>オオサキ</t>
    </rPh>
    <rPh sb="8" eb="9">
      <t>テン</t>
    </rPh>
    <phoneticPr fontId="4"/>
  </si>
  <si>
    <t>マルエツ</t>
  </si>
  <si>
    <t>品川店</t>
    <rPh sb="0" eb="2">
      <t>シナガワ</t>
    </rPh>
    <rPh sb="2" eb="3">
      <t>テン</t>
    </rPh>
    <phoneticPr fontId="4"/>
  </si>
  <si>
    <t>大井町店</t>
    <rPh sb="0" eb="4">
      <t>オオイマチテン</t>
    </rPh>
    <phoneticPr fontId="4"/>
  </si>
  <si>
    <t>サミットストア</t>
  </si>
  <si>
    <t>宮崎</t>
    <rPh sb="0" eb="2">
      <t>ミヤザキ</t>
    </rPh>
    <phoneticPr fontId="3"/>
  </si>
  <si>
    <t>みやぎ生協</t>
  </si>
  <si>
    <t>ウジエ</t>
  </si>
  <si>
    <t>ザ・ビッグ</t>
  </si>
  <si>
    <t>ヨークベニマル</t>
  </si>
  <si>
    <t>ヤマザワ</t>
  </si>
  <si>
    <t>利府店</t>
  </si>
  <si>
    <t>杉の入店</t>
  </si>
  <si>
    <t>塩釜店</t>
  </si>
  <si>
    <t>利府野中店</t>
  </si>
  <si>
    <t>塩釜北浜店</t>
  </si>
  <si>
    <t>塩釜中の島店</t>
  </si>
  <si>
    <t>高砂駅前店</t>
  </si>
  <si>
    <t>野間</t>
    <rPh sb="0" eb="2">
      <t>ノマ</t>
    </rPh>
    <phoneticPr fontId="3"/>
  </si>
  <si>
    <t>野間大池</t>
    <rPh sb="0" eb="2">
      <t>ノマ</t>
    </rPh>
    <rPh sb="2" eb="4">
      <t>オオイケ</t>
    </rPh>
    <phoneticPr fontId="3"/>
  </si>
  <si>
    <t>美野島</t>
    <rPh sb="0" eb="1">
      <t>ミ</t>
    </rPh>
    <rPh sb="1" eb="2">
      <t>ノ</t>
    </rPh>
    <rPh sb="2" eb="3">
      <t>シマ</t>
    </rPh>
    <phoneticPr fontId="3"/>
  </si>
  <si>
    <t>高宮</t>
    <rPh sb="0" eb="2">
      <t>タカミヤ</t>
    </rPh>
    <phoneticPr fontId="3"/>
  </si>
  <si>
    <t>博多駅南</t>
    <rPh sb="0" eb="3">
      <t>ハカタエキ</t>
    </rPh>
    <rPh sb="3" eb="4">
      <t>ミナミ</t>
    </rPh>
    <phoneticPr fontId="3"/>
  </si>
  <si>
    <t>清水</t>
    <rPh sb="0" eb="2">
      <t>シミズ</t>
    </rPh>
    <phoneticPr fontId="3"/>
  </si>
  <si>
    <t>大橋</t>
    <rPh sb="0" eb="2">
      <t>オオハシ</t>
    </rPh>
    <phoneticPr fontId="3"/>
  </si>
  <si>
    <t>住吉</t>
    <rPh sb="0" eb="2">
      <t>スミヨシ</t>
    </rPh>
    <phoneticPr fontId="3"/>
  </si>
  <si>
    <t>サニー</t>
  </si>
  <si>
    <t>マルショク</t>
  </si>
  <si>
    <t>マミーズ</t>
  </si>
  <si>
    <t>レッドキャベツ</t>
  </si>
  <si>
    <t>マルキョウ</t>
  </si>
  <si>
    <t>マックスバリュ</t>
  </si>
  <si>
    <t>ダイキョーバリュー</t>
  </si>
  <si>
    <t>ボンラパス</t>
  </si>
  <si>
    <t>ニューヨークストア</t>
  </si>
  <si>
    <t>２番人気
果実</t>
    <phoneticPr fontId="3"/>
  </si>
  <si>
    <t>松江店</t>
  </si>
  <si>
    <t>オリンピック</t>
  </si>
  <si>
    <t>西一之江店</t>
  </si>
  <si>
    <t>ヤマイチ</t>
  </si>
  <si>
    <t>今井店</t>
  </si>
  <si>
    <t>コモディイイダ</t>
  </si>
  <si>
    <t>西瑞江店</t>
  </si>
  <si>
    <t>いなげや</t>
  </si>
  <si>
    <t>江戸川春江店</t>
  </si>
  <si>
    <t>鹿骨店</t>
  </si>
  <si>
    <t>東武ストア</t>
  </si>
  <si>
    <t>新小岩店</t>
  </si>
  <si>
    <t>本一色店</t>
  </si>
  <si>
    <t>ビッグ・エー</t>
  </si>
  <si>
    <t>江戸川本一色店</t>
  </si>
  <si>
    <t>江戸川中央店</t>
  </si>
  <si>
    <t>北海道</t>
    <rPh sb="0" eb="3">
      <t>ホッカイドウ</t>
    </rPh>
    <phoneticPr fontId="3"/>
  </si>
  <si>
    <t>JP</t>
  </si>
  <si>
    <t>JP</t>
    <phoneticPr fontId="3"/>
  </si>
  <si>
    <t>JPY</t>
  </si>
  <si>
    <t>26.06.2018</t>
  </si>
  <si>
    <t>26.06.2018</t>
    <phoneticPr fontId="3"/>
  </si>
  <si>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</si>
  <si>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</si>
  <si>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</si>
  <si>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</si>
  <si>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</si>
  <si>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</si>
  <si>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</si>
  <si>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</si>
  <si>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</si>
  <si>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</si>
  <si>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</si>
  <si>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25.06.2018</t>
    <phoneticPr fontId="3"/>
  </si>
  <si>
    <t>ﾆｭｰｼﾞｰﾗﾝﾄﾞ</t>
    <phoneticPr fontId="4"/>
  </si>
  <si>
    <t>25.06.2018</t>
  </si>
  <si>
    <t>D'lish</t>
    <phoneticPr fontId="4"/>
  </si>
  <si>
    <t>中国</t>
    <phoneticPr fontId="4"/>
  </si>
  <si>
    <t>大阪</t>
    <phoneticPr fontId="4"/>
  </si>
  <si>
    <t>HW</t>
    <phoneticPr fontId="4"/>
  </si>
  <si>
    <t>CK</t>
    <phoneticPr fontId="4"/>
  </si>
  <si>
    <t>Del Monte</t>
    <phoneticPr fontId="3"/>
  </si>
  <si>
    <t>GK</t>
    <phoneticPr fontId="4"/>
  </si>
  <si>
    <t>OB</t>
    <phoneticPr fontId="4"/>
  </si>
  <si>
    <t>HE</t>
    <phoneticPr fontId="4"/>
  </si>
  <si>
    <t>GA</t>
    <phoneticPr fontId="4"/>
  </si>
  <si>
    <t>いちじく</t>
    <phoneticPr fontId="4"/>
  </si>
  <si>
    <t>ラフランス</t>
    <phoneticPr fontId="3"/>
  </si>
  <si>
    <t>JPY</t>
    <phoneticPr fontId="3"/>
  </si>
  <si>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</si>
  <si>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</si>
  <si>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</si>
  <si>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</si>
  <si>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</si>
  <si>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</si>
  <si>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</si>
  <si>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</si>
  <si>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</si>
  <si>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</si>
  <si>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</si>
  <si>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</si>
  <si>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JP</t>
    <phoneticPr fontId="3"/>
  </si>
  <si>
    <t>29.06.2018</t>
    <phoneticPr fontId="3"/>
  </si>
  <si>
    <t>29.06.2018</t>
    <phoneticPr fontId="3"/>
  </si>
  <si>
    <t>アオキスーパー</t>
  </si>
  <si>
    <t>アオキスーパー</t>
    <phoneticPr fontId="4"/>
  </si>
  <si>
    <t>JP</t>
    <phoneticPr fontId="3"/>
  </si>
  <si>
    <t>29.06.2018</t>
    <phoneticPr fontId="3"/>
  </si>
  <si>
    <t>ピアゴ</t>
    <phoneticPr fontId="4"/>
  </si>
  <si>
    <t>長久手南店</t>
    <phoneticPr fontId="4"/>
  </si>
  <si>
    <t>JP</t>
    <phoneticPr fontId="3"/>
  </si>
  <si>
    <t>29.06.2018</t>
    <phoneticPr fontId="3"/>
  </si>
  <si>
    <t>カネトク</t>
    <phoneticPr fontId="4"/>
  </si>
  <si>
    <t>JP</t>
    <phoneticPr fontId="3"/>
  </si>
  <si>
    <t>29.06.2018</t>
    <phoneticPr fontId="3"/>
  </si>
  <si>
    <t>マックスバリュ</t>
    <phoneticPr fontId="4"/>
  </si>
  <si>
    <t>長久手店</t>
    <phoneticPr fontId="4"/>
  </si>
  <si>
    <t>アピタ</t>
    <phoneticPr fontId="4"/>
  </si>
  <si>
    <t>JP</t>
    <phoneticPr fontId="3"/>
  </si>
  <si>
    <t>29.06.2018</t>
    <phoneticPr fontId="3"/>
  </si>
  <si>
    <t>アオキスーパー</t>
    <phoneticPr fontId="4"/>
  </si>
  <si>
    <t>長久手店</t>
    <phoneticPr fontId="4"/>
  </si>
  <si>
    <t>JP</t>
    <phoneticPr fontId="3"/>
  </si>
  <si>
    <t>29.06.2018</t>
    <phoneticPr fontId="3"/>
  </si>
  <si>
    <t>JP</t>
    <phoneticPr fontId="3"/>
  </si>
  <si>
    <t>29.06.2018</t>
    <phoneticPr fontId="3"/>
  </si>
  <si>
    <t>JP</t>
    <phoneticPr fontId="3"/>
  </si>
  <si>
    <t>29.06.2018</t>
    <phoneticPr fontId="3"/>
  </si>
  <si>
    <t>ピアゴ</t>
  </si>
  <si>
    <t>長久手南店</t>
  </si>
  <si>
    <t>ラフランス</t>
    <phoneticPr fontId="4"/>
  </si>
  <si>
    <t>キラキラ</t>
    <phoneticPr fontId="4"/>
  </si>
  <si>
    <t>グリーンアイ</t>
    <phoneticPr fontId="4"/>
  </si>
  <si>
    <t>カネスエ</t>
  </si>
  <si>
    <t>長久手店</t>
  </si>
  <si>
    <t>カネトク</t>
  </si>
  <si>
    <t>アピタ</t>
  </si>
  <si>
    <t>29.06.2018</t>
  </si>
  <si>
    <t>津久野店</t>
  </si>
  <si>
    <t>宮崎</t>
  </si>
  <si>
    <t>JPY</t>
    <phoneticPr fontId="3"/>
  </si>
  <si>
    <t>JPY</t>
    <phoneticPr fontId="3"/>
  </si>
  <si>
    <t>JPY</t>
    <phoneticPr fontId="3"/>
  </si>
  <si>
    <t>広島</t>
    <phoneticPr fontId="3"/>
  </si>
  <si>
    <t>バナナ</t>
    <phoneticPr fontId="4"/>
  </si>
  <si>
    <t>JPY</t>
    <phoneticPr fontId="3"/>
  </si>
  <si>
    <t>パパイヤ</t>
    <phoneticPr fontId="4"/>
  </si>
  <si>
    <t>JPY</t>
    <phoneticPr fontId="3"/>
  </si>
  <si>
    <t>びわ</t>
    <phoneticPr fontId="4"/>
  </si>
  <si>
    <t>JPY</t>
    <phoneticPr fontId="3"/>
  </si>
  <si>
    <t>メロン</t>
    <phoneticPr fontId="4"/>
  </si>
  <si>
    <t>桃</t>
    <phoneticPr fontId="4"/>
  </si>
  <si>
    <t>JPY</t>
    <phoneticPr fontId="3"/>
  </si>
  <si>
    <t>ブドウ</t>
    <phoneticPr fontId="4"/>
  </si>
  <si>
    <t>ラフランス</t>
    <phoneticPr fontId="4"/>
  </si>
  <si>
    <t>りんご</t>
    <phoneticPr fontId="4"/>
  </si>
  <si>
    <t>みかん</t>
    <phoneticPr fontId="4"/>
  </si>
  <si>
    <t>マンゴー</t>
    <phoneticPr fontId="3"/>
  </si>
  <si>
    <t>ひこさか</t>
    <phoneticPr fontId="3"/>
  </si>
  <si>
    <t>27.06.2018</t>
    <phoneticPr fontId="3"/>
  </si>
  <si>
    <t>マルショク</t>
    <phoneticPr fontId="3"/>
  </si>
  <si>
    <t>JPY</t>
    <phoneticPr fontId="4"/>
  </si>
  <si>
    <t>一般栽培</t>
    <phoneticPr fontId="4"/>
  </si>
  <si>
    <t>ﾆｭｰｼﾞｰﾗﾝﾄﾞ</t>
    <phoneticPr fontId="4"/>
  </si>
  <si>
    <t>JP</t>
    <phoneticPr fontId="3"/>
  </si>
  <si>
    <t>27.06.2018</t>
    <phoneticPr fontId="3"/>
  </si>
  <si>
    <t>マルショク</t>
    <phoneticPr fontId="3"/>
  </si>
  <si>
    <t>JPY</t>
    <phoneticPr fontId="4"/>
  </si>
  <si>
    <t>バナナ</t>
    <phoneticPr fontId="3"/>
  </si>
  <si>
    <t>CK</t>
    <phoneticPr fontId="3"/>
  </si>
  <si>
    <t>D'lish</t>
    <phoneticPr fontId="4"/>
  </si>
  <si>
    <t>りんご</t>
    <phoneticPr fontId="3"/>
  </si>
  <si>
    <t>HW</t>
    <phoneticPr fontId="4"/>
  </si>
  <si>
    <t>CK</t>
    <phoneticPr fontId="4"/>
  </si>
  <si>
    <t>Del Monte</t>
    <phoneticPr fontId="4"/>
  </si>
  <si>
    <t>いちご</t>
    <phoneticPr fontId="3"/>
  </si>
  <si>
    <t>GK</t>
    <phoneticPr fontId="4"/>
  </si>
  <si>
    <t>OB</t>
    <phoneticPr fontId="4"/>
  </si>
  <si>
    <t>27.06.2018</t>
    <phoneticPr fontId="3"/>
  </si>
  <si>
    <t>マルショク</t>
    <phoneticPr fontId="3"/>
  </si>
  <si>
    <t>JPY</t>
    <phoneticPr fontId="4"/>
  </si>
  <si>
    <t>HE</t>
    <phoneticPr fontId="4"/>
  </si>
  <si>
    <t>JP</t>
    <phoneticPr fontId="3"/>
  </si>
  <si>
    <t>27.06.2018</t>
    <phoneticPr fontId="3"/>
  </si>
  <si>
    <t>GA</t>
    <phoneticPr fontId="4"/>
  </si>
  <si>
    <t>27.06.2018</t>
    <phoneticPr fontId="3"/>
  </si>
  <si>
    <t>オレンジ</t>
    <phoneticPr fontId="3"/>
  </si>
  <si>
    <t>JP</t>
    <phoneticPr fontId="3"/>
  </si>
  <si>
    <t>27.06.2018</t>
    <phoneticPr fontId="3"/>
  </si>
  <si>
    <t>27.06.2018</t>
    <phoneticPr fontId="3"/>
  </si>
  <si>
    <t>27.06.2018</t>
    <phoneticPr fontId="3"/>
  </si>
  <si>
    <t>JPY</t>
    <phoneticPr fontId="4"/>
  </si>
  <si>
    <t>27.06.2018</t>
    <phoneticPr fontId="3"/>
  </si>
  <si>
    <t>JPY</t>
    <phoneticPr fontId="4"/>
  </si>
  <si>
    <t>JP</t>
    <phoneticPr fontId="3"/>
  </si>
  <si>
    <t>27.06.2018</t>
    <phoneticPr fontId="3"/>
  </si>
  <si>
    <t>JPY</t>
    <phoneticPr fontId="4"/>
  </si>
  <si>
    <t>いちじく</t>
    <phoneticPr fontId="4"/>
  </si>
  <si>
    <t>ラフランス</t>
    <phoneticPr fontId="3"/>
  </si>
  <si>
    <t>キラキラ</t>
    <phoneticPr fontId="4"/>
  </si>
  <si>
    <t>プラム</t>
    <phoneticPr fontId="3"/>
  </si>
  <si>
    <t>グリーンアイ</t>
    <phoneticPr fontId="4"/>
  </si>
  <si>
    <t>ぽんかん</t>
    <phoneticPr fontId="3"/>
  </si>
  <si>
    <t>アメリカンチェリー</t>
    <phoneticPr fontId="3"/>
  </si>
  <si>
    <t>JPY</t>
    <phoneticPr fontId="4"/>
  </si>
  <si>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</si>
  <si>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</si>
  <si>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</si>
  <si>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</si>
  <si>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</si>
  <si>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</si>
  <si>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</si>
  <si>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</si>
  <si>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</si>
  <si>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</si>
  <si>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</si>
  <si>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</si>
  <si>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29.06.2018</t>
    <phoneticPr fontId="3"/>
  </si>
  <si>
    <t>サミット</t>
  </si>
  <si>
    <t>JPY</t>
    <phoneticPr fontId="3"/>
  </si>
  <si>
    <t>カドヤ</t>
    <phoneticPr fontId="4"/>
  </si>
  <si>
    <t>ﾆｭｰｼﾞｰﾗﾝﾄﾞ</t>
    <phoneticPr fontId="4"/>
  </si>
  <si>
    <t>イオン</t>
    <phoneticPr fontId="4"/>
  </si>
  <si>
    <t>D'lish</t>
    <phoneticPr fontId="4"/>
  </si>
  <si>
    <t>中国</t>
    <phoneticPr fontId="4"/>
  </si>
  <si>
    <t>ライフ</t>
    <phoneticPr fontId="4"/>
  </si>
  <si>
    <t>HW</t>
    <phoneticPr fontId="4"/>
  </si>
  <si>
    <t>CK</t>
    <phoneticPr fontId="4"/>
  </si>
  <si>
    <t>Del Monte</t>
    <phoneticPr fontId="3"/>
  </si>
  <si>
    <t>マルエツ</t>
    <phoneticPr fontId="4"/>
  </si>
  <si>
    <t>GK</t>
    <phoneticPr fontId="4"/>
  </si>
  <si>
    <t>OB</t>
    <phoneticPr fontId="4"/>
  </si>
  <si>
    <t>HE</t>
    <phoneticPr fontId="4"/>
  </si>
  <si>
    <t>サミット</t>
    <phoneticPr fontId="4"/>
  </si>
  <si>
    <t>イトーヨーカドー</t>
    <phoneticPr fontId="4"/>
  </si>
  <si>
    <t>サミット</t>
    <phoneticPr fontId="4"/>
  </si>
  <si>
    <t>大森西店</t>
    <phoneticPr fontId="4"/>
  </si>
  <si>
    <t>大森西店</t>
  </si>
  <si>
    <t>カドヤ</t>
  </si>
  <si>
    <t>28.06.2018</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</si>
</sst>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name val="ＭＳ Ｐゴシック"/>
      <family val="3"/>
      <charset val="128"/>
      <scheme val="minor"/>
    </font>
    <font>
      <sz val="10"/>
      <name val="ＭＳ ゴシック"/>
      <family val="3"/>
      <charset val="128"/>
    </font>
    <font>
      <sz val="11"/>
      <name val="ＭＳ Ｐゴシック"/>
      <family val="2"/>
      <charset val="128"/>
      <scheme val="minor"/>
    </font>
    <font>
      <sz val="11"/>
      <color indexed="8"/>
      <name val="ＭＳ Ｐゴシック"/>
      <family val="3"/>
      <charset val="128"/>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6">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theme="0" tint="-0.14990691854609822"/>
      </top>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266">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49" fontId="2" fillId="3" borderId="3" xfId="1" applyNumberFormat="1" applyFont="1" applyFill="1" applyBorder="1" applyAlignment="1">
      <alignment horizontal="center" vertical="center" wrapText="1"/>
    </xf>
    <xf numFmtId="0" fontId="2" fillId="3" borderId="3" xfId="1" applyNumberFormat="1" applyFont="1" applyFill="1" applyBorder="1" applyAlignment="1">
      <alignment horizontal="center" vertical="center" wrapText="1"/>
    </xf>
    <xf numFmtId="0" fontId="1" fillId="0" borderId="0" xfId="1" applyFont="1" applyFill="1"/>
    <xf numFmtId="14" fontId="14" fillId="0" borderId="0" xfId="1" applyNumberFormat="1" applyFont="1" applyFill="1" applyAlignment="1">
      <alignment horizontal="right"/>
    </xf>
    <xf numFmtId="0" fontId="1" fillId="2" borderId="0" xfId="1" applyFont="1" applyFill="1"/>
    <xf numFmtId="0" fontId="1" fillId="2" borderId="0" xfId="1" applyNumberFormat="1" applyFont="1" applyFill="1"/>
    <xf numFmtId="0" fontId="15" fillId="0" borderId="22" xfId="0" applyFont="1" applyBorder="1" applyAlignment="1">
      <alignment horizontal="center" vertical="center"/>
    </xf>
    <xf numFmtId="0" fontId="15" fillId="0" borderId="23" xfId="0" applyFont="1" applyBorder="1" applyAlignment="1">
      <alignment horizontal="center" vertical="center"/>
    </xf>
    <xf numFmtId="0" fontId="1" fillId="0" borderId="9" xfId="1" applyFont="1" applyFill="1" applyBorder="1" applyAlignment="1">
      <alignment wrapText="1"/>
    </xf>
    <xf numFmtId="0" fontId="1" fillId="0" borderId="10" xfId="1" applyFont="1" applyFill="1" applyBorder="1" applyAlignment="1">
      <alignment wrapText="1"/>
    </xf>
    <xf numFmtId="0" fontId="1" fillId="0" borderId="11" xfId="1" applyFont="1" applyFill="1" applyBorder="1" applyAlignment="1">
      <alignment wrapText="1"/>
    </xf>
    <xf numFmtId="0" fontId="15" fillId="0" borderId="12" xfId="0" applyFont="1" applyBorder="1" applyAlignment="1">
      <alignment horizontal="center" vertical="center"/>
    </xf>
    <xf numFmtId="0" fontId="1" fillId="0" borderId="12" xfId="1" applyFont="1" applyBorder="1"/>
    <xf numFmtId="0" fontId="1" fillId="0" borderId="13" xfId="1" applyFont="1" applyBorder="1" applyAlignment="1">
      <alignment wrapText="1"/>
    </xf>
    <xf numFmtId="0" fontId="1" fillId="0" borderId="14" xfId="1" applyFont="1" applyBorder="1" applyAlignment="1">
      <alignment wrapText="1"/>
    </xf>
    <xf numFmtId="0" fontId="1" fillId="0" borderId="15" xfId="1" applyFont="1" applyBorder="1" applyAlignment="1">
      <alignment wrapText="1"/>
    </xf>
    <xf numFmtId="0" fontId="1" fillId="0" borderId="16" xfId="1" applyFont="1" applyBorder="1"/>
    <xf numFmtId="0" fontId="10" fillId="0" borderId="12" xfId="1" applyFont="1" applyFill="1" applyBorder="1"/>
    <xf numFmtId="0" fontId="1" fillId="0" borderId="17" xfId="1" applyFont="1" applyFill="1" applyBorder="1"/>
    <xf numFmtId="0" fontId="1" fillId="0" borderId="18" xfId="1" applyFont="1" applyFill="1" applyBorder="1"/>
    <xf numFmtId="0" fontId="1" fillId="0" borderId="13" xfId="1" applyFont="1" applyFill="1" applyBorder="1" applyAlignment="1">
      <alignment wrapText="1"/>
    </xf>
    <xf numFmtId="0" fontId="1" fillId="0" borderId="14" xfId="1" applyFont="1" applyFill="1" applyBorder="1" applyAlignment="1">
      <alignment wrapText="1"/>
    </xf>
    <xf numFmtId="0" fontId="1" fillId="0" borderId="15" xfId="1" applyFont="1" applyFill="1" applyBorder="1" applyAlignment="1">
      <alignment wrapText="1"/>
    </xf>
    <xf numFmtId="0" fontId="16" fillId="0" borderId="0" xfId="1" applyFont="1"/>
    <xf numFmtId="0" fontId="1" fillId="3" borderId="0" xfId="1" applyFont="1" applyFill="1"/>
    <xf numFmtId="0" fontId="1" fillId="3" borderId="0" xfId="1" applyNumberFormat="1" applyFont="1" applyFill="1"/>
    <xf numFmtId="0" fontId="1" fillId="0" borderId="19" xfId="1" applyFont="1" applyBorder="1" applyAlignment="1">
      <alignment wrapText="1"/>
    </xf>
    <xf numFmtId="0" fontId="1" fillId="0" borderId="20" xfId="1" applyFont="1" applyBorder="1" applyAlignment="1">
      <alignment wrapText="1"/>
    </xf>
    <xf numFmtId="0" fontId="1" fillId="0" borderId="21" xfId="1" applyFont="1" applyBorder="1" applyAlignment="1">
      <alignment wrapText="1"/>
    </xf>
    <xf numFmtId="178" fontId="1" fillId="2" borderId="0" xfId="1" applyNumberFormat="1" applyFont="1" applyFill="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7" fillId="0" borderId="0" xfId="1" applyNumberFormat="1" applyFont="1" applyFill="1"/>
    <xf numFmtId="0" fontId="1" fillId="0" borderId="12" xfId="1" applyFont="1" applyFill="1" applyBorder="1" applyAlignment="1">
      <alignment shrinkToFit="1"/>
    </xf>
    <xf numFmtId="0" fontId="17"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Fill="1" applyBorder="1" applyAlignment="1">
      <alignment horizontal="center" vertical="center" wrapText="1"/>
    </xf>
    <xf numFmtId="49" fontId="2" fillId="0" borderId="3" xfId="5" applyNumberFormat="1" applyFont="1" applyFill="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Fill="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Fill="1" applyBorder="1" applyAlignment="1">
      <alignment horizontal="center" vertical="center" wrapText="1"/>
    </xf>
    <xf numFmtId="0" fontId="1" fillId="0" borderId="0" xfId="5" applyAlignment="1"/>
    <xf numFmtId="49" fontId="8" fillId="0" borderId="6" xfId="5" applyNumberFormat="1" applyFont="1" applyFill="1" applyBorder="1" applyAlignment="1">
      <alignment horizontal="center" vertical="center" wrapText="1"/>
    </xf>
    <xf numFmtId="49" fontId="7" fillId="0" borderId="0" xfId="5" applyNumberFormat="1" applyFont="1" applyFill="1" applyBorder="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Font="1" applyFill="1" applyAlignment="1"/>
    <xf numFmtId="177" fontId="1" fillId="2" borderId="0" xfId="5" applyNumberFormat="1" applyFont="1" applyFill="1" applyAlignment="1"/>
    <xf numFmtId="0" fontId="1" fillId="2" borderId="0" xfId="5" applyFont="1" applyFill="1" applyAlignment="1"/>
    <xf numFmtId="179" fontId="1" fillId="2" borderId="0" xfId="5" applyNumberFormat="1" applyFont="1" applyFill="1" applyAlignment="1"/>
    <xf numFmtId="0" fontId="10" fillId="0" borderId="7" xfId="5" applyFont="1" applyFill="1" applyBorder="1" applyAlignment="1"/>
    <xf numFmtId="0" fontId="1" fillId="0" borderId="8" xfId="5" applyFont="1" applyFill="1" applyBorder="1" applyAlignment="1"/>
    <xf numFmtId="0" fontId="1" fillId="0" borderId="9" xfId="5" applyFont="1" applyFill="1" applyBorder="1" applyAlignment="1">
      <alignment wrapText="1"/>
    </xf>
    <xf numFmtId="0" fontId="1" fillId="0" borderId="10" xfId="5" applyFont="1" applyFill="1" applyBorder="1" applyAlignment="1">
      <alignment wrapText="1"/>
    </xf>
    <xf numFmtId="0" fontId="1" fillId="0" borderId="11" xfId="5" applyFont="1" applyFill="1" applyBorder="1" applyAlignment="1">
      <alignment wrapText="1"/>
    </xf>
    <xf numFmtId="0" fontId="1" fillId="0" borderId="0" xfId="5" applyFont="1" applyAlignment="1"/>
    <xf numFmtId="0" fontId="10" fillId="0" borderId="12" xfId="5" applyFont="1" applyBorder="1" applyAlignment="1"/>
    <xf numFmtId="0" fontId="1" fillId="0" borderId="12" xfId="5" applyFont="1" applyBorder="1" applyAlignment="1"/>
    <xf numFmtId="0" fontId="1" fillId="0" borderId="12" xfId="5" applyFont="1" applyFill="1" applyBorder="1" applyAlignment="1"/>
    <xf numFmtId="0" fontId="1" fillId="0" borderId="13" xfId="5" applyFont="1" applyBorder="1" applyAlignment="1">
      <alignment wrapText="1"/>
    </xf>
    <xf numFmtId="0" fontId="1" fillId="0" borderId="14" xfId="5" applyFont="1" applyBorder="1" applyAlignment="1">
      <alignment wrapText="1"/>
    </xf>
    <xf numFmtId="0" fontId="1" fillId="0" borderId="15" xfId="5" applyFont="1" applyBorder="1" applyAlignment="1">
      <alignment wrapText="1"/>
    </xf>
    <xf numFmtId="0" fontId="1" fillId="0" borderId="16" xfId="5" applyFont="1" applyBorder="1" applyAlignment="1"/>
    <xf numFmtId="0" fontId="1" fillId="0" borderId="17" xfId="5" applyFont="1" applyBorder="1" applyAlignment="1"/>
    <xf numFmtId="0" fontId="1" fillId="0" borderId="18" xfId="5" applyFont="1" applyFill="1" applyBorder="1" applyAlignment="1"/>
    <xf numFmtId="0" fontId="1" fillId="0" borderId="19" xfId="5" applyFont="1" applyBorder="1" applyAlignment="1">
      <alignment wrapText="1"/>
    </xf>
    <xf numFmtId="0" fontId="1" fillId="0" borderId="20" xfId="5" applyFont="1" applyBorder="1" applyAlignment="1">
      <alignment wrapText="1"/>
    </xf>
    <xf numFmtId="0" fontId="1" fillId="0" borderId="21" xfId="5" applyFont="1" applyBorder="1" applyAlignment="1">
      <alignment wrapText="1"/>
    </xf>
    <xf numFmtId="0" fontId="1" fillId="0" borderId="16" xfId="5" applyFont="1" applyFill="1" applyBorder="1" applyAlignment="1"/>
    <xf numFmtId="0" fontId="10" fillId="0" borderId="16" xfId="5" applyFont="1" applyBorder="1" applyAlignment="1"/>
    <xf numFmtId="0" fontId="1" fillId="0" borderId="0" xfId="5" applyFill="1" applyAlignment="1"/>
    <xf numFmtId="14" fontId="0" fillId="0" borderId="0" xfId="5" applyNumberFormat="1" applyFont="1" applyFill="1" applyAlignment="1"/>
    <xf numFmtId="0" fontId="1" fillId="2" borderId="0" xfId="5" applyFill="1" applyAlignment="1"/>
    <xf numFmtId="49" fontId="2" fillId="0" borderId="1" xfId="1" applyNumberFormat="1" applyFont="1" applyFill="1" applyBorder="1" applyAlignment="1">
      <alignment horizontal="center" vertical="center" wrapText="1"/>
    </xf>
    <xf numFmtId="49" fontId="2" fillId="0" borderId="4" xfId="1" applyNumberFormat="1" applyFont="1" applyFill="1" applyBorder="1" applyAlignment="1">
      <alignment horizontal="center" vertical="center" wrapText="1"/>
    </xf>
    <xf numFmtId="49" fontId="7" fillId="0" borderId="6" xfId="1" applyNumberFormat="1" applyFont="1" applyFill="1" applyBorder="1" applyAlignment="1">
      <alignment horizontal="center" vertical="center" wrapText="1"/>
    </xf>
    <xf numFmtId="0" fontId="10" fillId="0" borderId="24" xfId="1" applyFont="1" applyBorder="1" applyAlignment="1">
      <alignment horizontal="left" wrapText="1"/>
    </xf>
    <xf numFmtId="0" fontId="1" fillId="4" borderId="0" xfId="1" applyFill="1" applyBorder="1"/>
    <xf numFmtId="14" fontId="1" fillId="4" borderId="0" xfId="1" applyNumberFormat="1" applyFont="1" applyFill="1" applyBorder="1"/>
    <xf numFmtId="178" fontId="1" fillId="2" borderId="0" xfId="1" applyNumberFormat="1" applyFill="1" applyBorder="1"/>
    <xf numFmtId="0" fontId="1" fillId="2" borderId="0" xfId="1" applyFill="1" applyBorder="1"/>
    <xf numFmtId="1" fontId="1" fillId="2" borderId="0" xfId="1" applyNumberFormat="1" applyFill="1" applyBorder="1"/>
    <xf numFmtId="0" fontId="0" fillId="0" borderId="0" xfId="1" applyFont="1" applyBorder="1"/>
    <xf numFmtId="0" fontId="1" fillId="4" borderId="0" xfId="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1" fillId="0" borderId="18" xfId="1" applyBorder="1"/>
    <xf numFmtId="0" fontId="0" fillId="0" borderId="16" xfId="1" applyFont="1" applyBorder="1"/>
    <xf numFmtId="0" fontId="0" fillId="0" borderId="12" xfId="1" applyFont="1" applyFill="1" applyBorder="1"/>
    <xf numFmtId="0" fontId="0" fillId="0" borderId="17" xfId="1" applyFont="1" applyBorder="1"/>
    <xf numFmtId="0" fontId="1" fillId="0" borderId="0" xfId="1" applyFont="1" applyAlignment="1">
      <alignment horizontal="center"/>
    </xf>
    <xf numFmtId="14" fontId="17" fillId="0" borderId="0" xfId="1" applyNumberFormat="1" applyFont="1" applyAlignment="1">
      <alignment horizontal="center"/>
    </xf>
    <xf numFmtId="0" fontId="16" fillId="0" borderId="1" xfId="0" applyFont="1" applyFill="1" applyBorder="1">
      <alignment vertical="center"/>
    </xf>
    <xf numFmtId="0" fontId="14" fillId="0" borderId="4" xfId="0" applyFont="1" applyFill="1" applyBorder="1">
      <alignment vertical="center"/>
    </xf>
    <xf numFmtId="0" fontId="1" fillId="0" borderId="8" xfId="1" applyFont="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4" fillId="0" borderId="1" xfId="0" applyFont="1" applyFill="1" applyBorder="1">
      <alignment vertical="center"/>
    </xf>
    <xf numFmtId="0" fontId="14" fillId="0" borderId="6" xfId="0" applyFont="1" applyFill="1" applyBorder="1">
      <alignment vertical="center"/>
    </xf>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5" xfId="1" applyFill="1" applyBorder="1"/>
    <xf numFmtId="14" fontId="0" fillId="4" borderId="26" xfId="1" applyNumberFormat="1" applyFont="1" applyFill="1" applyBorder="1"/>
    <xf numFmtId="0" fontId="1" fillId="4" borderId="27" xfId="1" applyFill="1" applyBorder="1"/>
    <xf numFmtId="0" fontId="1" fillId="4" borderId="28" xfId="1" applyFill="1" applyBorder="1"/>
    <xf numFmtId="0" fontId="1" fillId="4" borderId="29" xfId="1" applyFill="1" applyBorder="1"/>
    <xf numFmtId="0" fontId="1" fillId="4" borderId="30" xfId="1" applyFill="1" applyBorder="1"/>
    <xf numFmtId="178" fontId="1" fillId="3" borderId="28" xfId="1" applyNumberFormat="1" applyFill="1" applyBorder="1"/>
    <xf numFmtId="0" fontId="1" fillId="4" borderId="31" xfId="1" applyFill="1" applyBorder="1"/>
    <xf numFmtId="0" fontId="1" fillId="3" borderId="32" xfId="1" applyFill="1" applyBorder="1"/>
    <xf numFmtId="0" fontId="1" fillId="4" borderId="33" xfId="1" applyFill="1" applyBorder="1"/>
    <xf numFmtId="0" fontId="1" fillId="4" borderId="34" xfId="1" applyFill="1" applyBorder="1"/>
    <xf numFmtId="0" fontId="1" fillId="4" borderId="34" xfId="1" applyFont="1" applyFill="1" applyBorder="1"/>
    <xf numFmtId="0" fontId="1" fillId="4" borderId="35" xfId="1" applyFill="1" applyBorder="1"/>
    <xf numFmtId="0" fontId="1" fillId="0" borderId="35" xfId="1" applyBorder="1"/>
    <xf numFmtId="14" fontId="0" fillId="4" borderId="36" xfId="1" applyNumberFormat="1" applyFont="1" applyFill="1" applyBorder="1"/>
    <xf numFmtId="0" fontId="1" fillId="4" borderId="37" xfId="1" applyFill="1" applyBorder="1"/>
    <xf numFmtId="178" fontId="1" fillId="3" borderId="38" xfId="1" applyNumberFormat="1" applyFill="1" applyBorder="1"/>
    <xf numFmtId="0" fontId="1" fillId="0" borderId="39" xfId="1" applyBorder="1"/>
    <xf numFmtId="0" fontId="1" fillId="0" borderId="40" xfId="1" applyFill="1" applyBorder="1"/>
    <xf numFmtId="0" fontId="1" fillId="3" borderId="0" xfId="1" applyFill="1" applyBorder="1"/>
    <xf numFmtId="0" fontId="1" fillId="0" borderId="41" xfId="1" applyFill="1" applyBorder="1"/>
    <xf numFmtId="0" fontId="1" fillId="4" borderId="42" xfId="1" applyFill="1" applyBorder="1"/>
    <xf numFmtId="0" fontId="1" fillId="4" borderId="12" xfId="1" applyFill="1" applyBorder="1"/>
    <xf numFmtId="0" fontId="1" fillId="0" borderId="43" xfId="1" applyBorder="1"/>
    <xf numFmtId="0" fontId="1" fillId="4" borderId="40" xfId="1" applyFill="1" applyBorder="1"/>
    <xf numFmtId="0" fontId="1" fillId="0" borderId="41" xfId="1" applyBorder="1"/>
    <xf numFmtId="0" fontId="1" fillId="4" borderId="16" xfId="1" applyFill="1" applyBorder="1"/>
    <xf numFmtId="0" fontId="1" fillId="4" borderId="17" xfId="1" applyFill="1" applyBorder="1"/>
    <xf numFmtId="0" fontId="1" fillId="0" borderId="40" xfId="1" applyBorder="1"/>
    <xf numFmtId="0" fontId="1" fillId="0" borderId="42" xfId="1" applyBorder="1"/>
    <xf numFmtId="0" fontId="1" fillId="0" borderId="42" xfId="1" applyFont="1" applyBorder="1"/>
    <xf numFmtId="0" fontId="1" fillId="0" borderId="17" xfId="1" applyFill="1" applyBorder="1"/>
    <xf numFmtId="0" fontId="1" fillId="0" borderId="43" xfId="1" applyFont="1" applyBorder="1"/>
    <xf numFmtId="0" fontId="1" fillId="0" borderId="34" xfId="1" applyBorder="1"/>
    <xf numFmtId="14" fontId="0" fillId="0" borderId="0" xfId="1" applyNumberFormat="1" applyFont="1"/>
    <xf numFmtId="0" fontId="1" fillId="4" borderId="32" xfId="1" applyFill="1" applyBorder="1"/>
    <xf numFmtId="49" fontId="2" fillId="5" borderId="44" xfId="1" applyNumberFormat="1" applyFont="1" applyFill="1" applyBorder="1" applyAlignment="1">
      <alignment horizontal="center" vertical="center" wrapText="1"/>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8" xfId="1" applyFont="1" applyFill="1" applyBorder="1"/>
    <xf numFmtId="0" fontId="1" fillId="0" borderId="17" xfId="1" applyFont="1" applyBorder="1"/>
    <xf numFmtId="178" fontId="1" fillId="2" borderId="0" xfId="1" applyNumberFormat="1" applyFill="1"/>
    <xf numFmtId="0" fontId="1" fillId="0" borderId="0" xfId="5" applyFont="1" applyFill="1" applyAlignment="1"/>
    <xf numFmtId="0" fontId="1" fillId="0" borderId="0" xfId="1" applyBorder="1"/>
    <xf numFmtId="0" fontId="1" fillId="0" borderId="8" xfId="1" applyBorder="1"/>
    <xf numFmtId="0" fontId="1" fillId="0" borderId="0" xfId="1" applyFont="1" applyBorder="1"/>
    <xf numFmtId="0" fontId="11" fillId="0" borderId="0" xfId="7">
      <alignment vertical="center"/>
    </xf>
    <xf numFmtId="0" fontId="14" fillId="0" borderId="0" xfId="1" applyFont="1" applyFill="1"/>
    <xf numFmtId="0" fontId="10" fillId="0" borderId="0" xfId="1" applyFont="1" applyBorder="1"/>
    <xf numFmtId="0" fontId="1" fillId="0" borderId="0" xfId="1" applyFont="1" applyFill="1" applyBorder="1"/>
    <xf numFmtId="14" fontId="0" fillId="4" borderId="45" xfId="1" applyNumberFormat="1" applyFont="1" applyFill="1" applyBorder="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5" fillId="0" borderId="3" xfId="1" applyNumberFormat="1" applyFont="1" applyBorder="1" applyAlignment="1">
      <alignment horizontal="center" vertical="center" wrapText="1"/>
    </xf>
    <xf numFmtId="49" fontId="7" fillId="0" borderId="5" xfId="1" applyNumberFormat="1" applyFont="1" applyBorder="1" applyAlignment="1">
      <alignment horizontal="center" vertical="center" wrapText="1"/>
    </xf>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49" fontId="8" fillId="0" borderId="24" xfId="1" applyNumberFormat="1" applyFont="1" applyBorder="1" applyAlignment="1">
      <alignment horizontal="center" vertical="center" wrapText="1"/>
    </xf>
    <xf numFmtId="49" fontId="1" fillId="0" borderId="0" xfId="1" applyNumberFormat="1" applyAlignment="1">
      <alignment horizontal="right"/>
    </xf>
    <xf numFmtId="0" fontId="10" fillId="0" borderId="7" xfId="1" applyFont="1" applyBorder="1"/>
    <xf numFmtId="0" fontId="1" fillId="0" borderId="7" xfId="1" applyBorder="1" applyProtection="1">
      <protection locked="0"/>
    </xf>
    <xf numFmtId="0" fontId="1" fillId="0" borderId="8" xfId="1" applyBorder="1" applyProtection="1">
      <protection locked="0"/>
    </xf>
  </cellXfs>
  <cellStyles count="8">
    <cellStyle name="桁区切り[0]" xfId="3"/>
    <cellStyle name="通貨[0]" xfId="4"/>
    <cellStyle name="標準" xfId="0" builtinId="0"/>
    <cellStyle name="標準 2" xfId="1"/>
    <cellStyle name="標準 2 2" xfId="5"/>
    <cellStyle name="標準 3" xfId="2"/>
    <cellStyle name="標準 3 2" xfId="7"/>
    <cellStyle name="標準 4" xfId="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Shopsurvey_miyagi_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espri%20Shopsurvey_nagoya_2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Zespri%20Shopsurvey_osaka26.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Zespri%20Shopsurvey_hiroshima_26.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Zespri%20Shopsurvey_fukuoka_26.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2467;&#12500;&#12540;Zespri%20Shopsurvey_ota_26.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Zespri%20Shopsurvey_kato_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saka"/>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ukuoka"/>
    </sheetNames>
    <sheetDataSet>
      <sheetData sheetId="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east(ota)"/>
    </sheetNames>
    <sheetDataSet>
      <sheetData sheetId="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west(kato)"/>
    </sheetNames>
    <sheetDataSet>
      <sheetData sheetId="0"/>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20"/>
  <sheetViews>
    <sheetView zoomScale="70" zoomScaleNormal="70" workbookViewId="0">
      <selection activeCell="AB2" sqref="AB2"/>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343</v>
      </c>
      <c r="B2" s="15" t="s">
        <v>345</v>
      </c>
      <c r="C2" s="15">
        <v>2018</v>
      </c>
      <c r="D2" s="50" t="s">
        <v>348</v>
      </c>
      <c r="E2" s="15" t="s">
        <v>142</v>
      </c>
      <c r="F2" s="15" t="s">
        <v>151</v>
      </c>
      <c r="G2" s="15" t="s">
        <v>36</v>
      </c>
      <c r="H2" s="15" t="s">
        <v>157</v>
      </c>
      <c r="I2" s="15" t="s">
        <v>155</v>
      </c>
      <c r="J2" s="15" t="s">
        <v>38</v>
      </c>
      <c r="K2" s="7" t="s">
        <v>156</v>
      </c>
      <c r="L2" s="7">
        <v>1</v>
      </c>
      <c r="N2" s="47">
        <v>1</v>
      </c>
      <c r="O2" s="15">
        <v>0.85</v>
      </c>
      <c r="P2" s="15">
        <v>1</v>
      </c>
      <c r="Q2" s="51">
        <f t="shared" ref="Q2:Q65" si="0">IF(OR(O2="",P2=""),"",AVERAGE(O2,P2))</f>
        <v>0.92500000000000004</v>
      </c>
      <c r="R2" s="15">
        <v>12.1</v>
      </c>
      <c r="S2" s="15">
        <v>128</v>
      </c>
      <c r="T2" s="38">
        <f t="shared" ref="T2:T59" si="1">IF(H2="","",IF(OR(H2="GREEN",H2="GK"),IF(S2&gt;=$AX$2,VLOOKUP(S2,$AX$2:$AY$12,2,1),""),IF(S2&gt;=$AZ$2,VLOOKUP(S2,$AZ$2:$BA$12,2,1),"")))</f>
        <v>27</v>
      </c>
      <c r="U2" s="15">
        <v>105</v>
      </c>
      <c r="V2" s="38">
        <f t="shared" ref="V2:V65" si="2">IF(OR(N2="",U2="",T2=""),"",U2/N2*T2)</f>
        <v>2835</v>
      </c>
      <c r="W2" s="15">
        <v>10</v>
      </c>
      <c r="X2" s="15" t="s">
        <v>46</v>
      </c>
      <c r="Y2" s="15" t="s">
        <v>55</v>
      </c>
      <c r="Z2" s="15" t="s">
        <v>97</v>
      </c>
      <c r="AA2" s="15" t="s">
        <v>64</v>
      </c>
      <c r="AB2" s="39" t="s">
        <v>375</v>
      </c>
      <c r="AE2" s="17" t="s">
        <v>35</v>
      </c>
      <c r="AG2" s="49" t="s">
        <v>131</v>
      </c>
      <c r="AH2" s="49" t="s">
        <v>145</v>
      </c>
      <c r="AJ2" s="18" t="s">
        <v>36</v>
      </c>
      <c r="AL2" s="18" t="s">
        <v>127</v>
      </c>
      <c r="AN2" s="18" t="s">
        <v>37</v>
      </c>
      <c r="AP2" s="18" t="s">
        <v>38</v>
      </c>
      <c r="AR2" s="18" t="s">
        <v>120</v>
      </c>
      <c r="AT2" s="18" t="s">
        <v>39</v>
      </c>
      <c r="AV2" s="18" t="s">
        <v>40</v>
      </c>
      <c r="AX2" s="19">
        <v>1</v>
      </c>
      <c r="AY2" s="20">
        <v>50</v>
      </c>
      <c r="AZ2" s="20">
        <v>1</v>
      </c>
      <c r="BA2" s="21">
        <v>50</v>
      </c>
    </row>
    <row r="3" spans="1:53" x14ac:dyDescent="0.15">
      <c r="A3" s="15" t="s">
        <v>343</v>
      </c>
      <c r="B3" s="15" t="s">
        <v>344</v>
      </c>
      <c r="C3" s="15">
        <v>2018</v>
      </c>
      <c r="D3" s="37" t="s">
        <v>347</v>
      </c>
      <c r="E3" s="15" t="s">
        <v>142</v>
      </c>
      <c r="F3" s="7" t="s">
        <v>151</v>
      </c>
      <c r="G3" s="7" t="s">
        <v>36</v>
      </c>
      <c r="H3" s="15" t="s">
        <v>157</v>
      </c>
      <c r="I3" s="7" t="s">
        <v>155</v>
      </c>
      <c r="J3" s="15" t="s">
        <v>38</v>
      </c>
      <c r="K3" s="7" t="s">
        <v>156</v>
      </c>
      <c r="L3" s="7">
        <v>2</v>
      </c>
      <c r="N3" s="7">
        <v>1</v>
      </c>
      <c r="O3" s="34">
        <v>0.7</v>
      </c>
      <c r="P3" s="7">
        <v>0.8</v>
      </c>
      <c r="Q3" s="52">
        <f t="shared" si="0"/>
        <v>0.75</v>
      </c>
      <c r="R3" s="7">
        <v>11.4</v>
      </c>
      <c r="S3" s="7">
        <v>130</v>
      </c>
      <c r="T3" s="16">
        <f t="shared" si="1"/>
        <v>25</v>
      </c>
      <c r="U3" s="15">
        <v>105</v>
      </c>
      <c r="V3" s="16">
        <f t="shared" si="2"/>
        <v>2625</v>
      </c>
      <c r="W3" s="15">
        <v>10</v>
      </c>
      <c r="X3" s="15" t="s">
        <v>46</v>
      </c>
      <c r="Y3" s="216" t="s">
        <v>55</v>
      </c>
      <c r="Z3" s="216" t="s">
        <v>97</v>
      </c>
      <c r="AA3" s="216" t="s">
        <v>64</v>
      </c>
      <c r="AB3" s="39" t="s">
        <v>346</v>
      </c>
      <c r="AE3" s="22" t="s">
        <v>41</v>
      </c>
      <c r="AG3" s="49" t="s">
        <v>139</v>
      </c>
      <c r="AH3" s="49" t="s">
        <v>146</v>
      </c>
      <c r="AJ3" s="23" t="s">
        <v>42</v>
      </c>
      <c r="AL3" s="23" t="s">
        <v>128</v>
      </c>
      <c r="AN3" s="23" t="s">
        <v>43</v>
      </c>
      <c r="AP3" s="23" t="s">
        <v>44</v>
      </c>
      <c r="AR3" s="41" t="s">
        <v>45</v>
      </c>
      <c r="AT3" s="23" t="s">
        <v>46</v>
      </c>
      <c r="AV3" s="23" t="s">
        <v>47</v>
      </c>
      <c r="AX3" s="24">
        <v>72</v>
      </c>
      <c r="AY3" s="25">
        <v>46</v>
      </c>
      <c r="AZ3" s="25">
        <v>71</v>
      </c>
      <c r="BA3" s="26">
        <v>42</v>
      </c>
    </row>
    <row r="4" spans="1:53" x14ac:dyDescent="0.15">
      <c r="A4" s="15" t="s">
        <v>343</v>
      </c>
      <c r="B4" s="15" t="s">
        <v>344</v>
      </c>
      <c r="C4" s="15">
        <v>2018</v>
      </c>
      <c r="D4" s="37" t="s">
        <v>347</v>
      </c>
      <c r="E4" s="15" t="s">
        <v>142</v>
      </c>
      <c r="F4" s="7" t="s">
        <v>151</v>
      </c>
      <c r="G4" s="7" t="s">
        <v>36</v>
      </c>
      <c r="H4" s="15" t="s">
        <v>157</v>
      </c>
      <c r="I4" s="208" t="s">
        <v>155</v>
      </c>
      <c r="J4" s="15" t="s">
        <v>38</v>
      </c>
      <c r="K4" s="7" t="s">
        <v>156</v>
      </c>
      <c r="L4" s="7">
        <v>3</v>
      </c>
      <c r="N4" s="7">
        <v>1</v>
      </c>
      <c r="O4" s="7">
        <v>0.6</v>
      </c>
      <c r="P4" s="7">
        <v>0.55000000000000004</v>
      </c>
      <c r="Q4" s="52">
        <f t="shared" si="0"/>
        <v>0.57499999999999996</v>
      </c>
      <c r="R4" s="7">
        <v>16.100000000000001</v>
      </c>
      <c r="S4" s="7">
        <v>127</v>
      </c>
      <c r="T4" s="16">
        <f t="shared" si="1"/>
        <v>27</v>
      </c>
      <c r="U4" s="15">
        <v>105</v>
      </c>
      <c r="V4" s="16">
        <f t="shared" si="2"/>
        <v>2835</v>
      </c>
      <c r="W4" s="15">
        <v>10</v>
      </c>
      <c r="X4" s="15" t="s">
        <v>46</v>
      </c>
      <c r="Y4" s="216" t="s">
        <v>55</v>
      </c>
      <c r="Z4" s="216" t="s">
        <v>97</v>
      </c>
      <c r="AA4" s="216" t="s">
        <v>64</v>
      </c>
      <c r="AB4" s="39" t="s">
        <v>346</v>
      </c>
      <c r="AE4" s="22" t="s">
        <v>34</v>
      </c>
      <c r="AG4" s="49" t="s">
        <v>140</v>
      </c>
      <c r="AH4" s="49" t="s">
        <v>147</v>
      </c>
      <c r="AJ4" s="27" t="s">
        <v>48</v>
      </c>
      <c r="AL4" s="27" t="s">
        <v>129</v>
      </c>
      <c r="AN4" s="28" t="s">
        <v>49</v>
      </c>
      <c r="AP4" s="23" t="s">
        <v>93</v>
      </c>
      <c r="AR4" s="41" t="s">
        <v>121</v>
      </c>
      <c r="AT4" s="28"/>
      <c r="AV4" s="23" t="s">
        <v>50</v>
      </c>
      <c r="AX4" s="24">
        <v>75</v>
      </c>
      <c r="AY4" s="25">
        <v>42</v>
      </c>
      <c r="AZ4" s="25">
        <v>76</v>
      </c>
      <c r="BA4" s="26">
        <v>39</v>
      </c>
    </row>
    <row r="5" spans="1:53" x14ac:dyDescent="0.15">
      <c r="A5" s="15" t="s">
        <v>343</v>
      </c>
      <c r="B5" s="15" t="s">
        <v>344</v>
      </c>
      <c r="C5" s="15">
        <v>2018</v>
      </c>
      <c r="D5" s="37" t="s">
        <v>347</v>
      </c>
      <c r="E5" s="15" t="s">
        <v>142</v>
      </c>
      <c r="F5" s="15" t="s">
        <v>151</v>
      </c>
      <c r="G5" s="7" t="s">
        <v>36</v>
      </c>
      <c r="H5" s="15" t="s">
        <v>165</v>
      </c>
      <c r="I5" s="208" t="s">
        <v>155</v>
      </c>
      <c r="J5" s="15" t="s">
        <v>38</v>
      </c>
      <c r="K5" s="7" t="s">
        <v>156</v>
      </c>
      <c r="L5" s="7">
        <v>1</v>
      </c>
      <c r="N5" s="7">
        <v>1</v>
      </c>
      <c r="O5" s="7">
        <v>0.55000000000000004</v>
      </c>
      <c r="P5" s="7">
        <v>0.7</v>
      </c>
      <c r="Q5" s="52">
        <f t="shared" si="0"/>
        <v>0.625</v>
      </c>
      <c r="R5" s="7">
        <v>18.100000000000001</v>
      </c>
      <c r="S5" s="7">
        <v>146</v>
      </c>
      <c r="T5" s="16">
        <f t="shared" si="1"/>
        <v>22</v>
      </c>
      <c r="U5" s="15">
        <v>145</v>
      </c>
      <c r="V5" s="16">
        <f t="shared" si="2"/>
        <v>3190</v>
      </c>
      <c r="W5" s="15">
        <v>18</v>
      </c>
      <c r="X5" s="15" t="s">
        <v>46</v>
      </c>
      <c r="Y5" s="216" t="s">
        <v>55</v>
      </c>
      <c r="Z5" s="216" t="s">
        <v>97</v>
      </c>
      <c r="AA5" s="216" t="s">
        <v>64</v>
      </c>
      <c r="AB5" s="39" t="s">
        <v>346</v>
      </c>
      <c r="AE5" s="22" t="s">
        <v>51</v>
      </c>
      <c r="AG5" s="49" t="s">
        <v>130</v>
      </c>
      <c r="AH5" s="49" t="s">
        <v>148</v>
      </c>
      <c r="AJ5" s="28"/>
      <c r="AL5" s="29" t="s">
        <v>66</v>
      </c>
      <c r="AN5" s="29" t="s">
        <v>52</v>
      </c>
      <c r="AP5" s="23" t="s">
        <v>119</v>
      </c>
      <c r="AR5" s="41" t="s">
        <v>54</v>
      </c>
      <c r="AV5" s="23" t="s">
        <v>55</v>
      </c>
      <c r="AX5" s="24">
        <v>84</v>
      </c>
      <c r="AY5" s="25">
        <v>39</v>
      </c>
      <c r="AZ5" s="25">
        <v>84</v>
      </c>
      <c r="BA5" s="26">
        <v>36</v>
      </c>
    </row>
    <row r="6" spans="1:53" x14ac:dyDescent="0.15">
      <c r="A6" s="15" t="s">
        <v>343</v>
      </c>
      <c r="B6" s="15" t="s">
        <v>344</v>
      </c>
      <c r="C6" s="15">
        <v>2018</v>
      </c>
      <c r="D6" s="37" t="s">
        <v>347</v>
      </c>
      <c r="E6" s="15" t="s">
        <v>142</v>
      </c>
      <c r="F6" s="7" t="s">
        <v>151</v>
      </c>
      <c r="G6" s="7" t="s">
        <v>36</v>
      </c>
      <c r="H6" s="216" t="s">
        <v>165</v>
      </c>
      <c r="I6" s="208" t="s">
        <v>155</v>
      </c>
      <c r="J6" s="216" t="s">
        <v>38</v>
      </c>
      <c r="K6" s="208" t="s">
        <v>156</v>
      </c>
      <c r="L6" s="7">
        <v>2</v>
      </c>
      <c r="N6" s="7">
        <v>1</v>
      </c>
      <c r="O6" s="7">
        <v>0.85</v>
      </c>
      <c r="P6" s="7">
        <v>0.75</v>
      </c>
      <c r="Q6" s="52">
        <f t="shared" si="0"/>
        <v>0.8</v>
      </c>
      <c r="R6" s="7">
        <v>15.5</v>
      </c>
      <c r="S6" s="7">
        <v>153</v>
      </c>
      <c r="T6" s="16">
        <f t="shared" si="1"/>
        <v>18</v>
      </c>
      <c r="U6" s="216">
        <v>145</v>
      </c>
      <c r="V6" s="16">
        <f t="shared" si="2"/>
        <v>2610</v>
      </c>
      <c r="W6" s="15">
        <v>18</v>
      </c>
      <c r="X6" s="15" t="s">
        <v>46</v>
      </c>
      <c r="Y6" s="216" t="s">
        <v>55</v>
      </c>
      <c r="Z6" s="216" t="s">
        <v>97</v>
      </c>
      <c r="AA6" s="216" t="s">
        <v>64</v>
      </c>
      <c r="AB6" s="39" t="s">
        <v>346</v>
      </c>
      <c r="AE6" s="22" t="s">
        <v>56</v>
      </c>
      <c r="AG6" s="49" t="s">
        <v>132</v>
      </c>
      <c r="AH6" s="49" t="s">
        <v>149</v>
      </c>
      <c r="AL6" s="29" t="s">
        <v>99</v>
      </c>
      <c r="AN6" s="29" t="s">
        <v>57</v>
      </c>
      <c r="AP6" s="23" t="s">
        <v>53</v>
      </c>
      <c r="AR6" s="41" t="s">
        <v>59</v>
      </c>
      <c r="AV6" s="23" t="s">
        <v>60</v>
      </c>
      <c r="AX6" s="24">
        <v>97</v>
      </c>
      <c r="AY6" s="25">
        <v>36</v>
      </c>
      <c r="AZ6" s="25">
        <v>99</v>
      </c>
      <c r="BA6" s="26">
        <v>33</v>
      </c>
    </row>
    <row r="7" spans="1:53" ht="12" customHeight="1" x14ac:dyDescent="0.15">
      <c r="A7" s="15" t="s">
        <v>343</v>
      </c>
      <c r="B7" s="15" t="s">
        <v>344</v>
      </c>
      <c r="C7" s="15">
        <v>2018</v>
      </c>
      <c r="D7" s="37" t="s">
        <v>347</v>
      </c>
      <c r="E7" s="15" t="s">
        <v>142</v>
      </c>
      <c r="F7" s="7" t="s">
        <v>151</v>
      </c>
      <c r="G7" s="7" t="s">
        <v>36</v>
      </c>
      <c r="H7" s="216" t="s">
        <v>165</v>
      </c>
      <c r="I7" s="208" t="s">
        <v>155</v>
      </c>
      <c r="J7" s="216" t="s">
        <v>38</v>
      </c>
      <c r="K7" s="208" t="s">
        <v>156</v>
      </c>
      <c r="L7" s="7">
        <v>3</v>
      </c>
      <c r="N7" s="7">
        <v>1</v>
      </c>
      <c r="O7" s="7">
        <v>0.85</v>
      </c>
      <c r="P7" s="7">
        <v>0.8</v>
      </c>
      <c r="Q7" s="52">
        <f t="shared" si="0"/>
        <v>0.82499999999999996</v>
      </c>
      <c r="R7" s="34">
        <v>15.1</v>
      </c>
      <c r="S7" s="7">
        <v>143</v>
      </c>
      <c r="T7" s="16">
        <f t="shared" si="1"/>
        <v>22</v>
      </c>
      <c r="U7" s="216">
        <v>145</v>
      </c>
      <c r="V7" s="16">
        <f t="shared" si="2"/>
        <v>3190</v>
      </c>
      <c r="W7" s="15">
        <v>18</v>
      </c>
      <c r="X7" s="15" t="s">
        <v>46</v>
      </c>
      <c r="Y7" s="216" t="s">
        <v>55</v>
      </c>
      <c r="Z7" s="216" t="s">
        <v>97</v>
      </c>
      <c r="AA7" s="216" t="s">
        <v>64</v>
      </c>
      <c r="AB7" s="39" t="s">
        <v>346</v>
      </c>
      <c r="AE7" s="22" t="s">
        <v>61</v>
      </c>
      <c r="AG7" s="49" t="s">
        <v>141</v>
      </c>
      <c r="AH7" s="49" t="s">
        <v>150</v>
      </c>
      <c r="AL7" s="34" t="s">
        <v>109</v>
      </c>
      <c r="AP7" s="23" t="s">
        <v>58</v>
      </c>
      <c r="AR7" s="30" t="s">
        <v>122</v>
      </c>
      <c r="AV7" s="23" t="s">
        <v>64</v>
      </c>
      <c r="AX7" s="24">
        <v>109</v>
      </c>
      <c r="AY7" s="25">
        <v>33</v>
      </c>
      <c r="AZ7" s="25">
        <v>113</v>
      </c>
      <c r="BA7" s="26">
        <v>30</v>
      </c>
    </row>
    <row r="8" spans="1:53" ht="12.75" customHeight="1" x14ac:dyDescent="0.15">
      <c r="A8" s="15" t="s">
        <v>343</v>
      </c>
      <c r="B8" s="15" t="s">
        <v>344</v>
      </c>
      <c r="C8" s="15">
        <v>2018</v>
      </c>
      <c r="D8" s="37" t="s">
        <v>347</v>
      </c>
      <c r="E8" s="15" t="s">
        <v>133</v>
      </c>
      <c r="F8" s="7" t="s">
        <v>152</v>
      </c>
      <c r="G8" s="7" t="s">
        <v>36</v>
      </c>
      <c r="H8" s="15" t="s">
        <v>157</v>
      </c>
      <c r="I8" s="208" t="s">
        <v>155</v>
      </c>
      <c r="J8" s="15" t="s">
        <v>38</v>
      </c>
      <c r="K8" s="7" t="s">
        <v>156</v>
      </c>
      <c r="L8" s="7">
        <v>1</v>
      </c>
      <c r="N8" s="7">
        <v>1</v>
      </c>
      <c r="O8" s="7">
        <v>0.5</v>
      </c>
      <c r="P8" s="7">
        <v>0.5</v>
      </c>
      <c r="Q8" s="52">
        <f t="shared" si="0"/>
        <v>0.5</v>
      </c>
      <c r="R8" s="34">
        <v>12.4</v>
      </c>
      <c r="S8" s="7">
        <v>121</v>
      </c>
      <c r="T8" s="16">
        <f t="shared" si="1"/>
        <v>27</v>
      </c>
      <c r="U8" s="15">
        <v>75</v>
      </c>
      <c r="V8" s="16">
        <f t="shared" si="2"/>
        <v>2025</v>
      </c>
      <c r="W8" s="15">
        <v>6</v>
      </c>
      <c r="X8" s="15" t="s">
        <v>46</v>
      </c>
      <c r="Y8" s="216" t="s">
        <v>55</v>
      </c>
      <c r="Z8" s="216" t="s">
        <v>86</v>
      </c>
      <c r="AA8" s="216" t="s">
        <v>69</v>
      </c>
      <c r="AB8" s="39" t="s">
        <v>346</v>
      </c>
      <c r="AE8" s="22" t="s">
        <v>59</v>
      </c>
      <c r="AG8" s="49" t="s">
        <v>142</v>
      </c>
      <c r="AH8" s="49" t="s">
        <v>151</v>
      </c>
      <c r="AL8" s="34" t="s">
        <v>134</v>
      </c>
      <c r="AP8" s="23" t="s">
        <v>62</v>
      </c>
      <c r="AR8" s="41" t="s">
        <v>81</v>
      </c>
      <c r="AV8" s="23" t="s">
        <v>97</v>
      </c>
      <c r="AX8" s="24">
        <v>119</v>
      </c>
      <c r="AY8" s="25">
        <v>30</v>
      </c>
      <c r="AZ8" s="25">
        <v>121</v>
      </c>
      <c r="BA8" s="26">
        <v>27</v>
      </c>
    </row>
    <row r="9" spans="1:53" x14ac:dyDescent="0.15">
      <c r="A9" s="15" t="s">
        <v>343</v>
      </c>
      <c r="B9" s="15" t="s">
        <v>344</v>
      </c>
      <c r="C9" s="15">
        <v>2018</v>
      </c>
      <c r="D9" s="37" t="s">
        <v>347</v>
      </c>
      <c r="E9" s="15" t="s">
        <v>133</v>
      </c>
      <c r="F9" s="7" t="s">
        <v>152</v>
      </c>
      <c r="G9" s="7" t="s">
        <v>36</v>
      </c>
      <c r="H9" s="216" t="s">
        <v>157</v>
      </c>
      <c r="I9" s="208" t="s">
        <v>155</v>
      </c>
      <c r="J9" s="216" t="s">
        <v>38</v>
      </c>
      <c r="K9" s="208" t="s">
        <v>156</v>
      </c>
      <c r="L9" s="7">
        <v>2</v>
      </c>
      <c r="N9" s="7">
        <v>1</v>
      </c>
      <c r="O9" s="7">
        <v>0.5</v>
      </c>
      <c r="P9" s="7">
        <v>0.5</v>
      </c>
      <c r="Q9" s="52">
        <f t="shared" si="0"/>
        <v>0.5</v>
      </c>
      <c r="R9" s="7">
        <v>13.1</v>
      </c>
      <c r="S9" s="7">
        <v>125</v>
      </c>
      <c r="T9" s="16">
        <f t="shared" si="1"/>
        <v>27</v>
      </c>
      <c r="U9" s="216">
        <v>75</v>
      </c>
      <c r="V9" s="16">
        <f t="shared" si="2"/>
        <v>2025</v>
      </c>
      <c r="W9" s="15">
        <v>6</v>
      </c>
      <c r="X9" s="15" t="s">
        <v>46</v>
      </c>
      <c r="Y9" s="216" t="s">
        <v>55</v>
      </c>
      <c r="Z9" s="216" t="s">
        <v>86</v>
      </c>
      <c r="AA9" s="216" t="s">
        <v>69</v>
      </c>
      <c r="AB9" s="39" t="s">
        <v>346</v>
      </c>
      <c r="AE9" s="22" t="s">
        <v>98</v>
      </c>
      <c r="AG9" s="49" t="s">
        <v>133</v>
      </c>
      <c r="AH9" s="49" t="s">
        <v>152</v>
      </c>
      <c r="AL9" s="34"/>
      <c r="AP9" s="23" t="s">
        <v>95</v>
      </c>
      <c r="AR9" s="30" t="s">
        <v>89</v>
      </c>
      <c r="AV9" s="23" t="s">
        <v>102</v>
      </c>
      <c r="AX9" s="24">
        <v>128</v>
      </c>
      <c r="AY9" s="25">
        <v>27</v>
      </c>
      <c r="AZ9" s="25">
        <v>129</v>
      </c>
      <c r="BA9" s="26">
        <v>25</v>
      </c>
    </row>
    <row r="10" spans="1:53" x14ac:dyDescent="0.15">
      <c r="A10" s="15" t="s">
        <v>343</v>
      </c>
      <c r="B10" s="15" t="s">
        <v>344</v>
      </c>
      <c r="C10" s="15">
        <v>2018</v>
      </c>
      <c r="D10" s="37" t="s">
        <v>347</v>
      </c>
      <c r="E10" s="15" t="s">
        <v>133</v>
      </c>
      <c r="F10" s="7" t="s">
        <v>152</v>
      </c>
      <c r="G10" s="7" t="s">
        <v>36</v>
      </c>
      <c r="H10" s="216" t="s">
        <v>157</v>
      </c>
      <c r="I10" s="208" t="s">
        <v>155</v>
      </c>
      <c r="J10" s="216" t="s">
        <v>38</v>
      </c>
      <c r="K10" s="208" t="s">
        <v>156</v>
      </c>
      <c r="L10" s="7">
        <v>3</v>
      </c>
      <c r="N10" s="7">
        <v>1</v>
      </c>
      <c r="O10" s="7">
        <v>0.5</v>
      </c>
      <c r="P10" s="7">
        <v>0.5</v>
      </c>
      <c r="Q10" s="52">
        <f t="shared" si="0"/>
        <v>0.5</v>
      </c>
      <c r="R10" s="7">
        <v>12.9</v>
      </c>
      <c r="S10" s="7">
        <v>120</v>
      </c>
      <c r="T10" s="16">
        <f t="shared" si="1"/>
        <v>30</v>
      </c>
      <c r="U10" s="216">
        <v>75</v>
      </c>
      <c r="V10" s="16">
        <f t="shared" si="2"/>
        <v>2250</v>
      </c>
      <c r="W10" s="15">
        <v>6</v>
      </c>
      <c r="X10" s="15" t="s">
        <v>46</v>
      </c>
      <c r="Y10" s="216" t="s">
        <v>55</v>
      </c>
      <c r="Z10" s="216" t="s">
        <v>86</v>
      </c>
      <c r="AA10" s="216" t="s">
        <v>69</v>
      </c>
      <c r="AB10" s="39" t="s">
        <v>346</v>
      </c>
      <c r="AE10" s="22" t="s">
        <v>103</v>
      </c>
      <c r="AG10" s="49" t="s">
        <v>143</v>
      </c>
      <c r="AH10" s="49" t="s">
        <v>153</v>
      </c>
      <c r="AP10" s="23" t="s">
        <v>100</v>
      </c>
      <c r="AR10" s="30" t="s">
        <v>123</v>
      </c>
      <c r="AV10" s="23" t="s">
        <v>106</v>
      </c>
      <c r="AX10" s="24">
        <v>138</v>
      </c>
      <c r="AY10" s="25">
        <v>25</v>
      </c>
      <c r="AZ10" s="25">
        <v>138</v>
      </c>
      <c r="BA10" s="26">
        <v>22</v>
      </c>
    </row>
    <row r="11" spans="1:53" x14ac:dyDescent="0.15">
      <c r="A11" s="15" t="s">
        <v>343</v>
      </c>
      <c r="B11" s="15" t="s">
        <v>344</v>
      </c>
      <c r="C11" s="15">
        <v>2018</v>
      </c>
      <c r="D11" s="37" t="s">
        <v>347</v>
      </c>
      <c r="E11" s="15" t="s">
        <v>133</v>
      </c>
      <c r="F11" s="7" t="s">
        <v>152</v>
      </c>
      <c r="G11" s="7" t="s">
        <v>36</v>
      </c>
      <c r="H11" s="216" t="s">
        <v>165</v>
      </c>
      <c r="I11" s="7" t="s">
        <v>155</v>
      </c>
      <c r="J11" s="15" t="s">
        <v>38</v>
      </c>
      <c r="K11" s="7" t="s">
        <v>156</v>
      </c>
      <c r="L11" s="7">
        <v>1</v>
      </c>
      <c r="N11" s="7">
        <v>1</v>
      </c>
      <c r="O11" s="7">
        <v>0.6</v>
      </c>
      <c r="P11" s="7">
        <v>0.6</v>
      </c>
      <c r="Q11" s="52">
        <f t="shared" si="0"/>
        <v>0.6</v>
      </c>
      <c r="R11" s="7">
        <v>17.899999999999999</v>
      </c>
      <c r="S11" s="7">
        <v>133</v>
      </c>
      <c r="T11" s="16">
        <f t="shared" si="1"/>
        <v>25</v>
      </c>
      <c r="U11" s="7">
        <v>75</v>
      </c>
      <c r="V11" s="16">
        <f t="shared" si="2"/>
        <v>1875</v>
      </c>
      <c r="W11" s="7">
        <v>12</v>
      </c>
      <c r="X11" s="15" t="s">
        <v>46</v>
      </c>
      <c r="Y11" s="216" t="s">
        <v>55</v>
      </c>
      <c r="Z11" s="216" t="s">
        <v>86</v>
      </c>
      <c r="AA11" s="216" t="s">
        <v>69</v>
      </c>
      <c r="AB11" s="39" t="s">
        <v>346</v>
      </c>
      <c r="AE11" s="22" t="s">
        <v>65</v>
      </c>
      <c r="AG11" s="49" t="s">
        <v>144</v>
      </c>
      <c r="AH11" s="49" t="s">
        <v>154</v>
      </c>
      <c r="AP11" s="23" t="s">
        <v>104</v>
      </c>
      <c r="AR11" s="30" t="s">
        <v>87</v>
      </c>
      <c r="AV11" s="23" t="s">
        <v>69</v>
      </c>
      <c r="AX11" s="24">
        <v>151</v>
      </c>
      <c r="AY11" s="25">
        <v>22</v>
      </c>
      <c r="AZ11" s="25">
        <v>152</v>
      </c>
      <c r="BA11" s="26">
        <v>18</v>
      </c>
    </row>
    <row r="12" spans="1:53" x14ac:dyDescent="0.15">
      <c r="A12" s="15" t="s">
        <v>343</v>
      </c>
      <c r="B12" s="15" t="s">
        <v>344</v>
      </c>
      <c r="C12" s="15">
        <v>2018</v>
      </c>
      <c r="D12" s="37" t="s">
        <v>347</v>
      </c>
      <c r="E12" s="15" t="s">
        <v>133</v>
      </c>
      <c r="F12" s="7" t="s">
        <v>152</v>
      </c>
      <c r="G12" s="7" t="s">
        <v>36</v>
      </c>
      <c r="H12" s="216" t="s">
        <v>165</v>
      </c>
      <c r="I12" s="208" t="s">
        <v>155</v>
      </c>
      <c r="J12" s="216" t="s">
        <v>38</v>
      </c>
      <c r="K12" s="208" t="s">
        <v>156</v>
      </c>
      <c r="L12" s="7">
        <v>2</v>
      </c>
      <c r="N12" s="7">
        <v>1</v>
      </c>
      <c r="O12" s="7">
        <v>0.85</v>
      </c>
      <c r="P12" s="7">
        <v>0.95</v>
      </c>
      <c r="Q12" s="52">
        <f t="shared" si="0"/>
        <v>0.89999999999999991</v>
      </c>
      <c r="R12" s="34">
        <v>15.5</v>
      </c>
      <c r="S12" s="7">
        <v>133</v>
      </c>
      <c r="T12" s="16">
        <f t="shared" si="1"/>
        <v>25</v>
      </c>
      <c r="U12" s="208">
        <v>75</v>
      </c>
      <c r="V12" s="16">
        <f t="shared" si="2"/>
        <v>1875</v>
      </c>
      <c r="W12" s="7">
        <v>12</v>
      </c>
      <c r="X12" s="15" t="s">
        <v>46</v>
      </c>
      <c r="Y12" s="216" t="s">
        <v>55</v>
      </c>
      <c r="Z12" s="216" t="s">
        <v>86</v>
      </c>
      <c r="AA12" s="216" t="s">
        <v>69</v>
      </c>
      <c r="AB12" s="39" t="s">
        <v>346</v>
      </c>
      <c r="AE12" s="22" t="s">
        <v>70</v>
      </c>
      <c r="AG12" s="40"/>
      <c r="AH12" s="40"/>
      <c r="AP12" s="23" t="s">
        <v>67</v>
      </c>
      <c r="AR12" s="30" t="s">
        <v>124</v>
      </c>
      <c r="AV12" s="23" t="s">
        <v>72</v>
      </c>
      <c r="AX12" s="31">
        <v>180</v>
      </c>
      <c r="AY12" s="32">
        <v>18</v>
      </c>
      <c r="AZ12" s="32">
        <v>181</v>
      </c>
      <c r="BA12" s="33">
        <v>16</v>
      </c>
    </row>
    <row r="13" spans="1:53" x14ac:dyDescent="0.15">
      <c r="A13" s="15" t="s">
        <v>343</v>
      </c>
      <c r="B13" s="15" t="s">
        <v>344</v>
      </c>
      <c r="C13" s="15">
        <v>2018</v>
      </c>
      <c r="D13" s="37" t="s">
        <v>347</v>
      </c>
      <c r="E13" s="15" t="s">
        <v>133</v>
      </c>
      <c r="F13" s="7" t="s">
        <v>152</v>
      </c>
      <c r="G13" s="7" t="s">
        <v>36</v>
      </c>
      <c r="H13" s="216" t="s">
        <v>165</v>
      </c>
      <c r="I13" s="208" t="s">
        <v>155</v>
      </c>
      <c r="J13" s="216" t="s">
        <v>38</v>
      </c>
      <c r="K13" s="208" t="s">
        <v>156</v>
      </c>
      <c r="L13" s="7">
        <v>3</v>
      </c>
      <c r="N13" s="7">
        <v>1</v>
      </c>
      <c r="O13" s="7">
        <v>0.7</v>
      </c>
      <c r="P13" s="7">
        <v>0.75</v>
      </c>
      <c r="Q13" s="52">
        <f t="shared" si="0"/>
        <v>0.72499999999999998</v>
      </c>
      <c r="R13" s="7">
        <v>15.8</v>
      </c>
      <c r="S13" s="7">
        <v>130</v>
      </c>
      <c r="T13" s="16">
        <f t="shared" si="1"/>
        <v>25</v>
      </c>
      <c r="U13" s="208">
        <v>75</v>
      </c>
      <c r="V13" s="16">
        <f t="shared" si="2"/>
        <v>1875</v>
      </c>
      <c r="W13" s="7">
        <v>12</v>
      </c>
      <c r="X13" s="15" t="s">
        <v>46</v>
      </c>
      <c r="Y13" s="216" t="s">
        <v>55</v>
      </c>
      <c r="Z13" s="216" t="s">
        <v>86</v>
      </c>
      <c r="AA13" s="216" t="s">
        <v>69</v>
      </c>
      <c r="AB13" s="39" t="s">
        <v>346</v>
      </c>
      <c r="AE13" s="22" t="s">
        <v>73</v>
      </c>
      <c r="AG13" s="23"/>
      <c r="AH13" s="23"/>
      <c r="AP13" s="23" t="s">
        <v>71</v>
      </c>
      <c r="AR13" s="30" t="s">
        <v>103</v>
      </c>
      <c r="AV13" s="23" t="s">
        <v>75</v>
      </c>
    </row>
    <row r="14" spans="1:53" x14ac:dyDescent="0.15">
      <c r="A14" s="15" t="s">
        <v>343</v>
      </c>
      <c r="B14" s="15" t="s">
        <v>344</v>
      </c>
      <c r="C14" s="15">
        <v>2018</v>
      </c>
      <c r="D14" s="37" t="s">
        <v>347</v>
      </c>
      <c r="E14" s="15" t="s">
        <v>143</v>
      </c>
      <c r="F14" s="7" t="s">
        <v>153</v>
      </c>
      <c r="G14" s="7" t="s">
        <v>36</v>
      </c>
      <c r="H14" s="15" t="s">
        <v>157</v>
      </c>
      <c r="I14" s="7" t="s">
        <v>155</v>
      </c>
      <c r="J14" s="15" t="s">
        <v>38</v>
      </c>
      <c r="K14" s="7" t="s">
        <v>156</v>
      </c>
      <c r="L14" s="7">
        <v>1</v>
      </c>
      <c r="N14" s="7">
        <v>1</v>
      </c>
      <c r="O14" s="7">
        <v>0.65</v>
      </c>
      <c r="P14" s="7">
        <v>0.7</v>
      </c>
      <c r="Q14" s="52">
        <f t="shared" si="0"/>
        <v>0.67500000000000004</v>
      </c>
      <c r="R14" s="7">
        <v>17</v>
      </c>
      <c r="S14" s="7">
        <v>179</v>
      </c>
      <c r="T14" s="16">
        <f t="shared" si="1"/>
        <v>18</v>
      </c>
      <c r="U14" s="7">
        <v>149</v>
      </c>
      <c r="V14" s="16">
        <f t="shared" si="2"/>
        <v>2682</v>
      </c>
      <c r="W14" s="7">
        <v>7</v>
      </c>
      <c r="X14" s="15" t="s">
        <v>46</v>
      </c>
      <c r="Y14" s="216" t="s">
        <v>55</v>
      </c>
      <c r="Z14" s="216" t="s">
        <v>86</v>
      </c>
      <c r="AA14" s="15" t="s">
        <v>69</v>
      </c>
      <c r="AB14" s="39" t="s">
        <v>346</v>
      </c>
      <c r="AE14" s="22" t="s">
        <v>76</v>
      </c>
      <c r="AG14" s="23"/>
      <c r="AH14" s="23"/>
      <c r="AP14" s="23" t="s">
        <v>74</v>
      </c>
      <c r="AR14" s="30" t="s">
        <v>125</v>
      </c>
      <c r="AV14" s="23" t="s">
        <v>78</v>
      </c>
    </row>
    <row r="15" spans="1:53" x14ac:dyDescent="0.15">
      <c r="A15" s="15" t="s">
        <v>343</v>
      </c>
      <c r="B15" s="15" t="s">
        <v>344</v>
      </c>
      <c r="C15" s="15">
        <v>2018</v>
      </c>
      <c r="D15" s="37" t="s">
        <v>347</v>
      </c>
      <c r="E15" s="15" t="s">
        <v>143</v>
      </c>
      <c r="F15" s="7" t="s">
        <v>153</v>
      </c>
      <c r="G15" s="7" t="s">
        <v>36</v>
      </c>
      <c r="H15" s="216" t="s">
        <v>157</v>
      </c>
      <c r="I15" s="208" t="s">
        <v>155</v>
      </c>
      <c r="J15" s="216" t="s">
        <v>38</v>
      </c>
      <c r="K15" s="208" t="s">
        <v>156</v>
      </c>
      <c r="L15" s="7">
        <v>2</v>
      </c>
      <c r="N15" s="7">
        <v>1</v>
      </c>
      <c r="O15" s="7">
        <v>0.75</v>
      </c>
      <c r="P15" s="7">
        <v>0.7</v>
      </c>
      <c r="Q15" s="52">
        <f t="shared" si="0"/>
        <v>0.72499999999999998</v>
      </c>
      <c r="R15" s="7">
        <v>16.399999999999999</v>
      </c>
      <c r="S15" s="7">
        <v>208</v>
      </c>
      <c r="T15" s="16">
        <f t="shared" si="1"/>
        <v>16</v>
      </c>
      <c r="U15" s="208">
        <v>149</v>
      </c>
      <c r="V15" s="16">
        <f t="shared" si="2"/>
        <v>2384</v>
      </c>
      <c r="W15" s="7">
        <v>7</v>
      </c>
      <c r="X15" s="15" t="s">
        <v>46</v>
      </c>
      <c r="Y15" s="216" t="s">
        <v>55</v>
      </c>
      <c r="Z15" s="216" t="s">
        <v>86</v>
      </c>
      <c r="AA15" s="216" t="s">
        <v>69</v>
      </c>
      <c r="AB15" s="39" t="s">
        <v>346</v>
      </c>
      <c r="AE15" s="22" t="s">
        <v>79</v>
      </c>
      <c r="AG15" s="23"/>
      <c r="AH15" s="23"/>
      <c r="AP15" s="23" t="s">
        <v>77</v>
      </c>
      <c r="AR15" s="30" t="s">
        <v>94</v>
      </c>
      <c r="AV15" s="23" t="s">
        <v>107</v>
      </c>
    </row>
    <row r="16" spans="1:53" x14ac:dyDescent="0.15">
      <c r="A16" s="15" t="s">
        <v>343</v>
      </c>
      <c r="B16" s="15" t="s">
        <v>344</v>
      </c>
      <c r="C16" s="15">
        <v>2018</v>
      </c>
      <c r="D16" s="37" t="s">
        <v>347</v>
      </c>
      <c r="E16" s="15" t="s">
        <v>143</v>
      </c>
      <c r="F16" s="7" t="s">
        <v>153</v>
      </c>
      <c r="G16" s="7" t="s">
        <v>36</v>
      </c>
      <c r="H16" s="216" t="s">
        <v>157</v>
      </c>
      <c r="I16" s="208" t="s">
        <v>155</v>
      </c>
      <c r="J16" s="216" t="s">
        <v>38</v>
      </c>
      <c r="K16" s="208" t="s">
        <v>156</v>
      </c>
      <c r="L16" s="7">
        <v>3</v>
      </c>
      <c r="N16" s="7">
        <v>1</v>
      </c>
      <c r="O16" s="7">
        <v>0.9</v>
      </c>
      <c r="P16" s="7">
        <v>1</v>
      </c>
      <c r="Q16" s="52">
        <f t="shared" si="0"/>
        <v>0.95</v>
      </c>
      <c r="R16" s="7">
        <v>15.7</v>
      </c>
      <c r="S16" s="7">
        <v>182</v>
      </c>
      <c r="T16" s="16">
        <f t="shared" si="1"/>
        <v>16</v>
      </c>
      <c r="U16" s="208">
        <v>149</v>
      </c>
      <c r="V16" s="16">
        <f t="shared" si="2"/>
        <v>2384</v>
      </c>
      <c r="W16" s="7">
        <v>7</v>
      </c>
      <c r="X16" s="15" t="s">
        <v>46</v>
      </c>
      <c r="Y16" s="216" t="s">
        <v>55</v>
      </c>
      <c r="Z16" s="216" t="s">
        <v>86</v>
      </c>
      <c r="AA16" s="216" t="s">
        <v>69</v>
      </c>
      <c r="AB16" s="39" t="s">
        <v>346</v>
      </c>
      <c r="AE16" s="22" t="s">
        <v>82</v>
      </c>
      <c r="AG16" s="28"/>
      <c r="AH16" s="28"/>
      <c r="AP16" s="23" t="s">
        <v>80</v>
      </c>
      <c r="AR16" s="41" t="s">
        <v>63</v>
      </c>
      <c r="AV16" s="23" t="s">
        <v>84</v>
      </c>
    </row>
    <row r="17" spans="1:48" x14ac:dyDescent="0.15">
      <c r="A17" s="15" t="s">
        <v>343</v>
      </c>
      <c r="B17" s="15" t="s">
        <v>344</v>
      </c>
      <c r="C17" s="15">
        <v>2018</v>
      </c>
      <c r="D17" s="37" t="s">
        <v>347</v>
      </c>
      <c r="E17" s="15" t="s">
        <v>143</v>
      </c>
      <c r="F17" s="7" t="s">
        <v>153</v>
      </c>
      <c r="G17" s="7" t="s">
        <v>36</v>
      </c>
      <c r="H17" s="15" t="s">
        <v>165</v>
      </c>
      <c r="I17" s="208" t="s">
        <v>155</v>
      </c>
      <c r="J17" s="216" t="s">
        <v>38</v>
      </c>
      <c r="K17" s="208" t="s">
        <v>156</v>
      </c>
      <c r="L17" s="7">
        <v>1</v>
      </c>
      <c r="N17" s="7">
        <v>1</v>
      </c>
      <c r="O17" s="7">
        <v>0.55000000000000004</v>
      </c>
      <c r="P17" s="7">
        <v>0.65</v>
      </c>
      <c r="Q17" s="52">
        <f t="shared" si="0"/>
        <v>0.60000000000000009</v>
      </c>
      <c r="R17" s="7">
        <v>15.2</v>
      </c>
      <c r="S17" s="7">
        <v>149</v>
      </c>
      <c r="T17" s="16">
        <f t="shared" si="1"/>
        <v>22</v>
      </c>
      <c r="U17" s="7">
        <v>170</v>
      </c>
      <c r="V17" s="16">
        <f t="shared" si="2"/>
        <v>3740</v>
      </c>
      <c r="W17" s="7">
        <v>3</v>
      </c>
      <c r="X17" s="15" t="s">
        <v>46</v>
      </c>
      <c r="Y17" s="216" t="s">
        <v>55</v>
      </c>
      <c r="Z17" s="216" t="s">
        <v>86</v>
      </c>
      <c r="AA17" s="216" t="s">
        <v>69</v>
      </c>
      <c r="AB17" s="39" t="s">
        <v>346</v>
      </c>
      <c r="AE17" s="22" t="s">
        <v>85</v>
      </c>
      <c r="AP17" s="43" t="s">
        <v>110</v>
      </c>
      <c r="AR17" s="41" t="s">
        <v>96</v>
      </c>
      <c r="AV17" s="23" t="s">
        <v>86</v>
      </c>
    </row>
    <row r="18" spans="1:48" x14ac:dyDescent="0.15">
      <c r="A18" s="15" t="s">
        <v>343</v>
      </c>
      <c r="B18" s="15" t="s">
        <v>344</v>
      </c>
      <c r="C18" s="15">
        <v>2018</v>
      </c>
      <c r="D18" s="37" t="s">
        <v>347</v>
      </c>
      <c r="E18" s="15" t="s">
        <v>143</v>
      </c>
      <c r="F18" s="7" t="s">
        <v>153</v>
      </c>
      <c r="G18" s="7" t="s">
        <v>36</v>
      </c>
      <c r="H18" s="216" t="s">
        <v>165</v>
      </c>
      <c r="I18" s="208" t="s">
        <v>155</v>
      </c>
      <c r="J18" s="216" t="s">
        <v>38</v>
      </c>
      <c r="K18" s="208" t="s">
        <v>156</v>
      </c>
      <c r="L18" s="7">
        <v>2</v>
      </c>
      <c r="N18" s="7">
        <v>1</v>
      </c>
      <c r="O18" s="7">
        <v>0.75</v>
      </c>
      <c r="P18" s="7">
        <v>0.8</v>
      </c>
      <c r="Q18" s="52">
        <f t="shared" si="0"/>
        <v>0.77500000000000002</v>
      </c>
      <c r="R18" s="7">
        <v>16.100000000000001</v>
      </c>
      <c r="S18" s="7">
        <v>131</v>
      </c>
      <c r="T18" s="16">
        <f t="shared" si="1"/>
        <v>25</v>
      </c>
      <c r="U18" s="208">
        <v>170</v>
      </c>
      <c r="V18" s="16">
        <f t="shared" si="2"/>
        <v>4250</v>
      </c>
      <c r="W18" s="7">
        <v>3</v>
      </c>
      <c r="X18" s="15" t="s">
        <v>46</v>
      </c>
      <c r="Y18" s="216" t="s">
        <v>55</v>
      </c>
      <c r="Z18" s="216" t="s">
        <v>86</v>
      </c>
      <c r="AA18" s="216" t="s">
        <v>69</v>
      </c>
      <c r="AB18" s="39" t="s">
        <v>346</v>
      </c>
      <c r="AE18" s="22" t="s">
        <v>87</v>
      </c>
      <c r="AP18" s="43" t="s">
        <v>111</v>
      </c>
      <c r="AR18" s="41" t="s">
        <v>101</v>
      </c>
      <c r="AV18" s="23" t="s">
        <v>88</v>
      </c>
    </row>
    <row r="19" spans="1:48" x14ac:dyDescent="0.15">
      <c r="A19" s="15" t="s">
        <v>343</v>
      </c>
      <c r="B19" s="15" t="s">
        <v>344</v>
      </c>
      <c r="C19" s="15">
        <v>2018</v>
      </c>
      <c r="D19" s="37" t="s">
        <v>347</v>
      </c>
      <c r="E19" s="15" t="s">
        <v>143</v>
      </c>
      <c r="F19" s="7" t="s">
        <v>153</v>
      </c>
      <c r="G19" s="7" t="s">
        <v>36</v>
      </c>
      <c r="H19" s="216" t="s">
        <v>165</v>
      </c>
      <c r="I19" s="208" t="s">
        <v>155</v>
      </c>
      <c r="J19" s="216" t="s">
        <v>38</v>
      </c>
      <c r="K19" s="208" t="s">
        <v>156</v>
      </c>
      <c r="L19" s="7">
        <v>3</v>
      </c>
      <c r="N19" s="7">
        <v>1</v>
      </c>
      <c r="O19" s="7">
        <v>0.65</v>
      </c>
      <c r="P19" s="7">
        <v>0.65</v>
      </c>
      <c r="Q19" s="52">
        <f t="shared" si="0"/>
        <v>0.65</v>
      </c>
      <c r="R19" s="7">
        <v>15.3</v>
      </c>
      <c r="S19" s="7">
        <v>144</v>
      </c>
      <c r="T19" s="16">
        <f t="shared" si="1"/>
        <v>22</v>
      </c>
      <c r="U19" s="208">
        <v>170</v>
      </c>
      <c r="V19" s="16">
        <f t="shared" si="2"/>
        <v>3740</v>
      </c>
      <c r="W19" s="7">
        <v>3</v>
      </c>
      <c r="X19" s="15" t="s">
        <v>46</v>
      </c>
      <c r="Y19" s="216" t="s">
        <v>55</v>
      </c>
      <c r="Z19" s="216" t="s">
        <v>86</v>
      </c>
      <c r="AA19" s="216" t="s">
        <v>69</v>
      </c>
      <c r="AB19" s="39" t="s">
        <v>346</v>
      </c>
      <c r="AE19" s="35" t="s">
        <v>89</v>
      </c>
      <c r="AP19" s="43" t="s">
        <v>112</v>
      </c>
      <c r="AR19" s="30" t="s">
        <v>126</v>
      </c>
      <c r="AV19" s="23" t="s">
        <v>90</v>
      </c>
    </row>
    <row r="20" spans="1:48" x14ac:dyDescent="0.15">
      <c r="A20" s="15" t="s">
        <v>343</v>
      </c>
      <c r="B20" s="15" t="s">
        <v>344</v>
      </c>
      <c r="C20" s="15">
        <v>2018</v>
      </c>
      <c r="D20" s="37" t="s">
        <v>347</v>
      </c>
      <c r="E20" s="15" t="s">
        <v>144</v>
      </c>
      <c r="F20" s="7" t="s">
        <v>154</v>
      </c>
      <c r="G20" s="7" t="s">
        <v>36</v>
      </c>
      <c r="H20" s="15" t="s">
        <v>157</v>
      </c>
      <c r="I20" s="208" t="s">
        <v>155</v>
      </c>
      <c r="J20" s="15" t="s">
        <v>38</v>
      </c>
      <c r="K20" s="7" t="s">
        <v>156</v>
      </c>
      <c r="L20" s="7">
        <v>1</v>
      </c>
      <c r="N20" s="7">
        <v>1</v>
      </c>
      <c r="O20" s="7">
        <v>0.5</v>
      </c>
      <c r="P20" s="34">
        <v>0.5</v>
      </c>
      <c r="Q20" s="52">
        <f t="shared" si="0"/>
        <v>0.5</v>
      </c>
      <c r="R20" s="7">
        <v>15.4</v>
      </c>
      <c r="S20" s="7">
        <v>120</v>
      </c>
      <c r="T20" s="16">
        <f t="shared" si="1"/>
        <v>30</v>
      </c>
      <c r="U20" s="7">
        <v>105</v>
      </c>
      <c r="V20" s="16">
        <f t="shared" si="2"/>
        <v>3150</v>
      </c>
      <c r="W20" s="7">
        <v>3</v>
      </c>
      <c r="X20" s="15" t="s">
        <v>46</v>
      </c>
      <c r="Y20" s="216" t="s">
        <v>55</v>
      </c>
      <c r="Z20" s="216" t="s">
        <v>86</v>
      </c>
      <c r="AA20" s="15" t="s">
        <v>97</v>
      </c>
      <c r="AB20" s="39" t="s">
        <v>346</v>
      </c>
      <c r="AE20" s="22"/>
      <c r="AP20" s="43" t="s">
        <v>113</v>
      </c>
      <c r="AR20" s="41" t="s">
        <v>105</v>
      </c>
      <c r="AV20" s="27" t="s">
        <v>135</v>
      </c>
    </row>
    <row r="21" spans="1:48" x14ac:dyDescent="0.15">
      <c r="A21" s="15" t="s">
        <v>343</v>
      </c>
      <c r="B21" s="15" t="s">
        <v>344</v>
      </c>
      <c r="C21" s="15">
        <v>2018</v>
      </c>
      <c r="D21" s="37" t="s">
        <v>347</v>
      </c>
      <c r="E21" s="15" t="s">
        <v>144</v>
      </c>
      <c r="F21" s="7" t="s">
        <v>154</v>
      </c>
      <c r="G21" s="7" t="s">
        <v>36</v>
      </c>
      <c r="H21" s="216" t="s">
        <v>157</v>
      </c>
      <c r="I21" s="208" t="s">
        <v>155</v>
      </c>
      <c r="J21" s="216" t="s">
        <v>38</v>
      </c>
      <c r="K21" s="208" t="s">
        <v>156</v>
      </c>
      <c r="L21" s="7">
        <v>2</v>
      </c>
      <c r="N21" s="7">
        <v>1</v>
      </c>
      <c r="O21" s="7">
        <v>0.5</v>
      </c>
      <c r="P21" s="7">
        <v>0.5</v>
      </c>
      <c r="Q21" s="52">
        <f t="shared" si="0"/>
        <v>0.5</v>
      </c>
      <c r="R21" s="7">
        <v>15.1</v>
      </c>
      <c r="S21" s="7">
        <v>121</v>
      </c>
      <c r="T21" s="16">
        <f t="shared" si="1"/>
        <v>27</v>
      </c>
      <c r="U21" s="208">
        <v>105</v>
      </c>
      <c r="V21" s="16">
        <f t="shared" si="2"/>
        <v>2835</v>
      </c>
      <c r="W21" s="7">
        <v>3</v>
      </c>
      <c r="X21" s="15" t="s">
        <v>46</v>
      </c>
      <c r="Y21" s="216" t="s">
        <v>55</v>
      </c>
      <c r="Z21" s="216" t="s">
        <v>86</v>
      </c>
      <c r="AA21" s="216" t="s">
        <v>97</v>
      </c>
      <c r="AB21" s="39" t="s">
        <v>346</v>
      </c>
      <c r="AE21" s="22"/>
      <c r="AP21" s="43" t="s">
        <v>114</v>
      </c>
      <c r="AR21" s="41" t="s">
        <v>68</v>
      </c>
      <c r="AV21" s="27" t="s">
        <v>136</v>
      </c>
    </row>
    <row r="22" spans="1:48" x14ac:dyDescent="0.15">
      <c r="A22" s="15" t="s">
        <v>343</v>
      </c>
      <c r="B22" s="15" t="s">
        <v>344</v>
      </c>
      <c r="C22" s="15">
        <v>2018</v>
      </c>
      <c r="D22" s="37" t="s">
        <v>347</v>
      </c>
      <c r="E22" s="15" t="s">
        <v>144</v>
      </c>
      <c r="F22" s="7" t="s">
        <v>154</v>
      </c>
      <c r="G22" s="7" t="s">
        <v>36</v>
      </c>
      <c r="H22" s="216" t="s">
        <v>157</v>
      </c>
      <c r="I22" s="208" t="s">
        <v>155</v>
      </c>
      <c r="J22" s="216" t="s">
        <v>38</v>
      </c>
      <c r="K22" s="208" t="s">
        <v>156</v>
      </c>
      <c r="L22" s="7">
        <v>3</v>
      </c>
      <c r="N22" s="7">
        <v>1</v>
      </c>
      <c r="O22" s="34">
        <v>0.5</v>
      </c>
      <c r="P22" s="7">
        <v>0.5</v>
      </c>
      <c r="Q22" s="52">
        <f t="shared" si="0"/>
        <v>0.5</v>
      </c>
      <c r="R22" s="7">
        <v>15.3</v>
      </c>
      <c r="S22" s="7">
        <v>126</v>
      </c>
      <c r="T22" s="16">
        <f t="shared" si="1"/>
        <v>27</v>
      </c>
      <c r="U22" s="208">
        <v>105</v>
      </c>
      <c r="V22" s="16">
        <f t="shared" si="2"/>
        <v>2835</v>
      </c>
      <c r="W22" s="7">
        <v>3</v>
      </c>
      <c r="X22" s="15" t="s">
        <v>46</v>
      </c>
      <c r="Y22" s="216" t="s">
        <v>55</v>
      </c>
      <c r="Z22" s="216" t="s">
        <v>86</v>
      </c>
      <c r="AA22" s="216" t="s">
        <v>97</v>
      </c>
      <c r="AB22" s="39" t="s">
        <v>346</v>
      </c>
      <c r="AE22" s="35"/>
      <c r="AP22" s="43" t="s">
        <v>115</v>
      </c>
      <c r="AR22" s="41" t="s">
        <v>83</v>
      </c>
      <c r="AV22" s="27"/>
    </row>
    <row r="23" spans="1:48" x14ac:dyDescent="0.15">
      <c r="A23" s="15" t="s">
        <v>343</v>
      </c>
      <c r="B23" s="15" t="s">
        <v>344</v>
      </c>
      <c r="C23" s="15">
        <v>2018</v>
      </c>
      <c r="D23" s="37" t="s">
        <v>347</v>
      </c>
      <c r="E23" s="7" t="s">
        <v>144</v>
      </c>
      <c r="F23" s="7" t="s">
        <v>154</v>
      </c>
      <c r="G23" s="7" t="s">
        <v>36</v>
      </c>
      <c r="H23" s="15" t="s">
        <v>165</v>
      </c>
      <c r="I23" s="208" t="s">
        <v>155</v>
      </c>
      <c r="J23" s="15" t="s">
        <v>38</v>
      </c>
      <c r="K23" s="7" t="s">
        <v>156</v>
      </c>
      <c r="L23" s="7">
        <v>1</v>
      </c>
      <c r="N23" s="7">
        <v>1</v>
      </c>
      <c r="O23" s="34">
        <v>0.7</v>
      </c>
      <c r="P23" s="7">
        <v>0.7</v>
      </c>
      <c r="Q23" s="52">
        <f t="shared" si="0"/>
        <v>0.7</v>
      </c>
      <c r="R23" s="7">
        <v>16.899999999999999</v>
      </c>
      <c r="S23" s="7">
        <v>141</v>
      </c>
      <c r="T23" s="16">
        <f t="shared" si="1"/>
        <v>22</v>
      </c>
      <c r="U23" s="7">
        <v>149</v>
      </c>
      <c r="V23" s="16">
        <f t="shared" si="2"/>
        <v>3278</v>
      </c>
      <c r="W23" s="7">
        <v>4</v>
      </c>
      <c r="X23" s="15" t="s">
        <v>46</v>
      </c>
      <c r="Y23" s="216" t="s">
        <v>55</v>
      </c>
      <c r="Z23" s="216" t="s">
        <v>86</v>
      </c>
      <c r="AA23" s="216" t="s">
        <v>97</v>
      </c>
      <c r="AB23" s="39" t="s">
        <v>346</v>
      </c>
      <c r="AE23" s="22"/>
      <c r="AP23" s="43" t="s">
        <v>137</v>
      </c>
      <c r="AR23" s="41" t="s">
        <v>61</v>
      </c>
      <c r="AV23" s="27"/>
    </row>
    <row r="24" spans="1:48" x14ac:dyDescent="0.15">
      <c r="A24" s="15" t="s">
        <v>343</v>
      </c>
      <c r="B24" s="15" t="s">
        <v>344</v>
      </c>
      <c r="C24" s="15">
        <v>2018</v>
      </c>
      <c r="D24" s="37" t="s">
        <v>347</v>
      </c>
      <c r="E24" s="7" t="s">
        <v>144</v>
      </c>
      <c r="F24" s="7" t="s">
        <v>154</v>
      </c>
      <c r="G24" s="7" t="s">
        <v>36</v>
      </c>
      <c r="H24" s="216" t="s">
        <v>165</v>
      </c>
      <c r="I24" s="208" t="s">
        <v>155</v>
      </c>
      <c r="J24" s="15" t="s">
        <v>38</v>
      </c>
      <c r="K24" s="7" t="s">
        <v>156</v>
      </c>
      <c r="L24" s="7">
        <v>2</v>
      </c>
      <c r="N24" s="7">
        <v>1</v>
      </c>
      <c r="O24" s="7">
        <v>0.65</v>
      </c>
      <c r="P24" s="7">
        <v>0.65</v>
      </c>
      <c r="Q24" s="52">
        <f t="shared" si="0"/>
        <v>0.65</v>
      </c>
      <c r="R24" s="7">
        <v>19.5</v>
      </c>
      <c r="S24" s="7">
        <v>144</v>
      </c>
      <c r="T24" s="16">
        <f t="shared" si="1"/>
        <v>22</v>
      </c>
      <c r="U24" s="208">
        <v>149</v>
      </c>
      <c r="V24" s="16">
        <f t="shared" si="2"/>
        <v>3278</v>
      </c>
      <c r="W24" s="7">
        <v>4</v>
      </c>
      <c r="X24" s="15" t="s">
        <v>46</v>
      </c>
      <c r="Y24" s="216" t="s">
        <v>55</v>
      </c>
      <c r="Z24" s="216" t="s">
        <v>86</v>
      </c>
      <c r="AA24" s="216" t="s">
        <v>97</v>
      </c>
      <c r="AB24" s="39" t="s">
        <v>346</v>
      </c>
      <c r="AE24" s="22"/>
      <c r="AP24" s="43" t="s">
        <v>138</v>
      </c>
      <c r="AR24" s="41" t="s">
        <v>91</v>
      </c>
      <c r="AV24" s="27"/>
    </row>
    <row r="25" spans="1:48" x14ac:dyDescent="0.15">
      <c r="A25" s="15" t="s">
        <v>343</v>
      </c>
      <c r="B25" s="15" t="s">
        <v>344</v>
      </c>
      <c r="C25" s="15">
        <v>2018</v>
      </c>
      <c r="D25" s="37" t="s">
        <v>347</v>
      </c>
      <c r="E25" s="7" t="s">
        <v>144</v>
      </c>
      <c r="F25" s="7" t="s">
        <v>154</v>
      </c>
      <c r="G25" s="7" t="s">
        <v>36</v>
      </c>
      <c r="H25" s="216" t="s">
        <v>165</v>
      </c>
      <c r="I25" s="208" t="s">
        <v>155</v>
      </c>
      <c r="J25" s="15" t="s">
        <v>38</v>
      </c>
      <c r="K25" s="7" t="s">
        <v>156</v>
      </c>
      <c r="L25" s="7">
        <v>3</v>
      </c>
      <c r="N25" s="7">
        <v>1</v>
      </c>
      <c r="O25" s="7">
        <v>0.6</v>
      </c>
      <c r="P25" s="7">
        <v>0.75</v>
      </c>
      <c r="Q25" s="52">
        <f t="shared" si="0"/>
        <v>0.67500000000000004</v>
      </c>
      <c r="R25" s="7">
        <v>18.3</v>
      </c>
      <c r="S25" s="7">
        <v>136</v>
      </c>
      <c r="T25" s="16">
        <f t="shared" si="1"/>
        <v>25</v>
      </c>
      <c r="U25" s="208">
        <v>149</v>
      </c>
      <c r="V25" s="16">
        <f t="shared" si="2"/>
        <v>3725</v>
      </c>
      <c r="W25" s="7">
        <v>4</v>
      </c>
      <c r="X25" s="15" t="s">
        <v>46</v>
      </c>
      <c r="Y25" s="216" t="s">
        <v>55</v>
      </c>
      <c r="Z25" s="216" t="s">
        <v>86</v>
      </c>
      <c r="AA25" s="216" t="s">
        <v>97</v>
      </c>
      <c r="AB25" s="39" t="s">
        <v>346</v>
      </c>
      <c r="AE25" s="35"/>
      <c r="AP25" s="43" t="s">
        <v>116</v>
      </c>
      <c r="AR25" s="42" t="s">
        <v>92</v>
      </c>
      <c r="AV25" s="27"/>
    </row>
    <row r="26" spans="1:48" x14ac:dyDescent="0.15">
      <c r="A26" s="15" t="s">
        <v>343</v>
      </c>
      <c r="B26" s="15" t="s">
        <v>344</v>
      </c>
      <c r="C26" s="15">
        <v>2018</v>
      </c>
      <c r="D26" s="37" t="s">
        <v>347</v>
      </c>
      <c r="E26" s="7" t="s">
        <v>131</v>
      </c>
      <c r="F26" s="7" t="s">
        <v>145</v>
      </c>
      <c r="G26" s="7" t="s">
        <v>36</v>
      </c>
      <c r="H26" s="15" t="s">
        <v>157</v>
      </c>
      <c r="I26" s="208" t="s">
        <v>155</v>
      </c>
      <c r="J26" s="15" t="s">
        <v>38</v>
      </c>
      <c r="K26" s="7" t="s">
        <v>156</v>
      </c>
      <c r="L26" s="7">
        <v>1</v>
      </c>
      <c r="N26" s="7">
        <v>1</v>
      </c>
      <c r="O26" s="7">
        <v>0.75</v>
      </c>
      <c r="P26" s="7">
        <v>0.65</v>
      </c>
      <c r="Q26" s="52">
        <f t="shared" si="0"/>
        <v>0.7</v>
      </c>
      <c r="R26" s="7">
        <v>14.5</v>
      </c>
      <c r="S26" s="7">
        <v>127</v>
      </c>
      <c r="T26" s="16">
        <f t="shared" si="1"/>
        <v>27</v>
      </c>
      <c r="U26" s="7">
        <v>149</v>
      </c>
      <c r="V26" s="16">
        <f t="shared" si="2"/>
        <v>4023</v>
      </c>
      <c r="W26" s="7">
        <v>5</v>
      </c>
      <c r="X26" s="15" t="s">
        <v>46</v>
      </c>
      <c r="Y26" s="216" t="s">
        <v>86</v>
      </c>
      <c r="Z26" s="216" t="s">
        <v>55</v>
      </c>
      <c r="AA26" s="216" t="s">
        <v>90</v>
      </c>
      <c r="AB26" s="39" t="s">
        <v>346</v>
      </c>
      <c r="AE26" s="35"/>
      <c r="AP26" s="43" t="s">
        <v>117</v>
      </c>
      <c r="AR26" s="23" t="s">
        <v>296</v>
      </c>
      <c r="AV26" s="28"/>
    </row>
    <row r="27" spans="1:48" x14ac:dyDescent="0.15">
      <c r="A27" s="15" t="s">
        <v>343</v>
      </c>
      <c r="B27" s="15" t="s">
        <v>344</v>
      </c>
      <c r="C27" s="15">
        <v>2018</v>
      </c>
      <c r="D27" s="37" t="s">
        <v>347</v>
      </c>
      <c r="E27" s="7" t="s">
        <v>131</v>
      </c>
      <c r="F27" s="7" t="s">
        <v>145</v>
      </c>
      <c r="G27" s="7" t="s">
        <v>36</v>
      </c>
      <c r="H27" s="216" t="s">
        <v>157</v>
      </c>
      <c r="I27" s="208" t="s">
        <v>155</v>
      </c>
      <c r="J27" s="15" t="s">
        <v>38</v>
      </c>
      <c r="K27" s="7" t="s">
        <v>156</v>
      </c>
      <c r="L27" s="7">
        <v>2</v>
      </c>
      <c r="N27" s="7">
        <v>1</v>
      </c>
      <c r="O27" s="7">
        <v>1.05</v>
      </c>
      <c r="P27" s="7">
        <v>1.05</v>
      </c>
      <c r="Q27" s="52">
        <f t="shared" si="0"/>
        <v>1.05</v>
      </c>
      <c r="R27" s="7">
        <v>13.3</v>
      </c>
      <c r="S27" s="7">
        <v>130</v>
      </c>
      <c r="T27" s="16">
        <f t="shared" si="1"/>
        <v>25</v>
      </c>
      <c r="U27" s="208">
        <v>149</v>
      </c>
      <c r="V27" s="16">
        <f t="shared" si="2"/>
        <v>3725</v>
      </c>
      <c r="W27" s="7">
        <v>5</v>
      </c>
      <c r="X27" s="15" t="s">
        <v>46</v>
      </c>
      <c r="Y27" s="216" t="s">
        <v>86</v>
      </c>
      <c r="Z27" s="216" t="s">
        <v>55</v>
      </c>
      <c r="AA27" s="216" t="s">
        <v>90</v>
      </c>
      <c r="AB27" s="39" t="s">
        <v>346</v>
      </c>
      <c r="AE27" s="28"/>
      <c r="AP27" s="43" t="s">
        <v>118</v>
      </c>
      <c r="AR27" s="23"/>
    </row>
    <row r="28" spans="1:48" x14ac:dyDescent="0.15">
      <c r="A28" s="15" t="s">
        <v>343</v>
      </c>
      <c r="B28" s="15" t="s">
        <v>344</v>
      </c>
      <c r="C28" s="15">
        <v>2018</v>
      </c>
      <c r="D28" s="37" t="s">
        <v>347</v>
      </c>
      <c r="E28" s="7" t="s">
        <v>131</v>
      </c>
      <c r="F28" s="7" t="s">
        <v>145</v>
      </c>
      <c r="G28" s="7" t="s">
        <v>36</v>
      </c>
      <c r="H28" s="216" t="s">
        <v>157</v>
      </c>
      <c r="I28" s="208" t="s">
        <v>155</v>
      </c>
      <c r="J28" s="15" t="s">
        <v>38</v>
      </c>
      <c r="K28" s="7" t="s">
        <v>156</v>
      </c>
      <c r="L28" s="7">
        <v>3</v>
      </c>
      <c r="N28" s="7">
        <v>1</v>
      </c>
      <c r="O28" s="7">
        <v>0.75</v>
      </c>
      <c r="P28" s="7">
        <v>0.7</v>
      </c>
      <c r="Q28" s="52">
        <f t="shared" si="0"/>
        <v>0.72499999999999998</v>
      </c>
      <c r="R28" s="7">
        <v>13.3</v>
      </c>
      <c r="S28" s="7">
        <v>128</v>
      </c>
      <c r="T28" s="16">
        <f t="shared" si="1"/>
        <v>27</v>
      </c>
      <c r="U28" s="208">
        <v>149</v>
      </c>
      <c r="V28" s="16">
        <f t="shared" si="2"/>
        <v>4023</v>
      </c>
      <c r="W28" s="7">
        <v>5</v>
      </c>
      <c r="X28" s="15" t="s">
        <v>46</v>
      </c>
      <c r="Y28" s="216" t="s">
        <v>86</v>
      </c>
      <c r="Z28" s="216" t="s">
        <v>55</v>
      </c>
      <c r="AA28" s="216" t="s">
        <v>90</v>
      </c>
      <c r="AB28" s="39" t="s">
        <v>346</v>
      </c>
      <c r="AP28" s="27"/>
      <c r="AR28" s="23"/>
    </row>
    <row r="29" spans="1:48" x14ac:dyDescent="0.15">
      <c r="A29" s="15" t="s">
        <v>343</v>
      </c>
      <c r="B29" s="15" t="s">
        <v>344</v>
      </c>
      <c r="C29" s="15">
        <v>2018</v>
      </c>
      <c r="D29" s="37" t="s">
        <v>347</v>
      </c>
      <c r="E29" s="7" t="s">
        <v>131</v>
      </c>
      <c r="F29" s="7" t="s">
        <v>145</v>
      </c>
      <c r="G29" s="7" t="s">
        <v>36</v>
      </c>
      <c r="H29" s="15" t="s">
        <v>165</v>
      </c>
      <c r="I29" s="208" t="s">
        <v>155</v>
      </c>
      <c r="J29" s="15" t="s">
        <v>38</v>
      </c>
      <c r="K29" s="7" t="s">
        <v>156</v>
      </c>
      <c r="L29" s="7">
        <v>1</v>
      </c>
      <c r="N29" s="7">
        <v>1</v>
      </c>
      <c r="O29" s="7">
        <v>0.85</v>
      </c>
      <c r="P29" s="7">
        <v>0.9</v>
      </c>
      <c r="Q29" s="52">
        <f t="shared" si="0"/>
        <v>0.875</v>
      </c>
      <c r="R29" s="7">
        <v>19.8</v>
      </c>
      <c r="S29" s="7">
        <v>135</v>
      </c>
      <c r="T29" s="16">
        <f t="shared" si="1"/>
        <v>25</v>
      </c>
      <c r="U29" s="7">
        <v>107</v>
      </c>
      <c r="V29" s="16">
        <f t="shared" si="2"/>
        <v>2675</v>
      </c>
      <c r="W29" s="7">
        <v>8</v>
      </c>
      <c r="X29" s="15" t="s">
        <v>46</v>
      </c>
      <c r="Y29" s="216" t="s">
        <v>86</v>
      </c>
      <c r="Z29" s="216" t="s">
        <v>55</v>
      </c>
      <c r="AA29" s="216" t="s">
        <v>90</v>
      </c>
      <c r="AB29" s="39" t="s">
        <v>346</v>
      </c>
      <c r="AP29" s="27"/>
      <c r="AR29" s="27"/>
      <c r="AV29" s="28"/>
    </row>
    <row r="30" spans="1:48" x14ac:dyDescent="0.15">
      <c r="A30" s="15" t="s">
        <v>343</v>
      </c>
      <c r="B30" s="15" t="s">
        <v>344</v>
      </c>
      <c r="C30" s="15">
        <v>2018</v>
      </c>
      <c r="D30" s="37" t="s">
        <v>347</v>
      </c>
      <c r="E30" s="7" t="s">
        <v>131</v>
      </c>
      <c r="F30" s="7" t="s">
        <v>145</v>
      </c>
      <c r="G30" s="7" t="s">
        <v>36</v>
      </c>
      <c r="H30" s="216" t="s">
        <v>165</v>
      </c>
      <c r="I30" s="208" t="s">
        <v>155</v>
      </c>
      <c r="J30" s="15" t="s">
        <v>38</v>
      </c>
      <c r="K30" s="7" t="s">
        <v>156</v>
      </c>
      <c r="L30" s="7">
        <v>2</v>
      </c>
      <c r="N30" s="7">
        <v>1</v>
      </c>
      <c r="O30" s="7">
        <v>0.8</v>
      </c>
      <c r="P30" s="7">
        <v>0.85</v>
      </c>
      <c r="Q30" s="52">
        <f t="shared" si="0"/>
        <v>0.82499999999999996</v>
      </c>
      <c r="R30" s="7">
        <v>20.3</v>
      </c>
      <c r="S30" s="7">
        <v>133</v>
      </c>
      <c r="T30" s="16">
        <f t="shared" si="1"/>
        <v>25</v>
      </c>
      <c r="U30" s="208">
        <v>107</v>
      </c>
      <c r="V30" s="16">
        <f t="shared" si="2"/>
        <v>2675</v>
      </c>
      <c r="W30" s="7">
        <v>8</v>
      </c>
      <c r="X30" s="15" t="s">
        <v>46</v>
      </c>
      <c r="Y30" s="216" t="s">
        <v>86</v>
      </c>
      <c r="Z30" s="216" t="s">
        <v>55</v>
      </c>
      <c r="AA30" s="216" t="s">
        <v>90</v>
      </c>
      <c r="AB30" s="39" t="s">
        <v>346</v>
      </c>
      <c r="AP30" s="27"/>
      <c r="AR30" s="27"/>
    </row>
    <row r="31" spans="1:48" x14ac:dyDescent="0.15">
      <c r="A31" s="15" t="s">
        <v>343</v>
      </c>
      <c r="B31" s="15" t="s">
        <v>344</v>
      </c>
      <c r="C31" s="15">
        <v>2018</v>
      </c>
      <c r="D31" s="37" t="s">
        <v>347</v>
      </c>
      <c r="E31" s="7" t="s">
        <v>131</v>
      </c>
      <c r="F31" s="7" t="s">
        <v>145</v>
      </c>
      <c r="G31" s="7" t="s">
        <v>36</v>
      </c>
      <c r="H31" s="216" t="s">
        <v>165</v>
      </c>
      <c r="I31" s="208" t="s">
        <v>155</v>
      </c>
      <c r="J31" s="15" t="s">
        <v>38</v>
      </c>
      <c r="K31" s="7" t="s">
        <v>156</v>
      </c>
      <c r="L31" s="7">
        <v>3</v>
      </c>
      <c r="N31" s="7">
        <v>1</v>
      </c>
      <c r="O31" s="7">
        <v>0.9</v>
      </c>
      <c r="P31" s="7">
        <v>1</v>
      </c>
      <c r="Q31" s="52">
        <f t="shared" si="0"/>
        <v>0.95</v>
      </c>
      <c r="R31" s="7">
        <v>16.899999999999999</v>
      </c>
      <c r="S31" s="7">
        <v>132</v>
      </c>
      <c r="T31" s="16">
        <f t="shared" si="1"/>
        <v>25</v>
      </c>
      <c r="U31" s="208">
        <v>107</v>
      </c>
      <c r="V31" s="16">
        <f t="shared" si="2"/>
        <v>2675</v>
      </c>
      <c r="W31" s="7">
        <v>8</v>
      </c>
      <c r="X31" s="15" t="s">
        <v>46</v>
      </c>
      <c r="Y31" s="216" t="s">
        <v>86</v>
      </c>
      <c r="Z31" s="216" t="s">
        <v>55</v>
      </c>
      <c r="AA31" s="216" t="s">
        <v>90</v>
      </c>
      <c r="AB31" s="39" t="s">
        <v>346</v>
      </c>
      <c r="AP31" s="27"/>
      <c r="AR31" s="27"/>
    </row>
    <row r="32" spans="1:48" x14ac:dyDescent="0.15">
      <c r="A32" s="15" t="s">
        <v>343</v>
      </c>
      <c r="B32" s="15" t="s">
        <v>344</v>
      </c>
      <c r="C32" s="15">
        <v>2018</v>
      </c>
      <c r="D32" s="37" t="s">
        <v>347</v>
      </c>
      <c r="E32" s="7" t="s">
        <v>139</v>
      </c>
      <c r="F32" s="7" t="s">
        <v>146</v>
      </c>
      <c r="G32" s="7" t="s">
        <v>36</v>
      </c>
      <c r="H32" s="15" t="s">
        <v>157</v>
      </c>
      <c r="I32" s="208" t="s">
        <v>155</v>
      </c>
      <c r="J32" s="15" t="s">
        <v>38</v>
      </c>
      <c r="K32" s="7" t="s">
        <v>156</v>
      </c>
      <c r="L32" s="7">
        <v>1</v>
      </c>
      <c r="N32" s="7">
        <v>1</v>
      </c>
      <c r="O32" s="7">
        <v>0.5</v>
      </c>
      <c r="P32" s="7">
        <v>0.5</v>
      </c>
      <c r="Q32" s="52">
        <f t="shared" si="0"/>
        <v>0.5</v>
      </c>
      <c r="R32" s="7">
        <v>13.4</v>
      </c>
      <c r="S32" s="7">
        <v>112</v>
      </c>
      <c r="T32" s="16">
        <f t="shared" si="1"/>
        <v>33</v>
      </c>
      <c r="U32" s="7">
        <v>100</v>
      </c>
      <c r="V32" s="16">
        <f t="shared" si="2"/>
        <v>3300</v>
      </c>
      <c r="W32" s="7">
        <v>5</v>
      </c>
      <c r="X32" s="15" t="s">
        <v>46</v>
      </c>
      <c r="Y32" s="216" t="s">
        <v>55</v>
      </c>
      <c r="Z32" s="216" t="s">
        <v>86</v>
      </c>
      <c r="AA32" s="15" t="s">
        <v>97</v>
      </c>
      <c r="AB32" s="39" t="s">
        <v>346</v>
      </c>
      <c r="AP32" s="28"/>
      <c r="AR32" s="28"/>
    </row>
    <row r="33" spans="1:44" x14ac:dyDescent="0.15">
      <c r="A33" s="15" t="s">
        <v>343</v>
      </c>
      <c r="B33" s="15" t="s">
        <v>344</v>
      </c>
      <c r="C33" s="15">
        <v>2018</v>
      </c>
      <c r="D33" s="37" t="s">
        <v>347</v>
      </c>
      <c r="E33" s="7" t="s">
        <v>139</v>
      </c>
      <c r="F33" s="7" t="s">
        <v>146</v>
      </c>
      <c r="G33" s="7" t="s">
        <v>36</v>
      </c>
      <c r="H33" s="216" t="s">
        <v>157</v>
      </c>
      <c r="I33" s="208" t="s">
        <v>155</v>
      </c>
      <c r="J33" s="15" t="s">
        <v>38</v>
      </c>
      <c r="K33" s="7" t="s">
        <v>156</v>
      </c>
      <c r="L33" s="7">
        <v>2</v>
      </c>
      <c r="N33" s="7">
        <v>1</v>
      </c>
      <c r="O33" s="7">
        <v>0.5</v>
      </c>
      <c r="P33" s="7">
        <v>0.55000000000000004</v>
      </c>
      <c r="Q33" s="52">
        <f t="shared" si="0"/>
        <v>0.52500000000000002</v>
      </c>
      <c r="R33" s="7">
        <v>14.8</v>
      </c>
      <c r="S33" s="7">
        <v>112</v>
      </c>
      <c r="T33" s="16">
        <f t="shared" si="1"/>
        <v>33</v>
      </c>
      <c r="U33" s="208">
        <v>100</v>
      </c>
      <c r="V33" s="16">
        <f t="shared" si="2"/>
        <v>3300</v>
      </c>
      <c r="W33" s="7">
        <v>5</v>
      </c>
      <c r="X33" s="15" t="s">
        <v>46</v>
      </c>
      <c r="Y33" s="216" t="s">
        <v>55</v>
      </c>
      <c r="Z33" s="216" t="s">
        <v>86</v>
      </c>
      <c r="AA33" s="216" t="s">
        <v>97</v>
      </c>
      <c r="AB33" s="39" t="s">
        <v>346</v>
      </c>
    </row>
    <row r="34" spans="1:44" x14ac:dyDescent="0.15">
      <c r="A34" s="15" t="s">
        <v>343</v>
      </c>
      <c r="B34" s="15" t="s">
        <v>344</v>
      </c>
      <c r="C34" s="15">
        <v>2018</v>
      </c>
      <c r="D34" s="37" t="s">
        <v>347</v>
      </c>
      <c r="E34" s="7" t="s">
        <v>139</v>
      </c>
      <c r="F34" s="7" t="s">
        <v>146</v>
      </c>
      <c r="G34" s="7" t="s">
        <v>36</v>
      </c>
      <c r="H34" s="216" t="s">
        <v>157</v>
      </c>
      <c r="I34" s="208" t="s">
        <v>155</v>
      </c>
      <c r="J34" s="15" t="s">
        <v>38</v>
      </c>
      <c r="K34" s="7" t="s">
        <v>156</v>
      </c>
      <c r="L34" s="7">
        <v>3</v>
      </c>
      <c r="N34" s="7">
        <v>1</v>
      </c>
      <c r="O34" s="7">
        <v>0.65</v>
      </c>
      <c r="P34" s="7">
        <v>0.75</v>
      </c>
      <c r="Q34" s="52">
        <f t="shared" si="0"/>
        <v>0.7</v>
      </c>
      <c r="R34" s="7">
        <v>14.3</v>
      </c>
      <c r="S34" s="7">
        <v>109</v>
      </c>
      <c r="T34" s="16">
        <f t="shared" si="1"/>
        <v>33</v>
      </c>
      <c r="U34" s="208">
        <v>100</v>
      </c>
      <c r="V34" s="16">
        <f t="shared" si="2"/>
        <v>3300</v>
      </c>
      <c r="W34" s="7">
        <v>5</v>
      </c>
      <c r="X34" s="15" t="s">
        <v>46</v>
      </c>
      <c r="Y34" s="216" t="s">
        <v>55</v>
      </c>
      <c r="Z34" s="216" t="s">
        <v>86</v>
      </c>
      <c r="AA34" s="216" t="s">
        <v>97</v>
      </c>
      <c r="AB34" s="39" t="s">
        <v>346</v>
      </c>
    </row>
    <row r="35" spans="1:44" x14ac:dyDescent="0.15">
      <c r="A35" s="15" t="s">
        <v>343</v>
      </c>
      <c r="B35" s="15" t="s">
        <v>344</v>
      </c>
      <c r="C35" s="15">
        <v>2018</v>
      </c>
      <c r="D35" s="37" t="s">
        <v>347</v>
      </c>
      <c r="E35" s="7" t="s">
        <v>139</v>
      </c>
      <c r="F35" s="7" t="s">
        <v>146</v>
      </c>
      <c r="G35" s="7" t="s">
        <v>36</v>
      </c>
      <c r="H35" s="216" t="s">
        <v>165</v>
      </c>
      <c r="I35" s="208" t="s">
        <v>155</v>
      </c>
      <c r="J35" s="15" t="s">
        <v>38</v>
      </c>
      <c r="K35" s="7" t="s">
        <v>156</v>
      </c>
      <c r="L35" s="7">
        <v>1</v>
      </c>
      <c r="N35" s="7">
        <v>1</v>
      </c>
      <c r="O35" s="7">
        <v>0.55000000000000004</v>
      </c>
      <c r="P35" s="7">
        <v>0.6</v>
      </c>
      <c r="Q35" s="52">
        <f t="shared" si="0"/>
        <v>0.57499999999999996</v>
      </c>
      <c r="R35" s="7">
        <v>16.7</v>
      </c>
      <c r="S35" s="7">
        <v>156</v>
      </c>
      <c r="T35" s="16">
        <f t="shared" si="1"/>
        <v>18</v>
      </c>
      <c r="U35" s="7">
        <v>171</v>
      </c>
      <c r="V35" s="16">
        <f t="shared" si="2"/>
        <v>3078</v>
      </c>
      <c r="W35" s="7">
        <v>14</v>
      </c>
      <c r="X35" s="15" t="s">
        <v>46</v>
      </c>
      <c r="Y35" s="216" t="s">
        <v>55</v>
      </c>
      <c r="Z35" s="216" t="s">
        <v>86</v>
      </c>
      <c r="AA35" s="216" t="s">
        <v>97</v>
      </c>
      <c r="AB35" s="39" t="s">
        <v>346</v>
      </c>
      <c r="AP35" s="28"/>
      <c r="AR35" s="28"/>
    </row>
    <row r="36" spans="1:44" x14ac:dyDescent="0.15">
      <c r="A36" s="15" t="s">
        <v>343</v>
      </c>
      <c r="B36" s="15" t="s">
        <v>344</v>
      </c>
      <c r="C36" s="15">
        <v>2018</v>
      </c>
      <c r="D36" s="37" t="s">
        <v>347</v>
      </c>
      <c r="E36" s="7" t="s">
        <v>139</v>
      </c>
      <c r="F36" s="7" t="s">
        <v>146</v>
      </c>
      <c r="G36" s="7" t="s">
        <v>36</v>
      </c>
      <c r="H36" s="216" t="s">
        <v>165</v>
      </c>
      <c r="I36" s="208" t="s">
        <v>155</v>
      </c>
      <c r="J36" s="15" t="s">
        <v>38</v>
      </c>
      <c r="K36" s="7" t="s">
        <v>156</v>
      </c>
      <c r="L36" s="7">
        <v>2</v>
      </c>
      <c r="N36" s="7">
        <v>1</v>
      </c>
      <c r="O36" s="7">
        <v>0.65</v>
      </c>
      <c r="P36" s="7">
        <v>0.55000000000000004</v>
      </c>
      <c r="Q36" s="52">
        <f t="shared" si="0"/>
        <v>0.60000000000000009</v>
      </c>
      <c r="R36" s="7">
        <v>18.899999999999999</v>
      </c>
      <c r="S36" s="7">
        <v>166</v>
      </c>
      <c r="T36" s="16">
        <f t="shared" si="1"/>
        <v>18</v>
      </c>
      <c r="U36" s="208">
        <v>171</v>
      </c>
      <c r="V36" s="16">
        <f t="shared" si="2"/>
        <v>3078</v>
      </c>
      <c r="W36" s="7">
        <v>14</v>
      </c>
      <c r="X36" s="15" t="s">
        <v>46</v>
      </c>
      <c r="Y36" s="216" t="s">
        <v>55</v>
      </c>
      <c r="Z36" s="216" t="s">
        <v>86</v>
      </c>
      <c r="AA36" s="216" t="s">
        <v>97</v>
      </c>
      <c r="AB36" s="39" t="s">
        <v>346</v>
      </c>
    </row>
    <row r="37" spans="1:44" x14ac:dyDescent="0.15">
      <c r="A37" s="15" t="s">
        <v>343</v>
      </c>
      <c r="B37" s="15" t="s">
        <v>344</v>
      </c>
      <c r="C37" s="15">
        <v>2018</v>
      </c>
      <c r="D37" s="37" t="s">
        <v>347</v>
      </c>
      <c r="E37" s="7" t="s">
        <v>139</v>
      </c>
      <c r="F37" s="7" t="s">
        <v>146</v>
      </c>
      <c r="G37" s="7" t="s">
        <v>36</v>
      </c>
      <c r="H37" s="216" t="s">
        <v>165</v>
      </c>
      <c r="I37" s="208" t="s">
        <v>155</v>
      </c>
      <c r="J37" s="15" t="s">
        <v>38</v>
      </c>
      <c r="K37" s="7" t="s">
        <v>156</v>
      </c>
      <c r="L37" s="7">
        <v>3</v>
      </c>
      <c r="N37" s="7">
        <v>1</v>
      </c>
      <c r="O37" s="34">
        <v>0.6</v>
      </c>
      <c r="P37" s="34">
        <v>0.6</v>
      </c>
      <c r="Q37" s="52">
        <f t="shared" si="0"/>
        <v>0.6</v>
      </c>
      <c r="R37" s="7">
        <v>15.4</v>
      </c>
      <c r="S37" s="7">
        <v>165</v>
      </c>
      <c r="T37" s="16">
        <f t="shared" si="1"/>
        <v>18</v>
      </c>
      <c r="U37" s="208">
        <v>171</v>
      </c>
      <c r="V37" s="16">
        <f t="shared" si="2"/>
        <v>3078</v>
      </c>
      <c r="W37" s="7">
        <v>14</v>
      </c>
      <c r="X37" s="15" t="s">
        <v>46</v>
      </c>
      <c r="Y37" s="216" t="s">
        <v>55</v>
      </c>
      <c r="Z37" s="216" t="s">
        <v>86</v>
      </c>
      <c r="AA37" s="216" t="s">
        <v>97</v>
      </c>
      <c r="AB37" s="39" t="s">
        <v>346</v>
      </c>
    </row>
    <row r="38" spans="1:44" x14ac:dyDescent="0.15">
      <c r="A38" s="15" t="s">
        <v>343</v>
      </c>
      <c r="B38" s="15" t="s">
        <v>344</v>
      </c>
      <c r="C38" s="15">
        <v>2018</v>
      </c>
      <c r="D38" s="37" t="s">
        <v>347</v>
      </c>
      <c r="E38" s="7" t="s">
        <v>140</v>
      </c>
      <c r="F38" s="7" t="s">
        <v>147</v>
      </c>
      <c r="G38" s="7" t="s">
        <v>36</v>
      </c>
      <c r="H38" s="216" t="s">
        <v>157</v>
      </c>
      <c r="I38" s="7" t="s">
        <v>155</v>
      </c>
      <c r="J38" s="216" t="s">
        <v>38</v>
      </c>
      <c r="K38" s="208" t="s">
        <v>156</v>
      </c>
      <c r="L38" s="7">
        <v>1</v>
      </c>
      <c r="N38" s="7">
        <v>1</v>
      </c>
      <c r="O38" s="34">
        <v>0.5</v>
      </c>
      <c r="P38" s="34">
        <v>0.5</v>
      </c>
      <c r="Q38" s="52">
        <f t="shared" si="0"/>
        <v>0.5</v>
      </c>
      <c r="R38" s="7">
        <v>14.2</v>
      </c>
      <c r="S38" s="7">
        <v>177</v>
      </c>
      <c r="T38" s="16">
        <f t="shared" si="1"/>
        <v>18</v>
      </c>
      <c r="U38" s="7">
        <v>129</v>
      </c>
      <c r="V38" s="16">
        <f t="shared" si="2"/>
        <v>2322</v>
      </c>
      <c r="W38" s="7">
        <v>6</v>
      </c>
      <c r="X38" s="15" t="s">
        <v>46</v>
      </c>
      <c r="Y38" s="216" t="s">
        <v>86</v>
      </c>
      <c r="Z38" s="216" t="s">
        <v>55</v>
      </c>
      <c r="AA38" s="216" t="s">
        <v>69</v>
      </c>
      <c r="AB38" s="39" t="s">
        <v>346</v>
      </c>
    </row>
    <row r="39" spans="1:44" x14ac:dyDescent="0.15">
      <c r="A39" s="15" t="s">
        <v>343</v>
      </c>
      <c r="B39" s="15" t="s">
        <v>344</v>
      </c>
      <c r="C39" s="15">
        <v>2018</v>
      </c>
      <c r="D39" s="37" t="s">
        <v>347</v>
      </c>
      <c r="E39" s="7" t="s">
        <v>140</v>
      </c>
      <c r="F39" s="7" t="s">
        <v>147</v>
      </c>
      <c r="G39" s="7" t="s">
        <v>36</v>
      </c>
      <c r="H39" s="216" t="s">
        <v>157</v>
      </c>
      <c r="I39" s="208" t="s">
        <v>155</v>
      </c>
      <c r="J39" s="216" t="s">
        <v>38</v>
      </c>
      <c r="K39" s="208" t="s">
        <v>156</v>
      </c>
      <c r="L39" s="7">
        <v>2</v>
      </c>
      <c r="N39" s="7">
        <v>1</v>
      </c>
      <c r="O39" s="7">
        <v>0.5</v>
      </c>
      <c r="P39" s="7">
        <v>0.5</v>
      </c>
      <c r="Q39" s="52">
        <f t="shared" si="0"/>
        <v>0.5</v>
      </c>
      <c r="R39" s="34">
        <v>16.3</v>
      </c>
      <c r="S39" s="7">
        <v>192</v>
      </c>
      <c r="T39" s="16">
        <f t="shared" si="1"/>
        <v>16</v>
      </c>
      <c r="U39" s="208">
        <v>129</v>
      </c>
      <c r="V39" s="16">
        <f t="shared" si="2"/>
        <v>2064</v>
      </c>
      <c r="W39" s="7">
        <v>6</v>
      </c>
      <c r="X39" s="15" t="s">
        <v>46</v>
      </c>
      <c r="Y39" s="216" t="s">
        <v>86</v>
      </c>
      <c r="Z39" s="216" t="s">
        <v>55</v>
      </c>
      <c r="AA39" s="216" t="s">
        <v>69</v>
      </c>
      <c r="AB39" s="39" t="s">
        <v>346</v>
      </c>
    </row>
    <row r="40" spans="1:44" x14ac:dyDescent="0.15">
      <c r="A40" s="15" t="s">
        <v>343</v>
      </c>
      <c r="B40" s="15" t="s">
        <v>344</v>
      </c>
      <c r="C40" s="15">
        <v>2018</v>
      </c>
      <c r="D40" s="37" t="s">
        <v>347</v>
      </c>
      <c r="E40" s="7" t="s">
        <v>140</v>
      </c>
      <c r="F40" s="7" t="s">
        <v>147</v>
      </c>
      <c r="G40" s="7" t="s">
        <v>36</v>
      </c>
      <c r="H40" s="216" t="s">
        <v>157</v>
      </c>
      <c r="I40" s="208" t="s">
        <v>155</v>
      </c>
      <c r="J40" s="216" t="s">
        <v>38</v>
      </c>
      <c r="K40" s="208" t="s">
        <v>156</v>
      </c>
      <c r="L40" s="7">
        <v>3</v>
      </c>
      <c r="N40" s="7">
        <v>1</v>
      </c>
      <c r="O40" s="7">
        <v>0.5</v>
      </c>
      <c r="P40" s="7">
        <v>0.5</v>
      </c>
      <c r="Q40" s="52">
        <f t="shared" si="0"/>
        <v>0.5</v>
      </c>
      <c r="R40" s="7">
        <v>15.5</v>
      </c>
      <c r="S40" s="7">
        <v>165</v>
      </c>
      <c r="T40" s="16">
        <f t="shared" si="1"/>
        <v>18</v>
      </c>
      <c r="U40" s="208">
        <v>129</v>
      </c>
      <c r="V40" s="16">
        <f t="shared" si="2"/>
        <v>2322</v>
      </c>
      <c r="W40" s="7">
        <v>6</v>
      </c>
      <c r="X40" s="15" t="s">
        <v>46</v>
      </c>
      <c r="Y40" s="216" t="s">
        <v>86</v>
      </c>
      <c r="Z40" s="216" t="s">
        <v>55</v>
      </c>
      <c r="AA40" s="216" t="s">
        <v>69</v>
      </c>
      <c r="AB40" s="39" t="s">
        <v>346</v>
      </c>
    </row>
    <row r="41" spans="1:44" ht="12.75" customHeight="1" x14ac:dyDescent="0.15">
      <c r="A41" s="15" t="s">
        <v>343</v>
      </c>
      <c r="B41" s="15" t="s">
        <v>344</v>
      </c>
      <c r="C41" s="15">
        <v>2018</v>
      </c>
      <c r="D41" s="37" t="s">
        <v>347</v>
      </c>
      <c r="E41" s="7" t="s">
        <v>140</v>
      </c>
      <c r="F41" s="7" t="s">
        <v>147</v>
      </c>
      <c r="G41" s="7" t="s">
        <v>36</v>
      </c>
      <c r="H41" s="15" t="s">
        <v>165</v>
      </c>
      <c r="I41" s="7" t="s">
        <v>155</v>
      </c>
      <c r="J41" s="15" t="s">
        <v>38</v>
      </c>
      <c r="K41" s="7" t="s">
        <v>156</v>
      </c>
      <c r="L41" s="7">
        <v>1</v>
      </c>
      <c r="N41" s="7">
        <v>1</v>
      </c>
      <c r="O41" s="7">
        <v>0.5</v>
      </c>
      <c r="P41" s="7">
        <v>0.6</v>
      </c>
      <c r="Q41" s="52">
        <f t="shared" si="0"/>
        <v>0.55000000000000004</v>
      </c>
      <c r="R41" s="7">
        <v>15.4</v>
      </c>
      <c r="S41" s="7">
        <v>158</v>
      </c>
      <c r="T41" s="16">
        <f t="shared" si="1"/>
        <v>18</v>
      </c>
      <c r="U41" s="7">
        <v>129</v>
      </c>
      <c r="V41" s="16">
        <f t="shared" si="2"/>
        <v>2322</v>
      </c>
      <c r="W41" s="7">
        <v>4</v>
      </c>
      <c r="X41" s="15" t="s">
        <v>46</v>
      </c>
      <c r="Y41" s="216" t="s">
        <v>86</v>
      </c>
      <c r="Z41" s="216" t="s">
        <v>55</v>
      </c>
      <c r="AA41" s="216" t="s">
        <v>69</v>
      </c>
      <c r="AB41" s="39" t="s">
        <v>346</v>
      </c>
    </row>
    <row r="42" spans="1:44" x14ac:dyDescent="0.15">
      <c r="A42" s="15" t="s">
        <v>343</v>
      </c>
      <c r="B42" s="15" t="s">
        <v>344</v>
      </c>
      <c r="C42" s="15">
        <v>2018</v>
      </c>
      <c r="D42" s="37" t="s">
        <v>347</v>
      </c>
      <c r="E42" s="7" t="s">
        <v>140</v>
      </c>
      <c r="F42" s="7" t="s">
        <v>147</v>
      </c>
      <c r="G42" s="7" t="s">
        <v>36</v>
      </c>
      <c r="H42" s="216" t="s">
        <v>165</v>
      </c>
      <c r="I42" s="208" t="s">
        <v>155</v>
      </c>
      <c r="J42" s="15" t="s">
        <v>38</v>
      </c>
      <c r="K42" s="7" t="s">
        <v>156</v>
      </c>
      <c r="L42" s="7">
        <v>2</v>
      </c>
      <c r="N42" s="7">
        <v>1</v>
      </c>
      <c r="O42" s="7">
        <v>0.6</v>
      </c>
      <c r="P42" s="7">
        <v>0.6</v>
      </c>
      <c r="Q42" s="52">
        <f t="shared" si="0"/>
        <v>0.6</v>
      </c>
      <c r="R42" s="7">
        <v>16.7</v>
      </c>
      <c r="S42" s="7">
        <v>158</v>
      </c>
      <c r="T42" s="16">
        <f t="shared" si="1"/>
        <v>18</v>
      </c>
      <c r="U42" s="208">
        <v>129</v>
      </c>
      <c r="V42" s="16">
        <f t="shared" si="2"/>
        <v>2322</v>
      </c>
      <c r="W42" s="7">
        <v>4</v>
      </c>
      <c r="X42" s="15" t="s">
        <v>46</v>
      </c>
      <c r="Y42" s="216" t="s">
        <v>86</v>
      </c>
      <c r="Z42" s="216" t="s">
        <v>55</v>
      </c>
      <c r="AA42" s="216" t="s">
        <v>69</v>
      </c>
      <c r="AB42" s="39" t="s">
        <v>346</v>
      </c>
    </row>
    <row r="43" spans="1:44" x14ac:dyDescent="0.15">
      <c r="A43" s="15" t="s">
        <v>343</v>
      </c>
      <c r="B43" s="15" t="s">
        <v>344</v>
      </c>
      <c r="C43" s="15">
        <v>2018</v>
      </c>
      <c r="D43" s="37" t="s">
        <v>347</v>
      </c>
      <c r="E43" s="7" t="s">
        <v>140</v>
      </c>
      <c r="F43" s="7" t="s">
        <v>147</v>
      </c>
      <c r="G43" s="7" t="s">
        <v>36</v>
      </c>
      <c r="H43" s="216" t="s">
        <v>165</v>
      </c>
      <c r="I43" s="208" t="s">
        <v>155</v>
      </c>
      <c r="J43" s="15" t="s">
        <v>38</v>
      </c>
      <c r="K43" s="7" t="s">
        <v>156</v>
      </c>
      <c r="L43" s="7">
        <v>3</v>
      </c>
      <c r="N43" s="7">
        <v>1</v>
      </c>
      <c r="O43" s="7">
        <v>0.6</v>
      </c>
      <c r="P43" s="7">
        <v>0.65</v>
      </c>
      <c r="Q43" s="52">
        <f t="shared" si="0"/>
        <v>0.625</v>
      </c>
      <c r="R43" s="7">
        <v>16.600000000000001</v>
      </c>
      <c r="S43" s="7">
        <v>152</v>
      </c>
      <c r="T43" s="16">
        <f t="shared" si="1"/>
        <v>18</v>
      </c>
      <c r="U43" s="208">
        <v>129</v>
      </c>
      <c r="V43" s="16">
        <f t="shared" si="2"/>
        <v>2322</v>
      </c>
      <c r="W43" s="7">
        <v>4</v>
      </c>
      <c r="X43" s="15" t="s">
        <v>46</v>
      </c>
      <c r="Y43" s="216" t="s">
        <v>86</v>
      </c>
      <c r="Z43" s="216" t="s">
        <v>55</v>
      </c>
      <c r="AA43" s="216" t="s">
        <v>69</v>
      </c>
      <c r="AB43" s="39" t="s">
        <v>346</v>
      </c>
    </row>
    <row r="44" spans="1:44" x14ac:dyDescent="0.15">
      <c r="A44" s="15" t="s">
        <v>343</v>
      </c>
      <c r="B44" s="15" t="s">
        <v>344</v>
      </c>
      <c r="C44" s="15">
        <v>2018</v>
      </c>
      <c r="D44" s="37" t="s">
        <v>347</v>
      </c>
      <c r="E44" s="7" t="s">
        <v>130</v>
      </c>
      <c r="F44" s="7" t="s">
        <v>148</v>
      </c>
      <c r="G44" s="7" t="s">
        <v>36</v>
      </c>
      <c r="H44" s="15" t="s">
        <v>157</v>
      </c>
      <c r="I44" s="208" t="s">
        <v>155</v>
      </c>
      <c r="J44" s="15" t="s">
        <v>38</v>
      </c>
      <c r="K44" s="7" t="s">
        <v>156</v>
      </c>
      <c r="L44" s="7">
        <v>1</v>
      </c>
      <c r="N44" s="7">
        <v>1</v>
      </c>
      <c r="O44" s="7">
        <v>0.65</v>
      </c>
      <c r="P44" s="7">
        <v>0.5</v>
      </c>
      <c r="Q44" s="52">
        <f t="shared" si="0"/>
        <v>0.57499999999999996</v>
      </c>
      <c r="R44" s="7">
        <v>15.1</v>
      </c>
      <c r="S44" s="7">
        <v>122</v>
      </c>
      <c r="T44" s="16">
        <f t="shared" si="1"/>
        <v>27</v>
      </c>
      <c r="U44" s="7">
        <v>106</v>
      </c>
      <c r="V44" s="16">
        <f t="shared" si="2"/>
        <v>2862</v>
      </c>
      <c r="W44" s="7">
        <v>6</v>
      </c>
      <c r="X44" s="15" t="s">
        <v>46</v>
      </c>
      <c r="Y44" s="216" t="s">
        <v>55</v>
      </c>
      <c r="Z44" s="216" t="s">
        <v>86</v>
      </c>
      <c r="AA44" s="216" t="s">
        <v>47</v>
      </c>
      <c r="AB44" s="39" t="s">
        <v>346</v>
      </c>
    </row>
    <row r="45" spans="1:44" x14ac:dyDescent="0.15">
      <c r="A45" s="15" t="s">
        <v>343</v>
      </c>
      <c r="B45" s="15" t="s">
        <v>344</v>
      </c>
      <c r="C45" s="15">
        <v>2018</v>
      </c>
      <c r="D45" s="37" t="s">
        <v>347</v>
      </c>
      <c r="E45" s="7" t="s">
        <v>130</v>
      </c>
      <c r="F45" s="7" t="s">
        <v>148</v>
      </c>
      <c r="G45" s="7" t="s">
        <v>36</v>
      </c>
      <c r="H45" s="216" t="s">
        <v>157</v>
      </c>
      <c r="I45" s="208" t="s">
        <v>155</v>
      </c>
      <c r="J45" s="15" t="s">
        <v>38</v>
      </c>
      <c r="K45" s="7" t="s">
        <v>156</v>
      </c>
      <c r="L45" s="7">
        <v>2</v>
      </c>
      <c r="N45" s="7">
        <v>1</v>
      </c>
      <c r="O45" s="7">
        <v>0.8</v>
      </c>
      <c r="P45" s="7">
        <v>0.7</v>
      </c>
      <c r="Q45" s="52">
        <f t="shared" si="0"/>
        <v>0.75</v>
      </c>
      <c r="R45" s="7">
        <v>15.3</v>
      </c>
      <c r="S45" s="7">
        <v>127</v>
      </c>
      <c r="T45" s="16">
        <f t="shared" si="1"/>
        <v>27</v>
      </c>
      <c r="U45" s="208">
        <v>106</v>
      </c>
      <c r="V45" s="16">
        <f t="shared" si="2"/>
        <v>2862</v>
      </c>
      <c r="W45" s="7">
        <v>6</v>
      </c>
      <c r="X45" s="15" t="s">
        <v>46</v>
      </c>
      <c r="Y45" s="216" t="s">
        <v>55</v>
      </c>
      <c r="Z45" s="216" t="s">
        <v>86</v>
      </c>
      <c r="AA45" s="216" t="s">
        <v>47</v>
      </c>
      <c r="AB45" s="39" t="s">
        <v>346</v>
      </c>
    </row>
    <row r="46" spans="1:44" x14ac:dyDescent="0.15">
      <c r="A46" s="15" t="s">
        <v>343</v>
      </c>
      <c r="B46" s="15" t="s">
        <v>344</v>
      </c>
      <c r="C46" s="15">
        <v>2018</v>
      </c>
      <c r="D46" s="37" t="s">
        <v>347</v>
      </c>
      <c r="E46" s="7" t="s">
        <v>130</v>
      </c>
      <c r="F46" s="7" t="s">
        <v>148</v>
      </c>
      <c r="G46" s="7" t="s">
        <v>36</v>
      </c>
      <c r="H46" s="216" t="s">
        <v>157</v>
      </c>
      <c r="I46" s="208" t="s">
        <v>155</v>
      </c>
      <c r="J46" s="15" t="s">
        <v>38</v>
      </c>
      <c r="K46" s="7" t="s">
        <v>156</v>
      </c>
      <c r="L46" s="7">
        <v>3</v>
      </c>
      <c r="N46" s="7">
        <v>1</v>
      </c>
      <c r="O46" s="7">
        <v>0.85</v>
      </c>
      <c r="P46" s="34">
        <v>0.95</v>
      </c>
      <c r="Q46" s="52">
        <f t="shared" si="0"/>
        <v>0.89999999999999991</v>
      </c>
      <c r="R46" s="7">
        <v>16.899999999999999</v>
      </c>
      <c r="S46" s="7">
        <v>123</v>
      </c>
      <c r="T46" s="16">
        <f t="shared" si="1"/>
        <v>27</v>
      </c>
      <c r="U46" s="208">
        <v>106</v>
      </c>
      <c r="V46" s="16">
        <f t="shared" si="2"/>
        <v>2862</v>
      </c>
      <c r="W46" s="7">
        <v>6</v>
      </c>
      <c r="X46" s="15" t="s">
        <v>46</v>
      </c>
      <c r="Y46" s="216" t="s">
        <v>55</v>
      </c>
      <c r="Z46" s="216" t="s">
        <v>86</v>
      </c>
      <c r="AA46" s="216" t="s">
        <v>47</v>
      </c>
      <c r="AB46" s="39" t="s">
        <v>346</v>
      </c>
    </row>
    <row r="47" spans="1:44" x14ac:dyDescent="0.15">
      <c r="A47" s="15" t="s">
        <v>343</v>
      </c>
      <c r="B47" s="15" t="s">
        <v>344</v>
      </c>
      <c r="C47" s="15">
        <v>2018</v>
      </c>
      <c r="D47" s="37" t="s">
        <v>347</v>
      </c>
      <c r="E47" s="7" t="s">
        <v>130</v>
      </c>
      <c r="F47" s="7" t="s">
        <v>148</v>
      </c>
      <c r="G47" s="7" t="s">
        <v>36</v>
      </c>
      <c r="H47" s="15" t="s">
        <v>165</v>
      </c>
      <c r="I47" s="208" t="s">
        <v>155</v>
      </c>
      <c r="J47" s="15" t="s">
        <v>38</v>
      </c>
      <c r="K47" s="7" t="s">
        <v>156</v>
      </c>
      <c r="L47" s="7">
        <v>1</v>
      </c>
      <c r="N47" s="7">
        <v>1</v>
      </c>
      <c r="O47" s="7">
        <v>0.7</v>
      </c>
      <c r="P47" s="7">
        <v>0.9</v>
      </c>
      <c r="Q47" s="52">
        <f t="shared" si="0"/>
        <v>0.8</v>
      </c>
      <c r="R47" s="7">
        <v>15.4</v>
      </c>
      <c r="S47" s="7">
        <v>146</v>
      </c>
      <c r="T47" s="16">
        <f t="shared" si="1"/>
        <v>22</v>
      </c>
      <c r="U47" s="7">
        <v>106</v>
      </c>
      <c r="V47" s="16">
        <f t="shared" si="2"/>
        <v>2332</v>
      </c>
      <c r="W47" s="7">
        <v>17</v>
      </c>
      <c r="X47" s="15" t="s">
        <v>46</v>
      </c>
      <c r="Y47" s="216" t="s">
        <v>55</v>
      </c>
      <c r="Z47" s="216" t="s">
        <v>86</v>
      </c>
      <c r="AA47" s="216" t="s">
        <v>47</v>
      </c>
      <c r="AB47" s="39" t="s">
        <v>346</v>
      </c>
    </row>
    <row r="48" spans="1:44" x14ac:dyDescent="0.15">
      <c r="A48" s="15" t="s">
        <v>343</v>
      </c>
      <c r="B48" s="15" t="s">
        <v>344</v>
      </c>
      <c r="C48" s="15">
        <v>2018</v>
      </c>
      <c r="D48" s="37" t="s">
        <v>347</v>
      </c>
      <c r="E48" s="7" t="s">
        <v>130</v>
      </c>
      <c r="F48" s="7" t="s">
        <v>148</v>
      </c>
      <c r="G48" s="7" t="s">
        <v>36</v>
      </c>
      <c r="H48" s="216" t="s">
        <v>165</v>
      </c>
      <c r="I48" s="208" t="s">
        <v>155</v>
      </c>
      <c r="J48" s="15" t="s">
        <v>38</v>
      </c>
      <c r="K48" s="7" t="s">
        <v>156</v>
      </c>
      <c r="L48" s="7">
        <v>2</v>
      </c>
      <c r="N48" s="7">
        <v>1</v>
      </c>
      <c r="O48" s="7">
        <v>0.8</v>
      </c>
      <c r="P48" s="7">
        <v>0.8</v>
      </c>
      <c r="Q48" s="52">
        <f t="shared" si="0"/>
        <v>0.8</v>
      </c>
      <c r="R48" s="7">
        <v>17.600000000000001</v>
      </c>
      <c r="S48" s="7">
        <v>145</v>
      </c>
      <c r="T48" s="16">
        <f t="shared" si="1"/>
        <v>22</v>
      </c>
      <c r="U48" s="208">
        <v>106</v>
      </c>
      <c r="V48" s="16">
        <f t="shared" si="2"/>
        <v>2332</v>
      </c>
      <c r="W48" s="7">
        <v>17</v>
      </c>
      <c r="X48" s="15" t="s">
        <v>46</v>
      </c>
      <c r="Y48" s="216" t="s">
        <v>55</v>
      </c>
      <c r="Z48" s="216" t="s">
        <v>86</v>
      </c>
      <c r="AA48" s="216" t="s">
        <v>47</v>
      </c>
      <c r="AB48" s="39" t="s">
        <v>346</v>
      </c>
    </row>
    <row r="49" spans="1:29" x14ac:dyDescent="0.15">
      <c r="A49" s="15" t="s">
        <v>343</v>
      </c>
      <c r="B49" s="15" t="s">
        <v>344</v>
      </c>
      <c r="C49" s="15">
        <v>2018</v>
      </c>
      <c r="D49" s="37" t="s">
        <v>347</v>
      </c>
      <c r="E49" s="7" t="s">
        <v>130</v>
      </c>
      <c r="F49" s="7" t="s">
        <v>148</v>
      </c>
      <c r="G49" s="7" t="s">
        <v>36</v>
      </c>
      <c r="H49" s="216" t="s">
        <v>165</v>
      </c>
      <c r="I49" s="208" t="s">
        <v>155</v>
      </c>
      <c r="J49" s="15" t="s">
        <v>38</v>
      </c>
      <c r="K49" s="7" t="s">
        <v>156</v>
      </c>
      <c r="L49" s="7">
        <v>3</v>
      </c>
      <c r="N49" s="7">
        <v>1</v>
      </c>
      <c r="O49" s="7">
        <v>0.75</v>
      </c>
      <c r="P49" s="34">
        <v>0.8</v>
      </c>
      <c r="Q49" s="52">
        <f t="shared" si="0"/>
        <v>0.77500000000000002</v>
      </c>
      <c r="R49" s="7">
        <v>16.3</v>
      </c>
      <c r="S49" s="7">
        <v>138</v>
      </c>
      <c r="T49" s="16">
        <f t="shared" si="1"/>
        <v>22</v>
      </c>
      <c r="U49" s="208">
        <v>106</v>
      </c>
      <c r="V49" s="16">
        <f t="shared" si="2"/>
        <v>2332</v>
      </c>
      <c r="W49" s="7">
        <v>17</v>
      </c>
      <c r="X49" s="15" t="s">
        <v>46</v>
      </c>
      <c r="Y49" s="216" t="s">
        <v>55</v>
      </c>
      <c r="Z49" s="216" t="s">
        <v>86</v>
      </c>
      <c r="AA49" s="216" t="s">
        <v>47</v>
      </c>
      <c r="AB49" s="39" t="s">
        <v>346</v>
      </c>
    </row>
    <row r="50" spans="1:29" x14ac:dyDescent="0.15">
      <c r="A50" s="15" t="s">
        <v>343</v>
      </c>
      <c r="B50" s="15" t="s">
        <v>344</v>
      </c>
      <c r="C50" s="15">
        <v>2018</v>
      </c>
      <c r="D50" s="37" t="s">
        <v>347</v>
      </c>
      <c r="E50" s="7" t="s">
        <v>132</v>
      </c>
      <c r="F50" s="7" t="s">
        <v>149</v>
      </c>
      <c r="G50" s="7" t="s">
        <v>36</v>
      </c>
      <c r="H50" s="15" t="s">
        <v>157</v>
      </c>
      <c r="I50" s="208" t="s">
        <v>155</v>
      </c>
      <c r="J50" s="15" t="s">
        <v>38</v>
      </c>
      <c r="K50" s="7" t="s">
        <v>156</v>
      </c>
      <c r="L50" s="7">
        <v>1</v>
      </c>
      <c r="N50" s="7">
        <v>1</v>
      </c>
      <c r="O50" s="7">
        <v>1.1499999999999999</v>
      </c>
      <c r="P50" s="7">
        <v>1</v>
      </c>
      <c r="Q50" s="52">
        <f t="shared" si="0"/>
        <v>1.075</v>
      </c>
      <c r="R50" s="7">
        <v>12.7</v>
      </c>
      <c r="S50" s="7">
        <v>122</v>
      </c>
      <c r="T50" s="16">
        <f t="shared" si="1"/>
        <v>27</v>
      </c>
      <c r="U50" s="208">
        <v>105</v>
      </c>
      <c r="V50" s="16">
        <f t="shared" si="2"/>
        <v>2835</v>
      </c>
      <c r="W50" s="7">
        <v>16</v>
      </c>
      <c r="X50" s="15" t="s">
        <v>46</v>
      </c>
      <c r="Y50" s="216" t="s">
        <v>55</v>
      </c>
      <c r="Z50" s="216" t="s">
        <v>86</v>
      </c>
      <c r="AA50" s="216" t="s">
        <v>90</v>
      </c>
      <c r="AB50" s="39" t="s">
        <v>346</v>
      </c>
    </row>
    <row r="51" spans="1:29" x14ac:dyDescent="0.15">
      <c r="A51" s="15" t="s">
        <v>343</v>
      </c>
      <c r="B51" s="15" t="s">
        <v>344</v>
      </c>
      <c r="C51" s="15">
        <v>2018</v>
      </c>
      <c r="D51" s="37" t="s">
        <v>347</v>
      </c>
      <c r="E51" s="7" t="s">
        <v>132</v>
      </c>
      <c r="F51" s="7" t="s">
        <v>149</v>
      </c>
      <c r="G51" s="7" t="s">
        <v>36</v>
      </c>
      <c r="H51" s="216" t="s">
        <v>157</v>
      </c>
      <c r="I51" s="208" t="s">
        <v>155</v>
      </c>
      <c r="J51" s="15" t="s">
        <v>38</v>
      </c>
      <c r="K51" s="7" t="s">
        <v>156</v>
      </c>
      <c r="L51" s="7">
        <v>2</v>
      </c>
      <c r="N51" s="7">
        <v>1</v>
      </c>
      <c r="O51" s="7">
        <v>0.55000000000000004</v>
      </c>
      <c r="P51" s="7">
        <v>0.7</v>
      </c>
      <c r="Q51" s="52">
        <f t="shared" si="0"/>
        <v>0.625</v>
      </c>
      <c r="R51" s="7">
        <v>12.6</v>
      </c>
      <c r="S51" s="7">
        <v>127</v>
      </c>
      <c r="T51" s="16">
        <f t="shared" si="1"/>
        <v>27</v>
      </c>
      <c r="U51" s="208">
        <v>105</v>
      </c>
      <c r="V51" s="16">
        <f t="shared" si="2"/>
        <v>2835</v>
      </c>
      <c r="W51" s="7">
        <v>16</v>
      </c>
      <c r="X51" s="15" t="s">
        <v>46</v>
      </c>
      <c r="Y51" s="216" t="s">
        <v>55</v>
      </c>
      <c r="Z51" s="216" t="s">
        <v>86</v>
      </c>
      <c r="AA51" s="216" t="s">
        <v>90</v>
      </c>
      <c r="AB51" s="39" t="s">
        <v>346</v>
      </c>
    </row>
    <row r="52" spans="1:29" x14ac:dyDescent="0.15">
      <c r="A52" s="15" t="s">
        <v>343</v>
      </c>
      <c r="B52" s="15" t="s">
        <v>344</v>
      </c>
      <c r="C52" s="15">
        <v>2018</v>
      </c>
      <c r="D52" s="37" t="s">
        <v>347</v>
      </c>
      <c r="E52" s="7" t="s">
        <v>132</v>
      </c>
      <c r="F52" s="7" t="s">
        <v>149</v>
      </c>
      <c r="G52" s="7" t="s">
        <v>36</v>
      </c>
      <c r="H52" s="216" t="s">
        <v>157</v>
      </c>
      <c r="I52" s="208" t="s">
        <v>155</v>
      </c>
      <c r="J52" s="15" t="s">
        <v>38</v>
      </c>
      <c r="K52" s="7" t="s">
        <v>156</v>
      </c>
      <c r="L52" s="7">
        <v>3</v>
      </c>
      <c r="N52" s="7">
        <v>1</v>
      </c>
      <c r="O52" s="7">
        <v>0.9</v>
      </c>
      <c r="P52" s="7">
        <v>1.05</v>
      </c>
      <c r="Q52" s="52">
        <f t="shared" si="0"/>
        <v>0.97500000000000009</v>
      </c>
      <c r="R52" s="7">
        <v>13.1</v>
      </c>
      <c r="S52" s="7">
        <v>126</v>
      </c>
      <c r="T52" s="16">
        <f t="shared" si="1"/>
        <v>27</v>
      </c>
      <c r="U52" s="208">
        <v>105</v>
      </c>
      <c r="V52" s="16">
        <f t="shared" si="2"/>
        <v>2835</v>
      </c>
      <c r="W52" s="7">
        <v>16</v>
      </c>
      <c r="X52" s="15" t="s">
        <v>46</v>
      </c>
      <c r="Y52" s="216" t="s">
        <v>55</v>
      </c>
      <c r="Z52" s="216" t="s">
        <v>86</v>
      </c>
      <c r="AA52" s="216" t="s">
        <v>90</v>
      </c>
      <c r="AB52" s="39" t="s">
        <v>346</v>
      </c>
    </row>
    <row r="53" spans="1:29" x14ac:dyDescent="0.15">
      <c r="A53" s="15" t="s">
        <v>343</v>
      </c>
      <c r="B53" s="15" t="s">
        <v>344</v>
      </c>
      <c r="C53" s="15">
        <v>2018</v>
      </c>
      <c r="D53" s="37" t="s">
        <v>347</v>
      </c>
      <c r="E53" s="7" t="s">
        <v>132</v>
      </c>
      <c r="F53" s="7" t="s">
        <v>149</v>
      </c>
      <c r="G53" s="7" t="s">
        <v>36</v>
      </c>
      <c r="H53" s="15" t="s">
        <v>165</v>
      </c>
      <c r="I53" s="208" t="s">
        <v>155</v>
      </c>
      <c r="J53" s="15" t="s">
        <v>38</v>
      </c>
      <c r="K53" s="7" t="s">
        <v>156</v>
      </c>
      <c r="L53" s="7">
        <v>1</v>
      </c>
      <c r="N53" s="7">
        <v>1</v>
      </c>
      <c r="O53" s="7">
        <v>1.1000000000000001</v>
      </c>
      <c r="P53" s="7">
        <v>1</v>
      </c>
      <c r="Q53" s="52">
        <f t="shared" si="0"/>
        <v>1.05</v>
      </c>
      <c r="R53" s="7">
        <v>15.9</v>
      </c>
      <c r="S53" s="7">
        <v>161</v>
      </c>
      <c r="T53" s="16">
        <f t="shared" si="1"/>
        <v>18</v>
      </c>
      <c r="U53" s="7">
        <v>138</v>
      </c>
      <c r="V53" s="16">
        <f t="shared" si="2"/>
        <v>2484</v>
      </c>
      <c r="W53" s="7">
        <v>14</v>
      </c>
      <c r="X53" s="15" t="s">
        <v>46</v>
      </c>
      <c r="Y53" s="216" t="s">
        <v>55</v>
      </c>
      <c r="Z53" s="216" t="s">
        <v>86</v>
      </c>
      <c r="AA53" s="216" t="s">
        <v>90</v>
      </c>
      <c r="AB53" s="39" t="s">
        <v>346</v>
      </c>
      <c r="AC53" s="36"/>
    </row>
    <row r="54" spans="1:29" x14ac:dyDescent="0.15">
      <c r="A54" s="15" t="s">
        <v>343</v>
      </c>
      <c r="B54" s="15" t="s">
        <v>344</v>
      </c>
      <c r="C54" s="15">
        <v>2018</v>
      </c>
      <c r="D54" s="37" t="s">
        <v>347</v>
      </c>
      <c r="E54" s="7" t="s">
        <v>132</v>
      </c>
      <c r="F54" s="7" t="s">
        <v>149</v>
      </c>
      <c r="G54" s="7" t="s">
        <v>36</v>
      </c>
      <c r="H54" s="216" t="s">
        <v>165</v>
      </c>
      <c r="I54" s="208" t="s">
        <v>155</v>
      </c>
      <c r="J54" s="216" t="s">
        <v>38</v>
      </c>
      <c r="K54" s="7" t="s">
        <v>156</v>
      </c>
      <c r="L54" s="7">
        <v>2</v>
      </c>
      <c r="N54" s="7">
        <v>1</v>
      </c>
      <c r="O54" s="7">
        <v>1</v>
      </c>
      <c r="P54" s="7">
        <v>0.9</v>
      </c>
      <c r="Q54" s="52">
        <f t="shared" si="0"/>
        <v>0.95</v>
      </c>
      <c r="R54" s="7">
        <v>16.2</v>
      </c>
      <c r="S54" s="7">
        <v>168</v>
      </c>
      <c r="T54" s="16">
        <f t="shared" si="1"/>
        <v>18</v>
      </c>
      <c r="U54" s="208">
        <v>138</v>
      </c>
      <c r="V54" s="16">
        <f t="shared" si="2"/>
        <v>2484</v>
      </c>
      <c r="W54" s="7">
        <v>14</v>
      </c>
      <c r="X54" s="15" t="s">
        <v>46</v>
      </c>
      <c r="Y54" s="216" t="s">
        <v>55</v>
      </c>
      <c r="Z54" s="216" t="s">
        <v>86</v>
      </c>
      <c r="AA54" s="216" t="s">
        <v>90</v>
      </c>
      <c r="AB54" s="39" t="s">
        <v>346</v>
      </c>
      <c r="AC54" s="36"/>
    </row>
    <row r="55" spans="1:29" x14ac:dyDescent="0.15">
      <c r="A55" s="15" t="s">
        <v>343</v>
      </c>
      <c r="B55" s="15" t="s">
        <v>344</v>
      </c>
      <c r="C55" s="15">
        <v>2018</v>
      </c>
      <c r="D55" s="37" t="s">
        <v>347</v>
      </c>
      <c r="E55" s="7" t="s">
        <v>132</v>
      </c>
      <c r="F55" s="7" t="s">
        <v>149</v>
      </c>
      <c r="G55" s="7" t="s">
        <v>36</v>
      </c>
      <c r="H55" s="216" t="s">
        <v>165</v>
      </c>
      <c r="I55" s="208" t="s">
        <v>155</v>
      </c>
      <c r="J55" s="216" t="s">
        <v>38</v>
      </c>
      <c r="K55" s="7" t="s">
        <v>156</v>
      </c>
      <c r="L55" s="7">
        <v>3</v>
      </c>
      <c r="N55" s="7">
        <v>1</v>
      </c>
      <c r="O55" s="7">
        <v>1.05</v>
      </c>
      <c r="P55" s="7">
        <v>1</v>
      </c>
      <c r="Q55" s="52">
        <f t="shared" si="0"/>
        <v>1.0249999999999999</v>
      </c>
      <c r="R55" s="7">
        <v>17.3</v>
      </c>
      <c r="S55" s="7">
        <v>166</v>
      </c>
      <c r="T55" s="16">
        <f t="shared" si="1"/>
        <v>18</v>
      </c>
      <c r="U55" s="208">
        <v>138</v>
      </c>
      <c r="V55" s="16">
        <f t="shared" si="2"/>
        <v>2484</v>
      </c>
      <c r="W55" s="7">
        <v>14</v>
      </c>
      <c r="X55" s="15" t="s">
        <v>46</v>
      </c>
      <c r="Y55" s="216" t="s">
        <v>55</v>
      </c>
      <c r="Z55" s="216" t="s">
        <v>86</v>
      </c>
      <c r="AA55" s="216" t="s">
        <v>90</v>
      </c>
      <c r="AB55" s="39" t="s">
        <v>346</v>
      </c>
      <c r="AC55" s="36"/>
    </row>
    <row r="56" spans="1:29" x14ac:dyDescent="0.15">
      <c r="A56" s="15" t="s">
        <v>343</v>
      </c>
      <c r="B56" s="15" t="s">
        <v>344</v>
      </c>
      <c r="C56" s="15">
        <v>2018</v>
      </c>
      <c r="D56" s="37" t="s">
        <v>347</v>
      </c>
      <c r="E56" s="7" t="s">
        <v>141</v>
      </c>
      <c r="F56" s="7" t="s">
        <v>150</v>
      </c>
      <c r="G56" s="7" t="s">
        <v>36</v>
      </c>
      <c r="H56" s="15" t="s">
        <v>157</v>
      </c>
      <c r="I56" s="208" t="s">
        <v>155</v>
      </c>
      <c r="J56" s="15" t="s">
        <v>38</v>
      </c>
      <c r="K56" s="7" t="s">
        <v>156</v>
      </c>
      <c r="L56" s="7">
        <v>1</v>
      </c>
      <c r="N56" s="7">
        <v>4</v>
      </c>
      <c r="O56" s="7">
        <v>0.55000000000000004</v>
      </c>
      <c r="P56" s="7">
        <v>0.5</v>
      </c>
      <c r="Q56" s="52">
        <f t="shared" si="0"/>
        <v>0.52500000000000002</v>
      </c>
      <c r="R56" s="7">
        <v>15.9</v>
      </c>
      <c r="S56" s="7">
        <v>114</v>
      </c>
      <c r="T56" s="16">
        <f t="shared" si="1"/>
        <v>30</v>
      </c>
      <c r="U56" s="208">
        <v>318</v>
      </c>
      <c r="V56" s="16">
        <f t="shared" si="2"/>
        <v>2385</v>
      </c>
      <c r="W56" s="7">
        <v>12</v>
      </c>
      <c r="X56" s="15" t="s">
        <v>46</v>
      </c>
      <c r="Y56" s="216" t="s">
        <v>55</v>
      </c>
      <c r="Z56" s="216" t="s">
        <v>86</v>
      </c>
      <c r="AA56" s="216" t="s">
        <v>97</v>
      </c>
      <c r="AB56" s="39" t="s">
        <v>346</v>
      </c>
    </row>
    <row r="57" spans="1:29" x14ac:dyDescent="0.15">
      <c r="A57" s="15" t="s">
        <v>343</v>
      </c>
      <c r="B57" s="15" t="s">
        <v>344</v>
      </c>
      <c r="C57" s="15">
        <v>2018</v>
      </c>
      <c r="D57" s="37" t="s">
        <v>347</v>
      </c>
      <c r="E57" s="7" t="s">
        <v>141</v>
      </c>
      <c r="F57" s="7" t="s">
        <v>150</v>
      </c>
      <c r="G57" s="7" t="s">
        <v>36</v>
      </c>
      <c r="H57" s="216" t="s">
        <v>157</v>
      </c>
      <c r="I57" s="208" t="s">
        <v>155</v>
      </c>
      <c r="J57" s="15" t="s">
        <v>38</v>
      </c>
      <c r="K57" s="7" t="s">
        <v>156</v>
      </c>
      <c r="L57" s="7">
        <v>2</v>
      </c>
      <c r="N57" s="7">
        <v>4</v>
      </c>
      <c r="O57" s="7">
        <v>0.75</v>
      </c>
      <c r="P57" s="7">
        <v>0.8</v>
      </c>
      <c r="Q57" s="52">
        <f t="shared" si="0"/>
        <v>0.77500000000000002</v>
      </c>
      <c r="R57" s="7">
        <v>14.3</v>
      </c>
      <c r="S57" s="7">
        <v>111</v>
      </c>
      <c r="T57" s="16">
        <f t="shared" si="1"/>
        <v>33</v>
      </c>
      <c r="U57" s="208">
        <v>318</v>
      </c>
      <c r="V57" s="16">
        <f t="shared" si="2"/>
        <v>2623.5</v>
      </c>
      <c r="W57" s="7">
        <v>12</v>
      </c>
      <c r="X57" s="15" t="s">
        <v>46</v>
      </c>
      <c r="Y57" s="216" t="s">
        <v>55</v>
      </c>
      <c r="Z57" s="216" t="s">
        <v>86</v>
      </c>
      <c r="AA57" s="216" t="s">
        <v>97</v>
      </c>
      <c r="AB57" s="39" t="s">
        <v>346</v>
      </c>
    </row>
    <row r="58" spans="1:29" x14ac:dyDescent="0.15">
      <c r="A58" s="15" t="s">
        <v>343</v>
      </c>
      <c r="B58" s="15" t="s">
        <v>344</v>
      </c>
      <c r="C58" s="15">
        <v>2018</v>
      </c>
      <c r="D58" s="37" t="s">
        <v>347</v>
      </c>
      <c r="E58" s="7" t="s">
        <v>141</v>
      </c>
      <c r="F58" s="7" t="s">
        <v>150</v>
      </c>
      <c r="G58" s="7" t="s">
        <v>36</v>
      </c>
      <c r="H58" s="216" t="s">
        <v>157</v>
      </c>
      <c r="I58" s="208" t="s">
        <v>155</v>
      </c>
      <c r="J58" s="15" t="s">
        <v>38</v>
      </c>
      <c r="K58" s="7" t="s">
        <v>156</v>
      </c>
      <c r="L58" s="7">
        <v>3</v>
      </c>
      <c r="N58" s="7">
        <v>4</v>
      </c>
      <c r="O58" s="7">
        <v>0.55000000000000004</v>
      </c>
      <c r="P58" s="7">
        <v>0.5</v>
      </c>
      <c r="Q58" s="52">
        <f t="shared" si="0"/>
        <v>0.52500000000000002</v>
      </c>
      <c r="R58" s="7">
        <v>12.8</v>
      </c>
      <c r="S58" s="7">
        <v>113</v>
      </c>
      <c r="T58" s="16">
        <f t="shared" si="1"/>
        <v>30</v>
      </c>
      <c r="U58" s="208">
        <v>318</v>
      </c>
      <c r="V58" s="16">
        <f t="shared" si="2"/>
        <v>2385</v>
      </c>
      <c r="W58" s="7">
        <v>12</v>
      </c>
      <c r="X58" s="15" t="s">
        <v>46</v>
      </c>
      <c r="Y58" s="216" t="s">
        <v>55</v>
      </c>
      <c r="Z58" s="216" t="s">
        <v>86</v>
      </c>
      <c r="AA58" s="216" t="s">
        <v>97</v>
      </c>
      <c r="AB58" s="39" t="s">
        <v>346</v>
      </c>
    </row>
    <row r="59" spans="1:29" x14ac:dyDescent="0.15">
      <c r="A59" s="15" t="s">
        <v>343</v>
      </c>
      <c r="B59" s="15" t="s">
        <v>344</v>
      </c>
      <c r="C59" s="15">
        <v>2018</v>
      </c>
      <c r="D59" s="37" t="s">
        <v>347</v>
      </c>
      <c r="E59" s="7" t="s">
        <v>141</v>
      </c>
      <c r="F59" s="7" t="s">
        <v>150</v>
      </c>
      <c r="G59" s="7" t="s">
        <v>36</v>
      </c>
      <c r="H59" s="15" t="s">
        <v>217</v>
      </c>
      <c r="I59" s="208" t="s">
        <v>155</v>
      </c>
      <c r="J59" s="15" t="s">
        <v>38</v>
      </c>
      <c r="K59" s="7" t="s">
        <v>156</v>
      </c>
      <c r="L59" s="7">
        <v>1</v>
      </c>
      <c r="N59" s="7">
        <v>1</v>
      </c>
      <c r="O59" s="7">
        <v>0.5</v>
      </c>
      <c r="P59" s="7">
        <v>0.5</v>
      </c>
      <c r="Q59" s="52">
        <f t="shared" si="0"/>
        <v>0.5</v>
      </c>
      <c r="R59" s="7">
        <v>17.100000000000001</v>
      </c>
      <c r="S59" s="7">
        <v>82</v>
      </c>
      <c r="T59" s="16">
        <f t="shared" si="1"/>
        <v>39</v>
      </c>
      <c r="U59" s="7">
        <v>84</v>
      </c>
      <c r="V59" s="16">
        <f t="shared" si="2"/>
        <v>3276</v>
      </c>
      <c r="W59" s="7">
        <v>3</v>
      </c>
      <c r="X59" s="15" t="s">
        <v>46</v>
      </c>
      <c r="Y59" s="216" t="s">
        <v>55</v>
      </c>
      <c r="Z59" s="216" t="s">
        <v>86</v>
      </c>
      <c r="AA59" s="216" t="s">
        <v>97</v>
      </c>
      <c r="AB59" s="39" t="s">
        <v>346</v>
      </c>
    </row>
    <row r="60" spans="1:29" x14ac:dyDescent="0.15">
      <c r="A60" s="15" t="s">
        <v>343</v>
      </c>
      <c r="B60" s="15" t="s">
        <v>344</v>
      </c>
      <c r="C60" s="15">
        <v>2018</v>
      </c>
      <c r="D60" s="37" t="s">
        <v>347</v>
      </c>
      <c r="E60" s="7" t="s">
        <v>141</v>
      </c>
      <c r="F60" s="7" t="s">
        <v>150</v>
      </c>
      <c r="G60" s="7" t="s">
        <v>36</v>
      </c>
      <c r="H60" s="216" t="s">
        <v>217</v>
      </c>
      <c r="I60" s="208" t="s">
        <v>155</v>
      </c>
      <c r="J60" s="15" t="s">
        <v>38</v>
      </c>
      <c r="K60" s="7" t="s">
        <v>156</v>
      </c>
      <c r="L60" s="7">
        <v>2</v>
      </c>
      <c r="N60" s="7">
        <v>1</v>
      </c>
      <c r="O60" s="7">
        <v>0.5</v>
      </c>
      <c r="P60" s="7">
        <v>0.5</v>
      </c>
      <c r="Q60" s="52">
        <f t="shared" si="0"/>
        <v>0.5</v>
      </c>
      <c r="R60" s="7">
        <v>15.8</v>
      </c>
      <c r="S60" s="7">
        <v>92</v>
      </c>
      <c r="T60" s="16">
        <f>IF(H60="","",IF(OR(H60="GREEN",H60="GK"),IF(S60&gt;=$AX$2,VLOOKUP(S60,$AX$2:$AY$12,2,1),""),IF(S60&gt;=$AZ$2,VLOOKUP(S60,$AZ$2:$BA$12,2,1),"")))</f>
        <v>36</v>
      </c>
      <c r="U60" s="208">
        <v>84</v>
      </c>
      <c r="V60" s="16">
        <f t="shared" si="2"/>
        <v>3024</v>
      </c>
      <c r="W60" s="7">
        <v>3</v>
      </c>
      <c r="X60" s="15" t="s">
        <v>46</v>
      </c>
      <c r="Y60" s="216" t="s">
        <v>55</v>
      </c>
      <c r="Z60" s="216" t="s">
        <v>86</v>
      </c>
      <c r="AA60" s="216" t="s">
        <v>97</v>
      </c>
      <c r="AB60" s="39" t="s">
        <v>346</v>
      </c>
    </row>
    <row r="61" spans="1:29" x14ac:dyDescent="0.15">
      <c r="A61" s="15" t="s">
        <v>343</v>
      </c>
      <c r="B61" s="15" t="s">
        <v>344</v>
      </c>
      <c r="C61" s="15">
        <v>2018</v>
      </c>
      <c r="D61" s="37" t="s">
        <v>347</v>
      </c>
      <c r="E61" s="7" t="s">
        <v>141</v>
      </c>
      <c r="F61" s="7" t="s">
        <v>150</v>
      </c>
      <c r="G61" s="7" t="s">
        <v>36</v>
      </c>
      <c r="H61" s="216" t="s">
        <v>217</v>
      </c>
      <c r="I61" s="208" t="s">
        <v>155</v>
      </c>
      <c r="J61" s="15" t="s">
        <v>38</v>
      </c>
      <c r="K61" s="7" t="s">
        <v>156</v>
      </c>
      <c r="L61" s="7">
        <v>3</v>
      </c>
      <c r="N61" s="7">
        <v>1</v>
      </c>
      <c r="O61" s="7">
        <v>0.5</v>
      </c>
      <c r="P61" s="7">
        <v>0.5</v>
      </c>
      <c r="Q61" s="52">
        <f t="shared" si="0"/>
        <v>0.5</v>
      </c>
      <c r="R61" s="7">
        <v>17.5</v>
      </c>
      <c r="S61" s="7">
        <v>92</v>
      </c>
      <c r="T61" s="16">
        <f>IF(H61="","",IF(OR(H61="GREEN",H61="GK"),IF(S61&gt;=$AX$2,VLOOKUP(S61,$AX$2:$AY$12,2,1),""),IF(S61&gt;=$AZ$2,VLOOKUP(S61,$AZ$2:$BA$12,2,1),"")))</f>
        <v>36</v>
      </c>
      <c r="U61" s="208">
        <v>84</v>
      </c>
      <c r="V61" s="16">
        <f t="shared" si="2"/>
        <v>3024</v>
      </c>
      <c r="W61" s="7">
        <v>3</v>
      </c>
      <c r="X61" s="15" t="s">
        <v>46</v>
      </c>
      <c r="Y61" s="216" t="s">
        <v>55</v>
      </c>
      <c r="Z61" s="216" t="s">
        <v>86</v>
      </c>
      <c r="AA61" s="216" t="s">
        <v>97</v>
      </c>
      <c r="AB61" s="39" t="s">
        <v>346</v>
      </c>
    </row>
    <row r="62" spans="1:29" x14ac:dyDescent="0.15">
      <c r="A62" s="15" t="s">
        <v>343</v>
      </c>
      <c r="B62" s="15" t="s">
        <v>344</v>
      </c>
      <c r="C62" s="15">
        <v>2018</v>
      </c>
      <c r="D62" s="37" t="s">
        <v>347</v>
      </c>
      <c r="E62" s="7" t="s">
        <v>141</v>
      </c>
      <c r="F62" s="7" t="s">
        <v>150</v>
      </c>
      <c r="G62" s="7" t="s">
        <v>36</v>
      </c>
      <c r="H62" s="15" t="s">
        <v>165</v>
      </c>
      <c r="I62" s="208" t="s">
        <v>155</v>
      </c>
      <c r="J62" s="15" t="s">
        <v>38</v>
      </c>
      <c r="K62" s="7" t="s">
        <v>156</v>
      </c>
      <c r="L62" s="7">
        <v>1</v>
      </c>
      <c r="N62" s="7">
        <v>1</v>
      </c>
      <c r="O62" s="7">
        <v>0.55000000000000004</v>
      </c>
      <c r="P62" s="7">
        <v>0.65</v>
      </c>
      <c r="Q62" s="52">
        <f t="shared" si="0"/>
        <v>0.60000000000000009</v>
      </c>
      <c r="R62" s="7">
        <v>19.100000000000001</v>
      </c>
      <c r="S62" s="7">
        <v>146</v>
      </c>
      <c r="T62" s="16">
        <f t="shared" ref="T62:T120" si="3">IF(H62="","",IF(OR(H62="GREEN",H62="GK"),IF(S62&gt;=$AX$2,VLOOKUP(S62,$AX$2:$AY$12,2,1),""),IF(S62&gt;=$AZ$2,VLOOKUP(S62,$AZ$2:$BA$12,2,1),"")))</f>
        <v>22</v>
      </c>
      <c r="U62" s="7">
        <v>170</v>
      </c>
      <c r="V62" s="16">
        <f t="shared" si="2"/>
        <v>3740</v>
      </c>
      <c r="W62" s="7">
        <v>5</v>
      </c>
      <c r="X62" s="15" t="s">
        <v>46</v>
      </c>
      <c r="Y62" s="216" t="s">
        <v>55</v>
      </c>
      <c r="Z62" s="216" t="s">
        <v>86</v>
      </c>
      <c r="AA62" s="216" t="s">
        <v>97</v>
      </c>
      <c r="AB62" s="39" t="s">
        <v>346</v>
      </c>
    </row>
    <row r="63" spans="1:29" x14ac:dyDescent="0.15">
      <c r="A63" s="15" t="s">
        <v>343</v>
      </c>
      <c r="B63" s="15" t="s">
        <v>344</v>
      </c>
      <c r="C63" s="15">
        <v>2018</v>
      </c>
      <c r="D63" s="37" t="s">
        <v>347</v>
      </c>
      <c r="E63" s="7" t="s">
        <v>141</v>
      </c>
      <c r="F63" s="7" t="s">
        <v>150</v>
      </c>
      <c r="G63" s="7" t="s">
        <v>36</v>
      </c>
      <c r="H63" s="216" t="s">
        <v>165</v>
      </c>
      <c r="I63" s="208" t="s">
        <v>155</v>
      </c>
      <c r="J63" s="15" t="s">
        <v>38</v>
      </c>
      <c r="K63" s="7" t="s">
        <v>156</v>
      </c>
      <c r="L63" s="7">
        <v>2</v>
      </c>
      <c r="N63" s="7">
        <v>1</v>
      </c>
      <c r="O63" s="7">
        <v>0.5</v>
      </c>
      <c r="P63" s="7">
        <v>0.6</v>
      </c>
      <c r="Q63" s="52">
        <f t="shared" si="0"/>
        <v>0.55000000000000004</v>
      </c>
      <c r="R63" s="7">
        <v>16.899999999999999</v>
      </c>
      <c r="S63" s="7">
        <v>144</v>
      </c>
      <c r="T63" s="16">
        <f t="shared" si="3"/>
        <v>22</v>
      </c>
      <c r="U63" s="208">
        <v>170</v>
      </c>
      <c r="V63" s="16">
        <f t="shared" si="2"/>
        <v>3740</v>
      </c>
      <c r="W63" s="7">
        <v>5</v>
      </c>
      <c r="X63" s="15" t="s">
        <v>46</v>
      </c>
      <c r="Y63" s="216" t="s">
        <v>55</v>
      </c>
      <c r="Z63" s="216" t="s">
        <v>86</v>
      </c>
      <c r="AA63" s="216" t="s">
        <v>97</v>
      </c>
      <c r="AB63" s="39" t="s">
        <v>346</v>
      </c>
    </row>
    <row r="64" spans="1:29" x14ac:dyDescent="0.15">
      <c r="A64" s="15" t="s">
        <v>343</v>
      </c>
      <c r="B64" s="15" t="s">
        <v>344</v>
      </c>
      <c r="C64" s="15">
        <v>2018</v>
      </c>
      <c r="D64" s="37" t="s">
        <v>347</v>
      </c>
      <c r="E64" s="7" t="s">
        <v>141</v>
      </c>
      <c r="F64" s="7" t="s">
        <v>150</v>
      </c>
      <c r="G64" s="7" t="s">
        <v>36</v>
      </c>
      <c r="H64" s="216" t="s">
        <v>165</v>
      </c>
      <c r="I64" s="208" t="s">
        <v>155</v>
      </c>
      <c r="J64" s="15" t="s">
        <v>38</v>
      </c>
      <c r="K64" s="7" t="s">
        <v>156</v>
      </c>
      <c r="L64" s="7">
        <v>3</v>
      </c>
      <c r="N64" s="7">
        <v>1</v>
      </c>
      <c r="O64" s="7">
        <v>0.5</v>
      </c>
      <c r="P64" s="7">
        <v>0.5</v>
      </c>
      <c r="Q64" s="52">
        <f t="shared" si="0"/>
        <v>0.5</v>
      </c>
      <c r="R64" s="7">
        <v>20.100000000000001</v>
      </c>
      <c r="S64" s="7">
        <v>142</v>
      </c>
      <c r="T64" s="16">
        <f t="shared" si="3"/>
        <v>22</v>
      </c>
      <c r="U64" s="208">
        <v>170</v>
      </c>
      <c r="V64" s="16">
        <f t="shared" si="2"/>
        <v>3740</v>
      </c>
      <c r="W64" s="7">
        <v>5</v>
      </c>
      <c r="X64" s="15" t="s">
        <v>46</v>
      </c>
      <c r="Y64" s="216" t="s">
        <v>55</v>
      </c>
      <c r="Z64" s="216" t="s">
        <v>86</v>
      </c>
      <c r="AA64" s="216" t="s">
        <v>97</v>
      </c>
      <c r="AB64" s="39" t="s">
        <v>346</v>
      </c>
    </row>
    <row r="65" spans="1:28" x14ac:dyDescent="0.15">
      <c r="A65" s="15"/>
      <c r="B65" s="15"/>
      <c r="C65" s="15"/>
      <c r="D65" s="37"/>
      <c r="H65" s="15"/>
      <c r="I65" s="208"/>
      <c r="J65" s="15"/>
      <c r="Q65" s="52" t="str">
        <f t="shared" si="0"/>
        <v/>
      </c>
      <c r="T65" s="16" t="str">
        <f t="shared" si="3"/>
        <v/>
      </c>
      <c r="V65" s="16" t="str">
        <f t="shared" si="2"/>
        <v/>
      </c>
      <c r="X65" s="216"/>
      <c r="Y65" s="216"/>
      <c r="Z65" s="216"/>
      <c r="AA65" s="216"/>
      <c r="AB65" s="39"/>
    </row>
    <row r="66" spans="1:28" x14ac:dyDescent="0.15">
      <c r="A66" s="15"/>
      <c r="B66" s="15"/>
      <c r="C66" s="15"/>
      <c r="D66" s="37"/>
      <c r="H66" s="216"/>
      <c r="I66" s="208"/>
      <c r="J66" s="15"/>
      <c r="Q66" s="52" t="str">
        <f t="shared" ref="Q66:Q77" si="4">IF(OR(O66="",P66=""),"",AVERAGE(O66,P66))</f>
        <v/>
      </c>
      <c r="T66" s="16" t="str">
        <f t="shared" si="3"/>
        <v/>
      </c>
      <c r="U66" s="208"/>
      <c r="V66" s="16" t="str">
        <f t="shared" ref="V66:V70" si="5">IF(OR(N66="",U66="",T66=""),"",U66/N66*T66)</f>
        <v/>
      </c>
      <c r="X66" s="216"/>
      <c r="Y66" s="216"/>
      <c r="Z66" s="216"/>
      <c r="AA66" s="216"/>
      <c r="AB66" s="39"/>
    </row>
    <row r="67" spans="1:28" x14ac:dyDescent="0.15">
      <c r="A67" s="15"/>
      <c r="B67" s="15"/>
      <c r="C67" s="15"/>
      <c r="D67" s="37"/>
      <c r="H67" s="216"/>
      <c r="I67" s="208"/>
      <c r="J67" s="15"/>
      <c r="Q67" s="52" t="str">
        <f t="shared" si="4"/>
        <v/>
      </c>
      <c r="T67" s="16" t="str">
        <f t="shared" si="3"/>
        <v/>
      </c>
      <c r="U67" s="208"/>
      <c r="V67" s="16" t="str">
        <f t="shared" si="5"/>
        <v/>
      </c>
      <c r="X67" s="216"/>
      <c r="Y67" s="216"/>
      <c r="Z67" s="216"/>
      <c r="AA67" s="216"/>
      <c r="AB67" s="39"/>
    </row>
    <row r="68" spans="1:28" x14ac:dyDescent="0.15">
      <c r="A68" s="15"/>
      <c r="B68" s="15"/>
      <c r="C68" s="15"/>
      <c r="D68" s="37"/>
      <c r="H68" s="15"/>
      <c r="I68" s="208"/>
      <c r="J68" s="15"/>
      <c r="Q68" s="52" t="str">
        <f t="shared" si="4"/>
        <v/>
      </c>
      <c r="T68" s="16" t="str">
        <f t="shared" si="3"/>
        <v/>
      </c>
      <c r="V68" s="16" t="str">
        <f t="shared" si="5"/>
        <v/>
      </c>
      <c r="X68" s="216"/>
      <c r="Y68" s="216"/>
      <c r="Z68" s="216"/>
      <c r="AA68" s="216"/>
      <c r="AB68" s="39"/>
    </row>
    <row r="69" spans="1:28" x14ac:dyDescent="0.15">
      <c r="A69" s="15"/>
      <c r="B69" s="15"/>
      <c r="C69" s="15"/>
      <c r="D69" s="37"/>
      <c r="H69" s="216"/>
      <c r="I69" s="208"/>
      <c r="J69" s="15"/>
      <c r="N69" s="208"/>
      <c r="Q69" s="52" t="str">
        <f t="shared" si="4"/>
        <v/>
      </c>
      <c r="T69" s="16" t="str">
        <f t="shared" si="3"/>
        <v/>
      </c>
      <c r="U69" s="208"/>
      <c r="V69" s="16" t="str">
        <f t="shared" si="5"/>
        <v/>
      </c>
      <c r="X69" s="216"/>
      <c r="Y69" s="216"/>
      <c r="Z69" s="216"/>
      <c r="AA69" s="216"/>
      <c r="AB69" s="39"/>
    </row>
    <row r="70" spans="1:28" x14ac:dyDescent="0.15">
      <c r="A70" s="15"/>
      <c r="B70" s="15"/>
      <c r="C70" s="15"/>
      <c r="D70" s="37"/>
      <c r="H70" s="216"/>
      <c r="I70" s="208"/>
      <c r="J70" s="15"/>
      <c r="N70" s="208"/>
      <c r="Q70" s="52" t="str">
        <f t="shared" si="4"/>
        <v/>
      </c>
      <c r="T70" s="16" t="str">
        <f t="shared" si="3"/>
        <v/>
      </c>
      <c r="U70" s="208"/>
      <c r="V70" s="16" t="str">
        <f t="shared" si="5"/>
        <v/>
      </c>
      <c r="X70" s="216"/>
      <c r="Y70" s="216"/>
      <c r="Z70" s="216"/>
      <c r="AA70" s="216"/>
      <c r="AB70" s="39"/>
    </row>
    <row r="71" spans="1:28" x14ac:dyDescent="0.15">
      <c r="A71" s="15"/>
      <c r="B71" s="15"/>
      <c r="C71" s="15"/>
      <c r="D71" s="37"/>
      <c r="H71" s="15"/>
      <c r="I71" s="208"/>
      <c r="J71" s="15"/>
      <c r="N71" s="208"/>
      <c r="Q71" s="52" t="str">
        <f t="shared" si="4"/>
        <v/>
      </c>
      <c r="T71" s="16" t="str">
        <f t="shared" si="3"/>
        <v/>
      </c>
      <c r="V71" s="16" t="str">
        <f>IF(OR(N71="",U71="",T71=""),"",U71/N71*T71)</f>
        <v/>
      </c>
      <c r="X71" s="15"/>
      <c r="Y71" s="15"/>
      <c r="Z71" s="15"/>
      <c r="AA71" s="15"/>
      <c r="AB71" s="39"/>
    </row>
    <row r="72" spans="1:28" x14ac:dyDescent="0.15">
      <c r="A72" s="15"/>
      <c r="B72" s="15"/>
      <c r="C72" s="15"/>
      <c r="D72" s="37"/>
      <c r="H72" s="216"/>
      <c r="I72" s="208"/>
      <c r="J72" s="216"/>
      <c r="K72" s="208"/>
      <c r="N72" s="208"/>
      <c r="Q72" s="52" t="str">
        <f t="shared" si="4"/>
        <v/>
      </c>
      <c r="T72" s="16" t="str">
        <f t="shared" si="3"/>
        <v/>
      </c>
      <c r="U72" s="208"/>
      <c r="V72" s="16" t="str">
        <f t="shared" ref="V72:V74" si="6">IF(OR(N72="",U72="",T72=""),"",U72/N72*T72)</f>
        <v/>
      </c>
      <c r="X72" s="15"/>
      <c r="Y72" s="216"/>
      <c r="Z72" s="216"/>
      <c r="AA72" s="216"/>
      <c r="AB72" s="39"/>
    </row>
    <row r="73" spans="1:28" x14ac:dyDescent="0.15">
      <c r="A73" s="15"/>
      <c r="B73" s="15"/>
      <c r="C73" s="15"/>
      <c r="D73" s="37"/>
      <c r="H73" s="216"/>
      <c r="I73" s="208"/>
      <c r="J73" s="216"/>
      <c r="K73" s="208"/>
      <c r="N73" s="208"/>
      <c r="Q73" s="52" t="str">
        <f t="shared" si="4"/>
        <v/>
      </c>
      <c r="T73" s="16" t="str">
        <f t="shared" si="3"/>
        <v/>
      </c>
      <c r="U73" s="208"/>
      <c r="V73" s="16" t="str">
        <f>IF(OR(N73="",U73="",T73=""),"",U73/N73*T73)</f>
        <v/>
      </c>
      <c r="X73" s="15"/>
      <c r="Y73" s="216"/>
      <c r="Z73" s="216"/>
      <c r="AA73" s="216"/>
      <c r="AB73" s="39"/>
    </row>
    <row r="74" spans="1:28" x14ac:dyDescent="0.15">
      <c r="A74" s="15"/>
      <c r="B74" s="15"/>
      <c r="C74" s="15"/>
      <c r="D74" s="37"/>
      <c r="H74" s="15"/>
      <c r="I74" s="208"/>
      <c r="J74" s="15"/>
      <c r="N74" s="208"/>
      <c r="Q74" s="52" t="str">
        <f t="shared" si="4"/>
        <v/>
      </c>
      <c r="T74" s="16" t="str">
        <f t="shared" si="3"/>
        <v/>
      </c>
      <c r="V74" s="16" t="str">
        <f t="shared" si="6"/>
        <v/>
      </c>
      <c r="X74" s="15"/>
      <c r="Y74" s="216"/>
      <c r="Z74" s="216"/>
      <c r="AA74" s="216"/>
      <c r="AB74" s="39"/>
    </row>
    <row r="75" spans="1:28" x14ac:dyDescent="0.15">
      <c r="A75" s="15"/>
      <c r="B75" s="15"/>
      <c r="C75" s="15"/>
      <c r="D75" s="37"/>
      <c r="H75" s="216"/>
      <c r="I75" s="208"/>
      <c r="J75" s="15"/>
      <c r="N75" s="208"/>
      <c r="Q75" s="52" t="str">
        <f t="shared" si="4"/>
        <v/>
      </c>
      <c r="T75" s="16" t="str">
        <f t="shared" si="3"/>
        <v/>
      </c>
      <c r="U75" s="208"/>
      <c r="V75" s="16" t="str">
        <f>IF(OR(N75="",U75="",T75=""),"",U75/N75*T75)</f>
        <v/>
      </c>
      <c r="X75" s="15"/>
      <c r="Y75" s="216"/>
      <c r="Z75" s="216"/>
      <c r="AA75" s="216"/>
      <c r="AB75" s="39"/>
    </row>
    <row r="76" spans="1:28" x14ac:dyDescent="0.15">
      <c r="A76" s="15"/>
      <c r="B76" s="15"/>
      <c r="C76" s="15"/>
      <c r="D76" s="37"/>
      <c r="H76" s="216"/>
      <c r="I76" s="208"/>
      <c r="J76" s="15"/>
      <c r="N76" s="208"/>
      <c r="Q76" s="52" t="str">
        <f t="shared" si="4"/>
        <v/>
      </c>
      <c r="T76" s="16" t="str">
        <f t="shared" si="3"/>
        <v/>
      </c>
      <c r="U76" s="208"/>
      <c r="V76" s="16" t="str">
        <f>IF(OR(N76="",U76="",T76=""),"",U76/N76*T76)</f>
        <v/>
      </c>
      <c r="X76" s="15"/>
      <c r="Y76" s="216"/>
      <c r="Z76" s="216"/>
      <c r="AA76" s="216"/>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formula1>$AV$2:$AV$20</formula1>
    </dataValidation>
    <dataValidation type="list" allowBlank="1" showInputMessage="1" showErrorMessage="1" sqref="H2:H497">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formula1>$AH$2:$AH$10</formula1>
    </dataValidation>
    <dataValidation type="list" allowBlank="1" showInputMessage="1" showErrorMessage="1" sqref="J2:J497">
      <formula1>$AP$2:$AP$27</formula1>
    </dataValidation>
    <dataValidation type="list" allowBlank="1" showInputMessage="1" showErrorMessage="1" sqref="A3:A497">
      <formula1>$AE$2:$AE$19</formula1>
    </dataValidation>
    <dataValidation type="list" allowBlank="1" showInputMessage="1" showErrorMessage="1" sqref="K127:K497">
      <formula1>$AR$2:$AR$25</formula1>
    </dataValidation>
    <dataValidation type="list" allowBlank="1" showInputMessage="1" showErrorMessage="1" sqref="Y2:AA497">
      <formula1>$AV$2:$AV$21</formula1>
    </dataValidation>
    <dataValidation type="decimal" allowBlank="1" showInputMessage="1" showErrorMessage="1" error="硬度を正しく入力して下さい。" sqref="O2:P497">
      <formula1>0</formula1>
      <formula2>7</formula2>
    </dataValidation>
    <dataValidation type="list" allowBlank="1" showInputMessage="1" showErrorMessage="1" sqref="F1:F1048576">
      <formula1>$AH$2:$AH$11</formula1>
    </dataValidation>
    <dataValidation type="list" allowBlank="1" showInputMessage="1" showErrorMessage="1" sqref="K2:K126">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60"/>
  <sheetViews>
    <sheetView topLeftCell="A82" zoomScale="70" zoomScaleNormal="70" workbookViewId="0">
      <selection activeCell="AB2" sqref="AB2"/>
    </sheetView>
  </sheetViews>
  <sheetFormatPr defaultColWidth="9" defaultRowHeight="13.5" x14ac:dyDescent="0.15"/>
  <cols>
    <col min="1" max="3" width="9" style="237"/>
    <col min="4" max="4" width="11" style="237" bestFit="1" customWidth="1"/>
    <col min="5" max="5" width="10.875" style="237" bestFit="1" customWidth="1"/>
    <col min="6" max="16" width="9" style="237"/>
    <col min="17" max="17" width="9" style="57"/>
    <col min="18" max="18" width="9" style="237"/>
    <col min="19" max="19" width="11.625" style="237" bestFit="1" customWidth="1"/>
    <col min="20" max="20" width="9" style="57"/>
    <col min="21" max="21" width="9" style="237"/>
    <col min="22" max="22" width="9" style="58"/>
    <col min="23" max="32" width="9" style="237"/>
    <col min="33" max="33" width="14.375" style="237" bestFit="1" customWidth="1"/>
    <col min="34" max="34" width="11.375" style="237" bestFit="1" customWidth="1"/>
    <col min="35" max="16384" width="9" style="237"/>
  </cols>
  <sheetData>
    <row r="1" spans="1:53" ht="45" x14ac:dyDescent="0.15">
      <c r="A1" s="240" t="s">
        <v>0</v>
      </c>
      <c r="B1" s="202" t="s">
        <v>1</v>
      </c>
      <c r="C1" s="202" t="s">
        <v>349</v>
      </c>
      <c r="D1" s="203" t="s">
        <v>3</v>
      </c>
      <c r="E1" s="241" t="s">
        <v>4</v>
      </c>
      <c r="F1" s="241" t="s">
        <v>5</v>
      </c>
      <c r="G1" s="241" t="s">
        <v>6</v>
      </c>
      <c r="H1" s="241" t="s">
        <v>7</v>
      </c>
      <c r="I1" s="241" t="s">
        <v>8</v>
      </c>
      <c r="J1" s="241" t="s">
        <v>9</v>
      </c>
      <c r="K1" s="241" t="s">
        <v>10</v>
      </c>
      <c r="L1" s="203" t="s">
        <v>350</v>
      </c>
      <c r="M1" s="203" t="s">
        <v>12</v>
      </c>
      <c r="N1" s="203" t="s">
        <v>13</v>
      </c>
      <c r="O1" s="203" t="s">
        <v>351</v>
      </c>
      <c r="P1" s="203" t="s">
        <v>352</v>
      </c>
      <c r="Q1" s="53" t="s">
        <v>16</v>
      </c>
      <c r="R1" s="203" t="s">
        <v>353</v>
      </c>
      <c r="S1" s="203" t="s">
        <v>354</v>
      </c>
      <c r="T1" s="53" t="s">
        <v>19</v>
      </c>
      <c r="U1" s="205" t="s">
        <v>108</v>
      </c>
      <c r="V1" s="54" t="s">
        <v>20</v>
      </c>
      <c r="W1" s="203" t="s">
        <v>21</v>
      </c>
      <c r="X1" s="241" t="s">
        <v>22</v>
      </c>
      <c r="Y1" s="241" t="s">
        <v>23</v>
      </c>
      <c r="Z1" s="241" t="s">
        <v>24</v>
      </c>
      <c r="AA1" s="241" t="s">
        <v>25</v>
      </c>
      <c r="AB1" s="242" t="s">
        <v>355</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356</v>
      </c>
      <c r="AY1" s="214" t="s">
        <v>357</v>
      </c>
      <c r="AZ1" s="214" t="s">
        <v>358</v>
      </c>
      <c r="BA1" s="215" t="s">
        <v>359</v>
      </c>
    </row>
    <row r="2" spans="1:53" s="55" customFormat="1" x14ac:dyDescent="0.15">
      <c r="A2" s="55" t="s">
        <v>41</v>
      </c>
      <c r="B2" s="237" t="s">
        <v>344</v>
      </c>
      <c r="C2" s="152">
        <v>2018</v>
      </c>
      <c r="D2" s="56" t="s">
        <v>360</v>
      </c>
      <c r="E2" s="237" t="s">
        <v>133</v>
      </c>
      <c r="F2" s="237" t="s">
        <v>302</v>
      </c>
      <c r="G2" s="55" t="s">
        <v>42</v>
      </c>
      <c r="H2" s="55" t="s">
        <v>157</v>
      </c>
      <c r="I2" s="55" t="s">
        <v>155</v>
      </c>
      <c r="J2" s="55" t="s">
        <v>38</v>
      </c>
      <c r="K2" s="55" t="s">
        <v>156</v>
      </c>
      <c r="L2" s="237">
        <v>1</v>
      </c>
      <c r="M2" s="237"/>
      <c r="N2" s="55">
        <v>1</v>
      </c>
      <c r="O2" s="55">
        <v>0.65</v>
      </c>
      <c r="P2" s="55">
        <v>0.45</v>
      </c>
      <c r="Q2" s="82">
        <f t="shared" ref="Q2:Q68" si="0">IF(OR(O2="",P2=""),"",AVERAGE(O2,P2))</f>
        <v>0.55000000000000004</v>
      </c>
      <c r="R2" s="55">
        <v>14</v>
      </c>
      <c r="S2" s="55">
        <v>123</v>
      </c>
      <c r="T2" s="57">
        <f t="shared" ref="T2:T65" si="1">IF(H2="","",IF(OR(H2="GREEN",H2="GK"),IF(S2&gt;=$AX$2,VLOOKUP(S2,$AX$2:$AY$10,2,1),""),IF(S2&gt;=$AZ$2,VLOOKUP(S2,$AZ$2:$BA$10,2,1),"")))</f>
        <v>27</v>
      </c>
      <c r="U2" s="237">
        <v>105</v>
      </c>
      <c r="V2" s="58">
        <f t="shared" ref="V2:V65" si="2">IF(OR(N2="",U2="",T2=""),"",U2/N2*T2)</f>
        <v>2835</v>
      </c>
      <c r="W2" s="237">
        <v>2</v>
      </c>
      <c r="X2" s="55" t="s">
        <v>46</v>
      </c>
      <c r="Y2" s="55" t="s">
        <v>64</v>
      </c>
      <c r="Z2" s="55" t="s">
        <v>97</v>
      </c>
      <c r="AA2" s="55" t="s">
        <v>69</v>
      </c>
      <c r="AB2" s="55" t="s">
        <v>375</v>
      </c>
      <c r="AE2" s="218" t="s">
        <v>35</v>
      </c>
      <c r="AG2" s="59" t="s">
        <v>133</v>
      </c>
      <c r="AH2" s="60" t="s">
        <v>302</v>
      </c>
      <c r="AJ2" s="243" t="s">
        <v>36</v>
      </c>
      <c r="AL2" s="243" t="s">
        <v>127</v>
      </c>
      <c r="AN2" s="243" t="s">
        <v>37</v>
      </c>
      <c r="AP2" s="243" t="s">
        <v>38</v>
      </c>
      <c r="AR2" s="243" t="s">
        <v>361</v>
      </c>
      <c r="AT2" s="243" t="s">
        <v>39</v>
      </c>
      <c r="AV2" s="243" t="s">
        <v>40</v>
      </c>
      <c r="AX2" s="61">
        <v>1</v>
      </c>
      <c r="AY2" s="62">
        <v>50</v>
      </c>
      <c r="AZ2" s="62">
        <v>1</v>
      </c>
      <c r="BA2" s="63">
        <v>50</v>
      </c>
    </row>
    <row r="3" spans="1:53" x14ac:dyDescent="0.15">
      <c r="A3" s="55" t="s">
        <v>41</v>
      </c>
      <c r="B3" s="237" t="s">
        <v>344</v>
      </c>
      <c r="C3" s="152">
        <v>2018</v>
      </c>
      <c r="D3" s="56" t="s">
        <v>360</v>
      </c>
      <c r="E3" s="237" t="s">
        <v>133</v>
      </c>
      <c r="F3" s="237" t="s">
        <v>302</v>
      </c>
      <c r="G3" s="55" t="s">
        <v>42</v>
      </c>
      <c r="H3" s="55" t="s">
        <v>157</v>
      </c>
      <c r="I3" s="55" t="s">
        <v>155</v>
      </c>
      <c r="J3" s="55" t="s">
        <v>38</v>
      </c>
      <c r="K3" s="55" t="s">
        <v>156</v>
      </c>
      <c r="L3" s="237">
        <v>2</v>
      </c>
      <c r="N3" s="55">
        <v>1</v>
      </c>
      <c r="O3" s="55">
        <v>0.5</v>
      </c>
      <c r="P3" s="55">
        <v>0.5</v>
      </c>
      <c r="Q3" s="82">
        <f t="shared" si="0"/>
        <v>0.5</v>
      </c>
      <c r="R3" s="55">
        <v>12.8</v>
      </c>
      <c r="S3" s="55">
        <v>129</v>
      </c>
      <c r="T3" s="57">
        <f t="shared" si="1"/>
        <v>25</v>
      </c>
      <c r="U3" s="237">
        <v>105</v>
      </c>
      <c r="V3" s="58">
        <f t="shared" si="2"/>
        <v>2625</v>
      </c>
      <c r="W3" s="237">
        <v>2</v>
      </c>
      <c r="X3" s="55" t="s">
        <v>46</v>
      </c>
      <c r="Y3" s="55" t="s">
        <v>64</v>
      </c>
      <c r="Z3" s="55" t="s">
        <v>97</v>
      </c>
      <c r="AA3" s="55" t="s">
        <v>69</v>
      </c>
      <c r="AB3" s="55" t="s">
        <v>346</v>
      </c>
      <c r="AE3" s="223" t="s">
        <v>41</v>
      </c>
      <c r="AG3" s="64" t="s">
        <v>297</v>
      </c>
      <c r="AH3" s="64" t="s">
        <v>302</v>
      </c>
      <c r="AJ3" s="65" t="s">
        <v>42</v>
      </c>
      <c r="AL3" s="65" t="s">
        <v>128</v>
      </c>
      <c r="AN3" s="65" t="s">
        <v>43</v>
      </c>
      <c r="AP3" s="65" t="s">
        <v>44</v>
      </c>
      <c r="AR3" s="231" t="s">
        <v>45</v>
      </c>
      <c r="AT3" s="65" t="s">
        <v>46</v>
      </c>
      <c r="AV3" s="65" t="s">
        <v>47</v>
      </c>
      <c r="AX3" s="66">
        <v>72</v>
      </c>
      <c r="AY3" s="67">
        <v>46</v>
      </c>
      <c r="AZ3" s="67">
        <v>71</v>
      </c>
      <c r="BA3" s="68">
        <v>42</v>
      </c>
    </row>
    <row r="4" spans="1:53" x14ac:dyDescent="0.15">
      <c r="A4" s="55" t="s">
        <v>41</v>
      </c>
      <c r="B4" s="237" t="s">
        <v>344</v>
      </c>
      <c r="C4" s="152">
        <v>2018</v>
      </c>
      <c r="D4" s="56" t="s">
        <v>362</v>
      </c>
      <c r="E4" s="237" t="s">
        <v>133</v>
      </c>
      <c r="F4" s="237" t="s">
        <v>302</v>
      </c>
      <c r="G4" s="55" t="s">
        <v>42</v>
      </c>
      <c r="H4" s="55" t="s">
        <v>157</v>
      </c>
      <c r="I4" s="55" t="s">
        <v>155</v>
      </c>
      <c r="J4" s="55" t="s">
        <v>38</v>
      </c>
      <c r="K4" s="55" t="s">
        <v>156</v>
      </c>
      <c r="L4" s="237">
        <v>3</v>
      </c>
      <c r="N4" s="55">
        <v>1</v>
      </c>
      <c r="O4" s="55">
        <v>0.8</v>
      </c>
      <c r="P4" s="55">
        <v>0.65</v>
      </c>
      <c r="Q4" s="82">
        <f t="shared" si="0"/>
        <v>0.72500000000000009</v>
      </c>
      <c r="R4" s="55">
        <v>13.3</v>
      </c>
      <c r="S4" s="55">
        <v>131</v>
      </c>
      <c r="T4" s="57">
        <f t="shared" si="1"/>
        <v>25</v>
      </c>
      <c r="U4" s="237">
        <v>105</v>
      </c>
      <c r="V4" s="58">
        <f t="shared" si="2"/>
        <v>2625</v>
      </c>
      <c r="W4" s="237">
        <v>2</v>
      </c>
      <c r="X4" s="55" t="s">
        <v>46</v>
      </c>
      <c r="Y4" s="55" t="s">
        <v>64</v>
      </c>
      <c r="Z4" s="55" t="s">
        <v>97</v>
      </c>
      <c r="AA4" s="55" t="s">
        <v>69</v>
      </c>
      <c r="AB4" s="55" t="s">
        <v>346</v>
      </c>
      <c r="AE4" s="223" t="s">
        <v>34</v>
      </c>
      <c r="AG4" s="64" t="s">
        <v>297</v>
      </c>
      <c r="AH4" s="64" t="s">
        <v>303</v>
      </c>
      <c r="AJ4" s="69" t="s">
        <v>48</v>
      </c>
      <c r="AL4" s="69" t="s">
        <v>129</v>
      </c>
      <c r="AN4" s="244" t="s">
        <v>49</v>
      </c>
      <c r="AP4" s="65" t="s">
        <v>363</v>
      </c>
      <c r="AR4" s="231" t="s">
        <v>364</v>
      </c>
      <c r="AT4" s="244"/>
      <c r="AV4" s="65" t="s">
        <v>50</v>
      </c>
      <c r="AX4" s="66">
        <v>75</v>
      </c>
      <c r="AY4" s="67">
        <v>42</v>
      </c>
      <c r="AZ4" s="67">
        <v>76</v>
      </c>
      <c r="BA4" s="68">
        <v>39</v>
      </c>
    </row>
    <row r="5" spans="1:53" s="55" customFormat="1" ht="13.5" customHeight="1" x14ac:dyDescent="0.15">
      <c r="A5" s="55" t="s">
        <v>41</v>
      </c>
      <c r="B5" s="237" t="s">
        <v>344</v>
      </c>
      <c r="C5" s="152">
        <v>2018</v>
      </c>
      <c r="D5" s="56" t="s">
        <v>362</v>
      </c>
      <c r="E5" s="237" t="s">
        <v>133</v>
      </c>
      <c r="F5" s="237" t="s">
        <v>302</v>
      </c>
      <c r="G5" s="55" t="s">
        <v>42</v>
      </c>
      <c r="H5" s="55" t="s">
        <v>157</v>
      </c>
      <c r="I5" s="55" t="s">
        <v>155</v>
      </c>
      <c r="J5" s="55" t="s">
        <v>38</v>
      </c>
      <c r="K5" s="55" t="s">
        <v>156</v>
      </c>
      <c r="L5" s="237">
        <v>1</v>
      </c>
      <c r="M5" s="237"/>
      <c r="N5" s="237">
        <v>6</v>
      </c>
      <c r="O5" s="55">
        <v>0.45</v>
      </c>
      <c r="P5" s="55">
        <v>0.65</v>
      </c>
      <c r="Q5" s="82">
        <f t="shared" si="0"/>
        <v>0.55000000000000004</v>
      </c>
      <c r="R5" s="55">
        <v>14.4</v>
      </c>
      <c r="S5" s="55">
        <v>125</v>
      </c>
      <c r="T5" s="57">
        <f t="shared" si="1"/>
        <v>27</v>
      </c>
      <c r="U5" s="237">
        <v>753</v>
      </c>
      <c r="V5" s="58">
        <f t="shared" si="2"/>
        <v>3388.5</v>
      </c>
      <c r="W5" s="237">
        <v>2</v>
      </c>
      <c r="X5" s="55" t="s">
        <v>46</v>
      </c>
      <c r="Y5" s="55" t="s">
        <v>64</v>
      </c>
      <c r="Z5" s="55" t="s">
        <v>97</v>
      </c>
      <c r="AA5" s="55" t="s">
        <v>69</v>
      </c>
      <c r="AB5" s="55" t="s">
        <v>346</v>
      </c>
      <c r="AC5" s="237"/>
      <c r="AD5" s="237"/>
      <c r="AE5" s="70" t="s">
        <v>365</v>
      </c>
      <c r="AG5" s="64" t="s">
        <v>298</v>
      </c>
      <c r="AH5" s="64" t="s">
        <v>302</v>
      </c>
      <c r="AJ5" s="71"/>
      <c r="AL5" s="72" t="s">
        <v>366</v>
      </c>
      <c r="AN5" s="72" t="s">
        <v>367</v>
      </c>
      <c r="AP5" s="231" t="s">
        <v>368</v>
      </c>
      <c r="AR5" s="231" t="s">
        <v>54</v>
      </c>
      <c r="AV5" s="231" t="s">
        <v>55</v>
      </c>
      <c r="AX5" s="73">
        <v>84</v>
      </c>
      <c r="AY5" s="74">
        <v>39</v>
      </c>
      <c r="AZ5" s="74">
        <v>84</v>
      </c>
      <c r="BA5" s="75">
        <v>36</v>
      </c>
    </row>
    <row r="6" spans="1:53" x14ac:dyDescent="0.15">
      <c r="A6" s="55" t="s">
        <v>41</v>
      </c>
      <c r="B6" s="237" t="s">
        <v>344</v>
      </c>
      <c r="C6" s="152">
        <v>2018</v>
      </c>
      <c r="D6" s="56" t="s">
        <v>362</v>
      </c>
      <c r="E6" s="237" t="s">
        <v>133</v>
      </c>
      <c r="F6" s="237" t="s">
        <v>302</v>
      </c>
      <c r="G6" s="55" t="s">
        <v>42</v>
      </c>
      <c r="H6" s="55" t="s">
        <v>157</v>
      </c>
      <c r="I6" s="55" t="s">
        <v>155</v>
      </c>
      <c r="J6" s="55" t="s">
        <v>38</v>
      </c>
      <c r="K6" s="55" t="s">
        <v>156</v>
      </c>
      <c r="L6" s="237">
        <v>2</v>
      </c>
      <c r="N6" s="237">
        <v>6</v>
      </c>
      <c r="O6" s="55">
        <v>0.6</v>
      </c>
      <c r="P6" s="55">
        <v>0.9</v>
      </c>
      <c r="Q6" s="82">
        <f t="shared" si="0"/>
        <v>0.75</v>
      </c>
      <c r="R6" s="55">
        <v>12.8</v>
      </c>
      <c r="S6" s="55">
        <v>120</v>
      </c>
      <c r="T6" s="57">
        <f t="shared" si="1"/>
        <v>30</v>
      </c>
      <c r="U6" s="237">
        <v>753</v>
      </c>
      <c r="V6" s="58">
        <f t="shared" si="2"/>
        <v>3765</v>
      </c>
      <c r="W6" s="237">
        <v>2</v>
      </c>
      <c r="X6" s="55" t="s">
        <v>46</v>
      </c>
      <c r="Y6" s="55" t="s">
        <v>64</v>
      </c>
      <c r="Z6" s="55" t="s">
        <v>97</v>
      </c>
      <c r="AA6" s="55" t="s">
        <v>69</v>
      </c>
      <c r="AB6" s="55" t="s">
        <v>346</v>
      </c>
      <c r="AE6" s="223" t="s">
        <v>56</v>
      </c>
      <c r="AG6" s="64" t="s">
        <v>298</v>
      </c>
      <c r="AH6" s="64" t="s">
        <v>304</v>
      </c>
      <c r="AL6" s="72" t="s">
        <v>369</v>
      </c>
      <c r="AN6" s="72" t="s">
        <v>370</v>
      </c>
      <c r="AP6" s="65" t="s">
        <v>53</v>
      </c>
      <c r="AR6" s="231" t="s">
        <v>59</v>
      </c>
      <c r="AV6" s="65" t="s">
        <v>60</v>
      </c>
      <c r="AX6" s="66">
        <v>97</v>
      </c>
      <c r="AY6" s="67">
        <v>36</v>
      </c>
      <c r="AZ6" s="67">
        <v>99</v>
      </c>
      <c r="BA6" s="68">
        <v>33</v>
      </c>
    </row>
    <row r="7" spans="1:53" x14ac:dyDescent="0.15">
      <c r="A7" s="55" t="s">
        <v>41</v>
      </c>
      <c r="B7" s="237" t="s">
        <v>344</v>
      </c>
      <c r="C7" s="152">
        <v>2018</v>
      </c>
      <c r="D7" s="56" t="s">
        <v>362</v>
      </c>
      <c r="E7" s="237" t="s">
        <v>133</v>
      </c>
      <c r="F7" s="237" t="s">
        <v>302</v>
      </c>
      <c r="G7" s="55" t="s">
        <v>42</v>
      </c>
      <c r="H7" s="55" t="s">
        <v>157</v>
      </c>
      <c r="I7" s="55" t="s">
        <v>155</v>
      </c>
      <c r="J7" s="55" t="s">
        <v>38</v>
      </c>
      <c r="K7" s="55" t="s">
        <v>156</v>
      </c>
      <c r="L7" s="237">
        <v>3</v>
      </c>
      <c r="N7" s="237">
        <v>6</v>
      </c>
      <c r="O7" s="55">
        <v>0.5</v>
      </c>
      <c r="P7" s="55">
        <v>0.85</v>
      </c>
      <c r="Q7" s="82">
        <f t="shared" si="0"/>
        <v>0.67500000000000004</v>
      </c>
      <c r="R7" s="55">
        <v>12.9</v>
      </c>
      <c r="S7" s="55">
        <v>118</v>
      </c>
      <c r="T7" s="57">
        <f t="shared" si="1"/>
        <v>30</v>
      </c>
      <c r="U7" s="237">
        <v>753</v>
      </c>
      <c r="V7" s="58">
        <f t="shared" si="2"/>
        <v>3765</v>
      </c>
      <c r="W7" s="237">
        <v>2</v>
      </c>
      <c r="X7" s="55" t="s">
        <v>46</v>
      </c>
      <c r="Y7" s="55" t="s">
        <v>64</v>
      </c>
      <c r="Z7" s="55" t="s">
        <v>97</v>
      </c>
      <c r="AA7" s="55" t="s">
        <v>69</v>
      </c>
      <c r="AB7" s="55" t="s">
        <v>346</v>
      </c>
      <c r="AE7" s="223" t="s">
        <v>61</v>
      </c>
      <c r="AG7" s="64" t="s">
        <v>299</v>
      </c>
      <c r="AH7" s="64" t="s">
        <v>304</v>
      </c>
      <c r="AL7" s="76" t="s">
        <v>371</v>
      </c>
      <c r="AP7" s="65" t="s">
        <v>58</v>
      </c>
      <c r="AR7" s="231" t="s">
        <v>122</v>
      </c>
      <c r="AV7" s="65" t="s">
        <v>64</v>
      </c>
      <c r="AX7" s="66">
        <v>109</v>
      </c>
      <c r="AY7" s="67">
        <v>33</v>
      </c>
      <c r="AZ7" s="67">
        <v>113</v>
      </c>
      <c r="BA7" s="68">
        <v>30</v>
      </c>
    </row>
    <row r="8" spans="1:53" x14ac:dyDescent="0.15">
      <c r="A8" s="55" t="s">
        <v>41</v>
      </c>
      <c r="B8" s="237" t="s">
        <v>344</v>
      </c>
      <c r="C8" s="152">
        <v>2018</v>
      </c>
      <c r="D8" s="56" t="s">
        <v>362</v>
      </c>
      <c r="E8" s="237" t="s">
        <v>133</v>
      </c>
      <c r="F8" s="237" t="s">
        <v>302</v>
      </c>
      <c r="G8" s="55" t="s">
        <v>42</v>
      </c>
      <c r="H8" s="55" t="s">
        <v>165</v>
      </c>
      <c r="I8" s="55" t="s">
        <v>155</v>
      </c>
      <c r="J8" s="55" t="s">
        <v>38</v>
      </c>
      <c r="K8" s="55" t="s">
        <v>156</v>
      </c>
      <c r="L8" s="237">
        <v>1</v>
      </c>
      <c r="M8" s="55"/>
      <c r="N8" s="55">
        <v>1</v>
      </c>
      <c r="O8" s="55">
        <v>0.65</v>
      </c>
      <c r="P8" s="55">
        <v>0.85</v>
      </c>
      <c r="Q8" s="82">
        <f t="shared" si="0"/>
        <v>0.75</v>
      </c>
      <c r="R8" s="55">
        <v>12</v>
      </c>
      <c r="S8" s="55">
        <v>140</v>
      </c>
      <c r="T8" s="77">
        <f t="shared" si="1"/>
        <v>22</v>
      </c>
      <c r="U8" s="55">
        <v>149</v>
      </c>
      <c r="V8" s="78">
        <f t="shared" si="2"/>
        <v>3278</v>
      </c>
      <c r="W8" s="55">
        <v>4</v>
      </c>
      <c r="X8" s="55" t="s">
        <v>46</v>
      </c>
      <c r="Y8" s="55" t="s">
        <v>64</v>
      </c>
      <c r="Z8" s="55" t="s">
        <v>97</v>
      </c>
      <c r="AA8" s="55" t="s">
        <v>69</v>
      </c>
      <c r="AB8" s="55" t="s">
        <v>346</v>
      </c>
      <c r="AC8" s="55"/>
      <c r="AD8" s="55"/>
      <c r="AE8" s="223" t="s">
        <v>59</v>
      </c>
      <c r="AG8" s="64" t="s">
        <v>300</v>
      </c>
      <c r="AH8" s="64" t="s">
        <v>305</v>
      </c>
      <c r="AL8" s="76" t="s">
        <v>372</v>
      </c>
      <c r="AP8" s="65" t="s">
        <v>62</v>
      </c>
      <c r="AR8" s="231" t="s">
        <v>81</v>
      </c>
      <c r="AV8" s="65" t="s">
        <v>97</v>
      </c>
      <c r="AX8" s="66">
        <v>119</v>
      </c>
      <c r="AY8" s="67">
        <v>30</v>
      </c>
      <c r="AZ8" s="67">
        <v>121</v>
      </c>
      <c r="BA8" s="68">
        <v>27</v>
      </c>
    </row>
    <row r="9" spans="1:53" x14ac:dyDescent="0.15">
      <c r="A9" s="55" t="s">
        <v>41</v>
      </c>
      <c r="B9" s="237" t="s">
        <v>344</v>
      </c>
      <c r="C9" s="152">
        <v>2018</v>
      </c>
      <c r="D9" s="56" t="s">
        <v>362</v>
      </c>
      <c r="E9" s="237" t="s">
        <v>133</v>
      </c>
      <c r="F9" s="237" t="s">
        <v>302</v>
      </c>
      <c r="G9" s="55" t="s">
        <v>42</v>
      </c>
      <c r="H9" s="55" t="s">
        <v>165</v>
      </c>
      <c r="I9" s="55" t="s">
        <v>155</v>
      </c>
      <c r="J9" s="55" t="s">
        <v>38</v>
      </c>
      <c r="K9" s="55" t="s">
        <v>156</v>
      </c>
      <c r="L9" s="237">
        <v>2</v>
      </c>
      <c r="N9" s="55">
        <v>1</v>
      </c>
      <c r="O9" s="55">
        <v>0.85</v>
      </c>
      <c r="P9" s="55">
        <v>0.95</v>
      </c>
      <c r="Q9" s="82">
        <f t="shared" si="0"/>
        <v>0.89999999999999991</v>
      </c>
      <c r="R9" s="55">
        <v>11.8</v>
      </c>
      <c r="S9" s="55">
        <v>125</v>
      </c>
      <c r="T9" s="77">
        <f t="shared" si="1"/>
        <v>27</v>
      </c>
      <c r="U9" s="55">
        <v>149</v>
      </c>
      <c r="V9" s="58">
        <f t="shared" si="2"/>
        <v>4023</v>
      </c>
      <c r="W9" s="237">
        <v>4</v>
      </c>
      <c r="X9" s="55" t="s">
        <v>46</v>
      </c>
      <c r="Y9" s="55" t="s">
        <v>64</v>
      </c>
      <c r="Z9" s="55" t="s">
        <v>97</v>
      </c>
      <c r="AA9" s="55" t="s">
        <v>69</v>
      </c>
      <c r="AB9" s="55" t="s">
        <v>346</v>
      </c>
      <c r="AE9" s="223" t="s">
        <v>98</v>
      </c>
      <c r="AG9" s="64" t="s">
        <v>300</v>
      </c>
      <c r="AH9" s="64" t="s">
        <v>306</v>
      </c>
      <c r="AL9" s="72"/>
      <c r="AP9" s="65" t="s">
        <v>95</v>
      </c>
      <c r="AR9" s="231" t="s">
        <v>89</v>
      </c>
      <c r="AV9" s="65" t="s">
        <v>102</v>
      </c>
      <c r="AX9" s="66">
        <v>128</v>
      </c>
      <c r="AY9" s="67">
        <v>27</v>
      </c>
      <c r="AZ9" s="67">
        <v>129</v>
      </c>
      <c r="BA9" s="68">
        <v>25</v>
      </c>
    </row>
    <row r="10" spans="1:53" x14ac:dyDescent="0.15">
      <c r="A10" s="55" t="s">
        <v>41</v>
      </c>
      <c r="B10" s="237" t="s">
        <v>344</v>
      </c>
      <c r="C10" s="152">
        <v>2018</v>
      </c>
      <c r="D10" s="56" t="s">
        <v>362</v>
      </c>
      <c r="E10" s="237" t="s">
        <v>133</v>
      </c>
      <c r="F10" s="237" t="s">
        <v>302</v>
      </c>
      <c r="G10" s="55" t="s">
        <v>42</v>
      </c>
      <c r="H10" s="55" t="s">
        <v>165</v>
      </c>
      <c r="I10" s="55" t="s">
        <v>155</v>
      </c>
      <c r="J10" s="55" t="s">
        <v>38</v>
      </c>
      <c r="K10" s="55" t="s">
        <v>156</v>
      </c>
      <c r="L10" s="237">
        <v>3</v>
      </c>
      <c r="N10" s="55">
        <v>1</v>
      </c>
      <c r="O10" s="55">
        <v>0.9</v>
      </c>
      <c r="P10" s="55">
        <v>1.05</v>
      </c>
      <c r="Q10" s="82">
        <f t="shared" si="0"/>
        <v>0.97500000000000009</v>
      </c>
      <c r="R10" s="55">
        <v>13.7</v>
      </c>
      <c r="S10" s="55">
        <v>134</v>
      </c>
      <c r="T10" s="77">
        <f t="shared" si="1"/>
        <v>25</v>
      </c>
      <c r="U10" s="55">
        <v>149</v>
      </c>
      <c r="V10" s="58">
        <f t="shared" si="2"/>
        <v>3725</v>
      </c>
      <c r="W10" s="237">
        <v>4</v>
      </c>
      <c r="X10" s="55" t="s">
        <v>46</v>
      </c>
      <c r="Y10" s="55" t="s">
        <v>64</v>
      </c>
      <c r="Z10" s="55" t="s">
        <v>97</v>
      </c>
      <c r="AA10" s="55" t="s">
        <v>69</v>
      </c>
      <c r="AB10" s="55" t="s">
        <v>346</v>
      </c>
      <c r="AE10" s="223" t="s">
        <v>103</v>
      </c>
      <c r="AG10" s="64" t="s">
        <v>301</v>
      </c>
      <c r="AH10" s="64" t="s">
        <v>307</v>
      </c>
      <c r="AL10" s="76"/>
      <c r="AP10" s="65" t="s">
        <v>100</v>
      </c>
      <c r="AR10" s="231" t="s">
        <v>123</v>
      </c>
      <c r="AV10" s="65" t="s">
        <v>106</v>
      </c>
      <c r="AX10" s="66">
        <v>138</v>
      </c>
      <c r="AY10" s="67">
        <v>25</v>
      </c>
      <c r="AZ10" s="67">
        <v>138</v>
      </c>
      <c r="BA10" s="68">
        <v>22</v>
      </c>
    </row>
    <row r="11" spans="1:53" x14ac:dyDescent="0.15">
      <c r="A11" s="55" t="s">
        <v>41</v>
      </c>
      <c r="B11" s="237" t="s">
        <v>344</v>
      </c>
      <c r="C11" s="152">
        <v>2018</v>
      </c>
      <c r="D11" s="56" t="s">
        <v>362</v>
      </c>
      <c r="E11" s="237" t="s">
        <v>133</v>
      </c>
      <c r="F11" s="237" t="s">
        <v>302</v>
      </c>
      <c r="G11" s="55" t="s">
        <v>42</v>
      </c>
      <c r="H11" s="55" t="s">
        <v>165</v>
      </c>
      <c r="I11" s="55" t="s">
        <v>155</v>
      </c>
      <c r="J11" s="55" t="s">
        <v>38</v>
      </c>
      <c r="K11" s="55" t="s">
        <v>156</v>
      </c>
      <c r="L11" s="237">
        <v>1</v>
      </c>
      <c r="M11" s="55"/>
      <c r="N11" s="55">
        <v>8</v>
      </c>
      <c r="O11" s="237">
        <v>0.75</v>
      </c>
      <c r="P11" s="237">
        <v>0.95</v>
      </c>
      <c r="Q11" s="57">
        <f t="shared" si="0"/>
        <v>0.85</v>
      </c>
      <c r="R11" s="237">
        <v>12.1</v>
      </c>
      <c r="S11" s="237">
        <v>120</v>
      </c>
      <c r="T11" s="77">
        <f t="shared" si="1"/>
        <v>30</v>
      </c>
      <c r="U11" s="55">
        <v>861</v>
      </c>
      <c r="V11" s="78">
        <f t="shared" si="2"/>
        <v>3228.75</v>
      </c>
      <c r="W11" s="55">
        <v>2</v>
      </c>
      <c r="X11" s="55" t="s">
        <v>46</v>
      </c>
      <c r="Y11" s="55" t="s">
        <v>64</v>
      </c>
      <c r="Z11" s="55" t="s">
        <v>97</v>
      </c>
      <c r="AA11" s="55" t="s">
        <v>69</v>
      </c>
      <c r="AB11" s="55" t="s">
        <v>346</v>
      </c>
      <c r="AE11" s="223" t="s">
        <v>65</v>
      </c>
      <c r="AG11" s="64" t="s">
        <v>170</v>
      </c>
      <c r="AH11" s="64" t="s">
        <v>308</v>
      </c>
      <c r="AL11" s="76"/>
      <c r="AP11" s="65" t="s">
        <v>104</v>
      </c>
      <c r="AR11" s="231" t="s">
        <v>87</v>
      </c>
      <c r="AV11" s="65" t="s">
        <v>69</v>
      </c>
      <c r="AX11" s="66">
        <v>151</v>
      </c>
      <c r="AY11" s="67">
        <v>22</v>
      </c>
      <c r="AZ11" s="67">
        <v>152</v>
      </c>
      <c r="BA11" s="68">
        <v>18</v>
      </c>
    </row>
    <row r="12" spans="1:53" x14ac:dyDescent="0.15">
      <c r="A12" s="55" t="s">
        <v>41</v>
      </c>
      <c r="B12" s="237" t="s">
        <v>344</v>
      </c>
      <c r="C12" s="152">
        <v>2018</v>
      </c>
      <c r="D12" s="56" t="s">
        <v>362</v>
      </c>
      <c r="E12" s="237" t="s">
        <v>133</v>
      </c>
      <c r="F12" s="237" t="s">
        <v>302</v>
      </c>
      <c r="G12" s="55" t="s">
        <v>42</v>
      </c>
      <c r="H12" s="55" t="s">
        <v>165</v>
      </c>
      <c r="I12" s="55" t="s">
        <v>155</v>
      </c>
      <c r="J12" s="55" t="s">
        <v>38</v>
      </c>
      <c r="K12" s="55" t="s">
        <v>156</v>
      </c>
      <c r="L12" s="237">
        <v>2</v>
      </c>
      <c r="N12" s="55">
        <v>8</v>
      </c>
      <c r="O12" s="237">
        <v>0.95</v>
      </c>
      <c r="P12" s="237">
        <v>1.2</v>
      </c>
      <c r="Q12" s="57">
        <f t="shared" si="0"/>
        <v>1.075</v>
      </c>
      <c r="R12" s="237">
        <v>14</v>
      </c>
      <c r="S12" s="237">
        <v>125</v>
      </c>
      <c r="T12" s="77">
        <f t="shared" si="1"/>
        <v>27</v>
      </c>
      <c r="U12" s="55">
        <v>861</v>
      </c>
      <c r="V12" s="58">
        <f t="shared" si="2"/>
        <v>2905.875</v>
      </c>
      <c r="W12" s="237">
        <v>2</v>
      </c>
      <c r="X12" s="55" t="s">
        <v>46</v>
      </c>
      <c r="Y12" s="55" t="s">
        <v>64</v>
      </c>
      <c r="Z12" s="55" t="s">
        <v>97</v>
      </c>
      <c r="AA12" s="55" t="s">
        <v>69</v>
      </c>
      <c r="AB12" s="55" t="s">
        <v>346</v>
      </c>
      <c r="AE12" s="223" t="s">
        <v>70</v>
      </c>
      <c r="AG12" s="70"/>
      <c r="AH12" s="70"/>
      <c r="AL12" s="76"/>
      <c r="AP12" s="65" t="s">
        <v>67</v>
      </c>
      <c r="AR12" s="231" t="s">
        <v>124</v>
      </c>
      <c r="AV12" s="65" t="s">
        <v>72</v>
      </c>
      <c r="AX12" s="79">
        <v>180</v>
      </c>
      <c r="AY12" s="80">
        <v>18</v>
      </c>
      <c r="AZ12" s="80">
        <v>181</v>
      </c>
      <c r="BA12" s="81">
        <v>16</v>
      </c>
    </row>
    <row r="13" spans="1:53" x14ac:dyDescent="0.15">
      <c r="A13" s="55" t="s">
        <v>41</v>
      </c>
      <c r="B13" s="237" t="s">
        <v>344</v>
      </c>
      <c r="C13" s="152">
        <v>2018</v>
      </c>
      <c r="D13" s="56" t="s">
        <v>362</v>
      </c>
      <c r="E13" s="237" t="s">
        <v>133</v>
      </c>
      <c r="F13" s="237" t="s">
        <v>302</v>
      </c>
      <c r="G13" s="55" t="s">
        <v>42</v>
      </c>
      <c r="H13" s="55" t="s">
        <v>165</v>
      </c>
      <c r="I13" s="55" t="s">
        <v>155</v>
      </c>
      <c r="J13" s="55" t="s">
        <v>38</v>
      </c>
      <c r="K13" s="55" t="s">
        <v>156</v>
      </c>
      <c r="L13" s="237">
        <v>3</v>
      </c>
      <c r="N13" s="55">
        <v>8</v>
      </c>
      <c r="O13" s="237">
        <v>1.1000000000000001</v>
      </c>
      <c r="P13" s="237">
        <v>1.3</v>
      </c>
      <c r="Q13" s="57">
        <f t="shared" si="0"/>
        <v>1.2000000000000002</v>
      </c>
      <c r="R13" s="237">
        <v>11.4</v>
      </c>
      <c r="S13" s="237">
        <v>122</v>
      </c>
      <c r="T13" s="77">
        <f t="shared" si="1"/>
        <v>27</v>
      </c>
      <c r="U13" s="55">
        <v>861</v>
      </c>
      <c r="V13" s="58">
        <f t="shared" si="2"/>
        <v>2905.875</v>
      </c>
      <c r="W13" s="237">
        <v>2</v>
      </c>
      <c r="X13" s="55" t="s">
        <v>46</v>
      </c>
      <c r="Y13" s="55" t="s">
        <v>64</v>
      </c>
      <c r="Z13" s="55" t="s">
        <v>97</v>
      </c>
      <c r="AA13" s="55" t="s">
        <v>69</v>
      </c>
      <c r="AB13" s="55" t="s">
        <v>346</v>
      </c>
      <c r="AE13" s="223" t="s">
        <v>73</v>
      </c>
      <c r="AG13" s="231"/>
      <c r="AH13" s="231"/>
      <c r="AP13" s="65" t="s">
        <v>71</v>
      </c>
      <c r="AR13" s="231" t="s">
        <v>103</v>
      </c>
      <c r="AV13" s="65" t="s">
        <v>75</v>
      </c>
    </row>
    <row r="14" spans="1:53" x14ac:dyDescent="0.15">
      <c r="A14" s="55" t="s">
        <v>41</v>
      </c>
      <c r="B14" s="237" t="s">
        <v>344</v>
      </c>
      <c r="C14" s="152">
        <v>2018</v>
      </c>
      <c r="D14" s="56" t="s">
        <v>362</v>
      </c>
      <c r="E14" s="237" t="s">
        <v>133</v>
      </c>
      <c r="F14" s="237" t="s">
        <v>302</v>
      </c>
      <c r="G14" s="55" t="s">
        <v>42</v>
      </c>
      <c r="H14" s="55" t="s">
        <v>217</v>
      </c>
      <c r="I14" s="55" t="s">
        <v>155</v>
      </c>
      <c r="J14" s="55" t="s">
        <v>38</v>
      </c>
      <c r="K14" s="55" t="s">
        <v>156</v>
      </c>
      <c r="L14" s="237">
        <v>1</v>
      </c>
      <c r="M14" s="55"/>
      <c r="N14" s="55">
        <v>8</v>
      </c>
      <c r="O14" s="237">
        <v>0.25</v>
      </c>
      <c r="P14" s="237">
        <v>0.2</v>
      </c>
      <c r="Q14" s="57">
        <f t="shared" si="0"/>
        <v>0.22500000000000001</v>
      </c>
      <c r="R14" s="237">
        <v>16.5</v>
      </c>
      <c r="S14" s="237">
        <v>101</v>
      </c>
      <c r="T14" s="77">
        <f t="shared" si="1"/>
        <v>33</v>
      </c>
      <c r="U14" s="55">
        <v>753</v>
      </c>
      <c r="V14" s="78">
        <f t="shared" si="2"/>
        <v>3106.125</v>
      </c>
      <c r="W14" s="55">
        <v>1</v>
      </c>
      <c r="X14" s="55" t="s">
        <v>46</v>
      </c>
      <c r="Y14" s="55" t="s">
        <v>64</v>
      </c>
      <c r="Z14" s="55" t="s">
        <v>97</v>
      </c>
      <c r="AA14" s="55" t="s">
        <v>69</v>
      </c>
      <c r="AB14" s="55" t="s">
        <v>346</v>
      </c>
      <c r="AE14" s="223" t="s">
        <v>76</v>
      </c>
      <c r="AG14" s="231"/>
      <c r="AH14" s="231"/>
      <c r="AP14" s="65" t="s">
        <v>74</v>
      </c>
      <c r="AR14" s="231" t="s">
        <v>125</v>
      </c>
      <c r="AV14" s="65" t="s">
        <v>78</v>
      </c>
    </row>
    <row r="15" spans="1:53" x14ac:dyDescent="0.15">
      <c r="A15" s="55" t="s">
        <v>41</v>
      </c>
      <c r="B15" s="237" t="s">
        <v>344</v>
      </c>
      <c r="C15" s="152">
        <v>2018</v>
      </c>
      <c r="D15" s="56" t="s">
        <v>362</v>
      </c>
      <c r="E15" s="237" t="s">
        <v>133</v>
      </c>
      <c r="F15" s="237" t="s">
        <v>302</v>
      </c>
      <c r="G15" s="55" t="s">
        <v>42</v>
      </c>
      <c r="H15" s="55" t="s">
        <v>217</v>
      </c>
      <c r="I15" s="55" t="s">
        <v>155</v>
      </c>
      <c r="J15" s="55" t="s">
        <v>38</v>
      </c>
      <c r="K15" s="55" t="s">
        <v>156</v>
      </c>
      <c r="L15" s="237">
        <v>2</v>
      </c>
      <c r="N15" s="55">
        <v>8</v>
      </c>
      <c r="O15" s="237">
        <v>0.3</v>
      </c>
      <c r="P15" s="237">
        <v>0.2</v>
      </c>
      <c r="Q15" s="57">
        <f t="shared" si="0"/>
        <v>0.25</v>
      </c>
      <c r="R15" s="237">
        <v>12.8</v>
      </c>
      <c r="S15" s="237">
        <v>97</v>
      </c>
      <c r="T15" s="77">
        <f t="shared" si="1"/>
        <v>36</v>
      </c>
      <c r="U15" s="55">
        <v>753</v>
      </c>
      <c r="V15" s="58">
        <f t="shared" si="2"/>
        <v>3388.5</v>
      </c>
      <c r="W15" s="237">
        <v>1</v>
      </c>
      <c r="X15" s="55" t="s">
        <v>46</v>
      </c>
      <c r="Y15" s="55" t="s">
        <v>64</v>
      </c>
      <c r="Z15" s="55" t="s">
        <v>97</v>
      </c>
      <c r="AA15" s="55" t="s">
        <v>69</v>
      </c>
      <c r="AB15" s="55" t="s">
        <v>346</v>
      </c>
      <c r="AE15" s="223" t="s">
        <v>79</v>
      </c>
      <c r="AG15" s="231"/>
      <c r="AH15" s="231"/>
      <c r="AP15" s="65" t="s">
        <v>77</v>
      </c>
      <c r="AR15" s="231" t="s">
        <v>94</v>
      </c>
      <c r="AV15" s="65" t="s">
        <v>107</v>
      </c>
    </row>
    <row r="16" spans="1:53" x14ac:dyDescent="0.15">
      <c r="A16" s="55" t="s">
        <v>41</v>
      </c>
      <c r="B16" s="237" t="s">
        <v>344</v>
      </c>
      <c r="C16" s="152">
        <v>2018</v>
      </c>
      <c r="D16" s="56" t="s">
        <v>362</v>
      </c>
      <c r="E16" s="237" t="s">
        <v>133</v>
      </c>
      <c r="F16" s="237" t="s">
        <v>302</v>
      </c>
      <c r="G16" s="55" t="s">
        <v>42</v>
      </c>
      <c r="H16" s="55" t="s">
        <v>217</v>
      </c>
      <c r="I16" s="55" t="s">
        <v>155</v>
      </c>
      <c r="J16" s="55" t="s">
        <v>38</v>
      </c>
      <c r="K16" s="55" t="s">
        <v>156</v>
      </c>
      <c r="L16" s="237">
        <v>3</v>
      </c>
      <c r="N16" s="55">
        <v>8</v>
      </c>
      <c r="O16" s="237">
        <v>0.15</v>
      </c>
      <c r="P16" s="237">
        <v>0.2</v>
      </c>
      <c r="Q16" s="57">
        <f t="shared" si="0"/>
        <v>0.17499999999999999</v>
      </c>
      <c r="R16" s="237">
        <v>14.4</v>
      </c>
      <c r="S16" s="237">
        <v>95</v>
      </c>
      <c r="T16" s="77">
        <f t="shared" si="1"/>
        <v>36</v>
      </c>
      <c r="U16" s="55">
        <v>753</v>
      </c>
      <c r="V16" s="58">
        <f t="shared" si="2"/>
        <v>3388.5</v>
      </c>
      <c r="W16" s="237">
        <v>1</v>
      </c>
      <c r="X16" s="55" t="s">
        <v>46</v>
      </c>
      <c r="Y16" s="55" t="s">
        <v>64</v>
      </c>
      <c r="Z16" s="55" t="s">
        <v>97</v>
      </c>
      <c r="AA16" s="55" t="s">
        <v>69</v>
      </c>
      <c r="AB16" s="55" t="s">
        <v>346</v>
      </c>
      <c r="AE16" s="223" t="s">
        <v>82</v>
      </c>
      <c r="AG16" s="71"/>
      <c r="AH16" s="71"/>
      <c r="AP16" s="65" t="s">
        <v>80</v>
      </c>
      <c r="AR16" s="231" t="s">
        <v>63</v>
      </c>
      <c r="AV16" s="65" t="s">
        <v>84</v>
      </c>
    </row>
    <row r="17" spans="1:49" x14ac:dyDescent="0.15">
      <c r="A17" s="55" t="s">
        <v>41</v>
      </c>
      <c r="B17" s="237" t="s">
        <v>344</v>
      </c>
      <c r="C17" s="152">
        <v>2018</v>
      </c>
      <c r="D17" s="56" t="s">
        <v>362</v>
      </c>
      <c r="E17" s="237" t="s">
        <v>297</v>
      </c>
      <c r="F17" s="55" t="s">
        <v>302</v>
      </c>
      <c r="G17" s="55" t="s">
        <v>42</v>
      </c>
      <c r="H17" s="55" t="s">
        <v>165</v>
      </c>
      <c r="I17" s="55" t="s">
        <v>155</v>
      </c>
      <c r="J17" s="55" t="s">
        <v>38</v>
      </c>
      <c r="K17" s="55" t="s">
        <v>156</v>
      </c>
      <c r="L17" s="237">
        <v>1</v>
      </c>
      <c r="M17" s="55"/>
      <c r="N17" s="55">
        <v>6</v>
      </c>
      <c r="O17" s="55">
        <v>0.35</v>
      </c>
      <c r="P17" s="251">
        <v>0.4</v>
      </c>
      <c r="Q17" s="57">
        <f t="shared" si="0"/>
        <v>0.375</v>
      </c>
      <c r="R17" s="237">
        <v>16.7</v>
      </c>
      <c r="S17" s="237">
        <v>124</v>
      </c>
      <c r="T17" s="77">
        <f t="shared" si="1"/>
        <v>27</v>
      </c>
      <c r="U17" s="55">
        <v>734</v>
      </c>
      <c r="V17" s="78">
        <f t="shared" si="2"/>
        <v>3303</v>
      </c>
      <c r="W17" s="55">
        <v>1</v>
      </c>
      <c r="X17" s="55" t="s">
        <v>46</v>
      </c>
      <c r="Y17" s="55" t="s">
        <v>64</v>
      </c>
      <c r="Z17" s="55" t="s">
        <v>97</v>
      </c>
      <c r="AA17" s="55" t="s">
        <v>86</v>
      </c>
      <c r="AB17" s="55" t="s">
        <v>346</v>
      </c>
      <c r="AE17" s="223" t="s">
        <v>85</v>
      </c>
      <c r="AP17" s="239" t="s">
        <v>110</v>
      </c>
      <c r="AR17" s="231" t="s">
        <v>96</v>
      </c>
      <c r="AV17" s="65" t="s">
        <v>86</v>
      </c>
    </row>
    <row r="18" spans="1:49" x14ac:dyDescent="0.15">
      <c r="A18" s="55" t="s">
        <v>41</v>
      </c>
      <c r="B18" s="237" t="s">
        <v>344</v>
      </c>
      <c r="C18" s="152">
        <v>2018</v>
      </c>
      <c r="D18" s="56" t="s">
        <v>362</v>
      </c>
      <c r="E18" s="237" t="s">
        <v>297</v>
      </c>
      <c r="F18" s="55" t="s">
        <v>302</v>
      </c>
      <c r="G18" s="55" t="s">
        <v>42</v>
      </c>
      <c r="H18" s="55" t="s">
        <v>165</v>
      </c>
      <c r="I18" s="55" t="s">
        <v>155</v>
      </c>
      <c r="J18" s="55" t="s">
        <v>38</v>
      </c>
      <c r="K18" s="55" t="s">
        <v>156</v>
      </c>
      <c r="L18" s="237">
        <v>2</v>
      </c>
      <c r="N18" s="55">
        <v>6</v>
      </c>
      <c r="O18" s="55">
        <v>0.6</v>
      </c>
      <c r="P18" s="55">
        <v>0.75</v>
      </c>
      <c r="Q18" s="57">
        <f t="shared" si="0"/>
        <v>0.67500000000000004</v>
      </c>
      <c r="R18" s="237">
        <v>15.8</v>
      </c>
      <c r="S18" s="237">
        <v>128</v>
      </c>
      <c r="T18" s="77">
        <f t="shared" si="1"/>
        <v>27</v>
      </c>
      <c r="U18" s="55">
        <v>734</v>
      </c>
      <c r="V18" s="78">
        <f t="shared" si="2"/>
        <v>3303</v>
      </c>
      <c r="W18" s="55">
        <v>1</v>
      </c>
      <c r="X18" s="55" t="s">
        <v>46</v>
      </c>
      <c r="Y18" s="55" t="s">
        <v>64</v>
      </c>
      <c r="Z18" s="55" t="s">
        <v>97</v>
      </c>
      <c r="AA18" s="55" t="s">
        <v>86</v>
      </c>
      <c r="AB18" s="55" t="s">
        <v>346</v>
      </c>
      <c r="AE18" s="223" t="s">
        <v>87</v>
      </c>
      <c r="AP18" s="239" t="s">
        <v>111</v>
      </c>
      <c r="AR18" s="231" t="s">
        <v>101</v>
      </c>
      <c r="AV18" s="65" t="s">
        <v>88</v>
      </c>
    </row>
    <row r="19" spans="1:49" x14ac:dyDescent="0.15">
      <c r="A19" s="55" t="s">
        <v>41</v>
      </c>
      <c r="B19" s="237" t="s">
        <v>344</v>
      </c>
      <c r="C19" s="152">
        <v>2018</v>
      </c>
      <c r="D19" s="56" t="s">
        <v>362</v>
      </c>
      <c r="E19" s="237" t="s">
        <v>297</v>
      </c>
      <c r="F19" s="55" t="s">
        <v>302</v>
      </c>
      <c r="G19" s="55" t="s">
        <v>42</v>
      </c>
      <c r="H19" s="55" t="s">
        <v>165</v>
      </c>
      <c r="I19" s="55" t="s">
        <v>155</v>
      </c>
      <c r="J19" s="55" t="s">
        <v>38</v>
      </c>
      <c r="K19" s="55" t="s">
        <v>156</v>
      </c>
      <c r="L19" s="237">
        <v>3</v>
      </c>
      <c r="N19" s="55">
        <v>6</v>
      </c>
      <c r="O19" s="55">
        <v>0.2</v>
      </c>
      <c r="P19" s="55">
        <v>0.35</v>
      </c>
      <c r="Q19" s="57">
        <f t="shared" si="0"/>
        <v>0.27500000000000002</v>
      </c>
      <c r="R19" s="237">
        <v>14.7</v>
      </c>
      <c r="S19" s="237">
        <v>131</v>
      </c>
      <c r="T19" s="77">
        <f t="shared" si="1"/>
        <v>25</v>
      </c>
      <c r="U19" s="55">
        <v>734</v>
      </c>
      <c r="V19" s="78">
        <f t="shared" si="2"/>
        <v>3058.333333333333</v>
      </c>
      <c r="W19" s="237">
        <v>1</v>
      </c>
      <c r="X19" s="55" t="s">
        <v>46</v>
      </c>
      <c r="Y19" s="55" t="s">
        <v>64</v>
      </c>
      <c r="Z19" s="55" t="s">
        <v>97</v>
      </c>
      <c r="AA19" s="55" t="s">
        <v>86</v>
      </c>
      <c r="AB19" s="55" t="s">
        <v>346</v>
      </c>
      <c r="AE19" s="236" t="s">
        <v>89</v>
      </c>
      <c r="AP19" s="239" t="s">
        <v>112</v>
      </c>
      <c r="AR19" s="231" t="s">
        <v>126</v>
      </c>
      <c r="AV19" s="65" t="s">
        <v>90</v>
      </c>
    </row>
    <row r="20" spans="1:49" x14ac:dyDescent="0.15">
      <c r="A20" s="55" t="s">
        <v>41</v>
      </c>
      <c r="B20" s="237" t="s">
        <v>344</v>
      </c>
      <c r="C20" s="152">
        <v>2018</v>
      </c>
      <c r="D20" s="56" t="s">
        <v>362</v>
      </c>
      <c r="E20" s="237" t="s">
        <v>297</v>
      </c>
      <c r="F20" s="55" t="s">
        <v>302</v>
      </c>
      <c r="G20" s="55" t="s">
        <v>42</v>
      </c>
      <c r="H20" s="55" t="s">
        <v>165</v>
      </c>
      <c r="I20" s="55" t="s">
        <v>155</v>
      </c>
      <c r="J20" s="55" t="s">
        <v>38</v>
      </c>
      <c r="K20" s="55" t="s">
        <v>156</v>
      </c>
      <c r="L20" s="237">
        <v>1</v>
      </c>
      <c r="M20" s="55"/>
      <c r="N20" s="55">
        <v>1</v>
      </c>
      <c r="O20" s="55">
        <v>0.5</v>
      </c>
      <c r="P20" s="251">
        <v>0.3</v>
      </c>
      <c r="Q20" s="57">
        <f t="shared" si="0"/>
        <v>0.4</v>
      </c>
      <c r="R20" s="237">
        <v>15.1</v>
      </c>
      <c r="S20" s="237">
        <v>134</v>
      </c>
      <c r="T20" s="77">
        <f t="shared" si="1"/>
        <v>25</v>
      </c>
      <c r="U20" s="55">
        <v>149</v>
      </c>
      <c r="V20" s="78">
        <f t="shared" si="2"/>
        <v>3725</v>
      </c>
      <c r="W20" s="55">
        <v>2</v>
      </c>
      <c r="X20" s="55" t="s">
        <v>46</v>
      </c>
      <c r="Y20" s="55" t="s">
        <v>64</v>
      </c>
      <c r="Z20" s="55" t="s">
        <v>97</v>
      </c>
      <c r="AA20" s="55" t="s">
        <v>86</v>
      </c>
      <c r="AB20" s="55" t="s">
        <v>346</v>
      </c>
      <c r="AE20" s="236"/>
      <c r="AP20" s="239" t="s">
        <v>113</v>
      </c>
      <c r="AR20" s="231" t="s">
        <v>105</v>
      </c>
      <c r="AV20" s="69" t="s">
        <v>373</v>
      </c>
    </row>
    <row r="21" spans="1:49" x14ac:dyDescent="0.15">
      <c r="A21" s="55" t="s">
        <v>41</v>
      </c>
      <c r="B21" s="237" t="s">
        <v>344</v>
      </c>
      <c r="C21" s="152">
        <v>2018</v>
      </c>
      <c r="D21" s="56" t="s">
        <v>362</v>
      </c>
      <c r="E21" s="237" t="s">
        <v>297</v>
      </c>
      <c r="F21" s="55" t="s">
        <v>302</v>
      </c>
      <c r="G21" s="55" t="s">
        <v>42</v>
      </c>
      <c r="H21" s="55" t="s">
        <v>165</v>
      </c>
      <c r="I21" s="55" t="s">
        <v>155</v>
      </c>
      <c r="J21" s="55" t="s">
        <v>38</v>
      </c>
      <c r="K21" s="55" t="s">
        <v>156</v>
      </c>
      <c r="L21" s="237">
        <v>2</v>
      </c>
      <c r="N21" s="55">
        <v>1</v>
      </c>
      <c r="O21" s="55">
        <v>0.75</v>
      </c>
      <c r="P21" s="55">
        <v>0.65</v>
      </c>
      <c r="Q21" s="57">
        <f t="shared" si="0"/>
        <v>0.7</v>
      </c>
      <c r="R21" s="237">
        <v>14.1</v>
      </c>
      <c r="S21" s="237">
        <v>129</v>
      </c>
      <c r="T21" s="77">
        <f t="shared" si="1"/>
        <v>25</v>
      </c>
      <c r="U21" s="55">
        <v>149</v>
      </c>
      <c r="V21" s="58">
        <f t="shared" si="2"/>
        <v>3725</v>
      </c>
      <c r="W21" s="237">
        <v>2</v>
      </c>
      <c r="X21" s="55" t="s">
        <v>46</v>
      </c>
      <c r="Y21" s="55" t="s">
        <v>64</v>
      </c>
      <c r="Z21" s="55" t="s">
        <v>97</v>
      </c>
      <c r="AA21" s="55" t="s">
        <v>86</v>
      </c>
      <c r="AB21" s="55" t="s">
        <v>346</v>
      </c>
      <c r="AE21" s="244"/>
      <c r="AP21" s="239" t="s">
        <v>114</v>
      </c>
      <c r="AR21" s="231" t="s">
        <v>68</v>
      </c>
      <c r="AV21" s="69" t="s">
        <v>374</v>
      </c>
    </row>
    <row r="22" spans="1:49" x14ac:dyDescent="0.15">
      <c r="A22" s="55" t="s">
        <v>41</v>
      </c>
      <c r="B22" s="237" t="s">
        <v>344</v>
      </c>
      <c r="C22" s="152">
        <v>2018</v>
      </c>
      <c r="D22" s="56" t="s">
        <v>362</v>
      </c>
      <c r="E22" s="237" t="s">
        <v>297</v>
      </c>
      <c r="F22" s="55" t="s">
        <v>302</v>
      </c>
      <c r="G22" s="55" t="s">
        <v>42</v>
      </c>
      <c r="H22" s="55" t="s">
        <v>165</v>
      </c>
      <c r="I22" s="55" t="s">
        <v>155</v>
      </c>
      <c r="J22" s="55" t="s">
        <v>38</v>
      </c>
      <c r="K22" s="55" t="s">
        <v>156</v>
      </c>
      <c r="L22" s="237">
        <v>3</v>
      </c>
      <c r="N22" s="55">
        <v>1</v>
      </c>
      <c r="O22" s="55">
        <v>0.8</v>
      </c>
      <c r="P22" s="55">
        <v>0.6</v>
      </c>
      <c r="Q22" s="57">
        <f t="shared" si="0"/>
        <v>0.7</v>
      </c>
      <c r="R22" s="237">
        <v>13.8</v>
      </c>
      <c r="S22" s="237">
        <v>130</v>
      </c>
      <c r="T22" s="77">
        <f t="shared" si="1"/>
        <v>25</v>
      </c>
      <c r="U22" s="55">
        <v>149</v>
      </c>
      <c r="V22" s="58">
        <f t="shared" si="2"/>
        <v>3725</v>
      </c>
      <c r="W22" s="237">
        <v>2</v>
      </c>
      <c r="X22" s="55" t="s">
        <v>46</v>
      </c>
      <c r="Y22" s="55" t="s">
        <v>64</v>
      </c>
      <c r="Z22" s="55" t="s">
        <v>97</v>
      </c>
      <c r="AA22" s="55" t="s">
        <v>86</v>
      </c>
      <c r="AB22" s="55" t="s">
        <v>346</v>
      </c>
      <c r="AP22" s="239" t="s">
        <v>115</v>
      </c>
      <c r="AR22" s="231" t="s">
        <v>83</v>
      </c>
      <c r="AV22" s="69"/>
    </row>
    <row r="23" spans="1:49" x14ac:dyDescent="0.15">
      <c r="A23" s="55" t="s">
        <v>41</v>
      </c>
      <c r="B23" s="237" t="s">
        <v>344</v>
      </c>
      <c r="C23" s="152">
        <v>2018</v>
      </c>
      <c r="D23" s="56" t="s">
        <v>362</v>
      </c>
      <c r="E23" s="237" t="s">
        <v>297</v>
      </c>
      <c r="F23" s="55" t="s">
        <v>302</v>
      </c>
      <c r="G23" s="55" t="s">
        <v>42</v>
      </c>
      <c r="H23" s="55" t="s">
        <v>165</v>
      </c>
      <c r="I23" s="55" t="s">
        <v>155</v>
      </c>
      <c r="J23" s="55" t="s">
        <v>38</v>
      </c>
      <c r="K23" s="55" t="s">
        <v>156</v>
      </c>
      <c r="L23" s="237">
        <v>1</v>
      </c>
      <c r="N23" s="55">
        <v>3</v>
      </c>
      <c r="O23" s="55">
        <v>0.25</v>
      </c>
      <c r="P23" s="55">
        <v>0.3</v>
      </c>
      <c r="Q23" s="82">
        <f t="shared" si="0"/>
        <v>0.27500000000000002</v>
      </c>
      <c r="R23" s="55">
        <v>16.100000000000001</v>
      </c>
      <c r="S23" s="55">
        <v>134</v>
      </c>
      <c r="T23" s="57">
        <f t="shared" si="1"/>
        <v>25</v>
      </c>
      <c r="U23" s="55">
        <v>429</v>
      </c>
      <c r="V23" s="58">
        <f t="shared" si="2"/>
        <v>3575</v>
      </c>
      <c r="W23" s="237">
        <v>1</v>
      </c>
      <c r="X23" s="55" t="s">
        <v>46</v>
      </c>
      <c r="Y23" s="55" t="s">
        <v>64</v>
      </c>
      <c r="Z23" s="55" t="s">
        <v>97</v>
      </c>
      <c r="AA23" s="55" t="s">
        <v>86</v>
      </c>
      <c r="AB23" s="55" t="s">
        <v>346</v>
      </c>
      <c r="AP23" s="239" t="s">
        <v>117</v>
      </c>
      <c r="AR23" s="244" t="s">
        <v>296</v>
      </c>
      <c r="AV23" s="244"/>
    </row>
    <row r="24" spans="1:49" x14ac:dyDescent="0.15">
      <c r="A24" s="55" t="s">
        <v>41</v>
      </c>
      <c r="B24" s="237" t="s">
        <v>344</v>
      </c>
      <c r="C24" s="152">
        <v>2018</v>
      </c>
      <c r="D24" s="56" t="s">
        <v>362</v>
      </c>
      <c r="E24" s="237" t="s">
        <v>297</v>
      </c>
      <c r="F24" s="55" t="s">
        <v>302</v>
      </c>
      <c r="G24" s="55" t="s">
        <v>42</v>
      </c>
      <c r="H24" s="55" t="s">
        <v>165</v>
      </c>
      <c r="I24" s="55" t="s">
        <v>155</v>
      </c>
      <c r="J24" s="55" t="s">
        <v>38</v>
      </c>
      <c r="K24" s="55" t="s">
        <v>156</v>
      </c>
      <c r="L24" s="237">
        <v>2</v>
      </c>
      <c r="N24" s="55">
        <v>3</v>
      </c>
      <c r="O24" s="55">
        <v>0.3</v>
      </c>
      <c r="P24" s="55">
        <v>0.45</v>
      </c>
      <c r="Q24" s="82">
        <f t="shared" si="0"/>
        <v>0.375</v>
      </c>
      <c r="R24" s="55">
        <v>17</v>
      </c>
      <c r="S24" s="55">
        <v>130</v>
      </c>
      <c r="T24" s="57">
        <f t="shared" si="1"/>
        <v>25</v>
      </c>
      <c r="U24" s="55">
        <v>429</v>
      </c>
      <c r="V24" s="58">
        <f t="shared" si="2"/>
        <v>3575</v>
      </c>
      <c r="W24" s="237">
        <v>1</v>
      </c>
      <c r="X24" s="55" t="s">
        <v>46</v>
      </c>
      <c r="Y24" s="55" t="s">
        <v>64</v>
      </c>
      <c r="Z24" s="55" t="s">
        <v>97</v>
      </c>
      <c r="AA24" s="55" t="s">
        <v>86</v>
      </c>
      <c r="AB24" s="55" t="s">
        <v>346</v>
      </c>
      <c r="AP24" s="239" t="s">
        <v>118</v>
      </c>
    </row>
    <row r="25" spans="1:49" x14ac:dyDescent="0.15">
      <c r="A25" s="55" t="s">
        <v>41</v>
      </c>
      <c r="B25" s="237" t="s">
        <v>344</v>
      </c>
      <c r="C25" s="152">
        <v>2018</v>
      </c>
      <c r="D25" s="56" t="s">
        <v>362</v>
      </c>
      <c r="E25" s="237" t="s">
        <v>297</v>
      </c>
      <c r="F25" s="55" t="s">
        <v>302</v>
      </c>
      <c r="G25" s="55" t="s">
        <v>42</v>
      </c>
      <c r="H25" s="55" t="s">
        <v>165</v>
      </c>
      <c r="I25" s="55" t="s">
        <v>155</v>
      </c>
      <c r="J25" s="55" t="s">
        <v>38</v>
      </c>
      <c r="K25" s="55" t="s">
        <v>156</v>
      </c>
      <c r="L25" s="237">
        <v>3</v>
      </c>
      <c r="N25" s="55">
        <v>3</v>
      </c>
      <c r="O25" s="55">
        <v>0.45</v>
      </c>
      <c r="P25" s="55">
        <v>0.5</v>
      </c>
      <c r="Q25" s="82">
        <f t="shared" si="0"/>
        <v>0.47499999999999998</v>
      </c>
      <c r="R25" s="55">
        <v>14.2</v>
      </c>
      <c r="S25" s="55">
        <v>133</v>
      </c>
      <c r="T25" s="57">
        <f t="shared" si="1"/>
        <v>25</v>
      </c>
      <c r="U25" s="55">
        <v>429</v>
      </c>
      <c r="V25" s="58">
        <f t="shared" si="2"/>
        <v>3575</v>
      </c>
      <c r="W25" s="237">
        <v>1</v>
      </c>
      <c r="X25" s="55" t="s">
        <v>46</v>
      </c>
      <c r="Y25" s="55" t="s">
        <v>64</v>
      </c>
      <c r="Z25" s="55" t="s">
        <v>97</v>
      </c>
      <c r="AA25" s="55" t="s">
        <v>86</v>
      </c>
      <c r="AB25" s="55" t="s">
        <v>346</v>
      </c>
    </row>
    <row r="26" spans="1:49" x14ac:dyDescent="0.15">
      <c r="A26" s="55" t="s">
        <v>41</v>
      </c>
      <c r="B26" s="237" t="s">
        <v>344</v>
      </c>
      <c r="C26" s="152">
        <v>2018</v>
      </c>
      <c r="D26" s="56" t="s">
        <v>362</v>
      </c>
      <c r="E26" s="237" t="s">
        <v>297</v>
      </c>
      <c r="F26" s="55" t="s">
        <v>302</v>
      </c>
      <c r="G26" s="55" t="s">
        <v>42</v>
      </c>
      <c r="H26" s="55" t="s">
        <v>165</v>
      </c>
      <c r="I26" s="55" t="s">
        <v>155</v>
      </c>
      <c r="J26" s="55" t="s">
        <v>38</v>
      </c>
      <c r="K26" s="55" t="s">
        <v>156</v>
      </c>
      <c r="L26" s="237">
        <v>1</v>
      </c>
      <c r="M26" s="55"/>
      <c r="N26" s="55">
        <v>8</v>
      </c>
      <c r="O26" s="55">
        <v>0.5</v>
      </c>
      <c r="P26" s="55">
        <v>0.55000000000000004</v>
      </c>
      <c r="Q26" s="57">
        <f t="shared" si="0"/>
        <v>0.52500000000000002</v>
      </c>
      <c r="R26" s="237">
        <v>12.8</v>
      </c>
      <c r="S26" s="55">
        <v>118</v>
      </c>
      <c r="T26" s="77">
        <f t="shared" si="1"/>
        <v>30</v>
      </c>
      <c r="U26" s="55">
        <v>1058</v>
      </c>
      <c r="V26" s="78">
        <f t="shared" si="2"/>
        <v>3967.5</v>
      </c>
      <c r="W26" s="55">
        <v>1</v>
      </c>
      <c r="X26" s="55" t="s">
        <v>46</v>
      </c>
      <c r="Y26" s="55" t="s">
        <v>64</v>
      </c>
      <c r="Z26" s="55" t="s">
        <v>97</v>
      </c>
      <c r="AA26" s="55" t="s">
        <v>86</v>
      </c>
      <c r="AB26" s="55" t="s">
        <v>346</v>
      </c>
    </row>
    <row r="27" spans="1:49" x14ac:dyDescent="0.15">
      <c r="A27" s="55" t="s">
        <v>41</v>
      </c>
      <c r="B27" s="237" t="s">
        <v>344</v>
      </c>
      <c r="C27" s="152">
        <v>2018</v>
      </c>
      <c r="D27" s="56" t="s">
        <v>362</v>
      </c>
      <c r="E27" s="237" t="s">
        <v>297</v>
      </c>
      <c r="F27" s="55" t="s">
        <v>302</v>
      </c>
      <c r="G27" s="55" t="s">
        <v>42</v>
      </c>
      <c r="H27" s="55" t="s">
        <v>165</v>
      </c>
      <c r="I27" s="55" t="s">
        <v>155</v>
      </c>
      <c r="J27" s="55" t="s">
        <v>38</v>
      </c>
      <c r="K27" s="55" t="s">
        <v>156</v>
      </c>
      <c r="L27" s="237">
        <v>2</v>
      </c>
      <c r="N27" s="55">
        <v>8</v>
      </c>
      <c r="O27" s="55">
        <v>0.65</v>
      </c>
      <c r="P27" s="55">
        <v>0.45</v>
      </c>
      <c r="Q27" s="57">
        <f t="shared" si="0"/>
        <v>0.55000000000000004</v>
      </c>
      <c r="R27" s="237">
        <v>15.1</v>
      </c>
      <c r="S27" s="55">
        <v>121</v>
      </c>
      <c r="T27" s="77">
        <f t="shared" si="1"/>
        <v>27</v>
      </c>
      <c r="U27" s="55">
        <v>1058</v>
      </c>
      <c r="V27" s="58">
        <f t="shared" si="2"/>
        <v>3570.75</v>
      </c>
      <c r="W27" s="237">
        <v>1</v>
      </c>
      <c r="X27" s="55" t="s">
        <v>46</v>
      </c>
      <c r="Y27" s="55" t="s">
        <v>64</v>
      </c>
      <c r="Z27" s="55" t="s">
        <v>97</v>
      </c>
      <c r="AA27" s="55" t="s">
        <v>86</v>
      </c>
      <c r="AB27" s="55" t="s">
        <v>346</v>
      </c>
    </row>
    <row r="28" spans="1:49" x14ac:dyDescent="0.15">
      <c r="A28" s="55" t="s">
        <v>41</v>
      </c>
      <c r="B28" s="237" t="s">
        <v>344</v>
      </c>
      <c r="C28" s="152">
        <v>2018</v>
      </c>
      <c r="D28" s="56" t="s">
        <v>362</v>
      </c>
      <c r="E28" s="237" t="s">
        <v>297</v>
      </c>
      <c r="F28" s="55" t="s">
        <v>302</v>
      </c>
      <c r="G28" s="55" t="s">
        <v>42</v>
      </c>
      <c r="H28" s="55" t="s">
        <v>165</v>
      </c>
      <c r="I28" s="55" t="s">
        <v>155</v>
      </c>
      <c r="J28" s="55" t="s">
        <v>38</v>
      </c>
      <c r="K28" s="55" t="s">
        <v>156</v>
      </c>
      <c r="L28" s="237">
        <v>3</v>
      </c>
      <c r="N28" s="55">
        <v>8</v>
      </c>
      <c r="O28" s="55">
        <v>0.5</v>
      </c>
      <c r="P28" s="55">
        <v>0.5</v>
      </c>
      <c r="Q28" s="57">
        <f t="shared" si="0"/>
        <v>0.5</v>
      </c>
      <c r="R28" s="55">
        <v>15.1</v>
      </c>
      <c r="S28" s="55">
        <v>115</v>
      </c>
      <c r="T28" s="77">
        <f t="shared" si="1"/>
        <v>30</v>
      </c>
      <c r="U28" s="55">
        <v>1058</v>
      </c>
      <c r="V28" s="58">
        <f t="shared" si="2"/>
        <v>3967.5</v>
      </c>
      <c r="W28" s="237">
        <v>1</v>
      </c>
      <c r="X28" s="55" t="s">
        <v>46</v>
      </c>
      <c r="Y28" s="55" t="s">
        <v>64</v>
      </c>
      <c r="Z28" s="55" t="s">
        <v>97</v>
      </c>
      <c r="AA28" s="55" t="s">
        <v>86</v>
      </c>
      <c r="AB28" s="55" t="s">
        <v>346</v>
      </c>
    </row>
    <row r="29" spans="1:49" x14ac:dyDescent="0.15">
      <c r="A29" s="55" t="s">
        <v>41</v>
      </c>
      <c r="B29" s="237" t="s">
        <v>344</v>
      </c>
      <c r="C29" s="152">
        <v>2018</v>
      </c>
      <c r="D29" s="56" t="s">
        <v>362</v>
      </c>
      <c r="E29" s="237" t="s">
        <v>297</v>
      </c>
      <c r="F29" s="55" t="s">
        <v>302</v>
      </c>
      <c r="G29" s="55" t="s">
        <v>42</v>
      </c>
      <c r="H29" s="55" t="s">
        <v>157</v>
      </c>
      <c r="I29" s="55" t="s">
        <v>155</v>
      </c>
      <c r="J29" s="55" t="s">
        <v>38</v>
      </c>
      <c r="K29" s="55" t="s">
        <v>156</v>
      </c>
      <c r="L29" s="237">
        <v>1</v>
      </c>
      <c r="M29" s="55"/>
      <c r="N29" s="55">
        <v>3</v>
      </c>
      <c r="O29" s="55">
        <v>0.65</v>
      </c>
      <c r="P29" s="55">
        <v>0.6</v>
      </c>
      <c r="Q29" s="82">
        <f t="shared" si="0"/>
        <v>0.625</v>
      </c>
      <c r="R29" s="55">
        <v>15.2</v>
      </c>
      <c r="S29" s="55">
        <v>125</v>
      </c>
      <c r="T29" s="77">
        <f t="shared" si="1"/>
        <v>27</v>
      </c>
      <c r="U29" s="55">
        <v>429</v>
      </c>
      <c r="V29" s="78">
        <f t="shared" si="2"/>
        <v>3861</v>
      </c>
      <c r="W29" s="55">
        <v>2</v>
      </c>
      <c r="X29" s="55" t="s">
        <v>46</v>
      </c>
      <c r="Y29" s="55" t="s">
        <v>64</v>
      </c>
      <c r="Z29" s="55" t="s">
        <v>97</v>
      </c>
      <c r="AA29" s="55" t="s">
        <v>86</v>
      </c>
      <c r="AB29" s="55" t="s">
        <v>346</v>
      </c>
    </row>
    <row r="30" spans="1:49" x14ac:dyDescent="0.15">
      <c r="A30" s="55" t="s">
        <v>41</v>
      </c>
      <c r="B30" s="237" t="s">
        <v>344</v>
      </c>
      <c r="C30" s="152">
        <v>2018</v>
      </c>
      <c r="D30" s="56" t="s">
        <v>362</v>
      </c>
      <c r="E30" s="237" t="s">
        <v>297</v>
      </c>
      <c r="F30" s="55" t="s">
        <v>302</v>
      </c>
      <c r="G30" s="55" t="s">
        <v>42</v>
      </c>
      <c r="H30" s="55" t="s">
        <v>157</v>
      </c>
      <c r="I30" s="55" t="s">
        <v>155</v>
      </c>
      <c r="J30" s="55" t="s">
        <v>38</v>
      </c>
      <c r="K30" s="55" t="s">
        <v>156</v>
      </c>
      <c r="L30" s="237">
        <v>2</v>
      </c>
      <c r="N30" s="55">
        <v>3</v>
      </c>
      <c r="O30" s="55">
        <v>0.8</v>
      </c>
      <c r="P30" s="55">
        <v>0.65</v>
      </c>
      <c r="Q30" s="82">
        <f t="shared" si="0"/>
        <v>0.72500000000000009</v>
      </c>
      <c r="R30" s="55">
        <v>15.8</v>
      </c>
      <c r="S30" s="55">
        <v>131</v>
      </c>
      <c r="T30" s="77">
        <f t="shared" si="1"/>
        <v>25</v>
      </c>
      <c r="U30" s="55">
        <v>429</v>
      </c>
      <c r="V30" s="78">
        <f t="shared" si="2"/>
        <v>3575</v>
      </c>
      <c r="W30" s="55">
        <v>2</v>
      </c>
      <c r="X30" s="55" t="s">
        <v>46</v>
      </c>
      <c r="Y30" s="55" t="s">
        <v>64</v>
      </c>
      <c r="Z30" s="55" t="s">
        <v>97</v>
      </c>
      <c r="AA30" s="55" t="s">
        <v>86</v>
      </c>
      <c r="AB30" s="55" t="s">
        <v>346</v>
      </c>
      <c r="AE30" s="249"/>
      <c r="AF30" s="249"/>
      <c r="AG30" s="249"/>
      <c r="AH30" s="249"/>
      <c r="AI30" s="249"/>
      <c r="AJ30" s="249"/>
      <c r="AK30" s="249"/>
      <c r="AL30" s="249"/>
      <c r="AM30" s="249"/>
      <c r="AN30" s="249"/>
      <c r="AO30" s="249"/>
      <c r="AP30" s="249"/>
      <c r="AQ30" s="249"/>
      <c r="AR30" s="249"/>
      <c r="AS30" s="249"/>
      <c r="AT30" s="249"/>
      <c r="AU30" s="249"/>
      <c r="AV30" s="249"/>
      <c r="AW30" s="249"/>
    </row>
    <row r="31" spans="1:49" x14ac:dyDescent="0.15">
      <c r="A31" s="55" t="s">
        <v>41</v>
      </c>
      <c r="B31" s="237" t="s">
        <v>344</v>
      </c>
      <c r="C31" s="152">
        <v>2018</v>
      </c>
      <c r="D31" s="56" t="s">
        <v>362</v>
      </c>
      <c r="E31" s="237" t="s">
        <v>297</v>
      </c>
      <c r="F31" s="55" t="s">
        <v>302</v>
      </c>
      <c r="G31" s="55" t="s">
        <v>42</v>
      </c>
      <c r="H31" s="55" t="s">
        <v>157</v>
      </c>
      <c r="I31" s="55" t="s">
        <v>155</v>
      </c>
      <c r="J31" s="55" t="s">
        <v>38</v>
      </c>
      <c r="K31" s="55" t="s">
        <v>156</v>
      </c>
      <c r="L31" s="237">
        <v>3</v>
      </c>
      <c r="N31" s="55">
        <v>3</v>
      </c>
      <c r="O31" s="55">
        <v>0.7</v>
      </c>
      <c r="P31" s="55">
        <v>0.75</v>
      </c>
      <c r="Q31" s="82">
        <f t="shared" si="0"/>
        <v>0.72499999999999998</v>
      </c>
      <c r="R31" s="55">
        <v>14</v>
      </c>
      <c r="S31" s="55">
        <v>128</v>
      </c>
      <c r="T31" s="77">
        <f t="shared" si="1"/>
        <v>27</v>
      </c>
      <c r="U31" s="55">
        <v>429</v>
      </c>
      <c r="V31" s="78">
        <f t="shared" si="2"/>
        <v>3861</v>
      </c>
      <c r="W31" s="237">
        <v>2</v>
      </c>
      <c r="X31" s="55" t="s">
        <v>46</v>
      </c>
      <c r="Y31" s="55" t="s">
        <v>64</v>
      </c>
      <c r="Z31" s="55" t="s">
        <v>97</v>
      </c>
      <c r="AA31" s="55" t="s">
        <v>86</v>
      </c>
      <c r="AB31" s="55" t="s">
        <v>346</v>
      </c>
      <c r="AE31" s="249"/>
      <c r="AF31" s="249"/>
      <c r="AG31" s="249"/>
      <c r="AH31" s="249"/>
      <c r="AI31" s="249"/>
      <c r="AJ31" s="249"/>
      <c r="AK31" s="249"/>
      <c r="AL31" s="249"/>
      <c r="AM31" s="249"/>
      <c r="AN31" s="249"/>
      <c r="AO31" s="249"/>
      <c r="AP31" s="249"/>
      <c r="AQ31" s="249"/>
      <c r="AR31" s="249"/>
      <c r="AS31" s="249"/>
      <c r="AT31" s="249"/>
      <c r="AU31" s="249"/>
      <c r="AV31" s="249"/>
      <c r="AW31" s="249"/>
    </row>
    <row r="32" spans="1:49" x14ac:dyDescent="0.15">
      <c r="A32" s="55" t="s">
        <v>41</v>
      </c>
      <c r="B32" s="237" t="s">
        <v>344</v>
      </c>
      <c r="C32" s="152">
        <v>2018</v>
      </c>
      <c r="D32" s="56" t="s">
        <v>362</v>
      </c>
      <c r="E32" s="237" t="s">
        <v>297</v>
      </c>
      <c r="F32" s="237" t="s">
        <v>302</v>
      </c>
      <c r="G32" s="55" t="s">
        <v>42</v>
      </c>
      <c r="H32" s="55" t="s">
        <v>157</v>
      </c>
      <c r="I32" s="55" t="s">
        <v>155</v>
      </c>
      <c r="J32" s="55" t="s">
        <v>38</v>
      </c>
      <c r="K32" s="55" t="s">
        <v>156</v>
      </c>
      <c r="L32" s="237">
        <v>1</v>
      </c>
      <c r="M32" s="55"/>
      <c r="N32" s="55">
        <v>1</v>
      </c>
      <c r="O32" s="55">
        <v>0.65</v>
      </c>
      <c r="P32" s="55">
        <v>0.5</v>
      </c>
      <c r="Q32" s="82">
        <f t="shared" si="0"/>
        <v>0.57499999999999996</v>
      </c>
      <c r="R32" s="55">
        <v>15.3</v>
      </c>
      <c r="S32" s="55">
        <v>124</v>
      </c>
      <c r="T32" s="77">
        <f t="shared" si="1"/>
        <v>27</v>
      </c>
      <c r="U32" s="55">
        <v>149</v>
      </c>
      <c r="V32" s="78">
        <f t="shared" si="2"/>
        <v>4023</v>
      </c>
      <c r="W32" s="55">
        <v>2</v>
      </c>
      <c r="X32" s="55" t="s">
        <v>46</v>
      </c>
      <c r="Y32" s="55" t="s">
        <v>64</v>
      </c>
      <c r="Z32" s="55" t="s">
        <v>97</v>
      </c>
      <c r="AA32" s="55" t="s">
        <v>86</v>
      </c>
      <c r="AB32" s="55" t="s">
        <v>346</v>
      </c>
      <c r="AE32" s="249"/>
      <c r="AF32" s="249"/>
      <c r="AG32" s="249"/>
      <c r="AH32" s="249"/>
      <c r="AI32" s="249"/>
      <c r="AJ32" s="249"/>
      <c r="AK32" s="249"/>
      <c r="AL32" s="249"/>
      <c r="AM32" s="249"/>
      <c r="AN32" s="249"/>
      <c r="AO32" s="249"/>
      <c r="AP32" s="249"/>
      <c r="AQ32" s="249"/>
      <c r="AR32" s="249"/>
      <c r="AS32" s="249"/>
      <c r="AT32" s="249"/>
      <c r="AU32" s="249"/>
      <c r="AV32" s="249"/>
      <c r="AW32" s="249"/>
    </row>
    <row r="33" spans="1:49" x14ac:dyDescent="0.15">
      <c r="A33" s="55" t="s">
        <v>41</v>
      </c>
      <c r="B33" s="237" t="s">
        <v>344</v>
      </c>
      <c r="C33" s="152">
        <v>2018</v>
      </c>
      <c r="D33" s="56" t="s">
        <v>362</v>
      </c>
      <c r="E33" s="237" t="s">
        <v>297</v>
      </c>
      <c r="F33" s="237" t="s">
        <v>302</v>
      </c>
      <c r="G33" s="55" t="s">
        <v>42</v>
      </c>
      <c r="H33" s="55" t="s">
        <v>157</v>
      </c>
      <c r="I33" s="55" t="s">
        <v>155</v>
      </c>
      <c r="J33" s="55" t="s">
        <v>38</v>
      </c>
      <c r="K33" s="55" t="s">
        <v>156</v>
      </c>
      <c r="L33" s="237">
        <v>2</v>
      </c>
      <c r="N33" s="55">
        <v>1</v>
      </c>
      <c r="O33" s="55">
        <v>0.5</v>
      </c>
      <c r="P33" s="55">
        <v>0.45</v>
      </c>
      <c r="Q33" s="82">
        <f t="shared" si="0"/>
        <v>0.47499999999999998</v>
      </c>
      <c r="R33" s="55">
        <v>12.8</v>
      </c>
      <c r="S33" s="55">
        <v>131</v>
      </c>
      <c r="T33" s="77">
        <f t="shared" si="1"/>
        <v>25</v>
      </c>
      <c r="U33" s="55">
        <v>149</v>
      </c>
      <c r="V33" s="58">
        <f t="shared" si="2"/>
        <v>3725</v>
      </c>
      <c r="W33" s="237">
        <v>2</v>
      </c>
      <c r="X33" s="55" t="s">
        <v>46</v>
      </c>
      <c r="Y33" s="55" t="s">
        <v>64</v>
      </c>
      <c r="Z33" s="55" t="s">
        <v>97</v>
      </c>
      <c r="AA33" s="55" t="s">
        <v>86</v>
      </c>
      <c r="AB33" s="55" t="s">
        <v>346</v>
      </c>
      <c r="AE33" s="249"/>
      <c r="AF33" s="249"/>
      <c r="AG33" s="249"/>
      <c r="AH33" s="249"/>
      <c r="AI33" s="249"/>
      <c r="AJ33" s="249"/>
      <c r="AK33" s="249"/>
      <c r="AL33" s="249"/>
      <c r="AM33" s="249"/>
      <c r="AN33" s="249"/>
      <c r="AO33" s="249"/>
      <c r="AP33" s="249"/>
      <c r="AQ33" s="249"/>
      <c r="AR33" s="249"/>
      <c r="AS33" s="249"/>
      <c r="AT33" s="249"/>
      <c r="AU33" s="249"/>
      <c r="AV33" s="249"/>
      <c r="AW33" s="249"/>
    </row>
    <row r="34" spans="1:49" x14ac:dyDescent="0.15">
      <c r="A34" s="55" t="s">
        <v>41</v>
      </c>
      <c r="B34" s="237" t="s">
        <v>344</v>
      </c>
      <c r="C34" s="152">
        <v>2018</v>
      </c>
      <c r="D34" s="56" t="s">
        <v>362</v>
      </c>
      <c r="E34" s="237" t="s">
        <v>297</v>
      </c>
      <c r="F34" s="237" t="s">
        <v>302</v>
      </c>
      <c r="G34" s="55" t="s">
        <v>42</v>
      </c>
      <c r="H34" s="55" t="s">
        <v>157</v>
      </c>
      <c r="I34" s="55" t="s">
        <v>155</v>
      </c>
      <c r="J34" s="55" t="s">
        <v>38</v>
      </c>
      <c r="K34" s="55" t="s">
        <v>156</v>
      </c>
      <c r="L34" s="237">
        <v>3</v>
      </c>
      <c r="N34" s="55">
        <v>1</v>
      </c>
      <c r="O34" s="55">
        <v>0.35</v>
      </c>
      <c r="P34" s="55">
        <v>0.55000000000000004</v>
      </c>
      <c r="Q34" s="82">
        <f t="shared" si="0"/>
        <v>0.45</v>
      </c>
      <c r="R34" s="55">
        <v>14</v>
      </c>
      <c r="S34" s="55">
        <v>128</v>
      </c>
      <c r="T34" s="77">
        <f t="shared" si="1"/>
        <v>27</v>
      </c>
      <c r="U34" s="55">
        <v>149</v>
      </c>
      <c r="V34" s="58">
        <f t="shared" si="2"/>
        <v>4023</v>
      </c>
      <c r="W34" s="237">
        <v>2</v>
      </c>
      <c r="X34" s="55" t="s">
        <v>46</v>
      </c>
      <c r="Y34" s="55" t="s">
        <v>64</v>
      </c>
      <c r="Z34" s="55" t="s">
        <v>97</v>
      </c>
      <c r="AA34" s="55" t="s">
        <v>86</v>
      </c>
      <c r="AB34" s="55" t="s">
        <v>346</v>
      </c>
      <c r="AE34" s="249"/>
      <c r="AF34" s="249"/>
      <c r="AG34" s="249"/>
      <c r="AH34" s="249"/>
      <c r="AI34" s="249"/>
      <c r="AJ34" s="249"/>
      <c r="AK34" s="249"/>
      <c r="AL34" s="249"/>
      <c r="AM34" s="249"/>
      <c r="AN34" s="249"/>
      <c r="AO34" s="249"/>
      <c r="AP34" s="249"/>
      <c r="AQ34" s="249"/>
      <c r="AR34" s="249"/>
      <c r="AS34" s="249"/>
      <c r="AT34" s="249"/>
      <c r="AU34" s="249"/>
      <c r="AV34" s="249"/>
      <c r="AW34" s="249"/>
    </row>
    <row r="35" spans="1:49" x14ac:dyDescent="0.15">
      <c r="A35" s="55" t="s">
        <v>41</v>
      </c>
      <c r="B35" s="237" t="s">
        <v>344</v>
      </c>
      <c r="C35" s="152">
        <v>2018</v>
      </c>
      <c r="D35" s="56" t="s">
        <v>362</v>
      </c>
      <c r="E35" s="237" t="s">
        <v>297</v>
      </c>
      <c r="F35" s="55" t="s">
        <v>302</v>
      </c>
      <c r="G35" s="55" t="s">
        <v>42</v>
      </c>
      <c r="H35" s="55" t="s">
        <v>157</v>
      </c>
      <c r="I35" s="55" t="s">
        <v>155</v>
      </c>
      <c r="J35" s="55" t="s">
        <v>38</v>
      </c>
      <c r="K35" s="55" t="s">
        <v>156</v>
      </c>
      <c r="L35" s="237">
        <v>1</v>
      </c>
      <c r="M35" s="55"/>
      <c r="N35" s="55">
        <v>8</v>
      </c>
      <c r="O35" s="55">
        <v>0.15</v>
      </c>
      <c r="P35" s="55">
        <v>0.15</v>
      </c>
      <c r="Q35" s="57">
        <f t="shared" si="0"/>
        <v>0.15</v>
      </c>
      <c r="R35" s="55">
        <v>14.1</v>
      </c>
      <c r="S35" s="55">
        <v>114</v>
      </c>
      <c r="T35" s="77">
        <f t="shared" si="1"/>
        <v>30</v>
      </c>
      <c r="U35" s="55">
        <v>734</v>
      </c>
      <c r="V35" s="78">
        <f t="shared" si="2"/>
        <v>2752.5</v>
      </c>
      <c r="W35" s="55">
        <v>2</v>
      </c>
      <c r="X35" s="55" t="s">
        <v>46</v>
      </c>
      <c r="Y35" s="55" t="s">
        <v>64</v>
      </c>
      <c r="Z35" s="55" t="s">
        <v>97</v>
      </c>
      <c r="AA35" s="55" t="s">
        <v>86</v>
      </c>
      <c r="AB35" s="55" t="s">
        <v>346</v>
      </c>
      <c r="AE35" s="252"/>
      <c r="AF35" s="249"/>
      <c r="AG35" s="253"/>
      <c r="AH35" s="253"/>
      <c r="AI35" s="249"/>
      <c r="AJ35" s="249"/>
      <c r="AK35" s="249"/>
      <c r="AL35" s="249"/>
      <c r="AM35" s="249"/>
      <c r="AN35" s="249"/>
      <c r="AO35" s="249"/>
      <c r="AP35" s="249"/>
      <c r="AQ35" s="249"/>
      <c r="AR35" s="253"/>
      <c r="AS35" s="249"/>
      <c r="AT35" s="249"/>
      <c r="AU35" s="249"/>
      <c r="AV35" s="249"/>
      <c r="AW35" s="249"/>
    </row>
    <row r="36" spans="1:49" x14ac:dyDescent="0.15">
      <c r="A36" s="55" t="s">
        <v>41</v>
      </c>
      <c r="B36" s="237" t="s">
        <v>344</v>
      </c>
      <c r="C36" s="152">
        <v>2018</v>
      </c>
      <c r="D36" s="56" t="s">
        <v>362</v>
      </c>
      <c r="E36" s="237" t="s">
        <v>297</v>
      </c>
      <c r="F36" s="55" t="s">
        <v>302</v>
      </c>
      <c r="G36" s="55" t="s">
        <v>42</v>
      </c>
      <c r="H36" s="55" t="s">
        <v>157</v>
      </c>
      <c r="I36" s="55" t="s">
        <v>155</v>
      </c>
      <c r="J36" s="55" t="s">
        <v>38</v>
      </c>
      <c r="K36" s="55" t="s">
        <v>156</v>
      </c>
      <c r="L36" s="237">
        <v>2</v>
      </c>
      <c r="N36" s="55">
        <v>8</v>
      </c>
      <c r="O36" s="55">
        <v>0.2</v>
      </c>
      <c r="P36" s="55">
        <v>0.1</v>
      </c>
      <c r="Q36" s="57">
        <f t="shared" si="0"/>
        <v>0.15000000000000002</v>
      </c>
      <c r="R36" s="55">
        <v>13.4</v>
      </c>
      <c r="S36" s="55">
        <v>118</v>
      </c>
      <c r="T36" s="77">
        <f t="shared" si="1"/>
        <v>30</v>
      </c>
      <c r="U36" s="55">
        <v>734</v>
      </c>
      <c r="V36" s="78">
        <f t="shared" si="2"/>
        <v>2752.5</v>
      </c>
      <c r="W36" s="55">
        <v>2</v>
      </c>
      <c r="X36" s="55" t="s">
        <v>46</v>
      </c>
      <c r="Y36" s="55" t="s">
        <v>64</v>
      </c>
      <c r="Z36" s="55" t="s">
        <v>97</v>
      </c>
      <c r="AA36" s="55" t="s">
        <v>86</v>
      </c>
      <c r="AB36" s="55" t="s">
        <v>346</v>
      </c>
      <c r="AE36" s="252"/>
      <c r="AF36" s="249"/>
      <c r="AG36" s="253"/>
      <c r="AH36" s="253"/>
      <c r="AI36" s="249"/>
      <c r="AJ36" s="249"/>
      <c r="AK36" s="249"/>
      <c r="AL36" s="249"/>
      <c r="AM36" s="249"/>
      <c r="AN36" s="249"/>
      <c r="AO36" s="249"/>
      <c r="AP36" s="249"/>
      <c r="AQ36" s="249"/>
      <c r="AR36" s="253"/>
      <c r="AS36" s="249"/>
      <c r="AT36" s="249"/>
      <c r="AU36" s="249"/>
      <c r="AV36" s="249"/>
      <c r="AW36" s="249"/>
    </row>
    <row r="37" spans="1:49" x14ac:dyDescent="0.15">
      <c r="A37" s="55" t="s">
        <v>41</v>
      </c>
      <c r="B37" s="237" t="s">
        <v>344</v>
      </c>
      <c r="C37" s="152">
        <v>2018</v>
      </c>
      <c r="D37" s="56" t="s">
        <v>362</v>
      </c>
      <c r="E37" s="237" t="s">
        <v>297</v>
      </c>
      <c r="F37" s="55" t="s">
        <v>302</v>
      </c>
      <c r="G37" s="55" t="s">
        <v>42</v>
      </c>
      <c r="H37" s="55" t="s">
        <v>157</v>
      </c>
      <c r="I37" s="55" t="s">
        <v>155</v>
      </c>
      <c r="J37" s="55" t="s">
        <v>38</v>
      </c>
      <c r="K37" s="55" t="s">
        <v>156</v>
      </c>
      <c r="L37" s="237">
        <v>3</v>
      </c>
      <c r="N37" s="55">
        <v>8</v>
      </c>
      <c r="O37" s="55">
        <v>0.2</v>
      </c>
      <c r="P37" s="55">
        <v>0.15</v>
      </c>
      <c r="Q37" s="57">
        <f t="shared" si="0"/>
        <v>0.17499999999999999</v>
      </c>
      <c r="R37" s="55">
        <v>13</v>
      </c>
      <c r="S37" s="55">
        <v>113</v>
      </c>
      <c r="T37" s="77">
        <f t="shared" si="1"/>
        <v>30</v>
      </c>
      <c r="U37" s="55">
        <v>734</v>
      </c>
      <c r="V37" s="78">
        <f t="shared" si="2"/>
        <v>2752.5</v>
      </c>
      <c r="W37" s="237">
        <v>2</v>
      </c>
      <c r="X37" s="55" t="s">
        <v>46</v>
      </c>
      <c r="Y37" s="55" t="s">
        <v>64</v>
      </c>
      <c r="Z37" s="55" t="s">
        <v>97</v>
      </c>
      <c r="AA37" s="55" t="s">
        <v>86</v>
      </c>
      <c r="AB37" s="55" t="s">
        <v>346</v>
      </c>
      <c r="AE37" s="252"/>
      <c r="AF37" s="249"/>
      <c r="AG37" s="253"/>
      <c r="AH37" s="253"/>
      <c r="AI37" s="249"/>
      <c r="AJ37" s="249"/>
      <c r="AK37" s="249"/>
      <c r="AL37" s="249"/>
      <c r="AM37" s="249"/>
      <c r="AN37" s="249"/>
      <c r="AO37" s="249"/>
      <c r="AP37" s="249"/>
      <c r="AQ37" s="249"/>
      <c r="AR37" s="253"/>
      <c r="AS37" s="249"/>
      <c r="AT37" s="249"/>
      <c r="AU37" s="249"/>
      <c r="AV37" s="249"/>
      <c r="AW37" s="249"/>
    </row>
    <row r="38" spans="1:49" x14ac:dyDescent="0.15">
      <c r="A38" s="55" t="s">
        <v>41</v>
      </c>
      <c r="B38" s="237" t="s">
        <v>344</v>
      </c>
      <c r="C38" s="152">
        <v>2018</v>
      </c>
      <c r="D38" s="56" t="s">
        <v>362</v>
      </c>
      <c r="E38" s="237" t="s">
        <v>297</v>
      </c>
      <c r="F38" s="237" t="s">
        <v>303</v>
      </c>
      <c r="G38" s="55" t="s">
        <v>42</v>
      </c>
      <c r="H38" s="55" t="s">
        <v>157</v>
      </c>
      <c r="I38" s="55" t="s">
        <v>155</v>
      </c>
      <c r="J38" s="55" t="s">
        <v>38</v>
      </c>
      <c r="K38" s="55" t="s">
        <v>156</v>
      </c>
      <c r="L38" s="237">
        <v>1</v>
      </c>
      <c r="M38" s="55"/>
      <c r="N38" s="55">
        <v>1</v>
      </c>
      <c r="O38" s="55">
        <v>0.65</v>
      </c>
      <c r="P38" s="55">
        <v>0.3</v>
      </c>
      <c r="Q38" s="57">
        <f t="shared" si="0"/>
        <v>0.47499999999999998</v>
      </c>
      <c r="R38" s="55">
        <v>14.9</v>
      </c>
      <c r="S38" s="55">
        <v>125</v>
      </c>
      <c r="T38" s="77">
        <f t="shared" si="1"/>
        <v>27</v>
      </c>
      <c r="U38" s="55">
        <v>105</v>
      </c>
      <c r="V38" s="78">
        <f t="shared" si="2"/>
        <v>2835</v>
      </c>
      <c r="W38" s="55">
        <v>3</v>
      </c>
      <c r="X38" s="55" t="s">
        <v>46</v>
      </c>
      <c r="Y38" s="55" t="s">
        <v>97</v>
      </c>
      <c r="Z38" s="55" t="s">
        <v>64</v>
      </c>
      <c r="AA38" s="55" t="s">
        <v>88</v>
      </c>
      <c r="AB38" s="55" t="s">
        <v>346</v>
      </c>
      <c r="AE38" s="249"/>
      <c r="AF38" s="249"/>
      <c r="AG38" s="249"/>
      <c r="AH38" s="249"/>
      <c r="AI38" s="249"/>
      <c r="AJ38" s="249"/>
      <c r="AK38" s="249"/>
      <c r="AL38" s="249"/>
      <c r="AM38" s="249"/>
      <c r="AN38" s="249"/>
      <c r="AO38" s="249"/>
      <c r="AP38" s="249"/>
      <c r="AQ38" s="249"/>
      <c r="AR38" s="249"/>
      <c r="AS38" s="249"/>
      <c r="AT38" s="249"/>
      <c r="AU38" s="249"/>
      <c r="AV38" s="249"/>
      <c r="AW38" s="249"/>
    </row>
    <row r="39" spans="1:49" x14ac:dyDescent="0.15">
      <c r="A39" s="55" t="s">
        <v>41</v>
      </c>
      <c r="B39" s="237" t="s">
        <v>344</v>
      </c>
      <c r="C39" s="152">
        <v>2018</v>
      </c>
      <c r="D39" s="56" t="s">
        <v>362</v>
      </c>
      <c r="E39" s="237" t="s">
        <v>297</v>
      </c>
      <c r="F39" s="237" t="s">
        <v>303</v>
      </c>
      <c r="G39" s="55" t="s">
        <v>42</v>
      </c>
      <c r="H39" s="55" t="s">
        <v>157</v>
      </c>
      <c r="I39" s="55" t="s">
        <v>155</v>
      </c>
      <c r="J39" s="55" t="s">
        <v>38</v>
      </c>
      <c r="K39" s="55" t="s">
        <v>156</v>
      </c>
      <c r="L39" s="237">
        <v>2</v>
      </c>
      <c r="N39" s="55">
        <v>1</v>
      </c>
      <c r="O39" s="55">
        <v>0.5</v>
      </c>
      <c r="P39" s="55">
        <v>0.25</v>
      </c>
      <c r="Q39" s="57">
        <f t="shared" si="0"/>
        <v>0.375</v>
      </c>
      <c r="R39" s="55">
        <v>14</v>
      </c>
      <c r="S39" s="55">
        <v>131</v>
      </c>
      <c r="T39" s="77">
        <f t="shared" si="1"/>
        <v>25</v>
      </c>
      <c r="U39" s="55">
        <v>105</v>
      </c>
      <c r="V39" s="58">
        <f t="shared" si="2"/>
        <v>2625</v>
      </c>
      <c r="W39" s="237">
        <v>3</v>
      </c>
      <c r="X39" s="55" t="s">
        <v>46</v>
      </c>
      <c r="Y39" s="55" t="s">
        <v>97</v>
      </c>
      <c r="Z39" s="55" t="s">
        <v>64</v>
      </c>
      <c r="AA39" s="55" t="s">
        <v>88</v>
      </c>
      <c r="AB39" s="55" t="s">
        <v>346</v>
      </c>
      <c r="AE39" s="249"/>
      <c r="AF39" s="249"/>
      <c r="AG39" s="249"/>
      <c r="AH39" s="249"/>
      <c r="AI39" s="249"/>
      <c r="AJ39" s="249"/>
      <c r="AK39" s="249"/>
      <c r="AL39" s="249"/>
      <c r="AM39" s="249"/>
      <c r="AN39" s="249"/>
      <c r="AO39" s="249"/>
      <c r="AP39" s="249"/>
      <c r="AQ39" s="249"/>
      <c r="AR39" s="249"/>
      <c r="AS39" s="249"/>
      <c r="AT39" s="249"/>
      <c r="AU39" s="249"/>
      <c r="AV39" s="249"/>
      <c r="AW39" s="249"/>
    </row>
    <row r="40" spans="1:49" x14ac:dyDescent="0.15">
      <c r="A40" s="55" t="s">
        <v>41</v>
      </c>
      <c r="B40" s="237" t="s">
        <v>344</v>
      </c>
      <c r="C40" s="152">
        <v>2018</v>
      </c>
      <c r="D40" s="56" t="s">
        <v>362</v>
      </c>
      <c r="E40" s="237" t="s">
        <v>297</v>
      </c>
      <c r="F40" s="237" t="s">
        <v>303</v>
      </c>
      <c r="G40" s="55" t="s">
        <v>42</v>
      </c>
      <c r="H40" s="55" t="s">
        <v>157</v>
      </c>
      <c r="I40" s="55" t="s">
        <v>155</v>
      </c>
      <c r="J40" s="55" t="s">
        <v>38</v>
      </c>
      <c r="K40" s="55" t="s">
        <v>156</v>
      </c>
      <c r="L40" s="237">
        <v>3</v>
      </c>
      <c r="N40" s="55">
        <v>1</v>
      </c>
      <c r="O40" s="55">
        <v>0.3</v>
      </c>
      <c r="P40" s="55">
        <v>0.3</v>
      </c>
      <c r="Q40" s="57">
        <f t="shared" si="0"/>
        <v>0.3</v>
      </c>
      <c r="R40" s="55">
        <v>13.4</v>
      </c>
      <c r="S40" s="55">
        <v>133</v>
      </c>
      <c r="T40" s="77">
        <f t="shared" si="1"/>
        <v>25</v>
      </c>
      <c r="U40" s="55">
        <v>105</v>
      </c>
      <c r="V40" s="58">
        <f t="shared" si="2"/>
        <v>2625</v>
      </c>
      <c r="W40" s="237">
        <v>3</v>
      </c>
      <c r="X40" s="55" t="s">
        <v>46</v>
      </c>
      <c r="Y40" s="55" t="s">
        <v>97</v>
      </c>
      <c r="Z40" s="55" t="s">
        <v>64</v>
      </c>
      <c r="AA40" s="55" t="s">
        <v>88</v>
      </c>
      <c r="AB40" s="55" t="s">
        <v>346</v>
      </c>
      <c r="AE40" s="249"/>
      <c r="AF40" s="249"/>
      <c r="AG40" s="249"/>
      <c r="AH40" s="249"/>
      <c r="AI40" s="249"/>
      <c r="AJ40" s="249"/>
      <c r="AK40" s="249"/>
      <c r="AL40" s="249"/>
      <c r="AM40" s="249"/>
      <c r="AN40" s="249"/>
      <c r="AO40" s="249"/>
      <c r="AP40" s="249"/>
      <c r="AQ40" s="249"/>
      <c r="AR40" s="249"/>
      <c r="AS40" s="249"/>
      <c r="AT40" s="249"/>
      <c r="AU40" s="249"/>
      <c r="AV40" s="249"/>
      <c r="AW40" s="249"/>
    </row>
    <row r="41" spans="1:49" x14ac:dyDescent="0.15">
      <c r="A41" s="55" t="s">
        <v>41</v>
      </c>
      <c r="B41" s="237" t="s">
        <v>344</v>
      </c>
      <c r="C41" s="152">
        <v>2018</v>
      </c>
      <c r="D41" s="56" t="s">
        <v>362</v>
      </c>
      <c r="E41" s="237" t="s">
        <v>297</v>
      </c>
      <c r="F41" s="237" t="s">
        <v>303</v>
      </c>
      <c r="G41" s="55" t="s">
        <v>42</v>
      </c>
      <c r="H41" s="55" t="s">
        <v>157</v>
      </c>
      <c r="I41" s="55" t="s">
        <v>155</v>
      </c>
      <c r="J41" s="55" t="s">
        <v>38</v>
      </c>
      <c r="K41" s="55" t="s">
        <v>156</v>
      </c>
      <c r="L41" s="237">
        <v>1</v>
      </c>
      <c r="M41" s="55"/>
      <c r="N41" s="55">
        <v>3</v>
      </c>
      <c r="O41" s="237">
        <v>0.2</v>
      </c>
      <c r="P41" s="237">
        <v>0.25</v>
      </c>
      <c r="Q41" s="57">
        <f t="shared" si="0"/>
        <v>0.22500000000000001</v>
      </c>
      <c r="R41" s="237">
        <v>16.399999999999999</v>
      </c>
      <c r="S41" s="237">
        <v>124</v>
      </c>
      <c r="T41" s="77">
        <f t="shared" si="1"/>
        <v>27</v>
      </c>
      <c r="U41" s="55">
        <v>537</v>
      </c>
      <c r="V41" s="78">
        <f t="shared" si="2"/>
        <v>4833</v>
      </c>
      <c r="W41" s="55">
        <v>2</v>
      </c>
      <c r="X41" s="55" t="s">
        <v>46</v>
      </c>
      <c r="Y41" s="55" t="s">
        <v>97</v>
      </c>
      <c r="Z41" s="55" t="s">
        <v>64</v>
      </c>
      <c r="AA41" s="55" t="s">
        <v>88</v>
      </c>
      <c r="AB41" s="55" t="s">
        <v>346</v>
      </c>
      <c r="AE41" s="249"/>
      <c r="AF41" s="249"/>
      <c r="AG41" s="249"/>
      <c r="AH41" s="249"/>
      <c r="AI41" s="249"/>
      <c r="AJ41" s="249"/>
      <c r="AK41" s="249"/>
      <c r="AL41" s="249"/>
      <c r="AM41" s="249"/>
      <c r="AN41" s="249"/>
      <c r="AO41" s="249"/>
      <c r="AP41" s="249"/>
      <c r="AQ41" s="249"/>
      <c r="AR41" s="249"/>
      <c r="AS41" s="249"/>
      <c r="AT41" s="249"/>
      <c r="AU41" s="249"/>
      <c r="AV41" s="249"/>
      <c r="AW41" s="249"/>
    </row>
    <row r="42" spans="1:49" x14ac:dyDescent="0.15">
      <c r="A42" s="55" t="s">
        <v>41</v>
      </c>
      <c r="B42" s="237" t="s">
        <v>344</v>
      </c>
      <c r="C42" s="152">
        <v>2018</v>
      </c>
      <c r="D42" s="56" t="s">
        <v>362</v>
      </c>
      <c r="E42" s="237" t="s">
        <v>297</v>
      </c>
      <c r="F42" s="237" t="s">
        <v>303</v>
      </c>
      <c r="G42" s="55" t="s">
        <v>42</v>
      </c>
      <c r="H42" s="55" t="s">
        <v>157</v>
      </c>
      <c r="I42" s="55" t="s">
        <v>155</v>
      </c>
      <c r="J42" s="55" t="s">
        <v>38</v>
      </c>
      <c r="K42" s="55" t="s">
        <v>156</v>
      </c>
      <c r="L42" s="237">
        <v>2</v>
      </c>
      <c r="N42" s="55">
        <v>3</v>
      </c>
      <c r="O42" s="237">
        <v>0.2</v>
      </c>
      <c r="P42" s="237">
        <v>0.15</v>
      </c>
      <c r="Q42" s="57">
        <f t="shared" si="0"/>
        <v>0.17499999999999999</v>
      </c>
      <c r="R42" s="237">
        <v>15.5</v>
      </c>
      <c r="S42" s="237">
        <v>124</v>
      </c>
      <c r="T42" s="77">
        <f t="shared" si="1"/>
        <v>27</v>
      </c>
      <c r="U42" s="55">
        <v>537</v>
      </c>
      <c r="V42" s="78">
        <f t="shared" si="2"/>
        <v>4833</v>
      </c>
      <c r="W42" s="55">
        <v>2</v>
      </c>
      <c r="X42" s="55" t="s">
        <v>46</v>
      </c>
      <c r="Y42" s="55" t="s">
        <v>97</v>
      </c>
      <c r="Z42" s="55" t="s">
        <v>64</v>
      </c>
      <c r="AA42" s="55" t="s">
        <v>88</v>
      </c>
      <c r="AB42" s="55" t="s">
        <v>346</v>
      </c>
    </row>
    <row r="43" spans="1:49" x14ac:dyDescent="0.15">
      <c r="A43" s="55" t="s">
        <v>41</v>
      </c>
      <c r="B43" s="237" t="s">
        <v>344</v>
      </c>
      <c r="C43" s="152">
        <v>2018</v>
      </c>
      <c r="D43" s="56" t="s">
        <v>362</v>
      </c>
      <c r="E43" s="237" t="s">
        <v>297</v>
      </c>
      <c r="F43" s="237" t="s">
        <v>303</v>
      </c>
      <c r="G43" s="55" t="s">
        <v>42</v>
      </c>
      <c r="H43" s="55" t="s">
        <v>157</v>
      </c>
      <c r="I43" s="55" t="s">
        <v>155</v>
      </c>
      <c r="J43" s="55" t="s">
        <v>38</v>
      </c>
      <c r="K43" s="55" t="s">
        <v>156</v>
      </c>
      <c r="L43" s="237">
        <v>3</v>
      </c>
      <c r="N43" s="55">
        <v>3</v>
      </c>
      <c r="O43" s="237">
        <v>0.2</v>
      </c>
      <c r="P43" s="237">
        <v>0.15</v>
      </c>
      <c r="Q43" s="57">
        <f t="shared" si="0"/>
        <v>0.17499999999999999</v>
      </c>
      <c r="R43" s="237">
        <v>13.1</v>
      </c>
      <c r="S43" s="237">
        <v>127</v>
      </c>
      <c r="T43" s="77">
        <f t="shared" si="1"/>
        <v>27</v>
      </c>
      <c r="U43" s="55">
        <v>537</v>
      </c>
      <c r="V43" s="78">
        <f t="shared" si="2"/>
        <v>4833</v>
      </c>
      <c r="W43" s="237">
        <v>2</v>
      </c>
      <c r="X43" s="55" t="s">
        <v>46</v>
      </c>
      <c r="Y43" s="55" t="s">
        <v>97</v>
      </c>
      <c r="Z43" s="55" t="s">
        <v>64</v>
      </c>
      <c r="AA43" s="55" t="s">
        <v>88</v>
      </c>
      <c r="AB43" s="55" t="s">
        <v>346</v>
      </c>
    </row>
    <row r="44" spans="1:49" x14ac:dyDescent="0.15">
      <c r="A44" s="55" t="s">
        <v>41</v>
      </c>
      <c r="B44" s="237" t="s">
        <v>344</v>
      </c>
      <c r="C44" s="152">
        <v>2018</v>
      </c>
      <c r="D44" s="56" t="s">
        <v>362</v>
      </c>
      <c r="E44" s="237" t="s">
        <v>297</v>
      </c>
      <c r="F44" s="237" t="s">
        <v>303</v>
      </c>
      <c r="G44" s="55" t="s">
        <v>42</v>
      </c>
      <c r="H44" s="55" t="s">
        <v>157</v>
      </c>
      <c r="I44" s="55" t="s">
        <v>155</v>
      </c>
      <c r="J44" s="55" t="s">
        <v>38</v>
      </c>
      <c r="K44" s="55" t="s">
        <v>156</v>
      </c>
      <c r="L44" s="237">
        <v>1</v>
      </c>
      <c r="M44" s="55"/>
      <c r="N44" s="55">
        <v>6</v>
      </c>
      <c r="O44" s="237">
        <v>0.45</v>
      </c>
      <c r="P44" s="237">
        <v>0.4</v>
      </c>
      <c r="Q44" s="57">
        <f t="shared" si="0"/>
        <v>0.42500000000000004</v>
      </c>
      <c r="R44" s="237">
        <v>12.4</v>
      </c>
      <c r="S44" s="237">
        <v>115</v>
      </c>
      <c r="T44" s="77">
        <f t="shared" si="1"/>
        <v>30</v>
      </c>
      <c r="U44" s="55">
        <v>429</v>
      </c>
      <c r="V44" s="78">
        <f t="shared" si="2"/>
        <v>2145</v>
      </c>
      <c r="W44" s="55">
        <v>2</v>
      </c>
      <c r="X44" s="55" t="s">
        <v>46</v>
      </c>
      <c r="Y44" s="55" t="s">
        <v>97</v>
      </c>
      <c r="Z44" s="55" t="s">
        <v>64</v>
      </c>
      <c r="AA44" s="55" t="s">
        <v>88</v>
      </c>
      <c r="AB44" s="55" t="s">
        <v>346</v>
      </c>
      <c r="AE44" s="249"/>
      <c r="AF44" s="249"/>
      <c r="AG44" s="249"/>
      <c r="AH44" s="249"/>
      <c r="AI44" s="249"/>
      <c r="AJ44" s="249"/>
      <c r="AK44" s="249"/>
      <c r="AL44" s="249"/>
      <c r="AM44" s="249"/>
      <c r="AN44" s="249"/>
      <c r="AO44" s="249"/>
      <c r="AP44" s="249"/>
      <c r="AQ44" s="249"/>
      <c r="AR44" s="249"/>
      <c r="AS44" s="249"/>
      <c r="AT44" s="249"/>
      <c r="AU44" s="249"/>
      <c r="AV44" s="249"/>
      <c r="AW44" s="249"/>
    </row>
    <row r="45" spans="1:49" x14ac:dyDescent="0.15">
      <c r="A45" s="55" t="s">
        <v>41</v>
      </c>
      <c r="B45" s="237" t="s">
        <v>344</v>
      </c>
      <c r="C45" s="152">
        <v>2018</v>
      </c>
      <c r="D45" s="56" t="s">
        <v>362</v>
      </c>
      <c r="E45" s="237" t="s">
        <v>297</v>
      </c>
      <c r="F45" s="237" t="s">
        <v>303</v>
      </c>
      <c r="G45" s="55" t="s">
        <v>42</v>
      </c>
      <c r="H45" s="55" t="s">
        <v>157</v>
      </c>
      <c r="I45" s="55" t="s">
        <v>155</v>
      </c>
      <c r="J45" s="55" t="s">
        <v>38</v>
      </c>
      <c r="K45" s="55" t="s">
        <v>156</v>
      </c>
      <c r="L45" s="237">
        <v>2</v>
      </c>
      <c r="N45" s="55">
        <v>6</v>
      </c>
      <c r="O45" s="237">
        <v>0.5</v>
      </c>
      <c r="P45" s="237">
        <v>0.5</v>
      </c>
      <c r="Q45" s="57">
        <f t="shared" si="0"/>
        <v>0.5</v>
      </c>
      <c r="R45" s="237">
        <v>12.8</v>
      </c>
      <c r="S45" s="237">
        <v>114</v>
      </c>
      <c r="T45" s="77">
        <f t="shared" si="1"/>
        <v>30</v>
      </c>
      <c r="U45" s="55">
        <v>429</v>
      </c>
      <c r="V45" s="78">
        <f t="shared" si="2"/>
        <v>2145</v>
      </c>
      <c r="W45" s="55">
        <v>2</v>
      </c>
      <c r="X45" s="55" t="s">
        <v>46</v>
      </c>
      <c r="Y45" s="55" t="s">
        <v>97</v>
      </c>
      <c r="Z45" s="55" t="s">
        <v>64</v>
      </c>
      <c r="AA45" s="55" t="s">
        <v>88</v>
      </c>
      <c r="AB45" s="55" t="s">
        <v>346</v>
      </c>
    </row>
    <row r="46" spans="1:49" x14ac:dyDescent="0.15">
      <c r="A46" s="55" t="s">
        <v>41</v>
      </c>
      <c r="B46" s="237" t="s">
        <v>344</v>
      </c>
      <c r="C46" s="152">
        <v>2018</v>
      </c>
      <c r="D46" s="56" t="s">
        <v>362</v>
      </c>
      <c r="E46" s="237" t="s">
        <v>297</v>
      </c>
      <c r="F46" s="237" t="s">
        <v>303</v>
      </c>
      <c r="G46" s="55" t="s">
        <v>42</v>
      </c>
      <c r="H46" s="55" t="s">
        <v>157</v>
      </c>
      <c r="I46" s="55" t="s">
        <v>155</v>
      </c>
      <c r="J46" s="55" t="s">
        <v>38</v>
      </c>
      <c r="K46" s="55" t="s">
        <v>156</v>
      </c>
      <c r="L46" s="237">
        <v>3</v>
      </c>
      <c r="N46" s="55">
        <v>6</v>
      </c>
      <c r="O46" s="237">
        <v>0.75</v>
      </c>
      <c r="P46" s="237">
        <v>0.7</v>
      </c>
      <c r="Q46" s="57">
        <f t="shared" si="0"/>
        <v>0.72499999999999998</v>
      </c>
      <c r="R46" s="237">
        <v>13.7</v>
      </c>
      <c r="S46" s="237">
        <v>115</v>
      </c>
      <c r="T46" s="77">
        <f t="shared" si="1"/>
        <v>30</v>
      </c>
      <c r="U46" s="55">
        <v>429</v>
      </c>
      <c r="V46" s="78">
        <f t="shared" si="2"/>
        <v>2145</v>
      </c>
      <c r="W46" s="237">
        <v>2</v>
      </c>
      <c r="X46" s="55" t="s">
        <v>46</v>
      </c>
      <c r="Y46" s="55" t="s">
        <v>97</v>
      </c>
      <c r="Z46" s="55" t="s">
        <v>64</v>
      </c>
      <c r="AA46" s="55" t="s">
        <v>88</v>
      </c>
      <c r="AB46" s="55" t="s">
        <v>346</v>
      </c>
    </row>
    <row r="47" spans="1:49" x14ac:dyDescent="0.15">
      <c r="A47" s="55" t="s">
        <v>41</v>
      </c>
      <c r="B47" s="237" t="s">
        <v>344</v>
      </c>
      <c r="C47" s="152">
        <v>2018</v>
      </c>
      <c r="D47" s="56" t="s">
        <v>362</v>
      </c>
      <c r="E47" s="237" t="s">
        <v>297</v>
      </c>
      <c r="F47" s="237" t="s">
        <v>303</v>
      </c>
      <c r="G47" s="55" t="s">
        <v>42</v>
      </c>
      <c r="H47" s="55" t="s">
        <v>165</v>
      </c>
      <c r="I47" s="55" t="s">
        <v>155</v>
      </c>
      <c r="J47" s="55" t="s">
        <v>38</v>
      </c>
      <c r="K47" s="55" t="s">
        <v>156</v>
      </c>
      <c r="L47" s="237">
        <v>1</v>
      </c>
      <c r="M47" s="55"/>
      <c r="N47" s="55">
        <v>1</v>
      </c>
      <c r="O47" s="237">
        <v>0.5</v>
      </c>
      <c r="P47" s="237">
        <v>0.65</v>
      </c>
      <c r="Q47" s="57">
        <f t="shared" si="0"/>
        <v>0.57499999999999996</v>
      </c>
      <c r="R47" s="237">
        <v>13.9</v>
      </c>
      <c r="S47" s="237">
        <v>124</v>
      </c>
      <c r="T47" s="77">
        <f t="shared" si="1"/>
        <v>27</v>
      </c>
      <c r="U47" s="55">
        <v>105</v>
      </c>
      <c r="V47" s="78">
        <f t="shared" si="2"/>
        <v>2835</v>
      </c>
      <c r="W47" s="55">
        <v>2</v>
      </c>
      <c r="X47" s="55" t="s">
        <v>46</v>
      </c>
      <c r="Y47" s="55" t="s">
        <v>97</v>
      </c>
      <c r="Z47" s="55" t="s">
        <v>64</v>
      </c>
      <c r="AA47" s="55" t="s">
        <v>88</v>
      </c>
      <c r="AB47" s="55" t="s">
        <v>346</v>
      </c>
    </row>
    <row r="48" spans="1:49" x14ac:dyDescent="0.15">
      <c r="A48" s="55" t="s">
        <v>41</v>
      </c>
      <c r="B48" s="237" t="s">
        <v>344</v>
      </c>
      <c r="C48" s="152">
        <v>2018</v>
      </c>
      <c r="D48" s="56" t="s">
        <v>362</v>
      </c>
      <c r="E48" s="237" t="s">
        <v>297</v>
      </c>
      <c r="F48" s="237" t="s">
        <v>303</v>
      </c>
      <c r="G48" s="55" t="s">
        <v>42</v>
      </c>
      <c r="H48" s="55" t="s">
        <v>165</v>
      </c>
      <c r="I48" s="55" t="s">
        <v>155</v>
      </c>
      <c r="J48" s="55" t="s">
        <v>38</v>
      </c>
      <c r="K48" s="55" t="s">
        <v>156</v>
      </c>
      <c r="L48" s="237">
        <v>2</v>
      </c>
      <c r="N48" s="55">
        <v>1</v>
      </c>
      <c r="O48" s="237">
        <v>0.35</v>
      </c>
      <c r="P48" s="237">
        <v>0.5</v>
      </c>
      <c r="Q48" s="57">
        <f t="shared" si="0"/>
        <v>0.42499999999999999</v>
      </c>
      <c r="R48" s="237">
        <v>13.4</v>
      </c>
      <c r="S48" s="237">
        <v>128</v>
      </c>
      <c r="T48" s="77">
        <f t="shared" si="1"/>
        <v>27</v>
      </c>
      <c r="U48" s="55">
        <v>105</v>
      </c>
      <c r="V48" s="58">
        <f t="shared" si="2"/>
        <v>2835</v>
      </c>
      <c r="W48" s="237">
        <v>2</v>
      </c>
      <c r="X48" s="55" t="s">
        <v>46</v>
      </c>
      <c r="Y48" s="55" t="s">
        <v>97</v>
      </c>
      <c r="Z48" s="55" t="s">
        <v>64</v>
      </c>
      <c r="AA48" s="55" t="s">
        <v>88</v>
      </c>
      <c r="AB48" s="55" t="s">
        <v>346</v>
      </c>
    </row>
    <row r="49" spans="1:30" x14ac:dyDescent="0.15">
      <c r="A49" s="55" t="s">
        <v>41</v>
      </c>
      <c r="B49" s="237" t="s">
        <v>344</v>
      </c>
      <c r="C49" s="152">
        <v>2018</v>
      </c>
      <c r="D49" s="56" t="s">
        <v>362</v>
      </c>
      <c r="E49" s="237" t="s">
        <v>297</v>
      </c>
      <c r="F49" s="237" t="s">
        <v>303</v>
      </c>
      <c r="G49" s="55" t="s">
        <v>42</v>
      </c>
      <c r="H49" s="55" t="s">
        <v>165</v>
      </c>
      <c r="I49" s="55" t="s">
        <v>155</v>
      </c>
      <c r="J49" s="55" t="s">
        <v>38</v>
      </c>
      <c r="K49" s="55" t="s">
        <v>156</v>
      </c>
      <c r="L49" s="237">
        <v>3</v>
      </c>
      <c r="N49" s="55">
        <v>1</v>
      </c>
      <c r="O49" s="237">
        <v>0.5</v>
      </c>
      <c r="P49" s="237">
        <v>0.55000000000000004</v>
      </c>
      <c r="Q49" s="57">
        <f t="shared" si="0"/>
        <v>0.52500000000000002</v>
      </c>
      <c r="R49" s="237">
        <v>13.5</v>
      </c>
      <c r="S49" s="237">
        <v>125</v>
      </c>
      <c r="T49" s="77">
        <f t="shared" si="1"/>
        <v>27</v>
      </c>
      <c r="U49" s="55">
        <v>105</v>
      </c>
      <c r="V49" s="58">
        <f t="shared" si="2"/>
        <v>2835</v>
      </c>
      <c r="W49" s="237">
        <v>2</v>
      </c>
      <c r="X49" s="55" t="s">
        <v>46</v>
      </c>
      <c r="Y49" s="55" t="s">
        <v>97</v>
      </c>
      <c r="Z49" s="55" t="s">
        <v>64</v>
      </c>
      <c r="AA49" s="55" t="s">
        <v>88</v>
      </c>
      <c r="AB49" s="55" t="s">
        <v>346</v>
      </c>
    </row>
    <row r="50" spans="1:30" x14ac:dyDescent="0.15">
      <c r="A50" s="55" t="s">
        <v>41</v>
      </c>
      <c r="B50" s="237" t="s">
        <v>344</v>
      </c>
      <c r="C50" s="152">
        <v>2018</v>
      </c>
      <c r="D50" s="56" t="s">
        <v>362</v>
      </c>
      <c r="E50" s="237" t="s">
        <v>297</v>
      </c>
      <c r="F50" s="237" t="s">
        <v>303</v>
      </c>
      <c r="G50" s="55" t="s">
        <v>42</v>
      </c>
      <c r="H50" s="55" t="s">
        <v>165</v>
      </c>
      <c r="I50" s="55" t="s">
        <v>155</v>
      </c>
      <c r="J50" s="55" t="s">
        <v>38</v>
      </c>
      <c r="K50" s="55" t="s">
        <v>156</v>
      </c>
      <c r="L50" s="237">
        <v>1</v>
      </c>
      <c r="N50" s="55">
        <v>3</v>
      </c>
      <c r="O50" s="55">
        <v>0.8</v>
      </c>
      <c r="P50" s="251">
        <v>0.75</v>
      </c>
      <c r="Q50" s="57">
        <f t="shared" si="0"/>
        <v>0.77500000000000002</v>
      </c>
      <c r="R50" s="237">
        <v>15.1</v>
      </c>
      <c r="S50" s="237">
        <v>130</v>
      </c>
      <c r="T50" s="57">
        <f t="shared" si="1"/>
        <v>25</v>
      </c>
      <c r="U50" s="55">
        <v>537</v>
      </c>
      <c r="V50" s="58">
        <f t="shared" si="2"/>
        <v>4475</v>
      </c>
      <c r="W50" s="237">
        <v>2</v>
      </c>
      <c r="X50" s="55" t="s">
        <v>46</v>
      </c>
      <c r="Y50" s="55" t="s">
        <v>97</v>
      </c>
      <c r="Z50" s="55" t="s">
        <v>64</v>
      </c>
      <c r="AA50" s="55" t="s">
        <v>88</v>
      </c>
      <c r="AB50" s="55" t="s">
        <v>346</v>
      </c>
      <c r="AC50" s="55"/>
      <c r="AD50" s="55"/>
    </row>
    <row r="51" spans="1:30" x14ac:dyDescent="0.15">
      <c r="A51" s="55" t="s">
        <v>41</v>
      </c>
      <c r="B51" s="237" t="s">
        <v>344</v>
      </c>
      <c r="C51" s="152">
        <v>2018</v>
      </c>
      <c r="D51" s="56" t="s">
        <v>362</v>
      </c>
      <c r="E51" s="237" t="s">
        <v>297</v>
      </c>
      <c r="F51" s="237" t="s">
        <v>303</v>
      </c>
      <c r="G51" s="55" t="s">
        <v>42</v>
      </c>
      <c r="H51" s="55" t="s">
        <v>165</v>
      </c>
      <c r="I51" s="55" t="s">
        <v>155</v>
      </c>
      <c r="J51" s="55" t="s">
        <v>38</v>
      </c>
      <c r="K51" s="55" t="s">
        <v>156</v>
      </c>
      <c r="L51" s="237">
        <v>2</v>
      </c>
      <c r="N51" s="55">
        <v>3</v>
      </c>
      <c r="O51" s="55">
        <v>0.65</v>
      </c>
      <c r="P51" s="55">
        <v>0.5</v>
      </c>
      <c r="Q51" s="57">
        <f t="shared" si="0"/>
        <v>0.57499999999999996</v>
      </c>
      <c r="R51" s="237">
        <v>13.8</v>
      </c>
      <c r="S51" s="237">
        <v>133</v>
      </c>
      <c r="T51" s="57">
        <f t="shared" si="1"/>
        <v>25</v>
      </c>
      <c r="U51" s="55">
        <v>537</v>
      </c>
      <c r="V51" s="58">
        <f t="shared" si="2"/>
        <v>4475</v>
      </c>
      <c r="W51" s="237">
        <v>2</v>
      </c>
      <c r="X51" s="55" t="s">
        <v>46</v>
      </c>
      <c r="Y51" s="55" t="s">
        <v>97</v>
      </c>
      <c r="Z51" s="55" t="s">
        <v>64</v>
      </c>
      <c r="AA51" s="55" t="s">
        <v>88</v>
      </c>
      <c r="AB51" s="55" t="s">
        <v>346</v>
      </c>
    </row>
    <row r="52" spans="1:30" x14ac:dyDescent="0.15">
      <c r="A52" s="55" t="s">
        <v>41</v>
      </c>
      <c r="B52" s="237" t="s">
        <v>344</v>
      </c>
      <c r="C52" s="152">
        <v>2018</v>
      </c>
      <c r="D52" s="56" t="s">
        <v>362</v>
      </c>
      <c r="E52" s="237" t="s">
        <v>297</v>
      </c>
      <c r="F52" s="237" t="s">
        <v>303</v>
      </c>
      <c r="G52" s="55" t="s">
        <v>42</v>
      </c>
      <c r="H52" s="55" t="s">
        <v>165</v>
      </c>
      <c r="I52" s="55" t="s">
        <v>155</v>
      </c>
      <c r="J52" s="55" t="s">
        <v>38</v>
      </c>
      <c r="K52" s="55" t="s">
        <v>156</v>
      </c>
      <c r="L52" s="237">
        <v>3</v>
      </c>
      <c r="N52" s="55">
        <v>3</v>
      </c>
      <c r="O52" s="55">
        <v>0.5</v>
      </c>
      <c r="P52" s="55">
        <v>0.65</v>
      </c>
      <c r="Q52" s="57">
        <f t="shared" si="0"/>
        <v>0.57499999999999996</v>
      </c>
      <c r="R52" s="237">
        <v>14.1</v>
      </c>
      <c r="S52" s="237">
        <v>127</v>
      </c>
      <c r="T52" s="57">
        <f t="shared" si="1"/>
        <v>27</v>
      </c>
      <c r="U52" s="55">
        <v>537</v>
      </c>
      <c r="V52" s="58">
        <f t="shared" si="2"/>
        <v>4833</v>
      </c>
      <c r="W52" s="237">
        <v>2</v>
      </c>
      <c r="X52" s="55" t="s">
        <v>46</v>
      </c>
      <c r="Y52" s="55" t="s">
        <v>97</v>
      </c>
      <c r="Z52" s="55" t="s">
        <v>64</v>
      </c>
      <c r="AA52" s="55" t="s">
        <v>88</v>
      </c>
      <c r="AB52" s="55" t="s">
        <v>346</v>
      </c>
    </row>
    <row r="53" spans="1:30" x14ac:dyDescent="0.15">
      <c r="A53" s="55" t="s">
        <v>41</v>
      </c>
      <c r="B53" s="237" t="s">
        <v>344</v>
      </c>
      <c r="C53" s="152">
        <v>2018</v>
      </c>
      <c r="D53" s="56" t="s">
        <v>362</v>
      </c>
      <c r="E53" s="237" t="s">
        <v>297</v>
      </c>
      <c r="F53" s="237" t="s">
        <v>303</v>
      </c>
      <c r="G53" s="55" t="s">
        <v>42</v>
      </c>
      <c r="H53" s="55" t="s">
        <v>165</v>
      </c>
      <c r="I53" s="55" t="s">
        <v>155</v>
      </c>
      <c r="J53" s="55" t="s">
        <v>38</v>
      </c>
      <c r="K53" s="55" t="s">
        <v>156</v>
      </c>
      <c r="L53" s="237">
        <v>1</v>
      </c>
      <c r="N53" s="55">
        <v>5</v>
      </c>
      <c r="O53" s="55">
        <v>0.3</v>
      </c>
      <c r="P53" s="251">
        <v>0.3</v>
      </c>
      <c r="Q53" s="57">
        <f t="shared" si="0"/>
        <v>0.3</v>
      </c>
      <c r="R53" s="237">
        <v>14.4</v>
      </c>
      <c r="S53" s="237">
        <v>116</v>
      </c>
      <c r="T53" s="57">
        <f t="shared" si="1"/>
        <v>30</v>
      </c>
      <c r="U53" s="55">
        <v>429</v>
      </c>
      <c r="V53" s="58">
        <f t="shared" si="2"/>
        <v>2574</v>
      </c>
      <c r="W53" s="237">
        <v>2</v>
      </c>
      <c r="X53" s="55" t="s">
        <v>46</v>
      </c>
      <c r="Y53" s="55" t="s">
        <v>97</v>
      </c>
      <c r="Z53" s="55" t="s">
        <v>64</v>
      </c>
      <c r="AA53" s="55" t="s">
        <v>88</v>
      </c>
      <c r="AB53" s="55" t="s">
        <v>346</v>
      </c>
      <c r="AC53" s="55"/>
      <c r="AD53" s="55"/>
    </row>
    <row r="54" spans="1:30" x14ac:dyDescent="0.15">
      <c r="A54" s="55" t="s">
        <v>41</v>
      </c>
      <c r="B54" s="237" t="s">
        <v>344</v>
      </c>
      <c r="C54" s="152">
        <v>2018</v>
      </c>
      <c r="D54" s="56" t="s">
        <v>362</v>
      </c>
      <c r="E54" s="237" t="s">
        <v>297</v>
      </c>
      <c r="F54" s="237" t="s">
        <v>303</v>
      </c>
      <c r="G54" s="55" t="s">
        <v>42</v>
      </c>
      <c r="H54" s="55" t="s">
        <v>165</v>
      </c>
      <c r="I54" s="55" t="s">
        <v>155</v>
      </c>
      <c r="J54" s="55" t="s">
        <v>38</v>
      </c>
      <c r="K54" s="55" t="s">
        <v>156</v>
      </c>
      <c r="L54" s="237">
        <v>2</v>
      </c>
      <c r="N54" s="55">
        <v>5</v>
      </c>
      <c r="O54" s="55">
        <v>0.25</v>
      </c>
      <c r="P54" s="55">
        <v>0.45</v>
      </c>
      <c r="Q54" s="57">
        <f t="shared" si="0"/>
        <v>0.35</v>
      </c>
      <c r="R54" s="237">
        <v>13.9</v>
      </c>
      <c r="S54" s="237">
        <v>112</v>
      </c>
      <c r="T54" s="57">
        <f t="shared" si="1"/>
        <v>33</v>
      </c>
      <c r="U54" s="55">
        <v>429</v>
      </c>
      <c r="V54" s="58">
        <f t="shared" si="2"/>
        <v>2831.4</v>
      </c>
      <c r="W54" s="237">
        <v>2</v>
      </c>
      <c r="X54" s="55" t="s">
        <v>46</v>
      </c>
      <c r="Y54" s="55" t="s">
        <v>97</v>
      </c>
      <c r="Z54" s="55" t="s">
        <v>64</v>
      </c>
      <c r="AA54" s="55" t="s">
        <v>88</v>
      </c>
      <c r="AB54" s="55" t="s">
        <v>346</v>
      </c>
    </row>
    <row r="55" spans="1:30" x14ac:dyDescent="0.15">
      <c r="A55" s="55" t="s">
        <v>41</v>
      </c>
      <c r="B55" s="237" t="s">
        <v>344</v>
      </c>
      <c r="C55" s="152">
        <v>2018</v>
      </c>
      <c r="D55" s="56" t="s">
        <v>362</v>
      </c>
      <c r="E55" s="237" t="s">
        <v>297</v>
      </c>
      <c r="F55" s="237" t="s">
        <v>303</v>
      </c>
      <c r="G55" s="55" t="s">
        <v>42</v>
      </c>
      <c r="H55" s="55" t="s">
        <v>165</v>
      </c>
      <c r="I55" s="55" t="s">
        <v>155</v>
      </c>
      <c r="J55" s="55" t="s">
        <v>38</v>
      </c>
      <c r="K55" s="55" t="s">
        <v>156</v>
      </c>
      <c r="L55" s="237">
        <v>3</v>
      </c>
      <c r="N55" s="55">
        <v>5</v>
      </c>
      <c r="O55" s="55">
        <v>0.3</v>
      </c>
      <c r="P55" s="55">
        <v>0.3</v>
      </c>
      <c r="Q55" s="57">
        <f t="shared" si="0"/>
        <v>0.3</v>
      </c>
      <c r="R55" s="237">
        <v>14.1</v>
      </c>
      <c r="S55" s="237">
        <v>112</v>
      </c>
      <c r="T55" s="57">
        <f t="shared" si="1"/>
        <v>33</v>
      </c>
      <c r="U55" s="55">
        <v>429</v>
      </c>
      <c r="V55" s="58">
        <f t="shared" si="2"/>
        <v>2831.4</v>
      </c>
      <c r="W55" s="237">
        <v>2</v>
      </c>
      <c r="X55" s="55" t="s">
        <v>46</v>
      </c>
      <c r="Y55" s="55" t="s">
        <v>97</v>
      </c>
      <c r="Z55" s="55" t="s">
        <v>64</v>
      </c>
      <c r="AA55" s="55" t="s">
        <v>88</v>
      </c>
      <c r="AB55" s="55" t="s">
        <v>346</v>
      </c>
    </row>
    <row r="56" spans="1:30" x14ac:dyDescent="0.15">
      <c r="A56" s="55" t="s">
        <v>41</v>
      </c>
      <c r="B56" s="237" t="s">
        <v>344</v>
      </c>
      <c r="C56" s="152">
        <v>2018</v>
      </c>
      <c r="D56" s="56" t="s">
        <v>362</v>
      </c>
      <c r="E56" s="237" t="s">
        <v>298</v>
      </c>
      <c r="F56" s="237" t="s">
        <v>302</v>
      </c>
      <c r="G56" s="55" t="s">
        <v>42</v>
      </c>
      <c r="H56" s="55" t="s">
        <v>165</v>
      </c>
      <c r="I56" s="55" t="s">
        <v>155</v>
      </c>
      <c r="J56" s="55" t="s">
        <v>38</v>
      </c>
      <c r="K56" s="55" t="s">
        <v>156</v>
      </c>
      <c r="L56" s="237">
        <v>1</v>
      </c>
      <c r="N56" s="237">
        <v>3</v>
      </c>
      <c r="O56" s="55">
        <v>0.45</v>
      </c>
      <c r="P56" s="251">
        <v>0.4</v>
      </c>
      <c r="Q56" s="57">
        <f t="shared" si="0"/>
        <v>0.42500000000000004</v>
      </c>
      <c r="R56" s="237">
        <v>13.1</v>
      </c>
      <c r="S56" s="237">
        <v>128</v>
      </c>
      <c r="T56" s="57">
        <f t="shared" si="1"/>
        <v>27</v>
      </c>
      <c r="U56" s="237">
        <v>645</v>
      </c>
      <c r="V56" s="58">
        <f t="shared" si="2"/>
        <v>5805</v>
      </c>
      <c r="W56" s="237">
        <v>1</v>
      </c>
      <c r="X56" s="55" t="s">
        <v>46</v>
      </c>
      <c r="Y56" s="55" t="s">
        <v>97</v>
      </c>
      <c r="Z56" s="55" t="s">
        <v>86</v>
      </c>
      <c r="AA56" s="55" t="s">
        <v>64</v>
      </c>
      <c r="AB56" s="55" t="s">
        <v>346</v>
      </c>
      <c r="AC56" s="55"/>
      <c r="AD56" s="55"/>
    </row>
    <row r="57" spans="1:30" x14ac:dyDescent="0.15">
      <c r="A57" s="55" t="s">
        <v>41</v>
      </c>
      <c r="B57" s="237" t="s">
        <v>344</v>
      </c>
      <c r="C57" s="152">
        <v>2018</v>
      </c>
      <c r="D57" s="56" t="s">
        <v>362</v>
      </c>
      <c r="E57" s="237" t="s">
        <v>298</v>
      </c>
      <c r="F57" s="237" t="s">
        <v>302</v>
      </c>
      <c r="G57" s="55" t="s">
        <v>42</v>
      </c>
      <c r="H57" s="55" t="s">
        <v>165</v>
      </c>
      <c r="I57" s="55" t="s">
        <v>155</v>
      </c>
      <c r="J57" s="55" t="s">
        <v>38</v>
      </c>
      <c r="K57" s="55" t="s">
        <v>156</v>
      </c>
      <c r="L57" s="237">
        <v>2</v>
      </c>
      <c r="N57" s="237">
        <v>3</v>
      </c>
      <c r="O57" s="55">
        <v>0.6</v>
      </c>
      <c r="P57" s="55">
        <v>0.75</v>
      </c>
      <c r="Q57" s="57">
        <f t="shared" si="0"/>
        <v>0.67500000000000004</v>
      </c>
      <c r="R57" s="237">
        <v>15.8</v>
      </c>
      <c r="S57" s="237">
        <v>134</v>
      </c>
      <c r="T57" s="57">
        <f t="shared" si="1"/>
        <v>25</v>
      </c>
      <c r="U57" s="237">
        <v>645</v>
      </c>
      <c r="V57" s="58">
        <f t="shared" si="2"/>
        <v>5375</v>
      </c>
      <c r="W57" s="237">
        <v>1</v>
      </c>
      <c r="X57" s="55" t="s">
        <v>46</v>
      </c>
      <c r="Y57" s="55" t="s">
        <v>97</v>
      </c>
      <c r="Z57" s="55" t="s">
        <v>86</v>
      </c>
      <c r="AA57" s="55" t="s">
        <v>64</v>
      </c>
      <c r="AB57" s="55" t="s">
        <v>346</v>
      </c>
    </row>
    <row r="58" spans="1:30" x14ac:dyDescent="0.15">
      <c r="A58" s="55" t="s">
        <v>41</v>
      </c>
      <c r="B58" s="237" t="s">
        <v>344</v>
      </c>
      <c r="C58" s="152">
        <v>2018</v>
      </c>
      <c r="D58" s="56" t="s">
        <v>362</v>
      </c>
      <c r="E58" s="237" t="s">
        <v>298</v>
      </c>
      <c r="F58" s="237" t="s">
        <v>302</v>
      </c>
      <c r="G58" s="55" t="s">
        <v>42</v>
      </c>
      <c r="H58" s="55" t="s">
        <v>165</v>
      </c>
      <c r="I58" s="55" t="s">
        <v>155</v>
      </c>
      <c r="J58" s="55" t="s">
        <v>38</v>
      </c>
      <c r="K58" s="55" t="s">
        <v>156</v>
      </c>
      <c r="L58" s="237">
        <v>3</v>
      </c>
      <c r="N58" s="237">
        <v>3</v>
      </c>
      <c r="O58" s="55">
        <v>0.5</v>
      </c>
      <c r="P58" s="55">
        <v>0.6</v>
      </c>
      <c r="Q58" s="57">
        <f t="shared" si="0"/>
        <v>0.55000000000000004</v>
      </c>
      <c r="R58" s="237">
        <v>14.7</v>
      </c>
      <c r="S58" s="237">
        <v>137</v>
      </c>
      <c r="T58" s="57">
        <f t="shared" si="1"/>
        <v>25</v>
      </c>
      <c r="U58" s="237">
        <v>645</v>
      </c>
      <c r="V58" s="58">
        <f t="shared" si="2"/>
        <v>5375</v>
      </c>
      <c r="W58" s="237">
        <v>1</v>
      </c>
      <c r="X58" s="55" t="s">
        <v>46</v>
      </c>
      <c r="Y58" s="55" t="s">
        <v>97</v>
      </c>
      <c r="Z58" s="55" t="s">
        <v>86</v>
      </c>
      <c r="AA58" s="55" t="s">
        <v>64</v>
      </c>
      <c r="AB58" s="55" t="s">
        <v>346</v>
      </c>
    </row>
    <row r="59" spans="1:30" x14ac:dyDescent="0.15">
      <c r="A59" s="55" t="s">
        <v>41</v>
      </c>
      <c r="B59" s="237" t="s">
        <v>344</v>
      </c>
      <c r="C59" s="152">
        <v>2018</v>
      </c>
      <c r="D59" s="56" t="s">
        <v>362</v>
      </c>
      <c r="E59" s="237" t="s">
        <v>298</v>
      </c>
      <c r="F59" s="237" t="s">
        <v>302</v>
      </c>
      <c r="G59" s="55" t="s">
        <v>42</v>
      </c>
      <c r="H59" s="55" t="s">
        <v>165</v>
      </c>
      <c r="I59" s="55" t="s">
        <v>155</v>
      </c>
      <c r="J59" s="55" t="s">
        <v>38</v>
      </c>
      <c r="K59" s="55" t="s">
        <v>156</v>
      </c>
      <c r="L59" s="237">
        <v>1</v>
      </c>
      <c r="N59" s="237">
        <v>4</v>
      </c>
      <c r="O59" s="237">
        <v>0.6</v>
      </c>
      <c r="P59" s="237">
        <v>0.6</v>
      </c>
      <c r="Q59" s="57">
        <f t="shared" si="0"/>
        <v>0.6</v>
      </c>
      <c r="R59" s="237">
        <v>13.8</v>
      </c>
      <c r="S59" s="237">
        <v>125</v>
      </c>
      <c r="T59" s="57">
        <f t="shared" si="1"/>
        <v>27</v>
      </c>
      <c r="U59" s="237">
        <v>645</v>
      </c>
      <c r="V59" s="58">
        <f t="shared" si="2"/>
        <v>4353.75</v>
      </c>
      <c r="W59" s="237">
        <v>2</v>
      </c>
      <c r="X59" s="55" t="s">
        <v>46</v>
      </c>
      <c r="Y59" s="55" t="s">
        <v>97</v>
      </c>
      <c r="Z59" s="55" t="s">
        <v>86</v>
      </c>
      <c r="AA59" s="55" t="s">
        <v>64</v>
      </c>
      <c r="AB59" s="55" t="s">
        <v>346</v>
      </c>
      <c r="AC59" s="55"/>
      <c r="AD59" s="55"/>
    </row>
    <row r="60" spans="1:30" x14ac:dyDescent="0.15">
      <c r="A60" s="55" t="s">
        <v>41</v>
      </c>
      <c r="B60" s="237" t="s">
        <v>344</v>
      </c>
      <c r="C60" s="152">
        <v>2018</v>
      </c>
      <c r="D60" s="56" t="s">
        <v>362</v>
      </c>
      <c r="E60" s="237" t="s">
        <v>298</v>
      </c>
      <c r="F60" s="237" t="s">
        <v>302</v>
      </c>
      <c r="G60" s="55" t="s">
        <v>42</v>
      </c>
      <c r="H60" s="55" t="s">
        <v>165</v>
      </c>
      <c r="I60" s="55" t="s">
        <v>155</v>
      </c>
      <c r="J60" s="55" t="s">
        <v>38</v>
      </c>
      <c r="K60" s="55" t="s">
        <v>156</v>
      </c>
      <c r="L60" s="237">
        <v>2</v>
      </c>
      <c r="N60" s="237">
        <v>4</v>
      </c>
      <c r="O60" s="237">
        <v>0.5</v>
      </c>
      <c r="P60" s="237">
        <v>0.6</v>
      </c>
      <c r="Q60" s="57">
        <f t="shared" si="0"/>
        <v>0.55000000000000004</v>
      </c>
      <c r="R60" s="237">
        <v>14.1</v>
      </c>
      <c r="S60" s="237">
        <v>122</v>
      </c>
      <c r="T60" s="57">
        <f t="shared" si="1"/>
        <v>27</v>
      </c>
      <c r="U60" s="237">
        <v>645</v>
      </c>
      <c r="V60" s="58">
        <f t="shared" si="2"/>
        <v>4353.75</v>
      </c>
      <c r="W60" s="237">
        <v>2</v>
      </c>
      <c r="X60" s="55" t="s">
        <v>46</v>
      </c>
      <c r="Y60" s="55" t="s">
        <v>97</v>
      </c>
      <c r="Z60" s="55" t="s">
        <v>86</v>
      </c>
      <c r="AA60" s="55" t="s">
        <v>64</v>
      </c>
      <c r="AB60" s="55" t="s">
        <v>346</v>
      </c>
    </row>
    <row r="61" spans="1:30" x14ac:dyDescent="0.15">
      <c r="A61" s="55" t="s">
        <v>41</v>
      </c>
      <c r="B61" s="237" t="s">
        <v>344</v>
      </c>
      <c r="C61" s="152">
        <v>2018</v>
      </c>
      <c r="D61" s="56" t="s">
        <v>362</v>
      </c>
      <c r="E61" s="237" t="s">
        <v>298</v>
      </c>
      <c r="F61" s="237" t="s">
        <v>302</v>
      </c>
      <c r="G61" s="55" t="s">
        <v>42</v>
      </c>
      <c r="H61" s="55" t="s">
        <v>165</v>
      </c>
      <c r="I61" s="55" t="s">
        <v>155</v>
      </c>
      <c r="J61" s="55" t="s">
        <v>38</v>
      </c>
      <c r="K61" s="55" t="s">
        <v>156</v>
      </c>
      <c r="L61" s="237">
        <v>3</v>
      </c>
      <c r="N61" s="237">
        <v>4</v>
      </c>
      <c r="O61" s="237">
        <v>0.5</v>
      </c>
      <c r="P61" s="237">
        <v>0.45</v>
      </c>
      <c r="Q61" s="57">
        <f t="shared" si="0"/>
        <v>0.47499999999999998</v>
      </c>
      <c r="R61" s="237">
        <v>12.8</v>
      </c>
      <c r="S61" s="237">
        <v>127</v>
      </c>
      <c r="T61" s="57">
        <f t="shared" si="1"/>
        <v>27</v>
      </c>
      <c r="U61" s="237">
        <v>645</v>
      </c>
      <c r="V61" s="58">
        <f t="shared" si="2"/>
        <v>4353.75</v>
      </c>
      <c r="W61" s="237">
        <v>2</v>
      </c>
      <c r="X61" s="55" t="s">
        <v>46</v>
      </c>
      <c r="Y61" s="55" t="s">
        <v>97</v>
      </c>
      <c r="Z61" s="55" t="s">
        <v>86</v>
      </c>
      <c r="AA61" s="55" t="s">
        <v>64</v>
      </c>
      <c r="AB61" s="55" t="s">
        <v>346</v>
      </c>
    </row>
    <row r="62" spans="1:30" x14ac:dyDescent="0.15">
      <c r="A62" s="55" t="s">
        <v>41</v>
      </c>
      <c r="B62" s="237" t="s">
        <v>344</v>
      </c>
      <c r="C62" s="152">
        <v>2018</v>
      </c>
      <c r="D62" s="56" t="s">
        <v>362</v>
      </c>
      <c r="E62" s="237" t="s">
        <v>298</v>
      </c>
      <c r="F62" s="237" t="s">
        <v>302</v>
      </c>
      <c r="G62" s="55" t="s">
        <v>42</v>
      </c>
      <c r="H62" s="55" t="s">
        <v>165</v>
      </c>
      <c r="I62" s="55" t="s">
        <v>155</v>
      </c>
      <c r="J62" s="55" t="s">
        <v>38</v>
      </c>
      <c r="K62" s="55" t="s">
        <v>156</v>
      </c>
      <c r="L62" s="237">
        <v>1</v>
      </c>
      <c r="N62" s="55">
        <v>1</v>
      </c>
      <c r="O62" s="237">
        <v>0.55000000000000004</v>
      </c>
      <c r="P62" s="237">
        <v>0.7</v>
      </c>
      <c r="Q62" s="57">
        <f t="shared" si="0"/>
        <v>0.625</v>
      </c>
      <c r="R62" s="237">
        <v>15.8</v>
      </c>
      <c r="S62" s="237">
        <v>130</v>
      </c>
      <c r="T62" s="57">
        <f t="shared" si="1"/>
        <v>25</v>
      </c>
      <c r="U62" s="237">
        <v>170</v>
      </c>
      <c r="V62" s="58">
        <f t="shared" si="2"/>
        <v>4250</v>
      </c>
      <c r="W62" s="237">
        <v>1</v>
      </c>
      <c r="X62" s="55" t="s">
        <v>46</v>
      </c>
      <c r="Y62" s="55" t="s">
        <v>97</v>
      </c>
      <c r="Z62" s="55" t="s">
        <v>86</v>
      </c>
      <c r="AA62" s="55" t="s">
        <v>64</v>
      </c>
      <c r="AB62" s="55" t="s">
        <v>346</v>
      </c>
      <c r="AC62" s="55"/>
      <c r="AD62" s="55"/>
    </row>
    <row r="63" spans="1:30" x14ac:dyDescent="0.15">
      <c r="A63" s="55" t="s">
        <v>41</v>
      </c>
      <c r="B63" s="237" t="s">
        <v>344</v>
      </c>
      <c r="C63" s="152">
        <v>2018</v>
      </c>
      <c r="D63" s="56" t="s">
        <v>362</v>
      </c>
      <c r="E63" s="237" t="s">
        <v>298</v>
      </c>
      <c r="F63" s="237" t="s">
        <v>302</v>
      </c>
      <c r="G63" s="55" t="s">
        <v>42</v>
      </c>
      <c r="H63" s="55" t="s">
        <v>165</v>
      </c>
      <c r="I63" s="55" t="s">
        <v>155</v>
      </c>
      <c r="J63" s="55" t="s">
        <v>38</v>
      </c>
      <c r="K63" s="55" t="s">
        <v>156</v>
      </c>
      <c r="L63" s="237">
        <v>2</v>
      </c>
      <c r="N63" s="55">
        <v>1</v>
      </c>
      <c r="O63" s="237">
        <v>0.65</v>
      </c>
      <c r="P63" s="237">
        <v>0.8</v>
      </c>
      <c r="Q63" s="57">
        <f t="shared" si="0"/>
        <v>0.72500000000000009</v>
      </c>
      <c r="R63" s="237">
        <v>14.7</v>
      </c>
      <c r="S63" s="237">
        <v>137</v>
      </c>
      <c r="T63" s="57">
        <f t="shared" si="1"/>
        <v>25</v>
      </c>
      <c r="U63" s="237">
        <v>170</v>
      </c>
      <c r="V63" s="58">
        <f t="shared" si="2"/>
        <v>4250</v>
      </c>
      <c r="W63" s="237">
        <v>1</v>
      </c>
      <c r="X63" s="55" t="s">
        <v>46</v>
      </c>
      <c r="Y63" s="55" t="s">
        <v>97</v>
      </c>
      <c r="Z63" s="55" t="s">
        <v>86</v>
      </c>
      <c r="AA63" s="55" t="s">
        <v>64</v>
      </c>
      <c r="AB63" s="55" t="s">
        <v>346</v>
      </c>
    </row>
    <row r="64" spans="1:30" x14ac:dyDescent="0.15">
      <c r="A64" s="55" t="s">
        <v>41</v>
      </c>
      <c r="B64" s="237" t="s">
        <v>344</v>
      </c>
      <c r="C64" s="152">
        <v>2018</v>
      </c>
      <c r="D64" s="56" t="s">
        <v>362</v>
      </c>
      <c r="E64" s="237" t="s">
        <v>298</v>
      </c>
      <c r="F64" s="237" t="s">
        <v>302</v>
      </c>
      <c r="G64" s="55" t="s">
        <v>42</v>
      </c>
      <c r="H64" s="55" t="s">
        <v>165</v>
      </c>
      <c r="I64" s="55" t="s">
        <v>155</v>
      </c>
      <c r="J64" s="55" t="s">
        <v>38</v>
      </c>
      <c r="K64" s="55" t="s">
        <v>156</v>
      </c>
      <c r="L64" s="237">
        <v>3</v>
      </c>
      <c r="N64" s="55">
        <v>1</v>
      </c>
      <c r="O64" s="237">
        <v>0.45</v>
      </c>
      <c r="P64" s="237">
        <v>0.6</v>
      </c>
      <c r="Q64" s="57">
        <f t="shared" si="0"/>
        <v>0.52500000000000002</v>
      </c>
      <c r="R64" s="237">
        <v>16.399999999999999</v>
      </c>
      <c r="S64" s="237">
        <v>131</v>
      </c>
      <c r="T64" s="57">
        <f t="shared" si="1"/>
        <v>25</v>
      </c>
      <c r="U64" s="237">
        <v>170</v>
      </c>
      <c r="V64" s="58">
        <f t="shared" si="2"/>
        <v>4250</v>
      </c>
      <c r="W64" s="237">
        <v>1</v>
      </c>
      <c r="X64" s="55" t="s">
        <v>46</v>
      </c>
      <c r="Y64" s="55" t="s">
        <v>97</v>
      </c>
      <c r="Z64" s="55" t="s">
        <v>86</v>
      </c>
      <c r="AA64" s="55" t="s">
        <v>64</v>
      </c>
      <c r="AB64" s="55" t="s">
        <v>346</v>
      </c>
    </row>
    <row r="65" spans="1:30" x14ac:dyDescent="0.15">
      <c r="A65" s="55" t="s">
        <v>41</v>
      </c>
      <c r="B65" s="237" t="s">
        <v>344</v>
      </c>
      <c r="C65" s="152">
        <v>2018</v>
      </c>
      <c r="D65" s="56" t="s">
        <v>362</v>
      </c>
      <c r="E65" s="237" t="s">
        <v>298</v>
      </c>
      <c r="F65" s="237" t="s">
        <v>302</v>
      </c>
      <c r="G65" s="55" t="s">
        <v>42</v>
      </c>
      <c r="H65" s="55" t="s">
        <v>165</v>
      </c>
      <c r="I65" s="55" t="s">
        <v>155</v>
      </c>
      <c r="J65" s="55" t="s">
        <v>38</v>
      </c>
      <c r="K65" s="55" t="s">
        <v>156</v>
      </c>
      <c r="L65" s="237">
        <v>1</v>
      </c>
      <c r="N65" s="55">
        <v>8</v>
      </c>
      <c r="O65" s="237">
        <v>0.3</v>
      </c>
      <c r="P65" s="237">
        <v>0.2</v>
      </c>
      <c r="Q65" s="57">
        <f t="shared" si="0"/>
        <v>0.25</v>
      </c>
      <c r="R65" s="237">
        <v>16</v>
      </c>
      <c r="S65" s="237">
        <v>104</v>
      </c>
      <c r="T65" s="57">
        <f t="shared" si="1"/>
        <v>33</v>
      </c>
      <c r="U65" s="237">
        <v>1058</v>
      </c>
      <c r="V65" s="58">
        <f t="shared" si="2"/>
        <v>4364.25</v>
      </c>
      <c r="W65" s="237">
        <v>1</v>
      </c>
      <c r="X65" s="55" t="s">
        <v>46</v>
      </c>
      <c r="Y65" s="55" t="s">
        <v>97</v>
      </c>
      <c r="Z65" s="55" t="s">
        <v>86</v>
      </c>
      <c r="AA65" s="55" t="s">
        <v>64</v>
      </c>
      <c r="AB65" s="55" t="s">
        <v>346</v>
      </c>
    </row>
    <row r="66" spans="1:30" x14ac:dyDescent="0.15">
      <c r="A66" s="55" t="s">
        <v>41</v>
      </c>
      <c r="B66" s="237" t="s">
        <v>344</v>
      </c>
      <c r="C66" s="152">
        <v>2018</v>
      </c>
      <c r="D66" s="56" t="s">
        <v>362</v>
      </c>
      <c r="E66" s="237" t="s">
        <v>298</v>
      </c>
      <c r="F66" s="237" t="s">
        <v>302</v>
      </c>
      <c r="G66" s="55" t="s">
        <v>42</v>
      </c>
      <c r="H66" s="55" t="s">
        <v>165</v>
      </c>
      <c r="I66" s="55" t="s">
        <v>155</v>
      </c>
      <c r="J66" s="55" t="s">
        <v>38</v>
      </c>
      <c r="K66" s="55" t="s">
        <v>156</v>
      </c>
      <c r="L66" s="237">
        <v>2</v>
      </c>
      <c r="N66" s="55">
        <v>8</v>
      </c>
      <c r="O66" s="237">
        <v>0.25</v>
      </c>
      <c r="P66" s="237">
        <v>0.3</v>
      </c>
      <c r="Q66" s="57">
        <f t="shared" si="0"/>
        <v>0.27500000000000002</v>
      </c>
      <c r="R66" s="237">
        <v>15.1</v>
      </c>
      <c r="S66" s="237">
        <v>110</v>
      </c>
      <c r="T66" s="57">
        <f t="shared" ref="T66:T129" si="3">IF(H66="","",IF(OR(H66="GREEN",H66="GK"),IF(S66&gt;=$AX$2,VLOOKUP(S66,$AX$2:$AY$10,2,1),""),IF(S66&gt;=$AZ$2,VLOOKUP(S66,$AZ$2:$BA$10,2,1),"")))</f>
        <v>33</v>
      </c>
      <c r="U66" s="237">
        <v>1058</v>
      </c>
      <c r="V66" s="58">
        <f t="shared" ref="V66:V129" si="4">IF(OR(N66="",U66="",T66=""),"",U66/N66*T66)</f>
        <v>4364.25</v>
      </c>
      <c r="W66" s="237">
        <v>1</v>
      </c>
      <c r="X66" s="55" t="s">
        <v>46</v>
      </c>
      <c r="Y66" s="55" t="s">
        <v>97</v>
      </c>
      <c r="Z66" s="55" t="s">
        <v>86</v>
      </c>
      <c r="AA66" s="55" t="s">
        <v>64</v>
      </c>
      <c r="AB66" s="55" t="s">
        <v>346</v>
      </c>
    </row>
    <row r="67" spans="1:30" x14ac:dyDescent="0.15">
      <c r="A67" s="55" t="s">
        <v>41</v>
      </c>
      <c r="B67" s="237" t="s">
        <v>344</v>
      </c>
      <c r="C67" s="152">
        <v>2018</v>
      </c>
      <c r="D67" s="56" t="s">
        <v>362</v>
      </c>
      <c r="E67" s="237" t="s">
        <v>298</v>
      </c>
      <c r="F67" s="237" t="s">
        <v>302</v>
      </c>
      <c r="G67" s="55" t="s">
        <v>42</v>
      </c>
      <c r="H67" s="55" t="s">
        <v>165</v>
      </c>
      <c r="I67" s="55" t="s">
        <v>155</v>
      </c>
      <c r="J67" s="55" t="s">
        <v>38</v>
      </c>
      <c r="K67" s="55" t="s">
        <v>156</v>
      </c>
      <c r="L67" s="237">
        <v>3</v>
      </c>
      <c r="N67" s="55">
        <v>8</v>
      </c>
      <c r="O67" s="237">
        <v>0.3</v>
      </c>
      <c r="P67" s="237">
        <v>0.2</v>
      </c>
      <c r="Q67" s="57">
        <f t="shared" si="0"/>
        <v>0.25</v>
      </c>
      <c r="R67" s="237">
        <v>14.2</v>
      </c>
      <c r="S67" s="237">
        <v>107</v>
      </c>
      <c r="T67" s="57">
        <f t="shared" si="3"/>
        <v>33</v>
      </c>
      <c r="U67" s="237">
        <v>1058</v>
      </c>
      <c r="V67" s="58">
        <f t="shared" si="4"/>
        <v>4364.25</v>
      </c>
      <c r="W67" s="237">
        <v>1</v>
      </c>
      <c r="X67" s="55" t="s">
        <v>46</v>
      </c>
      <c r="Y67" s="55" t="s">
        <v>97</v>
      </c>
      <c r="Z67" s="55" t="s">
        <v>86</v>
      </c>
      <c r="AA67" s="55" t="s">
        <v>64</v>
      </c>
      <c r="AB67" s="55" t="s">
        <v>346</v>
      </c>
    </row>
    <row r="68" spans="1:30" x14ac:dyDescent="0.15">
      <c r="A68" s="55" t="s">
        <v>41</v>
      </c>
      <c r="B68" s="237" t="s">
        <v>344</v>
      </c>
      <c r="C68" s="152">
        <v>2018</v>
      </c>
      <c r="D68" s="56" t="s">
        <v>362</v>
      </c>
      <c r="E68" s="237" t="s">
        <v>298</v>
      </c>
      <c r="F68" s="237" t="s">
        <v>302</v>
      </c>
      <c r="G68" s="55" t="s">
        <v>42</v>
      </c>
      <c r="H68" s="55" t="s">
        <v>157</v>
      </c>
      <c r="I68" s="55" t="s">
        <v>155</v>
      </c>
      <c r="J68" s="55" t="s">
        <v>38</v>
      </c>
      <c r="K68" s="55" t="s">
        <v>156</v>
      </c>
      <c r="L68" s="237">
        <v>1</v>
      </c>
      <c r="N68" s="237">
        <v>1</v>
      </c>
      <c r="O68" s="55">
        <v>0.4</v>
      </c>
      <c r="P68" s="55">
        <v>0.25</v>
      </c>
      <c r="Q68" s="57">
        <f t="shared" si="0"/>
        <v>0.32500000000000001</v>
      </c>
      <c r="R68" s="237">
        <v>14.1</v>
      </c>
      <c r="S68" s="55">
        <v>130</v>
      </c>
      <c r="T68" s="57">
        <f t="shared" si="3"/>
        <v>25</v>
      </c>
      <c r="U68" s="237">
        <v>84</v>
      </c>
      <c r="V68" s="58">
        <f t="shared" si="4"/>
        <v>2100</v>
      </c>
      <c r="W68" s="237">
        <v>1</v>
      </c>
      <c r="X68" s="55" t="s">
        <v>46</v>
      </c>
      <c r="Y68" s="55" t="s">
        <v>97</v>
      </c>
      <c r="Z68" s="55" t="s">
        <v>86</v>
      </c>
      <c r="AA68" s="55" t="s">
        <v>64</v>
      </c>
      <c r="AB68" s="55" t="s">
        <v>346</v>
      </c>
    </row>
    <row r="69" spans="1:30" x14ac:dyDescent="0.15">
      <c r="A69" s="55" t="s">
        <v>41</v>
      </c>
      <c r="B69" s="237" t="s">
        <v>344</v>
      </c>
      <c r="C69" s="152">
        <v>2018</v>
      </c>
      <c r="D69" s="56" t="s">
        <v>362</v>
      </c>
      <c r="E69" s="237" t="s">
        <v>298</v>
      </c>
      <c r="F69" s="237" t="s">
        <v>302</v>
      </c>
      <c r="G69" s="55" t="s">
        <v>42</v>
      </c>
      <c r="H69" s="55" t="s">
        <v>157</v>
      </c>
      <c r="I69" s="55" t="s">
        <v>155</v>
      </c>
      <c r="J69" s="55" t="s">
        <v>38</v>
      </c>
      <c r="K69" s="55" t="s">
        <v>156</v>
      </c>
      <c r="L69" s="237">
        <v>2</v>
      </c>
      <c r="N69" s="237">
        <v>1</v>
      </c>
      <c r="O69" s="55">
        <v>0.3</v>
      </c>
      <c r="P69" s="55">
        <v>0.2</v>
      </c>
      <c r="Q69" s="57">
        <f t="shared" ref="Q69:Q132" si="5">IF(OR(O69="",P69=""),"",AVERAGE(O69,P69))</f>
        <v>0.25</v>
      </c>
      <c r="R69" s="55">
        <v>13.1</v>
      </c>
      <c r="S69" s="55">
        <v>128</v>
      </c>
      <c r="T69" s="57">
        <f t="shared" si="3"/>
        <v>27</v>
      </c>
      <c r="U69" s="237">
        <v>84</v>
      </c>
      <c r="V69" s="58">
        <f t="shared" si="4"/>
        <v>2268</v>
      </c>
      <c r="W69" s="237">
        <v>1</v>
      </c>
      <c r="X69" s="55" t="s">
        <v>46</v>
      </c>
      <c r="Y69" s="55" t="s">
        <v>97</v>
      </c>
      <c r="Z69" s="55" t="s">
        <v>86</v>
      </c>
      <c r="AA69" s="55" t="s">
        <v>64</v>
      </c>
      <c r="AB69" s="55" t="s">
        <v>346</v>
      </c>
    </row>
    <row r="70" spans="1:30" x14ac:dyDescent="0.15">
      <c r="A70" s="55" t="s">
        <v>41</v>
      </c>
      <c r="B70" s="237" t="s">
        <v>344</v>
      </c>
      <c r="C70" s="152">
        <v>2018</v>
      </c>
      <c r="D70" s="56" t="s">
        <v>362</v>
      </c>
      <c r="E70" s="237" t="s">
        <v>298</v>
      </c>
      <c r="F70" s="237" t="s">
        <v>302</v>
      </c>
      <c r="G70" s="55" t="s">
        <v>42</v>
      </c>
      <c r="H70" s="55" t="s">
        <v>157</v>
      </c>
      <c r="I70" s="55" t="s">
        <v>155</v>
      </c>
      <c r="J70" s="55" t="s">
        <v>38</v>
      </c>
      <c r="K70" s="55" t="s">
        <v>156</v>
      </c>
      <c r="L70" s="237">
        <v>3</v>
      </c>
      <c r="N70" s="237">
        <v>1</v>
      </c>
      <c r="O70" s="55">
        <v>0.2</v>
      </c>
      <c r="P70" s="55">
        <v>0.35</v>
      </c>
      <c r="Q70" s="57">
        <f t="shared" si="5"/>
        <v>0.27500000000000002</v>
      </c>
      <c r="R70" s="55">
        <v>12.4</v>
      </c>
      <c r="S70" s="55">
        <v>126</v>
      </c>
      <c r="T70" s="57">
        <f t="shared" si="3"/>
        <v>27</v>
      </c>
      <c r="U70" s="237">
        <v>84</v>
      </c>
      <c r="V70" s="58">
        <f t="shared" si="4"/>
        <v>2268</v>
      </c>
      <c r="W70" s="237">
        <v>1</v>
      </c>
      <c r="X70" s="55" t="s">
        <v>46</v>
      </c>
      <c r="Y70" s="55" t="s">
        <v>97</v>
      </c>
      <c r="Z70" s="55" t="s">
        <v>86</v>
      </c>
      <c r="AA70" s="55" t="s">
        <v>64</v>
      </c>
      <c r="AB70" s="55" t="s">
        <v>346</v>
      </c>
    </row>
    <row r="71" spans="1:30" x14ac:dyDescent="0.15">
      <c r="A71" s="55" t="s">
        <v>41</v>
      </c>
      <c r="B71" s="237" t="s">
        <v>344</v>
      </c>
      <c r="C71" s="152">
        <v>2018</v>
      </c>
      <c r="D71" s="56" t="s">
        <v>362</v>
      </c>
      <c r="E71" s="237" t="s">
        <v>298</v>
      </c>
      <c r="F71" s="237" t="s">
        <v>302</v>
      </c>
      <c r="G71" s="55" t="s">
        <v>42</v>
      </c>
      <c r="H71" s="55" t="s">
        <v>157</v>
      </c>
      <c r="I71" s="55" t="s">
        <v>155</v>
      </c>
      <c r="J71" s="55" t="s">
        <v>38</v>
      </c>
      <c r="K71" s="55" t="s">
        <v>156</v>
      </c>
      <c r="L71" s="237">
        <v>1</v>
      </c>
      <c r="N71" s="237">
        <v>4</v>
      </c>
      <c r="O71" s="55">
        <v>0.9</v>
      </c>
      <c r="P71" s="55">
        <v>1</v>
      </c>
      <c r="Q71" s="57">
        <f t="shared" si="5"/>
        <v>0.95</v>
      </c>
      <c r="R71" s="237">
        <v>12.8</v>
      </c>
      <c r="S71" s="237">
        <v>118</v>
      </c>
      <c r="T71" s="57">
        <f t="shared" si="3"/>
        <v>30</v>
      </c>
      <c r="U71" s="237">
        <v>429</v>
      </c>
      <c r="V71" s="58">
        <f t="shared" si="4"/>
        <v>3217.5</v>
      </c>
      <c r="W71" s="237">
        <v>2</v>
      </c>
      <c r="X71" s="55" t="s">
        <v>46</v>
      </c>
      <c r="Y71" s="55" t="s">
        <v>97</v>
      </c>
      <c r="Z71" s="55" t="s">
        <v>86</v>
      </c>
      <c r="AA71" s="55" t="s">
        <v>64</v>
      </c>
      <c r="AB71" s="55" t="s">
        <v>346</v>
      </c>
    </row>
    <row r="72" spans="1:30" x14ac:dyDescent="0.15">
      <c r="A72" s="55" t="s">
        <v>41</v>
      </c>
      <c r="B72" s="237" t="s">
        <v>344</v>
      </c>
      <c r="C72" s="152">
        <v>2018</v>
      </c>
      <c r="D72" s="56" t="s">
        <v>362</v>
      </c>
      <c r="E72" s="237" t="s">
        <v>298</v>
      </c>
      <c r="F72" s="237" t="s">
        <v>302</v>
      </c>
      <c r="G72" s="55" t="s">
        <v>42</v>
      </c>
      <c r="H72" s="55" t="s">
        <v>157</v>
      </c>
      <c r="I72" s="55" t="s">
        <v>155</v>
      </c>
      <c r="J72" s="55" t="s">
        <v>38</v>
      </c>
      <c r="K72" s="55" t="s">
        <v>156</v>
      </c>
      <c r="L72" s="237">
        <v>2</v>
      </c>
      <c r="N72" s="237">
        <v>4</v>
      </c>
      <c r="O72" s="55">
        <v>0.7</v>
      </c>
      <c r="P72" s="55">
        <v>0.85</v>
      </c>
      <c r="Q72" s="57">
        <f t="shared" si="5"/>
        <v>0.77499999999999991</v>
      </c>
      <c r="R72" s="237">
        <v>13.1</v>
      </c>
      <c r="S72" s="237">
        <v>125</v>
      </c>
      <c r="T72" s="57">
        <f t="shared" si="3"/>
        <v>27</v>
      </c>
      <c r="U72" s="237">
        <v>429</v>
      </c>
      <c r="V72" s="58">
        <f t="shared" si="4"/>
        <v>2895.75</v>
      </c>
      <c r="W72" s="237">
        <v>2</v>
      </c>
      <c r="X72" s="55" t="s">
        <v>46</v>
      </c>
      <c r="Y72" s="55" t="s">
        <v>97</v>
      </c>
      <c r="Z72" s="55" t="s">
        <v>86</v>
      </c>
      <c r="AA72" s="55" t="s">
        <v>64</v>
      </c>
      <c r="AB72" s="55" t="s">
        <v>346</v>
      </c>
    </row>
    <row r="73" spans="1:30" x14ac:dyDescent="0.15">
      <c r="A73" s="55" t="s">
        <v>41</v>
      </c>
      <c r="B73" s="237" t="s">
        <v>344</v>
      </c>
      <c r="C73" s="152">
        <v>2018</v>
      </c>
      <c r="D73" s="56" t="s">
        <v>362</v>
      </c>
      <c r="E73" s="237" t="s">
        <v>298</v>
      </c>
      <c r="F73" s="237" t="s">
        <v>302</v>
      </c>
      <c r="G73" s="55" t="s">
        <v>42</v>
      </c>
      <c r="H73" s="55" t="s">
        <v>157</v>
      </c>
      <c r="I73" s="55" t="s">
        <v>155</v>
      </c>
      <c r="J73" s="55" t="s">
        <v>38</v>
      </c>
      <c r="K73" s="55" t="s">
        <v>156</v>
      </c>
      <c r="L73" s="237">
        <v>3</v>
      </c>
      <c r="N73" s="237">
        <v>4</v>
      </c>
      <c r="O73" s="55">
        <v>1.05</v>
      </c>
      <c r="P73" s="55">
        <v>1</v>
      </c>
      <c r="Q73" s="57">
        <f t="shared" si="5"/>
        <v>1.0249999999999999</v>
      </c>
      <c r="R73" s="237">
        <v>12.4</v>
      </c>
      <c r="S73" s="237">
        <v>122</v>
      </c>
      <c r="T73" s="57">
        <f t="shared" si="3"/>
        <v>27</v>
      </c>
      <c r="U73" s="237">
        <v>429</v>
      </c>
      <c r="V73" s="58">
        <f t="shared" si="4"/>
        <v>2895.75</v>
      </c>
      <c r="W73" s="237">
        <v>2</v>
      </c>
      <c r="X73" s="55" t="s">
        <v>46</v>
      </c>
      <c r="Y73" s="55" t="s">
        <v>97</v>
      </c>
      <c r="Z73" s="55" t="s">
        <v>86</v>
      </c>
      <c r="AA73" s="55" t="s">
        <v>64</v>
      </c>
      <c r="AB73" s="55" t="s">
        <v>346</v>
      </c>
    </row>
    <row r="74" spans="1:30" x14ac:dyDescent="0.15">
      <c r="A74" s="55" t="s">
        <v>41</v>
      </c>
      <c r="B74" s="237" t="s">
        <v>344</v>
      </c>
      <c r="C74" s="152">
        <v>2018</v>
      </c>
      <c r="D74" s="56" t="s">
        <v>362</v>
      </c>
      <c r="E74" s="237" t="s">
        <v>298</v>
      </c>
      <c r="F74" s="237" t="s">
        <v>302</v>
      </c>
      <c r="G74" s="55" t="s">
        <v>42</v>
      </c>
      <c r="H74" s="55" t="s">
        <v>157</v>
      </c>
      <c r="I74" s="55" t="s">
        <v>155</v>
      </c>
      <c r="J74" s="55" t="s">
        <v>38</v>
      </c>
      <c r="K74" s="55" t="s">
        <v>156</v>
      </c>
      <c r="L74" s="237">
        <v>1</v>
      </c>
      <c r="N74" s="237">
        <v>8</v>
      </c>
      <c r="O74" s="55">
        <v>0.65</v>
      </c>
      <c r="P74" s="55">
        <v>0.6</v>
      </c>
      <c r="Q74" s="57">
        <f t="shared" si="5"/>
        <v>0.625</v>
      </c>
      <c r="R74" s="237">
        <v>15.2</v>
      </c>
      <c r="S74" s="237">
        <v>118</v>
      </c>
      <c r="T74" s="57">
        <f t="shared" si="3"/>
        <v>30</v>
      </c>
      <c r="U74" s="237">
        <v>842</v>
      </c>
      <c r="V74" s="58">
        <f t="shared" si="4"/>
        <v>3157.5</v>
      </c>
      <c r="W74" s="237">
        <v>1</v>
      </c>
      <c r="X74" s="55" t="s">
        <v>46</v>
      </c>
      <c r="Y74" s="55" t="s">
        <v>97</v>
      </c>
      <c r="Z74" s="55" t="s">
        <v>86</v>
      </c>
      <c r="AA74" s="55" t="s">
        <v>64</v>
      </c>
      <c r="AB74" s="55" t="s">
        <v>346</v>
      </c>
    </row>
    <row r="75" spans="1:30" x14ac:dyDescent="0.15">
      <c r="A75" s="55" t="s">
        <v>41</v>
      </c>
      <c r="B75" s="237" t="s">
        <v>344</v>
      </c>
      <c r="C75" s="152">
        <v>2018</v>
      </c>
      <c r="D75" s="56" t="s">
        <v>362</v>
      </c>
      <c r="E75" s="237" t="s">
        <v>298</v>
      </c>
      <c r="F75" s="237" t="s">
        <v>302</v>
      </c>
      <c r="G75" s="55" t="s">
        <v>42</v>
      </c>
      <c r="H75" s="55" t="s">
        <v>157</v>
      </c>
      <c r="I75" s="55" t="s">
        <v>155</v>
      </c>
      <c r="J75" s="55" t="s">
        <v>38</v>
      </c>
      <c r="K75" s="55" t="s">
        <v>156</v>
      </c>
      <c r="L75" s="237">
        <v>2</v>
      </c>
      <c r="N75" s="237">
        <v>8</v>
      </c>
      <c r="O75" s="55">
        <v>0.7</v>
      </c>
      <c r="P75" s="55">
        <v>0.65</v>
      </c>
      <c r="Q75" s="57">
        <f t="shared" si="5"/>
        <v>0.67500000000000004</v>
      </c>
      <c r="R75" s="237">
        <v>13.7</v>
      </c>
      <c r="S75" s="237">
        <v>104</v>
      </c>
      <c r="T75" s="57">
        <f t="shared" si="3"/>
        <v>33</v>
      </c>
      <c r="U75" s="237">
        <v>842</v>
      </c>
      <c r="V75" s="58">
        <f t="shared" si="4"/>
        <v>3473.25</v>
      </c>
      <c r="W75" s="237">
        <v>1</v>
      </c>
      <c r="X75" s="55" t="s">
        <v>46</v>
      </c>
      <c r="Y75" s="55" t="s">
        <v>97</v>
      </c>
      <c r="Z75" s="55" t="s">
        <v>86</v>
      </c>
      <c r="AA75" s="55" t="s">
        <v>64</v>
      </c>
      <c r="AB75" s="55" t="s">
        <v>346</v>
      </c>
    </row>
    <row r="76" spans="1:30" x14ac:dyDescent="0.15">
      <c r="A76" s="55" t="s">
        <v>41</v>
      </c>
      <c r="B76" s="237" t="s">
        <v>344</v>
      </c>
      <c r="C76" s="152">
        <v>2018</v>
      </c>
      <c r="D76" s="56" t="s">
        <v>362</v>
      </c>
      <c r="E76" s="237" t="s">
        <v>298</v>
      </c>
      <c r="F76" s="237" t="s">
        <v>302</v>
      </c>
      <c r="G76" s="55" t="s">
        <v>42</v>
      </c>
      <c r="H76" s="55" t="s">
        <v>157</v>
      </c>
      <c r="I76" s="55" t="s">
        <v>155</v>
      </c>
      <c r="J76" s="55" t="s">
        <v>38</v>
      </c>
      <c r="K76" s="55" t="s">
        <v>156</v>
      </c>
      <c r="L76" s="237">
        <v>3</v>
      </c>
      <c r="N76" s="237">
        <v>8</v>
      </c>
      <c r="O76" s="55">
        <v>0.75</v>
      </c>
      <c r="P76" s="55">
        <v>0.6</v>
      </c>
      <c r="Q76" s="57">
        <f t="shared" si="5"/>
        <v>0.67500000000000004</v>
      </c>
      <c r="R76" s="237">
        <v>14.4</v>
      </c>
      <c r="S76" s="237">
        <v>108</v>
      </c>
      <c r="T76" s="57">
        <f t="shared" si="3"/>
        <v>33</v>
      </c>
      <c r="U76" s="237">
        <v>842</v>
      </c>
      <c r="V76" s="58">
        <f t="shared" si="4"/>
        <v>3473.25</v>
      </c>
      <c r="W76" s="237">
        <v>1</v>
      </c>
      <c r="X76" s="55" t="s">
        <v>46</v>
      </c>
      <c r="Y76" s="55" t="s">
        <v>97</v>
      </c>
      <c r="Z76" s="55" t="s">
        <v>86</v>
      </c>
      <c r="AA76" s="55" t="s">
        <v>64</v>
      </c>
      <c r="AB76" s="55" t="s">
        <v>346</v>
      </c>
    </row>
    <row r="77" spans="1:30" x14ac:dyDescent="0.15">
      <c r="A77" s="55" t="s">
        <v>41</v>
      </c>
      <c r="B77" s="237" t="s">
        <v>344</v>
      </c>
      <c r="C77" s="152">
        <v>2018</v>
      </c>
      <c r="D77" s="56" t="s">
        <v>362</v>
      </c>
      <c r="E77" s="237" t="s">
        <v>298</v>
      </c>
      <c r="F77" s="237" t="s">
        <v>304</v>
      </c>
      <c r="G77" s="55" t="s">
        <v>42</v>
      </c>
      <c r="H77" s="55" t="s">
        <v>157</v>
      </c>
      <c r="I77" s="55" t="s">
        <v>155</v>
      </c>
      <c r="J77" s="55" t="s">
        <v>38</v>
      </c>
      <c r="K77" s="55" t="s">
        <v>156</v>
      </c>
      <c r="L77" s="237">
        <v>1</v>
      </c>
      <c r="N77" s="55">
        <v>1</v>
      </c>
      <c r="O77" s="55">
        <v>0.5</v>
      </c>
      <c r="P77" s="55">
        <v>0.6</v>
      </c>
      <c r="Q77" s="57">
        <f t="shared" si="5"/>
        <v>0.55000000000000004</v>
      </c>
      <c r="R77" s="237">
        <v>14.2</v>
      </c>
      <c r="S77" s="237">
        <v>134</v>
      </c>
      <c r="T77" s="57">
        <f t="shared" si="3"/>
        <v>25</v>
      </c>
      <c r="U77" s="237">
        <v>95</v>
      </c>
      <c r="V77" s="58">
        <f t="shared" si="4"/>
        <v>2375</v>
      </c>
      <c r="W77" s="237">
        <v>1</v>
      </c>
      <c r="X77" s="55" t="s">
        <v>46</v>
      </c>
      <c r="Y77" s="55" t="s">
        <v>64</v>
      </c>
      <c r="Z77" s="55" t="s">
        <v>86</v>
      </c>
      <c r="AA77" s="55" t="s">
        <v>97</v>
      </c>
      <c r="AB77" s="55" t="s">
        <v>346</v>
      </c>
      <c r="AC77" s="55"/>
      <c r="AD77" s="55"/>
    </row>
    <row r="78" spans="1:30" x14ac:dyDescent="0.15">
      <c r="A78" s="55" t="s">
        <v>41</v>
      </c>
      <c r="B78" s="237" t="s">
        <v>344</v>
      </c>
      <c r="C78" s="152">
        <v>2018</v>
      </c>
      <c r="D78" s="56" t="s">
        <v>362</v>
      </c>
      <c r="E78" s="237" t="s">
        <v>298</v>
      </c>
      <c r="F78" s="237" t="s">
        <v>304</v>
      </c>
      <c r="G78" s="55" t="s">
        <v>42</v>
      </c>
      <c r="H78" s="55" t="s">
        <v>157</v>
      </c>
      <c r="I78" s="55" t="s">
        <v>155</v>
      </c>
      <c r="J78" s="55" t="s">
        <v>38</v>
      </c>
      <c r="K78" s="55" t="s">
        <v>156</v>
      </c>
      <c r="L78" s="237">
        <v>2</v>
      </c>
      <c r="N78" s="55">
        <v>1</v>
      </c>
      <c r="O78" s="55">
        <v>0.65</v>
      </c>
      <c r="P78" s="55">
        <v>0.7</v>
      </c>
      <c r="Q78" s="57">
        <f t="shared" si="5"/>
        <v>0.67500000000000004</v>
      </c>
      <c r="R78" s="237">
        <v>13.1</v>
      </c>
      <c r="S78" s="237">
        <v>129</v>
      </c>
      <c r="T78" s="57">
        <f t="shared" si="3"/>
        <v>25</v>
      </c>
      <c r="U78" s="237">
        <v>95</v>
      </c>
      <c r="V78" s="58">
        <f t="shared" si="4"/>
        <v>2375</v>
      </c>
      <c r="W78" s="237">
        <v>1</v>
      </c>
      <c r="X78" s="55" t="s">
        <v>46</v>
      </c>
      <c r="Y78" s="55" t="s">
        <v>64</v>
      </c>
      <c r="Z78" s="55" t="s">
        <v>86</v>
      </c>
      <c r="AA78" s="55" t="s">
        <v>97</v>
      </c>
      <c r="AB78" s="55" t="s">
        <v>346</v>
      </c>
      <c r="AC78" s="55"/>
      <c r="AD78" s="55"/>
    </row>
    <row r="79" spans="1:30" x14ac:dyDescent="0.15">
      <c r="A79" s="55" t="s">
        <v>41</v>
      </c>
      <c r="B79" s="237" t="s">
        <v>344</v>
      </c>
      <c r="C79" s="152">
        <v>2018</v>
      </c>
      <c r="D79" s="56" t="s">
        <v>362</v>
      </c>
      <c r="E79" s="237" t="s">
        <v>298</v>
      </c>
      <c r="F79" s="237" t="s">
        <v>304</v>
      </c>
      <c r="G79" s="55" t="s">
        <v>42</v>
      </c>
      <c r="H79" s="55" t="s">
        <v>157</v>
      </c>
      <c r="I79" s="55" t="s">
        <v>155</v>
      </c>
      <c r="J79" s="55" t="s">
        <v>38</v>
      </c>
      <c r="K79" s="55" t="s">
        <v>156</v>
      </c>
      <c r="L79" s="237">
        <v>3</v>
      </c>
      <c r="N79" s="55">
        <v>1</v>
      </c>
      <c r="O79" s="55">
        <v>0.8</v>
      </c>
      <c r="P79" s="55">
        <v>0.65</v>
      </c>
      <c r="Q79" s="57">
        <f t="shared" si="5"/>
        <v>0.72500000000000009</v>
      </c>
      <c r="R79" s="237">
        <v>12.7</v>
      </c>
      <c r="S79" s="237">
        <v>134</v>
      </c>
      <c r="T79" s="57">
        <f t="shared" si="3"/>
        <v>25</v>
      </c>
      <c r="U79" s="55">
        <v>95</v>
      </c>
      <c r="V79" s="58">
        <f t="shared" si="4"/>
        <v>2375</v>
      </c>
      <c r="W79" s="237">
        <v>1</v>
      </c>
      <c r="X79" s="55" t="s">
        <v>46</v>
      </c>
      <c r="Y79" s="55" t="s">
        <v>64</v>
      </c>
      <c r="Z79" s="55" t="s">
        <v>86</v>
      </c>
      <c r="AA79" s="55" t="s">
        <v>97</v>
      </c>
      <c r="AB79" s="55" t="s">
        <v>346</v>
      </c>
      <c r="AC79" s="55"/>
      <c r="AD79" s="55"/>
    </row>
    <row r="80" spans="1:30" x14ac:dyDescent="0.15">
      <c r="A80" s="55" t="s">
        <v>41</v>
      </c>
      <c r="B80" s="237" t="s">
        <v>344</v>
      </c>
      <c r="C80" s="152">
        <v>2018</v>
      </c>
      <c r="D80" s="56" t="s">
        <v>362</v>
      </c>
      <c r="E80" s="237" t="s">
        <v>298</v>
      </c>
      <c r="F80" s="237" t="s">
        <v>304</v>
      </c>
      <c r="G80" s="55" t="s">
        <v>42</v>
      </c>
      <c r="H80" s="55" t="s">
        <v>165</v>
      </c>
      <c r="I80" s="55" t="s">
        <v>155</v>
      </c>
      <c r="J80" s="55" t="s">
        <v>38</v>
      </c>
      <c r="K80" s="55" t="s">
        <v>156</v>
      </c>
      <c r="L80" s="237">
        <v>1</v>
      </c>
      <c r="N80" s="55">
        <v>1</v>
      </c>
      <c r="O80" s="55">
        <v>0.25</v>
      </c>
      <c r="P80" s="55">
        <v>0.3</v>
      </c>
      <c r="Q80" s="82">
        <f t="shared" si="5"/>
        <v>0.27500000000000002</v>
      </c>
      <c r="R80" s="55">
        <v>13</v>
      </c>
      <c r="S80" s="55">
        <v>145</v>
      </c>
      <c r="T80" s="57">
        <f t="shared" si="3"/>
        <v>22</v>
      </c>
      <c r="U80" s="237">
        <v>159</v>
      </c>
      <c r="V80" s="58">
        <f t="shared" si="4"/>
        <v>3498</v>
      </c>
      <c r="W80" s="237">
        <v>1</v>
      </c>
      <c r="X80" s="55" t="s">
        <v>46</v>
      </c>
      <c r="Y80" s="55" t="s">
        <v>64</v>
      </c>
      <c r="Z80" s="55" t="s">
        <v>86</v>
      </c>
      <c r="AA80" s="55" t="s">
        <v>97</v>
      </c>
      <c r="AB80" s="55" t="s">
        <v>346</v>
      </c>
    </row>
    <row r="81" spans="1:30" x14ac:dyDescent="0.15">
      <c r="A81" s="55" t="s">
        <v>41</v>
      </c>
      <c r="B81" s="237" t="s">
        <v>344</v>
      </c>
      <c r="C81" s="152">
        <v>2018</v>
      </c>
      <c r="D81" s="56" t="s">
        <v>362</v>
      </c>
      <c r="E81" s="237" t="s">
        <v>298</v>
      </c>
      <c r="F81" s="237" t="s">
        <v>304</v>
      </c>
      <c r="G81" s="55" t="s">
        <v>42</v>
      </c>
      <c r="H81" s="55" t="s">
        <v>165</v>
      </c>
      <c r="I81" s="55" t="s">
        <v>155</v>
      </c>
      <c r="J81" s="55" t="s">
        <v>38</v>
      </c>
      <c r="K81" s="55" t="s">
        <v>156</v>
      </c>
      <c r="L81" s="237">
        <v>2</v>
      </c>
      <c r="N81" s="55">
        <v>1</v>
      </c>
      <c r="O81" s="55">
        <v>0.3</v>
      </c>
      <c r="P81" s="55">
        <v>0.35</v>
      </c>
      <c r="Q81" s="82">
        <f t="shared" si="5"/>
        <v>0.32499999999999996</v>
      </c>
      <c r="R81" s="55">
        <v>15.4</v>
      </c>
      <c r="S81" s="55">
        <v>141</v>
      </c>
      <c r="T81" s="57">
        <f t="shared" si="3"/>
        <v>22</v>
      </c>
      <c r="U81" s="237">
        <v>159</v>
      </c>
      <c r="V81" s="58">
        <f t="shared" si="4"/>
        <v>3498</v>
      </c>
      <c r="W81" s="237">
        <v>1</v>
      </c>
      <c r="X81" s="55" t="s">
        <v>46</v>
      </c>
      <c r="Y81" s="55" t="s">
        <v>64</v>
      </c>
      <c r="Z81" s="55" t="s">
        <v>86</v>
      </c>
      <c r="AA81" s="55" t="s">
        <v>97</v>
      </c>
      <c r="AB81" s="55" t="s">
        <v>346</v>
      </c>
    </row>
    <row r="82" spans="1:30" x14ac:dyDescent="0.15">
      <c r="A82" s="55" t="s">
        <v>41</v>
      </c>
      <c r="B82" s="237" t="s">
        <v>344</v>
      </c>
      <c r="C82" s="152">
        <v>2018</v>
      </c>
      <c r="D82" s="56" t="s">
        <v>362</v>
      </c>
      <c r="E82" s="237" t="s">
        <v>298</v>
      </c>
      <c r="F82" s="237" t="s">
        <v>304</v>
      </c>
      <c r="G82" s="55" t="s">
        <v>42</v>
      </c>
      <c r="H82" s="55" t="s">
        <v>165</v>
      </c>
      <c r="I82" s="55" t="s">
        <v>155</v>
      </c>
      <c r="J82" s="55" t="s">
        <v>38</v>
      </c>
      <c r="K82" s="55" t="s">
        <v>156</v>
      </c>
      <c r="L82" s="237">
        <v>3</v>
      </c>
      <c r="N82" s="55">
        <v>1</v>
      </c>
      <c r="O82" s="237">
        <v>0.45</v>
      </c>
      <c r="P82" s="237">
        <v>0.4</v>
      </c>
      <c r="Q82" s="57">
        <f t="shared" si="5"/>
        <v>0.42500000000000004</v>
      </c>
      <c r="R82" s="237">
        <v>15.6</v>
      </c>
      <c r="S82" s="237">
        <v>138</v>
      </c>
      <c r="T82" s="57">
        <f t="shared" si="3"/>
        <v>22</v>
      </c>
      <c r="U82" s="55">
        <v>159</v>
      </c>
      <c r="V82" s="58">
        <f t="shared" si="4"/>
        <v>3498</v>
      </c>
      <c r="W82" s="237">
        <v>1</v>
      </c>
      <c r="X82" s="55" t="s">
        <v>46</v>
      </c>
      <c r="Y82" s="55" t="s">
        <v>64</v>
      </c>
      <c r="Z82" s="55" t="s">
        <v>86</v>
      </c>
      <c r="AA82" s="55" t="s">
        <v>97</v>
      </c>
      <c r="AB82" s="55" t="s">
        <v>346</v>
      </c>
    </row>
    <row r="83" spans="1:30" x14ac:dyDescent="0.15">
      <c r="A83" s="55" t="s">
        <v>41</v>
      </c>
      <c r="B83" s="237" t="s">
        <v>344</v>
      </c>
      <c r="C83" s="152">
        <v>2018</v>
      </c>
      <c r="D83" s="56" t="s">
        <v>362</v>
      </c>
      <c r="E83" s="237" t="s">
        <v>298</v>
      </c>
      <c r="F83" s="237" t="s">
        <v>304</v>
      </c>
      <c r="G83" s="55" t="s">
        <v>42</v>
      </c>
      <c r="H83" s="55" t="s">
        <v>165</v>
      </c>
      <c r="I83" s="55" t="s">
        <v>155</v>
      </c>
      <c r="J83" s="55" t="s">
        <v>38</v>
      </c>
      <c r="K83" s="55" t="s">
        <v>156</v>
      </c>
      <c r="L83" s="237">
        <v>1</v>
      </c>
      <c r="N83" s="237">
        <v>8</v>
      </c>
      <c r="O83" s="237">
        <v>0.5</v>
      </c>
      <c r="P83" s="237">
        <v>0.4</v>
      </c>
      <c r="Q83" s="57">
        <f t="shared" si="5"/>
        <v>0.45</v>
      </c>
      <c r="R83" s="237">
        <v>16.100000000000001</v>
      </c>
      <c r="S83" s="237">
        <v>115</v>
      </c>
      <c r="T83" s="57">
        <f t="shared" si="3"/>
        <v>30</v>
      </c>
      <c r="U83" s="237">
        <v>1058</v>
      </c>
      <c r="V83" s="58">
        <f t="shared" si="4"/>
        <v>3967.5</v>
      </c>
      <c r="W83" s="237">
        <v>1</v>
      </c>
      <c r="X83" s="55" t="s">
        <v>46</v>
      </c>
      <c r="Y83" s="55" t="s">
        <v>64</v>
      </c>
      <c r="Z83" s="55" t="s">
        <v>86</v>
      </c>
      <c r="AA83" s="55" t="s">
        <v>97</v>
      </c>
      <c r="AB83" s="55" t="s">
        <v>346</v>
      </c>
      <c r="AC83" s="55"/>
      <c r="AD83" s="55"/>
    </row>
    <row r="84" spans="1:30" x14ac:dyDescent="0.15">
      <c r="A84" s="55" t="s">
        <v>41</v>
      </c>
      <c r="B84" s="237" t="s">
        <v>344</v>
      </c>
      <c r="C84" s="152">
        <v>2018</v>
      </c>
      <c r="D84" s="56" t="s">
        <v>362</v>
      </c>
      <c r="E84" s="237" t="s">
        <v>298</v>
      </c>
      <c r="F84" s="237" t="s">
        <v>304</v>
      </c>
      <c r="G84" s="55" t="s">
        <v>42</v>
      </c>
      <c r="H84" s="55" t="s">
        <v>165</v>
      </c>
      <c r="I84" s="55" t="s">
        <v>155</v>
      </c>
      <c r="J84" s="55" t="s">
        <v>38</v>
      </c>
      <c r="K84" s="55" t="s">
        <v>156</v>
      </c>
      <c r="L84" s="237">
        <v>2</v>
      </c>
      <c r="N84" s="237">
        <v>8</v>
      </c>
      <c r="O84" s="237">
        <v>0.2</v>
      </c>
      <c r="P84" s="237">
        <v>0.35</v>
      </c>
      <c r="Q84" s="57">
        <f t="shared" si="5"/>
        <v>0.27500000000000002</v>
      </c>
      <c r="R84" s="237">
        <v>15.5</v>
      </c>
      <c r="S84" s="237">
        <v>110</v>
      </c>
      <c r="T84" s="57">
        <f t="shared" si="3"/>
        <v>33</v>
      </c>
      <c r="U84" s="237">
        <v>1058</v>
      </c>
      <c r="V84" s="58">
        <f t="shared" si="4"/>
        <v>4364.25</v>
      </c>
      <c r="W84" s="237">
        <v>1</v>
      </c>
      <c r="X84" s="55" t="s">
        <v>46</v>
      </c>
      <c r="Y84" s="55" t="s">
        <v>64</v>
      </c>
      <c r="Z84" s="55" t="s">
        <v>86</v>
      </c>
      <c r="AA84" s="55" t="s">
        <v>97</v>
      </c>
      <c r="AB84" s="55" t="s">
        <v>346</v>
      </c>
      <c r="AC84" s="55"/>
      <c r="AD84" s="55"/>
    </row>
    <row r="85" spans="1:30" x14ac:dyDescent="0.15">
      <c r="A85" s="55" t="s">
        <v>41</v>
      </c>
      <c r="B85" s="237" t="s">
        <v>344</v>
      </c>
      <c r="C85" s="152">
        <v>2018</v>
      </c>
      <c r="D85" s="56" t="s">
        <v>362</v>
      </c>
      <c r="E85" s="237" t="s">
        <v>298</v>
      </c>
      <c r="F85" s="237" t="s">
        <v>304</v>
      </c>
      <c r="G85" s="55" t="s">
        <v>42</v>
      </c>
      <c r="H85" s="55" t="s">
        <v>165</v>
      </c>
      <c r="I85" s="55" t="s">
        <v>155</v>
      </c>
      <c r="J85" s="55" t="s">
        <v>38</v>
      </c>
      <c r="K85" s="55" t="s">
        <v>156</v>
      </c>
      <c r="L85" s="237">
        <v>3</v>
      </c>
      <c r="N85" s="237">
        <v>8</v>
      </c>
      <c r="O85" s="237">
        <v>0.35</v>
      </c>
      <c r="P85" s="237">
        <v>0.25</v>
      </c>
      <c r="Q85" s="57">
        <f t="shared" si="5"/>
        <v>0.3</v>
      </c>
      <c r="R85" s="237">
        <v>16.600000000000001</v>
      </c>
      <c r="S85" s="237">
        <v>112</v>
      </c>
      <c r="T85" s="57">
        <f t="shared" si="3"/>
        <v>33</v>
      </c>
      <c r="U85" s="237">
        <v>1058</v>
      </c>
      <c r="V85" s="58">
        <f t="shared" si="4"/>
        <v>4364.25</v>
      </c>
      <c r="W85" s="237">
        <v>1</v>
      </c>
      <c r="X85" s="55" t="s">
        <v>46</v>
      </c>
      <c r="Y85" s="55" t="s">
        <v>64</v>
      </c>
      <c r="Z85" s="55" t="s">
        <v>86</v>
      </c>
      <c r="AA85" s="55" t="s">
        <v>97</v>
      </c>
      <c r="AB85" s="55" t="s">
        <v>346</v>
      </c>
      <c r="AC85" s="55"/>
      <c r="AD85" s="55"/>
    </row>
    <row r="86" spans="1:30" x14ac:dyDescent="0.15">
      <c r="A86" s="55" t="s">
        <v>41</v>
      </c>
      <c r="B86" s="237" t="s">
        <v>344</v>
      </c>
      <c r="C86" s="152">
        <v>2018</v>
      </c>
      <c r="D86" s="56" t="s">
        <v>362</v>
      </c>
      <c r="E86" s="237" t="s">
        <v>298</v>
      </c>
      <c r="F86" s="237" t="s">
        <v>304</v>
      </c>
      <c r="G86" s="55" t="s">
        <v>42</v>
      </c>
      <c r="H86" s="55" t="s">
        <v>157</v>
      </c>
      <c r="I86" s="55" t="s">
        <v>155</v>
      </c>
      <c r="J86" s="55" t="s">
        <v>38</v>
      </c>
      <c r="K86" s="55" t="s">
        <v>156</v>
      </c>
      <c r="L86" s="237">
        <v>1</v>
      </c>
      <c r="N86" s="55">
        <v>4</v>
      </c>
      <c r="O86" s="237">
        <v>0.2</v>
      </c>
      <c r="P86" s="237">
        <v>0.15</v>
      </c>
      <c r="Q86" s="57">
        <f t="shared" si="5"/>
        <v>0.17499999999999999</v>
      </c>
      <c r="R86" s="237">
        <v>14.8</v>
      </c>
      <c r="S86" s="237">
        <v>117</v>
      </c>
      <c r="T86" s="57">
        <f t="shared" si="3"/>
        <v>30</v>
      </c>
      <c r="U86" s="237">
        <v>429</v>
      </c>
      <c r="V86" s="58">
        <f t="shared" si="4"/>
        <v>3217.5</v>
      </c>
      <c r="W86" s="237">
        <v>2</v>
      </c>
      <c r="X86" s="55" t="s">
        <v>46</v>
      </c>
      <c r="Y86" s="55" t="s">
        <v>64</v>
      </c>
      <c r="Z86" s="55" t="s">
        <v>86</v>
      </c>
      <c r="AA86" s="55" t="s">
        <v>97</v>
      </c>
      <c r="AB86" s="55" t="s">
        <v>346</v>
      </c>
      <c r="AC86" s="55"/>
      <c r="AD86" s="55"/>
    </row>
    <row r="87" spans="1:30" x14ac:dyDescent="0.15">
      <c r="A87" s="55" t="s">
        <v>41</v>
      </c>
      <c r="B87" s="237" t="s">
        <v>344</v>
      </c>
      <c r="C87" s="152">
        <v>2018</v>
      </c>
      <c r="D87" s="56" t="s">
        <v>362</v>
      </c>
      <c r="E87" s="237" t="s">
        <v>298</v>
      </c>
      <c r="F87" s="237" t="s">
        <v>304</v>
      </c>
      <c r="G87" s="55" t="s">
        <v>42</v>
      </c>
      <c r="H87" s="55" t="s">
        <v>157</v>
      </c>
      <c r="I87" s="55" t="s">
        <v>155</v>
      </c>
      <c r="J87" s="55" t="s">
        <v>38</v>
      </c>
      <c r="K87" s="55" t="s">
        <v>156</v>
      </c>
      <c r="L87" s="237">
        <v>2</v>
      </c>
      <c r="N87" s="55">
        <v>4</v>
      </c>
      <c r="O87" s="237">
        <v>0.25</v>
      </c>
      <c r="P87" s="237">
        <v>0.1</v>
      </c>
      <c r="Q87" s="57">
        <f t="shared" si="5"/>
        <v>0.17499999999999999</v>
      </c>
      <c r="R87" s="237">
        <v>13.2</v>
      </c>
      <c r="S87" s="237">
        <v>120</v>
      </c>
      <c r="T87" s="57">
        <f t="shared" si="3"/>
        <v>30</v>
      </c>
      <c r="U87" s="237">
        <v>429</v>
      </c>
      <c r="V87" s="58">
        <f t="shared" si="4"/>
        <v>3217.5</v>
      </c>
      <c r="W87" s="237">
        <v>2</v>
      </c>
      <c r="X87" s="55" t="s">
        <v>46</v>
      </c>
      <c r="Y87" s="55" t="s">
        <v>64</v>
      </c>
      <c r="Z87" s="55" t="s">
        <v>86</v>
      </c>
      <c r="AA87" s="55" t="s">
        <v>97</v>
      </c>
      <c r="AB87" s="55" t="s">
        <v>346</v>
      </c>
      <c r="AC87" s="55"/>
      <c r="AD87" s="55"/>
    </row>
    <row r="88" spans="1:30" x14ac:dyDescent="0.15">
      <c r="A88" s="55" t="s">
        <v>41</v>
      </c>
      <c r="B88" s="237" t="s">
        <v>344</v>
      </c>
      <c r="C88" s="152">
        <v>2018</v>
      </c>
      <c r="D88" s="56" t="s">
        <v>362</v>
      </c>
      <c r="E88" s="237" t="s">
        <v>298</v>
      </c>
      <c r="F88" s="237" t="s">
        <v>304</v>
      </c>
      <c r="G88" s="55" t="s">
        <v>42</v>
      </c>
      <c r="H88" s="55" t="s">
        <v>157</v>
      </c>
      <c r="I88" s="55" t="s">
        <v>155</v>
      </c>
      <c r="J88" s="55" t="s">
        <v>38</v>
      </c>
      <c r="K88" s="55" t="s">
        <v>156</v>
      </c>
      <c r="L88" s="237">
        <v>3</v>
      </c>
      <c r="N88" s="55">
        <v>4</v>
      </c>
      <c r="O88" s="55">
        <v>0.45</v>
      </c>
      <c r="P88" s="55">
        <v>0.5</v>
      </c>
      <c r="Q88" s="82">
        <f t="shared" si="5"/>
        <v>0.47499999999999998</v>
      </c>
      <c r="R88" s="55">
        <v>14.1</v>
      </c>
      <c r="S88" s="55">
        <v>114</v>
      </c>
      <c r="T88" s="57">
        <f t="shared" si="3"/>
        <v>30</v>
      </c>
      <c r="U88" s="55">
        <v>429</v>
      </c>
      <c r="V88" s="58">
        <f t="shared" si="4"/>
        <v>3217.5</v>
      </c>
      <c r="W88" s="237">
        <v>2</v>
      </c>
      <c r="X88" s="55" t="s">
        <v>46</v>
      </c>
      <c r="Y88" s="55" t="s">
        <v>64</v>
      </c>
      <c r="Z88" s="55" t="s">
        <v>86</v>
      </c>
      <c r="AA88" s="55" t="s">
        <v>97</v>
      </c>
      <c r="AB88" s="55" t="s">
        <v>346</v>
      </c>
      <c r="AC88" s="55"/>
      <c r="AD88" s="55"/>
    </row>
    <row r="89" spans="1:30" x14ac:dyDescent="0.15">
      <c r="A89" s="55" t="s">
        <v>41</v>
      </c>
      <c r="B89" s="237" t="s">
        <v>344</v>
      </c>
      <c r="C89" s="152">
        <v>2018</v>
      </c>
      <c r="D89" s="56" t="s">
        <v>362</v>
      </c>
      <c r="E89" s="237" t="s">
        <v>298</v>
      </c>
      <c r="F89" s="237" t="s">
        <v>304</v>
      </c>
      <c r="G89" s="55" t="s">
        <v>42</v>
      </c>
      <c r="H89" s="55" t="s">
        <v>165</v>
      </c>
      <c r="I89" s="55" t="s">
        <v>155</v>
      </c>
      <c r="J89" s="55" t="s">
        <v>38</v>
      </c>
      <c r="K89" s="55" t="s">
        <v>156</v>
      </c>
      <c r="L89" s="237">
        <v>1</v>
      </c>
      <c r="N89" s="237">
        <v>4</v>
      </c>
      <c r="O89" s="55">
        <v>0.85</v>
      </c>
      <c r="P89" s="55">
        <v>0.7</v>
      </c>
      <c r="Q89" s="82">
        <f t="shared" si="5"/>
        <v>0.77499999999999991</v>
      </c>
      <c r="R89" s="55">
        <v>13.4</v>
      </c>
      <c r="S89" s="55">
        <v>121</v>
      </c>
      <c r="T89" s="57">
        <f t="shared" si="3"/>
        <v>27</v>
      </c>
      <c r="U89" s="237">
        <v>626</v>
      </c>
      <c r="V89" s="58">
        <f t="shared" si="4"/>
        <v>4225.5</v>
      </c>
      <c r="W89" s="237">
        <v>2</v>
      </c>
      <c r="X89" s="55" t="s">
        <v>46</v>
      </c>
      <c r="Y89" s="55" t="s">
        <v>64</v>
      </c>
      <c r="Z89" s="55" t="s">
        <v>86</v>
      </c>
      <c r="AA89" s="55" t="s">
        <v>97</v>
      </c>
      <c r="AB89" s="55" t="s">
        <v>346</v>
      </c>
      <c r="AC89" s="55"/>
      <c r="AD89" s="55"/>
    </row>
    <row r="90" spans="1:30" x14ac:dyDescent="0.15">
      <c r="A90" s="55" t="s">
        <v>41</v>
      </c>
      <c r="B90" s="237" t="s">
        <v>344</v>
      </c>
      <c r="C90" s="152">
        <v>2018</v>
      </c>
      <c r="D90" s="56" t="s">
        <v>362</v>
      </c>
      <c r="E90" s="237" t="s">
        <v>298</v>
      </c>
      <c r="F90" s="237" t="s">
        <v>304</v>
      </c>
      <c r="G90" s="55" t="s">
        <v>42</v>
      </c>
      <c r="H90" s="55" t="s">
        <v>165</v>
      </c>
      <c r="I90" s="55" t="s">
        <v>155</v>
      </c>
      <c r="J90" s="55" t="s">
        <v>38</v>
      </c>
      <c r="K90" s="55" t="s">
        <v>156</v>
      </c>
      <c r="L90" s="237">
        <v>2</v>
      </c>
      <c r="N90" s="237">
        <v>4</v>
      </c>
      <c r="O90" s="55">
        <v>0.7</v>
      </c>
      <c r="P90" s="55">
        <v>0.5</v>
      </c>
      <c r="Q90" s="82">
        <f t="shared" si="5"/>
        <v>0.6</v>
      </c>
      <c r="R90" s="55">
        <v>14.2</v>
      </c>
      <c r="S90" s="55">
        <v>124</v>
      </c>
      <c r="T90" s="57">
        <f t="shared" si="3"/>
        <v>27</v>
      </c>
      <c r="U90" s="237">
        <v>626</v>
      </c>
      <c r="V90" s="58">
        <f t="shared" si="4"/>
        <v>4225.5</v>
      </c>
      <c r="W90" s="237">
        <v>2</v>
      </c>
      <c r="X90" s="55" t="s">
        <v>46</v>
      </c>
      <c r="Y90" s="55" t="s">
        <v>64</v>
      </c>
      <c r="Z90" s="55" t="s">
        <v>86</v>
      </c>
      <c r="AA90" s="55" t="s">
        <v>97</v>
      </c>
      <c r="AB90" s="55" t="s">
        <v>346</v>
      </c>
      <c r="AC90" s="55"/>
      <c r="AD90" s="55"/>
    </row>
    <row r="91" spans="1:30" x14ac:dyDescent="0.15">
      <c r="A91" s="55" t="s">
        <v>41</v>
      </c>
      <c r="B91" s="237" t="s">
        <v>344</v>
      </c>
      <c r="C91" s="152">
        <v>2018</v>
      </c>
      <c r="D91" s="56" t="s">
        <v>362</v>
      </c>
      <c r="E91" s="237" t="s">
        <v>298</v>
      </c>
      <c r="F91" s="237" t="s">
        <v>304</v>
      </c>
      <c r="G91" s="55" t="s">
        <v>42</v>
      </c>
      <c r="H91" s="55" t="s">
        <v>165</v>
      </c>
      <c r="I91" s="55" t="s">
        <v>155</v>
      </c>
      <c r="J91" s="55" t="s">
        <v>38</v>
      </c>
      <c r="K91" s="55" t="s">
        <v>156</v>
      </c>
      <c r="L91" s="237">
        <v>3</v>
      </c>
      <c r="N91" s="237">
        <v>4</v>
      </c>
      <c r="O91" s="55">
        <v>0.35</v>
      </c>
      <c r="P91" s="55">
        <v>0.4</v>
      </c>
      <c r="Q91" s="57">
        <f t="shared" si="5"/>
        <v>0.375</v>
      </c>
      <c r="R91" s="237">
        <v>14.8</v>
      </c>
      <c r="S91" s="55">
        <v>118</v>
      </c>
      <c r="T91" s="57">
        <f t="shared" si="3"/>
        <v>30</v>
      </c>
      <c r="U91" s="237">
        <v>626</v>
      </c>
      <c r="V91" s="58">
        <f t="shared" si="4"/>
        <v>4695</v>
      </c>
      <c r="W91" s="237">
        <v>2</v>
      </c>
      <c r="X91" s="55" t="s">
        <v>46</v>
      </c>
      <c r="Y91" s="55" t="s">
        <v>64</v>
      </c>
      <c r="Z91" s="55" t="s">
        <v>86</v>
      </c>
      <c r="AA91" s="55" t="s">
        <v>97</v>
      </c>
      <c r="AB91" s="55" t="s">
        <v>346</v>
      </c>
      <c r="AC91" s="55"/>
      <c r="AD91" s="55"/>
    </row>
    <row r="92" spans="1:30" x14ac:dyDescent="0.15">
      <c r="A92" s="55" t="s">
        <v>41</v>
      </c>
      <c r="B92" s="237" t="s">
        <v>344</v>
      </c>
      <c r="C92" s="152">
        <v>2018</v>
      </c>
      <c r="D92" s="56" t="s">
        <v>362</v>
      </c>
      <c r="E92" s="55" t="s">
        <v>300</v>
      </c>
      <c r="F92" s="237" t="s">
        <v>305</v>
      </c>
      <c r="G92" s="55" t="s">
        <v>42</v>
      </c>
      <c r="H92" s="55" t="s">
        <v>157</v>
      </c>
      <c r="I92" s="55" t="s">
        <v>155</v>
      </c>
      <c r="J92" s="55" t="s">
        <v>38</v>
      </c>
      <c r="K92" s="55" t="s">
        <v>156</v>
      </c>
      <c r="L92" s="237">
        <v>1</v>
      </c>
      <c r="N92" s="237">
        <v>1</v>
      </c>
      <c r="O92" s="55">
        <v>0.5</v>
      </c>
      <c r="P92" s="55">
        <v>0.45</v>
      </c>
      <c r="Q92" s="57">
        <f t="shared" si="5"/>
        <v>0.47499999999999998</v>
      </c>
      <c r="R92" s="237">
        <v>15.1</v>
      </c>
      <c r="S92" s="55">
        <v>127</v>
      </c>
      <c r="T92" s="57">
        <f t="shared" si="3"/>
        <v>27</v>
      </c>
      <c r="U92" s="237">
        <v>105</v>
      </c>
      <c r="V92" s="58">
        <f t="shared" si="4"/>
        <v>2835</v>
      </c>
      <c r="W92" s="237">
        <v>1</v>
      </c>
      <c r="X92" s="55" t="s">
        <v>46</v>
      </c>
      <c r="Y92" s="55" t="s">
        <v>64</v>
      </c>
      <c r="Z92" s="55" t="s">
        <v>97</v>
      </c>
      <c r="AA92" s="55" t="s">
        <v>69</v>
      </c>
      <c r="AB92" s="55" t="s">
        <v>346</v>
      </c>
      <c r="AC92" s="55"/>
      <c r="AD92" s="55"/>
    </row>
    <row r="93" spans="1:30" x14ac:dyDescent="0.15">
      <c r="A93" s="55" t="s">
        <v>41</v>
      </c>
      <c r="B93" s="237" t="s">
        <v>344</v>
      </c>
      <c r="C93" s="152">
        <v>2018</v>
      </c>
      <c r="D93" s="56" t="s">
        <v>362</v>
      </c>
      <c r="E93" s="55" t="s">
        <v>300</v>
      </c>
      <c r="F93" s="237" t="s">
        <v>305</v>
      </c>
      <c r="G93" s="55" t="s">
        <v>42</v>
      </c>
      <c r="H93" s="55" t="s">
        <v>157</v>
      </c>
      <c r="I93" s="55" t="s">
        <v>155</v>
      </c>
      <c r="J93" s="55" t="s">
        <v>38</v>
      </c>
      <c r="K93" s="55" t="s">
        <v>156</v>
      </c>
      <c r="L93" s="237">
        <v>2</v>
      </c>
      <c r="N93" s="237">
        <v>1</v>
      </c>
      <c r="O93" s="55">
        <v>0.45</v>
      </c>
      <c r="P93" s="55">
        <v>0.4</v>
      </c>
      <c r="Q93" s="57">
        <f t="shared" si="5"/>
        <v>0.42500000000000004</v>
      </c>
      <c r="R93" s="237">
        <v>12.9</v>
      </c>
      <c r="S93" s="55">
        <v>131</v>
      </c>
      <c r="T93" s="57">
        <f t="shared" si="3"/>
        <v>25</v>
      </c>
      <c r="U93" s="237">
        <v>105</v>
      </c>
      <c r="V93" s="58">
        <f t="shared" si="4"/>
        <v>2625</v>
      </c>
      <c r="W93" s="237">
        <v>1</v>
      </c>
      <c r="X93" s="55" t="s">
        <v>46</v>
      </c>
      <c r="Y93" s="55" t="s">
        <v>64</v>
      </c>
      <c r="Z93" s="55" t="s">
        <v>97</v>
      </c>
      <c r="AA93" s="55" t="s">
        <v>69</v>
      </c>
      <c r="AB93" s="55" t="s">
        <v>346</v>
      </c>
      <c r="AC93" s="55"/>
      <c r="AD93" s="55"/>
    </row>
    <row r="94" spans="1:30" x14ac:dyDescent="0.15">
      <c r="A94" s="55" t="s">
        <v>41</v>
      </c>
      <c r="B94" s="237" t="s">
        <v>344</v>
      </c>
      <c r="C94" s="152">
        <v>2018</v>
      </c>
      <c r="D94" s="56" t="s">
        <v>362</v>
      </c>
      <c r="E94" s="55" t="s">
        <v>300</v>
      </c>
      <c r="F94" s="237" t="s">
        <v>305</v>
      </c>
      <c r="G94" s="55" t="s">
        <v>42</v>
      </c>
      <c r="H94" s="55" t="s">
        <v>157</v>
      </c>
      <c r="I94" s="55" t="s">
        <v>155</v>
      </c>
      <c r="J94" s="55" t="s">
        <v>38</v>
      </c>
      <c r="K94" s="55" t="s">
        <v>156</v>
      </c>
      <c r="L94" s="237">
        <v>3</v>
      </c>
      <c r="N94" s="237">
        <v>1</v>
      </c>
      <c r="O94" s="55">
        <v>0.75</v>
      </c>
      <c r="P94" s="55">
        <v>0.5</v>
      </c>
      <c r="Q94" s="82">
        <f t="shared" si="5"/>
        <v>0.625</v>
      </c>
      <c r="R94" s="55">
        <v>17.399999999999999</v>
      </c>
      <c r="S94" s="55">
        <v>130</v>
      </c>
      <c r="T94" s="57">
        <f t="shared" si="3"/>
        <v>25</v>
      </c>
      <c r="U94" s="237">
        <v>105</v>
      </c>
      <c r="V94" s="58">
        <f t="shared" si="4"/>
        <v>2625</v>
      </c>
      <c r="W94" s="237">
        <v>1</v>
      </c>
      <c r="X94" s="55" t="s">
        <v>46</v>
      </c>
      <c r="Y94" s="55" t="s">
        <v>64</v>
      </c>
      <c r="Z94" s="55" t="s">
        <v>97</v>
      </c>
      <c r="AA94" s="55" t="s">
        <v>69</v>
      </c>
      <c r="AB94" s="55" t="s">
        <v>346</v>
      </c>
      <c r="AC94" s="55"/>
      <c r="AD94" s="55"/>
    </row>
    <row r="95" spans="1:30" x14ac:dyDescent="0.15">
      <c r="A95" s="55" t="s">
        <v>41</v>
      </c>
      <c r="B95" s="237" t="s">
        <v>344</v>
      </c>
      <c r="C95" s="152">
        <v>2018</v>
      </c>
      <c r="D95" s="56" t="s">
        <v>362</v>
      </c>
      <c r="E95" s="55" t="s">
        <v>300</v>
      </c>
      <c r="F95" s="237" t="s">
        <v>305</v>
      </c>
      <c r="G95" s="55" t="s">
        <v>42</v>
      </c>
      <c r="H95" s="55" t="s">
        <v>157</v>
      </c>
      <c r="I95" s="55" t="s">
        <v>155</v>
      </c>
      <c r="J95" s="55" t="s">
        <v>38</v>
      </c>
      <c r="K95" s="55" t="s">
        <v>156</v>
      </c>
      <c r="L95" s="237">
        <v>1</v>
      </c>
      <c r="N95" s="237">
        <v>5</v>
      </c>
      <c r="O95" s="55">
        <v>0.6</v>
      </c>
      <c r="P95" s="55">
        <v>0.65</v>
      </c>
      <c r="Q95" s="82">
        <f t="shared" si="5"/>
        <v>0.625</v>
      </c>
      <c r="R95" s="55">
        <v>15.8</v>
      </c>
      <c r="S95" s="55">
        <v>107</v>
      </c>
      <c r="T95" s="57">
        <f t="shared" si="3"/>
        <v>33</v>
      </c>
      <c r="U95" s="237">
        <v>537</v>
      </c>
      <c r="V95" s="58">
        <f t="shared" si="4"/>
        <v>3544.2000000000003</v>
      </c>
      <c r="W95" s="237">
        <v>1</v>
      </c>
      <c r="X95" s="55" t="s">
        <v>46</v>
      </c>
      <c r="Y95" s="55" t="s">
        <v>64</v>
      </c>
      <c r="Z95" s="55" t="s">
        <v>97</v>
      </c>
      <c r="AA95" s="55" t="s">
        <v>69</v>
      </c>
      <c r="AB95" s="55" t="s">
        <v>346</v>
      </c>
      <c r="AC95" s="55"/>
      <c r="AD95" s="55"/>
    </row>
    <row r="96" spans="1:30" x14ac:dyDescent="0.15">
      <c r="A96" s="55" t="s">
        <v>41</v>
      </c>
      <c r="B96" s="237" t="s">
        <v>344</v>
      </c>
      <c r="C96" s="152">
        <v>2018</v>
      </c>
      <c r="D96" s="56" t="s">
        <v>362</v>
      </c>
      <c r="E96" s="55" t="s">
        <v>300</v>
      </c>
      <c r="F96" s="237" t="s">
        <v>305</v>
      </c>
      <c r="G96" s="55" t="s">
        <v>42</v>
      </c>
      <c r="H96" s="55" t="s">
        <v>157</v>
      </c>
      <c r="I96" s="55" t="s">
        <v>155</v>
      </c>
      <c r="J96" s="55" t="s">
        <v>38</v>
      </c>
      <c r="K96" s="55" t="s">
        <v>156</v>
      </c>
      <c r="L96" s="237">
        <v>2</v>
      </c>
      <c r="N96" s="237">
        <v>5</v>
      </c>
      <c r="O96" s="55">
        <v>0.5</v>
      </c>
      <c r="P96" s="55">
        <v>0.45</v>
      </c>
      <c r="Q96" s="82">
        <f t="shared" si="5"/>
        <v>0.47499999999999998</v>
      </c>
      <c r="R96" s="55">
        <v>16.399999999999999</v>
      </c>
      <c r="S96" s="55">
        <v>104</v>
      </c>
      <c r="T96" s="57">
        <f t="shared" si="3"/>
        <v>33</v>
      </c>
      <c r="U96" s="237">
        <v>537</v>
      </c>
      <c r="V96" s="58">
        <f t="shared" si="4"/>
        <v>3544.2000000000003</v>
      </c>
      <c r="W96" s="237">
        <v>1</v>
      </c>
      <c r="X96" s="55" t="s">
        <v>46</v>
      </c>
      <c r="Y96" s="55" t="s">
        <v>64</v>
      </c>
      <c r="Z96" s="55" t="s">
        <v>97</v>
      </c>
      <c r="AA96" s="55" t="s">
        <v>69</v>
      </c>
      <c r="AB96" s="55" t="s">
        <v>346</v>
      </c>
      <c r="AC96" s="55"/>
      <c r="AD96" s="55"/>
    </row>
    <row r="97" spans="1:30" x14ac:dyDescent="0.15">
      <c r="A97" s="55" t="s">
        <v>41</v>
      </c>
      <c r="B97" s="237" t="s">
        <v>344</v>
      </c>
      <c r="C97" s="152">
        <v>2018</v>
      </c>
      <c r="D97" s="56" t="s">
        <v>362</v>
      </c>
      <c r="E97" s="55" t="s">
        <v>300</v>
      </c>
      <c r="F97" s="237" t="s">
        <v>305</v>
      </c>
      <c r="G97" s="55" t="s">
        <v>42</v>
      </c>
      <c r="H97" s="55" t="s">
        <v>157</v>
      </c>
      <c r="I97" s="55" t="s">
        <v>155</v>
      </c>
      <c r="J97" s="55" t="s">
        <v>38</v>
      </c>
      <c r="K97" s="55" t="s">
        <v>156</v>
      </c>
      <c r="L97" s="237">
        <v>3</v>
      </c>
      <c r="N97" s="237">
        <v>5</v>
      </c>
      <c r="O97" s="55">
        <v>0.45</v>
      </c>
      <c r="P97" s="55">
        <v>0.65</v>
      </c>
      <c r="Q97" s="82">
        <f t="shared" si="5"/>
        <v>0.55000000000000004</v>
      </c>
      <c r="R97" s="55">
        <v>12.1</v>
      </c>
      <c r="S97" s="55">
        <v>108</v>
      </c>
      <c r="T97" s="57">
        <f t="shared" si="3"/>
        <v>33</v>
      </c>
      <c r="U97" s="237">
        <v>537</v>
      </c>
      <c r="V97" s="58">
        <f t="shared" si="4"/>
        <v>3544.2000000000003</v>
      </c>
      <c r="W97" s="237">
        <v>1</v>
      </c>
      <c r="X97" s="55" t="s">
        <v>46</v>
      </c>
      <c r="Y97" s="55" t="s">
        <v>64</v>
      </c>
      <c r="Z97" s="55" t="s">
        <v>97</v>
      </c>
      <c r="AA97" s="55" t="s">
        <v>69</v>
      </c>
      <c r="AB97" s="55" t="s">
        <v>346</v>
      </c>
      <c r="AC97" s="55"/>
      <c r="AD97" s="55"/>
    </row>
    <row r="98" spans="1:30" x14ac:dyDescent="0.15">
      <c r="A98" s="55" t="s">
        <v>41</v>
      </c>
      <c r="B98" s="237" t="s">
        <v>344</v>
      </c>
      <c r="C98" s="152">
        <v>2018</v>
      </c>
      <c r="D98" s="56" t="s">
        <v>362</v>
      </c>
      <c r="E98" s="55" t="s">
        <v>300</v>
      </c>
      <c r="F98" s="237" t="s">
        <v>305</v>
      </c>
      <c r="G98" s="55" t="s">
        <v>42</v>
      </c>
      <c r="H98" s="55" t="s">
        <v>165</v>
      </c>
      <c r="I98" s="55" t="s">
        <v>155</v>
      </c>
      <c r="J98" s="55" t="s">
        <v>38</v>
      </c>
      <c r="K98" s="55" t="s">
        <v>156</v>
      </c>
      <c r="L98" s="237">
        <v>1</v>
      </c>
      <c r="N98" s="237">
        <v>1</v>
      </c>
      <c r="O98" s="55">
        <v>0.5</v>
      </c>
      <c r="P98" s="55">
        <v>0.75</v>
      </c>
      <c r="Q98" s="82">
        <f t="shared" si="5"/>
        <v>0.625</v>
      </c>
      <c r="R98" s="55">
        <v>13.4</v>
      </c>
      <c r="S98" s="55">
        <v>140</v>
      </c>
      <c r="T98" s="57">
        <f t="shared" si="3"/>
        <v>22</v>
      </c>
      <c r="U98" s="237">
        <v>159</v>
      </c>
      <c r="V98" s="58">
        <f t="shared" si="4"/>
        <v>3498</v>
      </c>
      <c r="W98" s="237">
        <v>2</v>
      </c>
      <c r="X98" s="55" t="s">
        <v>46</v>
      </c>
      <c r="Y98" s="55" t="s">
        <v>64</v>
      </c>
      <c r="Z98" s="55" t="s">
        <v>97</v>
      </c>
      <c r="AA98" s="55" t="s">
        <v>69</v>
      </c>
      <c r="AB98" s="55" t="s">
        <v>346</v>
      </c>
      <c r="AC98" s="55"/>
      <c r="AD98" s="55"/>
    </row>
    <row r="99" spans="1:30" x14ac:dyDescent="0.15">
      <c r="A99" s="55" t="s">
        <v>41</v>
      </c>
      <c r="B99" s="237" t="s">
        <v>344</v>
      </c>
      <c r="C99" s="152">
        <v>2018</v>
      </c>
      <c r="D99" s="56" t="s">
        <v>362</v>
      </c>
      <c r="E99" s="55" t="s">
        <v>300</v>
      </c>
      <c r="F99" s="237" t="s">
        <v>305</v>
      </c>
      <c r="G99" s="55" t="s">
        <v>42</v>
      </c>
      <c r="H99" s="55" t="s">
        <v>165</v>
      </c>
      <c r="I99" s="55" t="s">
        <v>155</v>
      </c>
      <c r="J99" s="55" t="s">
        <v>38</v>
      </c>
      <c r="K99" s="55" t="s">
        <v>156</v>
      </c>
      <c r="L99" s="237">
        <v>2</v>
      </c>
      <c r="N99" s="237">
        <v>1</v>
      </c>
      <c r="O99" s="55">
        <v>0.75</v>
      </c>
      <c r="P99" s="55">
        <v>0.65</v>
      </c>
      <c r="Q99" s="82">
        <f t="shared" si="5"/>
        <v>0.7</v>
      </c>
      <c r="R99" s="55">
        <v>15.1</v>
      </c>
      <c r="S99" s="55">
        <v>131</v>
      </c>
      <c r="T99" s="57">
        <f t="shared" si="3"/>
        <v>25</v>
      </c>
      <c r="U99" s="237">
        <v>159</v>
      </c>
      <c r="V99" s="58">
        <f t="shared" si="4"/>
        <v>3975</v>
      </c>
      <c r="W99" s="237">
        <v>2</v>
      </c>
      <c r="X99" s="55" t="s">
        <v>46</v>
      </c>
      <c r="Y99" s="55" t="s">
        <v>64</v>
      </c>
      <c r="Z99" s="55" t="s">
        <v>97</v>
      </c>
      <c r="AA99" s="55" t="s">
        <v>69</v>
      </c>
      <c r="AB99" s="55" t="s">
        <v>346</v>
      </c>
      <c r="AC99" s="55"/>
      <c r="AD99" s="55"/>
    </row>
    <row r="100" spans="1:30" x14ac:dyDescent="0.15">
      <c r="A100" s="55" t="s">
        <v>41</v>
      </c>
      <c r="B100" s="237" t="s">
        <v>344</v>
      </c>
      <c r="C100" s="152">
        <v>2018</v>
      </c>
      <c r="D100" s="56" t="s">
        <v>362</v>
      </c>
      <c r="E100" s="55" t="s">
        <v>300</v>
      </c>
      <c r="F100" s="237" t="s">
        <v>305</v>
      </c>
      <c r="G100" s="55" t="s">
        <v>42</v>
      </c>
      <c r="H100" s="55" t="s">
        <v>165</v>
      </c>
      <c r="I100" s="55" t="s">
        <v>155</v>
      </c>
      <c r="J100" s="55" t="s">
        <v>38</v>
      </c>
      <c r="K100" s="55" t="s">
        <v>156</v>
      </c>
      <c r="L100" s="237">
        <v>3</v>
      </c>
      <c r="N100" s="237">
        <v>1</v>
      </c>
      <c r="O100" s="55">
        <v>1.05</v>
      </c>
      <c r="P100" s="55">
        <v>1</v>
      </c>
      <c r="Q100" s="82">
        <f t="shared" si="5"/>
        <v>1.0249999999999999</v>
      </c>
      <c r="R100" s="55">
        <v>15.6</v>
      </c>
      <c r="S100" s="55">
        <v>137</v>
      </c>
      <c r="T100" s="57">
        <f t="shared" si="3"/>
        <v>25</v>
      </c>
      <c r="U100" s="237">
        <v>159</v>
      </c>
      <c r="V100" s="58">
        <f t="shared" si="4"/>
        <v>3975</v>
      </c>
      <c r="W100" s="237">
        <v>2</v>
      </c>
      <c r="X100" s="55" t="s">
        <v>46</v>
      </c>
      <c r="Y100" s="55" t="s">
        <v>64</v>
      </c>
      <c r="Z100" s="55" t="s">
        <v>97</v>
      </c>
      <c r="AA100" s="55" t="s">
        <v>69</v>
      </c>
      <c r="AB100" s="55" t="s">
        <v>346</v>
      </c>
      <c r="AC100" s="55"/>
      <c r="AD100" s="55"/>
    </row>
    <row r="101" spans="1:30" x14ac:dyDescent="0.15">
      <c r="A101" s="55" t="s">
        <v>41</v>
      </c>
      <c r="B101" s="237" t="s">
        <v>344</v>
      </c>
      <c r="C101" s="152">
        <v>2018</v>
      </c>
      <c r="D101" s="56" t="s">
        <v>362</v>
      </c>
      <c r="E101" s="55" t="s">
        <v>300</v>
      </c>
      <c r="F101" s="237" t="s">
        <v>305</v>
      </c>
      <c r="G101" s="55" t="s">
        <v>42</v>
      </c>
      <c r="H101" s="55" t="s">
        <v>165</v>
      </c>
      <c r="I101" s="55" t="s">
        <v>155</v>
      </c>
      <c r="J101" s="55" t="s">
        <v>38</v>
      </c>
      <c r="K101" s="55" t="s">
        <v>156</v>
      </c>
      <c r="L101" s="237">
        <v>1</v>
      </c>
      <c r="N101" s="237">
        <v>3</v>
      </c>
      <c r="O101" s="55">
        <v>1</v>
      </c>
      <c r="P101" s="55">
        <v>0.9</v>
      </c>
      <c r="Q101" s="82">
        <f t="shared" si="5"/>
        <v>0.95</v>
      </c>
      <c r="R101" s="55">
        <v>16</v>
      </c>
      <c r="S101" s="55">
        <v>130</v>
      </c>
      <c r="T101" s="57">
        <f t="shared" si="3"/>
        <v>25</v>
      </c>
      <c r="U101" s="237">
        <v>626</v>
      </c>
      <c r="V101" s="58">
        <f t="shared" si="4"/>
        <v>5216.6666666666661</v>
      </c>
      <c r="W101" s="237">
        <v>1</v>
      </c>
      <c r="X101" s="55" t="s">
        <v>46</v>
      </c>
      <c r="Y101" s="55" t="s">
        <v>64</v>
      </c>
      <c r="Z101" s="55" t="s">
        <v>97</v>
      </c>
      <c r="AA101" s="55" t="s">
        <v>69</v>
      </c>
      <c r="AB101" s="55" t="s">
        <v>346</v>
      </c>
    </row>
    <row r="102" spans="1:30" x14ac:dyDescent="0.15">
      <c r="A102" s="55" t="s">
        <v>41</v>
      </c>
      <c r="B102" s="237" t="s">
        <v>344</v>
      </c>
      <c r="C102" s="152">
        <v>2018</v>
      </c>
      <c r="D102" s="56" t="s">
        <v>362</v>
      </c>
      <c r="E102" s="55" t="s">
        <v>300</v>
      </c>
      <c r="F102" s="237" t="s">
        <v>305</v>
      </c>
      <c r="G102" s="55" t="s">
        <v>42</v>
      </c>
      <c r="H102" s="55" t="s">
        <v>165</v>
      </c>
      <c r="I102" s="55" t="s">
        <v>155</v>
      </c>
      <c r="J102" s="55" t="s">
        <v>38</v>
      </c>
      <c r="K102" s="55" t="s">
        <v>156</v>
      </c>
      <c r="L102" s="237">
        <v>2</v>
      </c>
      <c r="N102" s="237">
        <v>3</v>
      </c>
      <c r="O102" s="55">
        <v>1.3</v>
      </c>
      <c r="P102" s="55">
        <v>1.05</v>
      </c>
      <c r="Q102" s="82">
        <f t="shared" si="5"/>
        <v>1.175</v>
      </c>
      <c r="R102" s="55">
        <v>14.1</v>
      </c>
      <c r="S102" s="55">
        <v>133</v>
      </c>
      <c r="T102" s="57">
        <f t="shared" si="3"/>
        <v>25</v>
      </c>
      <c r="U102" s="237">
        <v>626</v>
      </c>
      <c r="V102" s="58">
        <f t="shared" si="4"/>
        <v>5216.6666666666661</v>
      </c>
      <c r="W102" s="237">
        <v>1</v>
      </c>
      <c r="X102" s="55" t="s">
        <v>46</v>
      </c>
      <c r="Y102" s="55" t="s">
        <v>64</v>
      </c>
      <c r="Z102" s="55" t="s">
        <v>97</v>
      </c>
      <c r="AA102" s="55" t="s">
        <v>69</v>
      </c>
      <c r="AB102" s="55" t="s">
        <v>346</v>
      </c>
    </row>
    <row r="103" spans="1:30" x14ac:dyDescent="0.15">
      <c r="A103" s="55" t="s">
        <v>41</v>
      </c>
      <c r="B103" s="237" t="s">
        <v>344</v>
      </c>
      <c r="C103" s="152">
        <v>2018</v>
      </c>
      <c r="D103" s="56" t="s">
        <v>362</v>
      </c>
      <c r="E103" s="55" t="s">
        <v>300</v>
      </c>
      <c r="F103" s="237" t="s">
        <v>305</v>
      </c>
      <c r="G103" s="55" t="s">
        <v>42</v>
      </c>
      <c r="H103" s="55" t="s">
        <v>165</v>
      </c>
      <c r="I103" s="55" t="s">
        <v>155</v>
      </c>
      <c r="J103" s="55" t="s">
        <v>38</v>
      </c>
      <c r="K103" s="55" t="s">
        <v>156</v>
      </c>
      <c r="L103" s="237">
        <v>3</v>
      </c>
      <c r="N103" s="237">
        <v>3</v>
      </c>
      <c r="O103" s="55">
        <v>0.85</v>
      </c>
      <c r="P103" s="55">
        <v>0.7</v>
      </c>
      <c r="Q103" s="57">
        <f t="shared" si="5"/>
        <v>0.77499999999999991</v>
      </c>
      <c r="R103" s="55">
        <v>14.3</v>
      </c>
      <c r="S103" s="55">
        <v>127</v>
      </c>
      <c r="T103" s="57">
        <f t="shared" si="3"/>
        <v>27</v>
      </c>
      <c r="U103" s="237">
        <v>626</v>
      </c>
      <c r="V103" s="58">
        <f t="shared" si="4"/>
        <v>5634</v>
      </c>
      <c r="W103" s="237">
        <v>1</v>
      </c>
      <c r="X103" s="55" t="s">
        <v>46</v>
      </c>
      <c r="Y103" s="55" t="s">
        <v>64</v>
      </c>
      <c r="Z103" s="55" t="s">
        <v>97</v>
      </c>
      <c r="AA103" s="55" t="s">
        <v>69</v>
      </c>
      <c r="AB103" s="55" t="s">
        <v>346</v>
      </c>
    </row>
    <row r="104" spans="1:30" x14ac:dyDescent="0.15">
      <c r="A104" s="55" t="s">
        <v>41</v>
      </c>
      <c r="B104" s="237" t="s">
        <v>344</v>
      </c>
      <c r="C104" s="152">
        <v>2018</v>
      </c>
      <c r="D104" s="56" t="s">
        <v>362</v>
      </c>
      <c r="E104" s="55" t="s">
        <v>300</v>
      </c>
      <c r="F104" s="237" t="s">
        <v>306</v>
      </c>
      <c r="G104" s="55" t="s">
        <v>42</v>
      </c>
      <c r="H104" s="55" t="s">
        <v>157</v>
      </c>
      <c r="I104" s="55" t="s">
        <v>155</v>
      </c>
      <c r="J104" s="55" t="s">
        <v>38</v>
      </c>
      <c r="K104" s="55" t="s">
        <v>156</v>
      </c>
      <c r="L104" s="237">
        <v>1</v>
      </c>
      <c r="N104" s="237">
        <v>1</v>
      </c>
      <c r="O104" s="55">
        <v>0.7</v>
      </c>
      <c r="P104" s="55">
        <v>0.65</v>
      </c>
      <c r="Q104" s="57">
        <f t="shared" si="5"/>
        <v>0.67500000000000004</v>
      </c>
      <c r="R104" s="55">
        <v>15.1</v>
      </c>
      <c r="S104" s="55">
        <v>131</v>
      </c>
      <c r="T104" s="57">
        <f t="shared" si="3"/>
        <v>25</v>
      </c>
      <c r="U104" s="237">
        <v>105</v>
      </c>
      <c r="V104" s="58">
        <f t="shared" si="4"/>
        <v>2625</v>
      </c>
      <c r="W104" s="237">
        <v>1</v>
      </c>
      <c r="X104" s="55" t="s">
        <v>46</v>
      </c>
      <c r="Y104" s="55" t="s">
        <v>64</v>
      </c>
      <c r="Z104" s="55" t="s">
        <v>86</v>
      </c>
      <c r="AA104" s="55" t="s">
        <v>97</v>
      </c>
      <c r="AB104" s="55" t="s">
        <v>346</v>
      </c>
    </row>
    <row r="105" spans="1:30" x14ac:dyDescent="0.15">
      <c r="A105" s="55" t="s">
        <v>41</v>
      </c>
      <c r="B105" s="237" t="s">
        <v>344</v>
      </c>
      <c r="C105" s="152">
        <v>2018</v>
      </c>
      <c r="D105" s="56" t="s">
        <v>362</v>
      </c>
      <c r="E105" s="55" t="s">
        <v>300</v>
      </c>
      <c r="F105" s="237" t="s">
        <v>306</v>
      </c>
      <c r="G105" s="55" t="s">
        <v>42</v>
      </c>
      <c r="H105" s="55" t="s">
        <v>157</v>
      </c>
      <c r="I105" s="55" t="s">
        <v>155</v>
      </c>
      <c r="J105" s="55" t="s">
        <v>38</v>
      </c>
      <c r="K105" s="55" t="s">
        <v>156</v>
      </c>
      <c r="L105" s="237">
        <v>2</v>
      </c>
      <c r="N105" s="237">
        <v>1</v>
      </c>
      <c r="O105" s="55">
        <v>0.85</v>
      </c>
      <c r="P105" s="55">
        <v>0.8</v>
      </c>
      <c r="Q105" s="57">
        <f t="shared" si="5"/>
        <v>0.82499999999999996</v>
      </c>
      <c r="R105" s="55">
        <v>15.5</v>
      </c>
      <c r="S105" s="55">
        <v>128</v>
      </c>
      <c r="T105" s="57">
        <f t="shared" si="3"/>
        <v>27</v>
      </c>
      <c r="U105" s="237">
        <v>105</v>
      </c>
      <c r="V105" s="58">
        <f t="shared" si="4"/>
        <v>2835</v>
      </c>
      <c r="W105" s="237">
        <v>1</v>
      </c>
      <c r="X105" s="55" t="s">
        <v>46</v>
      </c>
      <c r="Y105" s="55" t="s">
        <v>64</v>
      </c>
      <c r="Z105" s="55" t="s">
        <v>86</v>
      </c>
      <c r="AA105" s="55" t="s">
        <v>97</v>
      </c>
      <c r="AB105" s="55" t="s">
        <v>346</v>
      </c>
    </row>
    <row r="106" spans="1:30" x14ac:dyDescent="0.15">
      <c r="A106" s="55" t="s">
        <v>41</v>
      </c>
      <c r="B106" s="237" t="s">
        <v>344</v>
      </c>
      <c r="C106" s="152">
        <v>2018</v>
      </c>
      <c r="D106" s="56" t="s">
        <v>362</v>
      </c>
      <c r="E106" s="55" t="s">
        <v>300</v>
      </c>
      <c r="F106" s="237" t="s">
        <v>306</v>
      </c>
      <c r="G106" s="55" t="s">
        <v>42</v>
      </c>
      <c r="H106" s="55" t="s">
        <v>157</v>
      </c>
      <c r="I106" s="55" t="s">
        <v>155</v>
      </c>
      <c r="J106" s="55" t="s">
        <v>38</v>
      </c>
      <c r="K106" s="55" t="s">
        <v>156</v>
      </c>
      <c r="L106" s="237">
        <v>3</v>
      </c>
      <c r="N106" s="237">
        <v>1</v>
      </c>
      <c r="O106" s="55">
        <v>0.4</v>
      </c>
      <c r="P106" s="55">
        <v>0.65</v>
      </c>
      <c r="Q106" s="82">
        <f t="shared" si="5"/>
        <v>0.52500000000000002</v>
      </c>
      <c r="R106" s="55">
        <v>14.1</v>
      </c>
      <c r="S106" s="55">
        <v>124</v>
      </c>
      <c r="T106" s="57">
        <f t="shared" si="3"/>
        <v>27</v>
      </c>
      <c r="U106" s="237">
        <v>105</v>
      </c>
      <c r="V106" s="58">
        <f t="shared" si="4"/>
        <v>2835</v>
      </c>
      <c r="W106" s="237">
        <v>1</v>
      </c>
      <c r="X106" s="55" t="s">
        <v>46</v>
      </c>
      <c r="Y106" s="55" t="s">
        <v>64</v>
      </c>
      <c r="Z106" s="55" t="s">
        <v>86</v>
      </c>
      <c r="AA106" s="55" t="s">
        <v>97</v>
      </c>
      <c r="AB106" s="55" t="s">
        <v>346</v>
      </c>
    </row>
    <row r="107" spans="1:30" x14ac:dyDescent="0.15">
      <c r="A107" s="55" t="s">
        <v>41</v>
      </c>
      <c r="B107" s="237" t="s">
        <v>344</v>
      </c>
      <c r="C107" s="152">
        <v>2018</v>
      </c>
      <c r="D107" s="56" t="s">
        <v>362</v>
      </c>
      <c r="E107" s="55" t="s">
        <v>300</v>
      </c>
      <c r="F107" s="237" t="s">
        <v>306</v>
      </c>
      <c r="G107" s="55" t="s">
        <v>42</v>
      </c>
      <c r="H107" s="55" t="s">
        <v>165</v>
      </c>
      <c r="I107" s="55" t="s">
        <v>155</v>
      </c>
      <c r="J107" s="55" t="s">
        <v>38</v>
      </c>
      <c r="K107" s="55" t="s">
        <v>156</v>
      </c>
      <c r="L107" s="237">
        <v>1</v>
      </c>
      <c r="N107" s="55">
        <v>1</v>
      </c>
      <c r="O107" s="55">
        <v>0.2</v>
      </c>
      <c r="P107" s="55">
        <v>0.1</v>
      </c>
      <c r="Q107" s="57">
        <f t="shared" si="5"/>
        <v>0.15000000000000002</v>
      </c>
      <c r="R107" s="55">
        <v>14.4</v>
      </c>
      <c r="S107" s="55">
        <v>148</v>
      </c>
      <c r="T107" s="57">
        <f t="shared" si="3"/>
        <v>22</v>
      </c>
      <c r="U107" s="237">
        <v>213</v>
      </c>
      <c r="V107" s="58">
        <f t="shared" si="4"/>
        <v>4686</v>
      </c>
      <c r="W107" s="237">
        <v>1</v>
      </c>
      <c r="X107" s="55" t="s">
        <v>46</v>
      </c>
      <c r="Y107" s="55" t="s">
        <v>64</v>
      </c>
      <c r="Z107" s="55" t="s">
        <v>86</v>
      </c>
      <c r="AA107" s="55" t="s">
        <v>97</v>
      </c>
      <c r="AB107" s="55" t="s">
        <v>346</v>
      </c>
    </row>
    <row r="108" spans="1:30" x14ac:dyDescent="0.15">
      <c r="A108" s="55" t="s">
        <v>41</v>
      </c>
      <c r="B108" s="237" t="s">
        <v>344</v>
      </c>
      <c r="C108" s="152">
        <v>2018</v>
      </c>
      <c r="D108" s="56" t="s">
        <v>362</v>
      </c>
      <c r="E108" s="55" t="s">
        <v>300</v>
      </c>
      <c r="F108" s="237" t="s">
        <v>306</v>
      </c>
      <c r="G108" s="55" t="s">
        <v>42</v>
      </c>
      <c r="H108" s="55" t="s">
        <v>165</v>
      </c>
      <c r="I108" s="55" t="s">
        <v>155</v>
      </c>
      <c r="J108" s="55" t="s">
        <v>38</v>
      </c>
      <c r="K108" s="55" t="s">
        <v>156</v>
      </c>
      <c r="L108" s="237">
        <v>2</v>
      </c>
      <c r="N108" s="55">
        <v>1</v>
      </c>
      <c r="O108" s="55">
        <v>0.3</v>
      </c>
      <c r="P108" s="55">
        <v>0.2</v>
      </c>
      <c r="Q108" s="57">
        <f t="shared" si="5"/>
        <v>0.25</v>
      </c>
      <c r="R108" s="55">
        <v>13.4</v>
      </c>
      <c r="S108" s="55">
        <v>143</v>
      </c>
      <c r="T108" s="57">
        <f t="shared" si="3"/>
        <v>22</v>
      </c>
      <c r="U108" s="237">
        <v>213</v>
      </c>
      <c r="V108" s="58">
        <f t="shared" si="4"/>
        <v>4686</v>
      </c>
      <c r="W108" s="237">
        <v>1</v>
      </c>
      <c r="X108" s="55" t="s">
        <v>46</v>
      </c>
      <c r="Y108" s="55" t="s">
        <v>64</v>
      </c>
      <c r="Z108" s="55" t="s">
        <v>86</v>
      </c>
      <c r="AA108" s="55" t="s">
        <v>97</v>
      </c>
      <c r="AB108" s="55" t="s">
        <v>346</v>
      </c>
    </row>
    <row r="109" spans="1:30" x14ac:dyDescent="0.15">
      <c r="A109" s="55" t="s">
        <v>41</v>
      </c>
      <c r="B109" s="237" t="s">
        <v>344</v>
      </c>
      <c r="C109" s="152">
        <v>2018</v>
      </c>
      <c r="D109" s="56" t="s">
        <v>362</v>
      </c>
      <c r="E109" s="55" t="s">
        <v>300</v>
      </c>
      <c r="F109" s="237" t="s">
        <v>306</v>
      </c>
      <c r="G109" s="55" t="s">
        <v>42</v>
      </c>
      <c r="H109" s="55" t="s">
        <v>165</v>
      </c>
      <c r="I109" s="55" t="s">
        <v>155</v>
      </c>
      <c r="J109" s="55" t="s">
        <v>38</v>
      </c>
      <c r="K109" s="55" t="s">
        <v>156</v>
      </c>
      <c r="L109" s="237">
        <v>3</v>
      </c>
      <c r="N109" s="237">
        <v>1</v>
      </c>
      <c r="O109" s="55">
        <v>0</v>
      </c>
      <c r="P109" s="55">
        <v>0</v>
      </c>
      <c r="Q109" s="57">
        <f t="shared" si="5"/>
        <v>0</v>
      </c>
      <c r="R109" s="55">
        <v>12.4</v>
      </c>
      <c r="S109" s="55">
        <v>145</v>
      </c>
      <c r="T109" s="57">
        <f t="shared" si="3"/>
        <v>22</v>
      </c>
      <c r="U109" s="237">
        <v>213</v>
      </c>
      <c r="V109" s="58">
        <f t="shared" si="4"/>
        <v>4686</v>
      </c>
      <c r="W109" s="237">
        <v>1</v>
      </c>
      <c r="X109" s="55" t="s">
        <v>46</v>
      </c>
      <c r="Y109" s="55" t="s">
        <v>64</v>
      </c>
      <c r="Z109" s="55" t="s">
        <v>86</v>
      </c>
      <c r="AA109" s="55" t="s">
        <v>97</v>
      </c>
      <c r="AB109" s="55" t="s">
        <v>346</v>
      </c>
    </row>
    <row r="110" spans="1:30" x14ac:dyDescent="0.15">
      <c r="A110" s="55" t="s">
        <v>41</v>
      </c>
      <c r="B110" s="237" t="s">
        <v>344</v>
      </c>
      <c r="C110" s="152">
        <v>2018</v>
      </c>
      <c r="D110" s="56" t="s">
        <v>362</v>
      </c>
      <c r="E110" s="55" t="s">
        <v>300</v>
      </c>
      <c r="F110" s="237" t="s">
        <v>306</v>
      </c>
      <c r="G110" s="55" t="s">
        <v>42</v>
      </c>
      <c r="H110" s="55" t="s">
        <v>165</v>
      </c>
      <c r="I110" s="55" t="s">
        <v>155</v>
      </c>
      <c r="J110" s="55" t="s">
        <v>38</v>
      </c>
      <c r="K110" s="55" t="s">
        <v>156</v>
      </c>
      <c r="L110" s="237">
        <v>1</v>
      </c>
      <c r="N110" s="55">
        <v>3</v>
      </c>
      <c r="O110" s="55">
        <v>0.1</v>
      </c>
      <c r="P110" s="55">
        <v>0.1</v>
      </c>
      <c r="Q110" s="57">
        <f t="shared" si="5"/>
        <v>0.1</v>
      </c>
      <c r="R110" s="55">
        <v>13.5</v>
      </c>
      <c r="S110" s="55">
        <v>131</v>
      </c>
      <c r="T110" s="57">
        <f t="shared" si="3"/>
        <v>25</v>
      </c>
      <c r="U110" s="237">
        <v>537</v>
      </c>
      <c r="V110" s="58">
        <f t="shared" si="4"/>
        <v>4475</v>
      </c>
      <c r="W110" s="237">
        <v>3</v>
      </c>
      <c r="X110" s="55" t="s">
        <v>46</v>
      </c>
      <c r="Y110" s="55" t="s">
        <v>64</v>
      </c>
      <c r="Z110" s="55" t="s">
        <v>86</v>
      </c>
      <c r="AA110" s="55" t="s">
        <v>97</v>
      </c>
      <c r="AB110" s="55" t="s">
        <v>346</v>
      </c>
    </row>
    <row r="111" spans="1:30" x14ac:dyDescent="0.15">
      <c r="A111" s="55" t="s">
        <v>41</v>
      </c>
      <c r="B111" s="237" t="s">
        <v>344</v>
      </c>
      <c r="C111" s="152">
        <v>2018</v>
      </c>
      <c r="D111" s="56" t="s">
        <v>362</v>
      </c>
      <c r="E111" s="55" t="s">
        <v>300</v>
      </c>
      <c r="F111" s="237" t="s">
        <v>306</v>
      </c>
      <c r="G111" s="55" t="s">
        <v>42</v>
      </c>
      <c r="H111" s="55" t="s">
        <v>165</v>
      </c>
      <c r="I111" s="55" t="s">
        <v>155</v>
      </c>
      <c r="J111" s="55" t="s">
        <v>38</v>
      </c>
      <c r="K111" s="55" t="s">
        <v>156</v>
      </c>
      <c r="L111" s="237">
        <v>2</v>
      </c>
      <c r="N111" s="55">
        <v>3</v>
      </c>
      <c r="O111" s="55">
        <v>0.1</v>
      </c>
      <c r="P111" s="55">
        <v>0.15</v>
      </c>
      <c r="Q111" s="57">
        <f t="shared" si="5"/>
        <v>0.125</v>
      </c>
      <c r="R111" s="55">
        <v>14.8</v>
      </c>
      <c r="S111" s="55">
        <v>130</v>
      </c>
      <c r="T111" s="57">
        <f t="shared" si="3"/>
        <v>25</v>
      </c>
      <c r="U111" s="237">
        <v>537</v>
      </c>
      <c r="V111" s="58">
        <f t="shared" si="4"/>
        <v>4475</v>
      </c>
      <c r="W111" s="237">
        <v>3</v>
      </c>
      <c r="X111" s="55" t="s">
        <v>46</v>
      </c>
      <c r="Y111" s="55" t="s">
        <v>64</v>
      </c>
      <c r="Z111" s="55" t="s">
        <v>86</v>
      </c>
      <c r="AA111" s="55" t="s">
        <v>97</v>
      </c>
      <c r="AB111" s="55" t="s">
        <v>346</v>
      </c>
    </row>
    <row r="112" spans="1:30" x14ac:dyDescent="0.15">
      <c r="A112" s="55" t="s">
        <v>41</v>
      </c>
      <c r="B112" s="237" t="s">
        <v>344</v>
      </c>
      <c r="C112" s="152">
        <v>2018</v>
      </c>
      <c r="D112" s="56" t="s">
        <v>362</v>
      </c>
      <c r="E112" s="55" t="s">
        <v>300</v>
      </c>
      <c r="F112" s="237" t="s">
        <v>306</v>
      </c>
      <c r="G112" s="55" t="s">
        <v>42</v>
      </c>
      <c r="H112" s="55" t="s">
        <v>165</v>
      </c>
      <c r="I112" s="55" t="s">
        <v>155</v>
      </c>
      <c r="J112" s="55" t="s">
        <v>38</v>
      </c>
      <c r="K112" s="55" t="s">
        <v>156</v>
      </c>
      <c r="L112" s="237">
        <v>3</v>
      </c>
      <c r="N112" s="237">
        <v>3</v>
      </c>
      <c r="O112" s="55">
        <v>0.65</v>
      </c>
      <c r="P112" s="55">
        <v>0.6</v>
      </c>
      <c r="Q112" s="57">
        <f t="shared" si="5"/>
        <v>0.625</v>
      </c>
      <c r="R112" s="55">
        <v>14.7</v>
      </c>
      <c r="S112" s="55">
        <v>134</v>
      </c>
      <c r="T112" s="57">
        <f t="shared" si="3"/>
        <v>25</v>
      </c>
      <c r="U112" s="237">
        <v>537</v>
      </c>
      <c r="V112" s="58">
        <f t="shared" si="4"/>
        <v>4475</v>
      </c>
      <c r="W112" s="237">
        <v>3</v>
      </c>
      <c r="X112" s="55" t="s">
        <v>46</v>
      </c>
      <c r="Y112" s="55" t="s">
        <v>64</v>
      </c>
      <c r="Z112" s="55" t="s">
        <v>86</v>
      </c>
      <c r="AA112" s="55" t="s">
        <v>97</v>
      </c>
      <c r="AB112" s="55" t="s">
        <v>346</v>
      </c>
    </row>
    <row r="113" spans="1:28" x14ac:dyDescent="0.15">
      <c r="A113" s="55" t="s">
        <v>41</v>
      </c>
      <c r="B113" s="237" t="s">
        <v>344</v>
      </c>
      <c r="C113" s="152">
        <v>2018</v>
      </c>
      <c r="D113" s="56" t="s">
        <v>362</v>
      </c>
      <c r="E113" s="237" t="s">
        <v>301</v>
      </c>
      <c r="F113" s="237" t="s">
        <v>307</v>
      </c>
      <c r="G113" s="55" t="s">
        <v>42</v>
      </c>
      <c r="H113" s="55" t="s">
        <v>157</v>
      </c>
      <c r="I113" s="55" t="s">
        <v>155</v>
      </c>
      <c r="J113" s="55" t="s">
        <v>38</v>
      </c>
      <c r="K113" s="55" t="s">
        <v>156</v>
      </c>
      <c r="L113" s="237">
        <v>1</v>
      </c>
      <c r="N113" s="237">
        <v>1</v>
      </c>
      <c r="O113" s="55">
        <v>0.9</v>
      </c>
      <c r="P113" s="55">
        <v>0.75</v>
      </c>
      <c r="Q113" s="57">
        <f t="shared" si="5"/>
        <v>0.82499999999999996</v>
      </c>
      <c r="R113" s="55">
        <v>15.5</v>
      </c>
      <c r="S113" s="55">
        <v>128</v>
      </c>
      <c r="T113" s="57">
        <f t="shared" si="3"/>
        <v>27</v>
      </c>
      <c r="U113" s="237">
        <v>138</v>
      </c>
      <c r="V113" s="58">
        <f t="shared" si="4"/>
        <v>3726</v>
      </c>
      <c r="W113" s="237">
        <v>3</v>
      </c>
      <c r="X113" s="55" t="s">
        <v>46</v>
      </c>
      <c r="Y113" s="55" t="s">
        <v>64</v>
      </c>
      <c r="Z113" s="55" t="s">
        <v>97</v>
      </c>
      <c r="AA113" s="55" t="s">
        <v>69</v>
      </c>
      <c r="AB113" s="55" t="s">
        <v>346</v>
      </c>
    </row>
    <row r="114" spans="1:28" x14ac:dyDescent="0.15">
      <c r="A114" s="55" t="s">
        <v>41</v>
      </c>
      <c r="B114" s="237" t="s">
        <v>344</v>
      </c>
      <c r="C114" s="152">
        <v>2018</v>
      </c>
      <c r="D114" s="56" t="s">
        <v>362</v>
      </c>
      <c r="E114" s="237" t="s">
        <v>301</v>
      </c>
      <c r="F114" s="237" t="s">
        <v>307</v>
      </c>
      <c r="G114" s="55" t="s">
        <v>42</v>
      </c>
      <c r="H114" s="55" t="s">
        <v>157</v>
      </c>
      <c r="I114" s="55" t="s">
        <v>155</v>
      </c>
      <c r="J114" s="55" t="s">
        <v>38</v>
      </c>
      <c r="K114" s="55" t="s">
        <v>156</v>
      </c>
      <c r="L114" s="237">
        <v>2</v>
      </c>
      <c r="N114" s="237">
        <v>1</v>
      </c>
      <c r="O114" s="55">
        <v>0.8</v>
      </c>
      <c r="P114" s="55">
        <v>0.5</v>
      </c>
      <c r="Q114" s="57">
        <f t="shared" si="5"/>
        <v>0.65</v>
      </c>
      <c r="R114" s="55">
        <v>15.2</v>
      </c>
      <c r="S114" s="55">
        <v>126</v>
      </c>
      <c r="T114" s="57">
        <f t="shared" si="3"/>
        <v>27</v>
      </c>
      <c r="U114" s="237">
        <v>138</v>
      </c>
      <c r="V114" s="58">
        <f t="shared" si="4"/>
        <v>3726</v>
      </c>
      <c r="W114" s="237">
        <v>3</v>
      </c>
      <c r="X114" s="55" t="s">
        <v>46</v>
      </c>
      <c r="Y114" s="55" t="s">
        <v>64</v>
      </c>
      <c r="Z114" s="55" t="s">
        <v>97</v>
      </c>
      <c r="AA114" s="55" t="s">
        <v>69</v>
      </c>
      <c r="AB114" s="55" t="s">
        <v>346</v>
      </c>
    </row>
    <row r="115" spans="1:28" x14ac:dyDescent="0.15">
      <c r="A115" s="55" t="s">
        <v>41</v>
      </c>
      <c r="B115" s="237" t="s">
        <v>344</v>
      </c>
      <c r="C115" s="152">
        <v>2018</v>
      </c>
      <c r="D115" s="56" t="s">
        <v>362</v>
      </c>
      <c r="E115" s="237" t="s">
        <v>301</v>
      </c>
      <c r="F115" s="237" t="s">
        <v>307</v>
      </c>
      <c r="G115" s="55" t="s">
        <v>42</v>
      </c>
      <c r="H115" s="55" t="s">
        <v>157</v>
      </c>
      <c r="I115" s="55" t="s">
        <v>155</v>
      </c>
      <c r="J115" s="55" t="s">
        <v>38</v>
      </c>
      <c r="K115" s="55" t="s">
        <v>156</v>
      </c>
      <c r="L115" s="237">
        <v>3</v>
      </c>
      <c r="N115" s="237">
        <v>1</v>
      </c>
      <c r="O115" s="237">
        <v>0.5</v>
      </c>
      <c r="P115" s="237">
        <v>0.7</v>
      </c>
      <c r="Q115" s="57">
        <f t="shared" si="5"/>
        <v>0.6</v>
      </c>
      <c r="R115" s="237">
        <v>14.8</v>
      </c>
      <c r="S115" s="237">
        <v>134</v>
      </c>
      <c r="T115" s="57">
        <f t="shared" si="3"/>
        <v>25</v>
      </c>
      <c r="U115" s="237">
        <v>138</v>
      </c>
      <c r="V115" s="58">
        <f t="shared" si="4"/>
        <v>3450</v>
      </c>
      <c r="W115" s="237">
        <v>3</v>
      </c>
      <c r="X115" s="55" t="s">
        <v>46</v>
      </c>
      <c r="Y115" s="55" t="s">
        <v>64</v>
      </c>
      <c r="Z115" s="55" t="s">
        <v>97</v>
      </c>
      <c r="AA115" s="55" t="s">
        <v>69</v>
      </c>
      <c r="AB115" s="55" t="s">
        <v>346</v>
      </c>
    </row>
    <row r="116" spans="1:28" x14ac:dyDescent="0.15">
      <c r="A116" s="55" t="s">
        <v>41</v>
      </c>
      <c r="B116" s="237" t="s">
        <v>344</v>
      </c>
      <c r="C116" s="152">
        <v>2018</v>
      </c>
      <c r="D116" s="56" t="s">
        <v>362</v>
      </c>
      <c r="E116" s="237" t="s">
        <v>301</v>
      </c>
      <c r="F116" s="237" t="s">
        <v>307</v>
      </c>
      <c r="G116" s="55" t="s">
        <v>42</v>
      </c>
      <c r="H116" s="55" t="s">
        <v>157</v>
      </c>
      <c r="I116" s="55" t="s">
        <v>155</v>
      </c>
      <c r="J116" s="55" t="s">
        <v>38</v>
      </c>
      <c r="K116" s="55" t="s">
        <v>156</v>
      </c>
      <c r="L116" s="237">
        <v>1</v>
      </c>
      <c r="N116" s="237">
        <v>4</v>
      </c>
      <c r="O116" s="237">
        <v>0.35</v>
      </c>
      <c r="P116" s="237">
        <v>0.45</v>
      </c>
      <c r="Q116" s="57">
        <f t="shared" si="5"/>
        <v>0.4</v>
      </c>
      <c r="R116" s="237">
        <v>17.100000000000001</v>
      </c>
      <c r="S116" s="237">
        <v>120</v>
      </c>
      <c r="T116" s="57">
        <f t="shared" si="3"/>
        <v>30</v>
      </c>
      <c r="U116" s="237">
        <v>378</v>
      </c>
      <c r="V116" s="58">
        <f t="shared" si="4"/>
        <v>2835</v>
      </c>
      <c r="W116" s="237">
        <v>2</v>
      </c>
      <c r="X116" s="55" t="s">
        <v>46</v>
      </c>
      <c r="Y116" s="55" t="s">
        <v>64</v>
      </c>
      <c r="Z116" s="55" t="s">
        <v>97</v>
      </c>
      <c r="AA116" s="55" t="s">
        <v>69</v>
      </c>
      <c r="AB116" s="55" t="s">
        <v>346</v>
      </c>
    </row>
    <row r="117" spans="1:28" x14ac:dyDescent="0.15">
      <c r="A117" s="55" t="s">
        <v>41</v>
      </c>
      <c r="B117" s="237" t="s">
        <v>344</v>
      </c>
      <c r="C117" s="152">
        <v>2018</v>
      </c>
      <c r="D117" s="56" t="s">
        <v>362</v>
      </c>
      <c r="E117" s="237" t="s">
        <v>301</v>
      </c>
      <c r="F117" s="237" t="s">
        <v>307</v>
      </c>
      <c r="G117" s="55" t="s">
        <v>42</v>
      </c>
      <c r="H117" s="55" t="s">
        <v>157</v>
      </c>
      <c r="I117" s="55" t="s">
        <v>155</v>
      </c>
      <c r="J117" s="55" t="s">
        <v>38</v>
      </c>
      <c r="K117" s="55" t="s">
        <v>156</v>
      </c>
      <c r="L117" s="237">
        <v>2</v>
      </c>
      <c r="N117" s="237">
        <v>4</v>
      </c>
      <c r="O117" s="237">
        <v>0.2</v>
      </c>
      <c r="P117" s="237">
        <v>0.3</v>
      </c>
      <c r="Q117" s="57">
        <f t="shared" si="5"/>
        <v>0.25</v>
      </c>
      <c r="R117" s="237">
        <v>16.8</v>
      </c>
      <c r="S117" s="237">
        <v>118</v>
      </c>
      <c r="T117" s="57">
        <f t="shared" si="3"/>
        <v>30</v>
      </c>
      <c r="U117" s="237">
        <v>378</v>
      </c>
      <c r="V117" s="58">
        <f t="shared" si="4"/>
        <v>2835</v>
      </c>
      <c r="W117" s="237">
        <v>2</v>
      </c>
      <c r="X117" s="55" t="s">
        <v>46</v>
      </c>
      <c r="Y117" s="55" t="s">
        <v>64</v>
      </c>
      <c r="Z117" s="55" t="s">
        <v>97</v>
      </c>
      <c r="AA117" s="55" t="s">
        <v>69</v>
      </c>
      <c r="AB117" s="55" t="s">
        <v>346</v>
      </c>
    </row>
    <row r="118" spans="1:28" x14ac:dyDescent="0.15">
      <c r="A118" s="55" t="s">
        <v>41</v>
      </c>
      <c r="B118" s="237" t="s">
        <v>344</v>
      </c>
      <c r="C118" s="152">
        <v>2018</v>
      </c>
      <c r="D118" s="56" t="s">
        <v>362</v>
      </c>
      <c r="E118" s="237" t="s">
        <v>301</v>
      </c>
      <c r="F118" s="237" t="s">
        <v>307</v>
      </c>
      <c r="G118" s="55" t="s">
        <v>42</v>
      </c>
      <c r="H118" s="55" t="s">
        <v>157</v>
      </c>
      <c r="I118" s="55" t="s">
        <v>155</v>
      </c>
      <c r="J118" s="55" t="s">
        <v>38</v>
      </c>
      <c r="K118" s="55" t="s">
        <v>156</v>
      </c>
      <c r="L118" s="237">
        <v>3</v>
      </c>
      <c r="N118" s="237">
        <v>4</v>
      </c>
      <c r="O118" s="237">
        <v>0.6</v>
      </c>
      <c r="P118" s="237">
        <v>0.75</v>
      </c>
      <c r="Q118" s="57">
        <f t="shared" si="5"/>
        <v>0.67500000000000004</v>
      </c>
      <c r="R118" s="237">
        <v>12.4</v>
      </c>
      <c r="S118" s="237">
        <v>122</v>
      </c>
      <c r="T118" s="57">
        <f t="shared" si="3"/>
        <v>27</v>
      </c>
      <c r="U118" s="237">
        <v>378</v>
      </c>
      <c r="V118" s="58">
        <f t="shared" si="4"/>
        <v>2551.5</v>
      </c>
      <c r="W118" s="237">
        <v>2</v>
      </c>
      <c r="X118" s="55" t="s">
        <v>46</v>
      </c>
      <c r="Y118" s="55" t="s">
        <v>64</v>
      </c>
      <c r="Z118" s="55" t="s">
        <v>97</v>
      </c>
      <c r="AA118" s="55" t="s">
        <v>69</v>
      </c>
      <c r="AB118" s="55" t="s">
        <v>346</v>
      </c>
    </row>
    <row r="119" spans="1:28" x14ac:dyDescent="0.15">
      <c r="A119" s="55" t="s">
        <v>41</v>
      </c>
      <c r="B119" s="237" t="s">
        <v>344</v>
      </c>
      <c r="C119" s="152">
        <v>2018</v>
      </c>
      <c r="D119" s="56" t="s">
        <v>362</v>
      </c>
      <c r="E119" s="237" t="s">
        <v>301</v>
      </c>
      <c r="F119" s="237" t="s">
        <v>307</v>
      </c>
      <c r="G119" s="55" t="s">
        <v>42</v>
      </c>
      <c r="H119" s="55" t="s">
        <v>165</v>
      </c>
      <c r="I119" s="55" t="s">
        <v>155</v>
      </c>
      <c r="J119" s="55" t="s">
        <v>38</v>
      </c>
      <c r="K119" s="55" t="s">
        <v>156</v>
      </c>
      <c r="L119" s="237">
        <v>1</v>
      </c>
      <c r="N119" s="237">
        <v>1</v>
      </c>
      <c r="O119" s="237">
        <v>0.5</v>
      </c>
      <c r="P119" s="237">
        <v>0.8</v>
      </c>
      <c r="Q119" s="57">
        <f t="shared" si="5"/>
        <v>0.65</v>
      </c>
      <c r="R119" s="237">
        <v>16.5</v>
      </c>
      <c r="S119" s="237">
        <v>129</v>
      </c>
      <c r="T119" s="57">
        <f t="shared" si="3"/>
        <v>25</v>
      </c>
      <c r="U119" s="237">
        <v>138</v>
      </c>
      <c r="V119" s="58">
        <f t="shared" si="4"/>
        <v>3450</v>
      </c>
      <c r="W119" s="237">
        <v>2</v>
      </c>
      <c r="X119" s="55" t="s">
        <v>46</v>
      </c>
      <c r="Y119" s="55" t="s">
        <v>64</v>
      </c>
      <c r="Z119" s="55" t="s">
        <v>97</v>
      </c>
      <c r="AA119" s="55" t="s">
        <v>69</v>
      </c>
      <c r="AB119" s="55" t="s">
        <v>346</v>
      </c>
    </row>
    <row r="120" spans="1:28" x14ac:dyDescent="0.15">
      <c r="A120" s="55" t="s">
        <v>41</v>
      </c>
      <c r="B120" s="237" t="s">
        <v>344</v>
      </c>
      <c r="C120" s="152">
        <v>2018</v>
      </c>
      <c r="D120" s="56" t="s">
        <v>362</v>
      </c>
      <c r="E120" s="237" t="s">
        <v>301</v>
      </c>
      <c r="F120" s="237" t="s">
        <v>307</v>
      </c>
      <c r="G120" s="55" t="s">
        <v>42</v>
      </c>
      <c r="H120" s="55" t="s">
        <v>165</v>
      </c>
      <c r="I120" s="55" t="s">
        <v>155</v>
      </c>
      <c r="J120" s="55" t="s">
        <v>38</v>
      </c>
      <c r="K120" s="55" t="s">
        <v>156</v>
      </c>
      <c r="L120" s="237">
        <v>2</v>
      </c>
      <c r="N120" s="237">
        <v>1</v>
      </c>
      <c r="O120" s="237">
        <v>0.5</v>
      </c>
      <c r="P120" s="237">
        <v>0.65</v>
      </c>
      <c r="Q120" s="57">
        <f t="shared" si="5"/>
        <v>0.57499999999999996</v>
      </c>
      <c r="R120" s="237">
        <v>16.600000000000001</v>
      </c>
      <c r="S120" s="237">
        <v>131</v>
      </c>
      <c r="T120" s="57">
        <f t="shared" si="3"/>
        <v>25</v>
      </c>
      <c r="U120" s="237">
        <v>138</v>
      </c>
      <c r="V120" s="58">
        <f t="shared" si="4"/>
        <v>3450</v>
      </c>
      <c r="W120" s="237">
        <v>2</v>
      </c>
      <c r="X120" s="55" t="s">
        <v>46</v>
      </c>
      <c r="Y120" s="55" t="s">
        <v>64</v>
      </c>
      <c r="Z120" s="55" t="s">
        <v>97</v>
      </c>
      <c r="AA120" s="55" t="s">
        <v>69</v>
      </c>
      <c r="AB120" s="55" t="s">
        <v>346</v>
      </c>
    </row>
    <row r="121" spans="1:28" x14ac:dyDescent="0.15">
      <c r="A121" s="55" t="s">
        <v>41</v>
      </c>
      <c r="B121" s="237" t="s">
        <v>344</v>
      </c>
      <c r="C121" s="152">
        <v>2018</v>
      </c>
      <c r="D121" s="56" t="s">
        <v>362</v>
      </c>
      <c r="E121" s="237" t="s">
        <v>301</v>
      </c>
      <c r="F121" s="237" t="s">
        <v>307</v>
      </c>
      <c r="G121" s="55" t="s">
        <v>42</v>
      </c>
      <c r="H121" s="55" t="s">
        <v>165</v>
      </c>
      <c r="I121" s="55" t="s">
        <v>155</v>
      </c>
      <c r="J121" s="55" t="s">
        <v>38</v>
      </c>
      <c r="K121" s="55" t="s">
        <v>156</v>
      </c>
      <c r="L121" s="237">
        <v>3</v>
      </c>
      <c r="N121" s="237">
        <v>1</v>
      </c>
      <c r="O121" s="237">
        <v>0.35</v>
      </c>
      <c r="P121" s="237">
        <v>0.5</v>
      </c>
      <c r="Q121" s="57">
        <f t="shared" si="5"/>
        <v>0.42499999999999999</v>
      </c>
      <c r="R121" s="237">
        <v>15.8</v>
      </c>
      <c r="S121" s="237">
        <v>124</v>
      </c>
      <c r="T121" s="57">
        <f t="shared" si="3"/>
        <v>27</v>
      </c>
      <c r="U121" s="237">
        <v>138</v>
      </c>
      <c r="V121" s="58">
        <f t="shared" si="4"/>
        <v>3726</v>
      </c>
      <c r="W121" s="237">
        <v>2</v>
      </c>
      <c r="X121" s="55" t="s">
        <v>46</v>
      </c>
      <c r="Y121" s="55" t="s">
        <v>64</v>
      </c>
      <c r="Z121" s="55" t="s">
        <v>97</v>
      </c>
      <c r="AA121" s="55" t="s">
        <v>69</v>
      </c>
      <c r="AB121" s="55" t="s">
        <v>346</v>
      </c>
    </row>
    <row r="122" spans="1:28" x14ac:dyDescent="0.15">
      <c r="A122" s="55" t="s">
        <v>41</v>
      </c>
      <c r="B122" s="237" t="s">
        <v>344</v>
      </c>
      <c r="C122" s="152">
        <v>2018</v>
      </c>
      <c r="D122" s="56" t="s">
        <v>362</v>
      </c>
      <c r="E122" s="237" t="s">
        <v>301</v>
      </c>
      <c r="F122" s="237" t="s">
        <v>307</v>
      </c>
      <c r="G122" s="55" t="s">
        <v>42</v>
      </c>
      <c r="H122" s="55" t="s">
        <v>165</v>
      </c>
      <c r="I122" s="55" t="s">
        <v>155</v>
      </c>
      <c r="J122" s="55" t="s">
        <v>38</v>
      </c>
      <c r="K122" s="55" t="s">
        <v>156</v>
      </c>
      <c r="L122" s="237">
        <v>1</v>
      </c>
      <c r="N122" s="237">
        <v>4</v>
      </c>
      <c r="O122" s="237">
        <v>0.65</v>
      </c>
      <c r="P122" s="237">
        <v>0.45</v>
      </c>
      <c r="Q122" s="57">
        <f t="shared" si="5"/>
        <v>0.55000000000000004</v>
      </c>
      <c r="R122" s="237">
        <v>15.5</v>
      </c>
      <c r="S122" s="237">
        <v>122</v>
      </c>
      <c r="T122" s="57">
        <f t="shared" si="3"/>
        <v>27</v>
      </c>
      <c r="U122" s="237">
        <v>410</v>
      </c>
      <c r="V122" s="58">
        <f t="shared" si="4"/>
        <v>2767.5</v>
      </c>
      <c r="W122" s="237">
        <v>3</v>
      </c>
      <c r="X122" s="55" t="s">
        <v>46</v>
      </c>
      <c r="Y122" s="55" t="s">
        <v>64</v>
      </c>
      <c r="Z122" s="55" t="s">
        <v>97</v>
      </c>
      <c r="AA122" s="55" t="s">
        <v>69</v>
      </c>
      <c r="AB122" s="55" t="s">
        <v>346</v>
      </c>
    </row>
    <row r="123" spans="1:28" x14ac:dyDescent="0.15">
      <c r="A123" s="55" t="s">
        <v>41</v>
      </c>
      <c r="B123" s="237" t="s">
        <v>344</v>
      </c>
      <c r="C123" s="152">
        <v>2018</v>
      </c>
      <c r="D123" s="56" t="s">
        <v>362</v>
      </c>
      <c r="E123" s="237" t="s">
        <v>301</v>
      </c>
      <c r="F123" s="237" t="s">
        <v>307</v>
      </c>
      <c r="G123" s="55" t="s">
        <v>42</v>
      </c>
      <c r="H123" s="55" t="s">
        <v>165</v>
      </c>
      <c r="I123" s="55" t="s">
        <v>155</v>
      </c>
      <c r="J123" s="55" t="s">
        <v>38</v>
      </c>
      <c r="K123" s="55" t="s">
        <v>156</v>
      </c>
      <c r="L123" s="237">
        <v>2</v>
      </c>
      <c r="N123" s="237">
        <v>4</v>
      </c>
      <c r="O123" s="237">
        <v>0.45</v>
      </c>
      <c r="P123" s="237">
        <v>0.6</v>
      </c>
      <c r="Q123" s="57">
        <f t="shared" si="5"/>
        <v>0.52500000000000002</v>
      </c>
      <c r="R123" s="237">
        <v>14.9</v>
      </c>
      <c r="S123" s="237">
        <v>121</v>
      </c>
      <c r="T123" s="57">
        <f t="shared" si="3"/>
        <v>27</v>
      </c>
      <c r="U123" s="237">
        <v>410</v>
      </c>
      <c r="V123" s="58">
        <f t="shared" si="4"/>
        <v>2767.5</v>
      </c>
      <c r="W123" s="237">
        <v>3</v>
      </c>
      <c r="X123" s="55" t="s">
        <v>46</v>
      </c>
      <c r="Y123" s="55" t="s">
        <v>64</v>
      </c>
      <c r="Z123" s="55" t="s">
        <v>97</v>
      </c>
      <c r="AA123" s="55" t="s">
        <v>69</v>
      </c>
      <c r="AB123" s="55" t="s">
        <v>346</v>
      </c>
    </row>
    <row r="124" spans="1:28" x14ac:dyDescent="0.15">
      <c r="A124" s="55" t="s">
        <v>41</v>
      </c>
      <c r="B124" s="237" t="s">
        <v>344</v>
      </c>
      <c r="C124" s="152">
        <v>2018</v>
      </c>
      <c r="D124" s="56" t="s">
        <v>362</v>
      </c>
      <c r="E124" s="237" t="s">
        <v>301</v>
      </c>
      <c r="F124" s="237" t="s">
        <v>307</v>
      </c>
      <c r="G124" s="55" t="s">
        <v>42</v>
      </c>
      <c r="H124" s="55" t="s">
        <v>165</v>
      </c>
      <c r="I124" s="55" t="s">
        <v>155</v>
      </c>
      <c r="J124" s="55" t="s">
        <v>38</v>
      </c>
      <c r="K124" s="55" t="s">
        <v>156</v>
      </c>
      <c r="L124" s="237">
        <v>3</v>
      </c>
      <c r="N124" s="237">
        <v>4</v>
      </c>
      <c r="O124" s="237">
        <v>0.25</v>
      </c>
      <c r="P124" s="237">
        <v>0.3</v>
      </c>
      <c r="Q124" s="57">
        <f t="shared" si="5"/>
        <v>0.27500000000000002</v>
      </c>
      <c r="R124" s="237">
        <v>14.2</v>
      </c>
      <c r="S124" s="237">
        <v>124</v>
      </c>
      <c r="T124" s="57">
        <f t="shared" si="3"/>
        <v>27</v>
      </c>
      <c r="U124" s="237">
        <v>410</v>
      </c>
      <c r="V124" s="58">
        <f t="shared" si="4"/>
        <v>2767.5</v>
      </c>
      <c r="W124" s="237">
        <v>3</v>
      </c>
      <c r="X124" s="55" t="s">
        <v>46</v>
      </c>
      <c r="Y124" s="55" t="s">
        <v>64</v>
      </c>
      <c r="Z124" s="55" t="s">
        <v>97</v>
      </c>
      <c r="AA124" s="55" t="s">
        <v>69</v>
      </c>
      <c r="AB124" s="55" t="s">
        <v>346</v>
      </c>
    </row>
    <row r="125" spans="1:28" x14ac:dyDescent="0.15">
      <c r="A125" s="55" t="s">
        <v>41</v>
      </c>
      <c r="B125" s="237" t="s">
        <v>344</v>
      </c>
      <c r="C125" s="152">
        <v>2018</v>
      </c>
      <c r="D125" s="56" t="s">
        <v>362</v>
      </c>
      <c r="E125" s="237" t="s">
        <v>170</v>
      </c>
      <c r="F125" s="237" t="s">
        <v>308</v>
      </c>
      <c r="G125" s="55" t="s">
        <v>42</v>
      </c>
      <c r="H125" s="55" t="s">
        <v>165</v>
      </c>
      <c r="I125" s="55" t="s">
        <v>155</v>
      </c>
      <c r="J125" s="55" t="s">
        <v>38</v>
      </c>
      <c r="K125" s="55" t="s">
        <v>156</v>
      </c>
      <c r="L125" s="237">
        <v>1</v>
      </c>
      <c r="N125" s="237">
        <v>1</v>
      </c>
      <c r="O125" s="55">
        <v>0.1</v>
      </c>
      <c r="P125" s="55">
        <v>0.2</v>
      </c>
      <c r="Q125" s="57">
        <f t="shared" si="5"/>
        <v>0.15000000000000002</v>
      </c>
      <c r="R125" s="237">
        <v>15.4</v>
      </c>
      <c r="S125" s="55">
        <v>134</v>
      </c>
      <c r="T125" s="57">
        <f t="shared" si="3"/>
        <v>25</v>
      </c>
      <c r="U125" s="237">
        <v>137</v>
      </c>
      <c r="V125" s="58">
        <f t="shared" si="4"/>
        <v>3425</v>
      </c>
      <c r="W125" s="237">
        <v>2</v>
      </c>
      <c r="X125" s="55" t="s">
        <v>46</v>
      </c>
      <c r="Y125" s="55" t="s">
        <v>64</v>
      </c>
      <c r="Z125" s="55" t="s">
        <v>86</v>
      </c>
      <c r="AA125" s="55" t="s">
        <v>97</v>
      </c>
      <c r="AB125" s="55" t="s">
        <v>346</v>
      </c>
    </row>
    <row r="126" spans="1:28" x14ac:dyDescent="0.15">
      <c r="A126" s="55" t="s">
        <v>41</v>
      </c>
      <c r="B126" s="237" t="s">
        <v>344</v>
      </c>
      <c r="C126" s="152">
        <v>2018</v>
      </c>
      <c r="D126" s="56" t="s">
        <v>362</v>
      </c>
      <c r="E126" s="237" t="s">
        <v>170</v>
      </c>
      <c r="F126" s="237" t="s">
        <v>308</v>
      </c>
      <c r="G126" s="55" t="s">
        <v>42</v>
      </c>
      <c r="H126" s="55" t="s">
        <v>165</v>
      </c>
      <c r="I126" s="55" t="s">
        <v>155</v>
      </c>
      <c r="J126" s="55" t="s">
        <v>38</v>
      </c>
      <c r="K126" s="55" t="s">
        <v>156</v>
      </c>
      <c r="L126" s="237">
        <v>2</v>
      </c>
      <c r="N126" s="237">
        <v>1</v>
      </c>
      <c r="O126" s="55">
        <v>0.15</v>
      </c>
      <c r="P126" s="55">
        <v>0.3</v>
      </c>
      <c r="Q126" s="57">
        <f t="shared" si="5"/>
        <v>0.22499999999999998</v>
      </c>
      <c r="R126" s="237">
        <v>14.4</v>
      </c>
      <c r="S126" s="55">
        <v>138</v>
      </c>
      <c r="T126" s="57">
        <f t="shared" si="3"/>
        <v>22</v>
      </c>
      <c r="U126" s="237">
        <v>137</v>
      </c>
      <c r="V126" s="58">
        <f t="shared" si="4"/>
        <v>3014</v>
      </c>
      <c r="W126" s="237">
        <v>2</v>
      </c>
      <c r="X126" s="55" t="s">
        <v>46</v>
      </c>
      <c r="Y126" s="55" t="s">
        <v>64</v>
      </c>
      <c r="Z126" s="55" t="s">
        <v>86</v>
      </c>
      <c r="AA126" s="55" t="s">
        <v>97</v>
      </c>
      <c r="AB126" s="55" t="s">
        <v>346</v>
      </c>
    </row>
    <row r="127" spans="1:28" x14ac:dyDescent="0.15">
      <c r="A127" s="55" t="s">
        <v>41</v>
      </c>
      <c r="B127" s="237" t="s">
        <v>344</v>
      </c>
      <c r="C127" s="152">
        <v>2018</v>
      </c>
      <c r="D127" s="56" t="s">
        <v>362</v>
      </c>
      <c r="E127" s="237" t="s">
        <v>170</v>
      </c>
      <c r="F127" s="237" t="s">
        <v>308</v>
      </c>
      <c r="G127" s="55" t="s">
        <v>42</v>
      </c>
      <c r="H127" s="55" t="s">
        <v>165</v>
      </c>
      <c r="I127" s="55" t="s">
        <v>155</v>
      </c>
      <c r="J127" s="55" t="s">
        <v>38</v>
      </c>
      <c r="K127" s="55" t="s">
        <v>156</v>
      </c>
      <c r="L127" s="237">
        <v>3</v>
      </c>
      <c r="N127" s="237">
        <v>1</v>
      </c>
      <c r="O127" s="237">
        <v>0.2</v>
      </c>
      <c r="P127" s="237">
        <v>0.4</v>
      </c>
      <c r="Q127" s="57">
        <f t="shared" si="5"/>
        <v>0.30000000000000004</v>
      </c>
      <c r="R127" s="237">
        <v>12.8</v>
      </c>
      <c r="S127" s="237">
        <v>140</v>
      </c>
      <c r="T127" s="57">
        <f t="shared" si="3"/>
        <v>22</v>
      </c>
      <c r="U127" s="237">
        <v>137</v>
      </c>
      <c r="V127" s="58">
        <f t="shared" si="4"/>
        <v>3014</v>
      </c>
      <c r="W127" s="237">
        <v>2</v>
      </c>
      <c r="X127" s="55" t="s">
        <v>46</v>
      </c>
      <c r="Y127" s="55" t="s">
        <v>64</v>
      </c>
      <c r="Z127" s="55" t="s">
        <v>86</v>
      </c>
      <c r="AA127" s="55" t="s">
        <v>97</v>
      </c>
      <c r="AB127" s="55" t="s">
        <v>346</v>
      </c>
    </row>
    <row r="128" spans="1:28" x14ac:dyDescent="0.15">
      <c r="A128" s="55" t="s">
        <v>41</v>
      </c>
      <c r="B128" s="237" t="s">
        <v>344</v>
      </c>
      <c r="C128" s="152">
        <v>2018</v>
      </c>
      <c r="D128" s="56" t="s">
        <v>362</v>
      </c>
      <c r="E128" s="237" t="s">
        <v>170</v>
      </c>
      <c r="F128" s="237" t="s">
        <v>308</v>
      </c>
      <c r="G128" s="55" t="s">
        <v>42</v>
      </c>
      <c r="H128" s="55" t="s">
        <v>165</v>
      </c>
      <c r="I128" s="55" t="s">
        <v>155</v>
      </c>
      <c r="J128" s="55" t="s">
        <v>38</v>
      </c>
      <c r="K128" s="55" t="s">
        <v>156</v>
      </c>
      <c r="L128" s="237">
        <v>1</v>
      </c>
      <c r="N128" s="237">
        <v>4</v>
      </c>
      <c r="O128" s="237">
        <v>0.55000000000000004</v>
      </c>
      <c r="P128" s="237">
        <v>0.5</v>
      </c>
      <c r="Q128" s="57">
        <f t="shared" si="5"/>
        <v>0.52500000000000002</v>
      </c>
      <c r="R128" s="237">
        <v>14.6</v>
      </c>
      <c r="S128" s="237">
        <v>131</v>
      </c>
      <c r="T128" s="57">
        <f t="shared" si="3"/>
        <v>25</v>
      </c>
      <c r="U128" s="237">
        <v>471</v>
      </c>
      <c r="V128" s="58">
        <f t="shared" si="4"/>
        <v>2943.75</v>
      </c>
      <c r="W128" s="237">
        <v>2</v>
      </c>
      <c r="X128" s="55" t="s">
        <v>46</v>
      </c>
      <c r="Y128" s="55" t="s">
        <v>64</v>
      </c>
      <c r="Z128" s="55" t="s">
        <v>86</v>
      </c>
      <c r="AA128" s="55" t="s">
        <v>97</v>
      </c>
      <c r="AB128" s="55" t="s">
        <v>346</v>
      </c>
    </row>
    <row r="129" spans="1:28" x14ac:dyDescent="0.15">
      <c r="A129" s="55" t="s">
        <v>41</v>
      </c>
      <c r="B129" s="237" t="s">
        <v>344</v>
      </c>
      <c r="C129" s="152">
        <v>2018</v>
      </c>
      <c r="D129" s="56" t="s">
        <v>362</v>
      </c>
      <c r="E129" s="237" t="s">
        <v>170</v>
      </c>
      <c r="F129" s="237" t="s">
        <v>308</v>
      </c>
      <c r="G129" s="55" t="s">
        <v>42</v>
      </c>
      <c r="H129" s="55" t="s">
        <v>165</v>
      </c>
      <c r="I129" s="55" t="s">
        <v>155</v>
      </c>
      <c r="J129" s="55" t="s">
        <v>38</v>
      </c>
      <c r="K129" s="55" t="s">
        <v>156</v>
      </c>
      <c r="L129" s="237">
        <v>2</v>
      </c>
      <c r="N129" s="237">
        <v>4</v>
      </c>
      <c r="O129" s="237">
        <v>0.75</v>
      </c>
      <c r="P129" s="237">
        <v>0.5</v>
      </c>
      <c r="Q129" s="57">
        <f t="shared" si="5"/>
        <v>0.625</v>
      </c>
      <c r="R129" s="237">
        <v>16.2</v>
      </c>
      <c r="S129" s="237">
        <v>122</v>
      </c>
      <c r="T129" s="57">
        <f t="shared" si="3"/>
        <v>27</v>
      </c>
      <c r="U129" s="237">
        <v>471</v>
      </c>
      <c r="V129" s="58">
        <f t="shared" si="4"/>
        <v>3179.25</v>
      </c>
      <c r="W129" s="237">
        <v>2</v>
      </c>
      <c r="X129" s="55" t="s">
        <v>46</v>
      </c>
      <c r="Y129" s="55" t="s">
        <v>64</v>
      </c>
      <c r="Z129" s="55" t="s">
        <v>86</v>
      </c>
      <c r="AA129" s="55" t="s">
        <v>97</v>
      </c>
      <c r="AB129" s="55" t="s">
        <v>346</v>
      </c>
    </row>
    <row r="130" spans="1:28" x14ac:dyDescent="0.15">
      <c r="A130" s="55" t="s">
        <v>41</v>
      </c>
      <c r="B130" s="237" t="s">
        <v>344</v>
      </c>
      <c r="C130" s="152">
        <v>2018</v>
      </c>
      <c r="D130" s="56" t="s">
        <v>362</v>
      </c>
      <c r="E130" s="237" t="s">
        <v>170</v>
      </c>
      <c r="F130" s="237" t="s">
        <v>308</v>
      </c>
      <c r="G130" s="55" t="s">
        <v>42</v>
      </c>
      <c r="H130" s="55" t="s">
        <v>165</v>
      </c>
      <c r="I130" s="55" t="s">
        <v>155</v>
      </c>
      <c r="J130" s="55" t="s">
        <v>38</v>
      </c>
      <c r="K130" s="55" t="s">
        <v>156</v>
      </c>
      <c r="L130" s="237">
        <v>3</v>
      </c>
      <c r="N130" s="237">
        <v>4</v>
      </c>
      <c r="O130" s="237">
        <v>0.6</v>
      </c>
      <c r="P130" s="237">
        <v>0.65</v>
      </c>
      <c r="Q130" s="57">
        <f t="shared" si="5"/>
        <v>0.625</v>
      </c>
      <c r="R130" s="237">
        <v>13.4</v>
      </c>
      <c r="S130" s="237">
        <v>125</v>
      </c>
      <c r="T130" s="57">
        <f t="shared" ref="T130:T142" si="6">IF(H130="","",IF(OR(H130="GREEN",H130="GK"),IF(S130&gt;=$AX$2,VLOOKUP(S130,$AX$2:$AY$10,2,1),""),IF(S130&gt;=$AZ$2,VLOOKUP(S130,$AZ$2:$BA$10,2,1),"")))</f>
        <v>27</v>
      </c>
      <c r="U130" s="237">
        <v>471</v>
      </c>
      <c r="V130" s="58">
        <f t="shared" ref="V130:V142" si="7">IF(OR(N130="",U130="",T130=""),"",U130/N130*T130)</f>
        <v>3179.25</v>
      </c>
      <c r="W130" s="237">
        <v>2</v>
      </c>
      <c r="X130" s="55" t="s">
        <v>46</v>
      </c>
      <c r="Y130" s="55" t="s">
        <v>64</v>
      </c>
      <c r="Z130" s="55" t="s">
        <v>86</v>
      </c>
      <c r="AA130" s="55" t="s">
        <v>97</v>
      </c>
      <c r="AB130" s="55" t="s">
        <v>346</v>
      </c>
    </row>
    <row r="131" spans="1:28" x14ac:dyDescent="0.15">
      <c r="A131" s="55" t="s">
        <v>41</v>
      </c>
      <c r="B131" s="237" t="s">
        <v>344</v>
      </c>
      <c r="C131" s="152">
        <v>2018</v>
      </c>
      <c r="D131" s="56" t="s">
        <v>362</v>
      </c>
      <c r="E131" s="237" t="s">
        <v>170</v>
      </c>
      <c r="F131" s="237" t="s">
        <v>308</v>
      </c>
      <c r="G131" s="55" t="s">
        <v>42</v>
      </c>
      <c r="H131" s="55" t="s">
        <v>157</v>
      </c>
      <c r="I131" s="55" t="s">
        <v>155</v>
      </c>
      <c r="J131" s="55" t="s">
        <v>38</v>
      </c>
      <c r="K131" s="55" t="s">
        <v>156</v>
      </c>
      <c r="L131" s="237">
        <v>1</v>
      </c>
      <c r="N131" s="237">
        <v>1</v>
      </c>
      <c r="O131" s="55">
        <v>0.8</v>
      </c>
      <c r="P131" s="55">
        <v>0.7</v>
      </c>
      <c r="Q131" s="82">
        <f t="shared" si="5"/>
        <v>0.75</v>
      </c>
      <c r="R131" s="55">
        <v>13</v>
      </c>
      <c r="S131" s="55">
        <v>131</v>
      </c>
      <c r="T131" s="57">
        <f t="shared" si="6"/>
        <v>25</v>
      </c>
      <c r="U131" s="237">
        <v>137</v>
      </c>
      <c r="V131" s="58">
        <f t="shared" si="7"/>
        <v>3425</v>
      </c>
      <c r="W131" s="237">
        <v>2</v>
      </c>
      <c r="X131" s="55" t="s">
        <v>46</v>
      </c>
      <c r="Y131" s="55" t="s">
        <v>64</v>
      </c>
      <c r="Z131" s="55" t="s">
        <v>86</v>
      </c>
      <c r="AA131" s="55" t="s">
        <v>97</v>
      </c>
      <c r="AB131" s="55" t="s">
        <v>346</v>
      </c>
    </row>
    <row r="132" spans="1:28" x14ac:dyDescent="0.15">
      <c r="A132" s="55" t="s">
        <v>41</v>
      </c>
      <c r="B132" s="237" t="s">
        <v>344</v>
      </c>
      <c r="C132" s="152">
        <v>2018</v>
      </c>
      <c r="D132" s="56" t="s">
        <v>362</v>
      </c>
      <c r="E132" s="237" t="s">
        <v>170</v>
      </c>
      <c r="F132" s="237" t="s">
        <v>308</v>
      </c>
      <c r="G132" s="55" t="s">
        <v>42</v>
      </c>
      <c r="H132" s="55" t="s">
        <v>157</v>
      </c>
      <c r="I132" s="55" t="s">
        <v>155</v>
      </c>
      <c r="J132" s="55" t="s">
        <v>38</v>
      </c>
      <c r="K132" s="55" t="s">
        <v>156</v>
      </c>
      <c r="L132" s="237">
        <v>2</v>
      </c>
      <c r="N132" s="237">
        <v>1</v>
      </c>
      <c r="O132" s="55">
        <v>0.55000000000000004</v>
      </c>
      <c r="P132" s="55">
        <v>0.5</v>
      </c>
      <c r="Q132" s="82">
        <f t="shared" si="5"/>
        <v>0.52500000000000002</v>
      </c>
      <c r="R132" s="55">
        <v>15.1</v>
      </c>
      <c r="S132" s="55">
        <v>128</v>
      </c>
      <c r="T132" s="57">
        <f t="shared" si="6"/>
        <v>27</v>
      </c>
      <c r="U132" s="237">
        <v>137</v>
      </c>
      <c r="V132" s="58">
        <f t="shared" si="7"/>
        <v>3699</v>
      </c>
      <c r="W132" s="237">
        <v>2</v>
      </c>
      <c r="X132" s="55" t="s">
        <v>46</v>
      </c>
      <c r="Y132" s="55" t="s">
        <v>64</v>
      </c>
      <c r="Z132" s="55" t="s">
        <v>86</v>
      </c>
      <c r="AA132" s="55" t="s">
        <v>97</v>
      </c>
      <c r="AB132" s="55" t="s">
        <v>346</v>
      </c>
    </row>
    <row r="133" spans="1:28" x14ac:dyDescent="0.15">
      <c r="A133" s="55" t="s">
        <v>41</v>
      </c>
      <c r="B133" s="237" t="s">
        <v>344</v>
      </c>
      <c r="C133" s="152">
        <v>2018</v>
      </c>
      <c r="D133" s="56" t="s">
        <v>362</v>
      </c>
      <c r="E133" s="237" t="s">
        <v>170</v>
      </c>
      <c r="F133" s="237" t="s">
        <v>308</v>
      </c>
      <c r="G133" s="55" t="s">
        <v>42</v>
      </c>
      <c r="H133" s="55" t="s">
        <v>157</v>
      </c>
      <c r="I133" s="55" t="s">
        <v>155</v>
      </c>
      <c r="J133" s="55" t="s">
        <v>38</v>
      </c>
      <c r="K133" s="55" t="s">
        <v>156</v>
      </c>
      <c r="L133" s="237">
        <v>3</v>
      </c>
      <c r="N133" s="237">
        <v>1</v>
      </c>
      <c r="O133" s="55">
        <v>0.65</v>
      </c>
      <c r="P133" s="55">
        <v>0.6</v>
      </c>
      <c r="Q133" s="82">
        <f t="shared" ref="Q133:Q148" si="8">IF(OR(O133="",P133=""),"",AVERAGE(O133,P133))</f>
        <v>0.625</v>
      </c>
      <c r="R133" s="55">
        <v>13.8</v>
      </c>
      <c r="S133" s="55">
        <v>129</v>
      </c>
      <c r="T133" s="57">
        <f t="shared" si="6"/>
        <v>25</v>
      </c>
      <c r="U133" s="237">
        <v>137</v>
      </c>
      <c r="V133" s="58">
        <f t="shared" si="7"/>
        <v>3425</v>
      </c>
      <c r="W133" s="237">
        <v>2</v>
      </c>
      <c r="X133" s="55" t="s">
        <v>46</v>
      </c>
      <c r="Y133" s="55" t="s">
        <v>64</v>
      </c>
      <c r="Z133" s="55" t="s">
        <v>86</v>
      </c>
      <c r="AA133" s="55" t="s">
        <v>97</v>
      </c>
      <c r="AB133" s="55" t="s">
        <v>346</v>
      </c>
    </row>
    <row r="134" spans="1:28" x14ac:dyDescent="0.15">
      <c r="A134" s="55" t="s">
        <v>41</v>
      </c>
      <c r="B134" s="237" t="s">
        <v>344</v>
      </c>
      <c r="C134" s="152">
        <v>2018</v>
      </c>
      <c r="D134" s="56" t="s">
        <v>362</v>
      </c>
      <c r="E134" s="237" t="s">
        <v>170</v>
      </c>
      <c r="F134" s="237" t="s">
        <v>308</v>
      </c>
      <c r="G134" s="55" t="s">
        <v>42</v>
      </c>
      <c r="H134" s="55" t="s">
        <v>157</v>
      </c>
      <c r="I134" s="55" t="s">
        <v>155</v>
      </c>
      <c r="J134" s="55" t="s">
        <v>38</v>
      </c>
      <c r="K134" s="55" t="s">
        <v>156</v>
      </c>
      <c r="L134" s="237">
        <v>1</v>
      </c>
      <c r="N134" s="237">
        <v>4</v>
      </c>
      <c r="O134" s="55">
        <v>0.45</v>
      </c>
      <c r="P134" s="55">
        <v>0.5</v>
      </c>
      <c r="Q134" s="82">
        <f t="shared" si="8"/>
        <v>0.47499999999999998</v>
      </c>
      <c r="R134" s="55">
        <v>14.1</v>
      </c>
      <c r="S134" s="55">
        <v>130</v>
      </c>
      <c r="T134" s="57">
        <f t="shared" si="6"/>
        <v>25</v>
      </c>
      <c r="U134" s="237">
        <v>471</v>
      </c>
      <c r="V134" s="58">
        <f t="shared" si="7"/>
        <v>2943.75</v>
      </c>
      <c r="W134" s="237">
        <v>2</v>
      </c>
      <c r="X134" s="55" t="s">
        <v>46</v>
      </c>
      <c r="Y134" s="55" t="s">
        <v>64</v>
      </c>
      <c r="Z134" s="55" t="s">
        <v>86</v>
      </c>
      <c r="AA134" s="55" t="s">
        <v>97</v>
      </c>
      <c r="AB134" s="55" t="s">
        <v>346</v>
      </c>
    </row>
    <row r="135" spans="1:28" x14ac:dyDescent="0.15">
      <c r="A135" s="55" t="s">
        <v>41</v>
      </c>
      <c r="B135" s="237" t="s">
        <v>344</v>
      </c>
      <c r="C135" s="152">
        <v>2018</v>
      </c>
      <c r="D135" s="56" t="s">
        <v>362</v>
      </c>
      <c r="E135" s="237" t="s">
        <v>170</v>
      </c>
      <c r="F135" s="237" t="s">
        <v>308</v>
      </c>
      <c r="G135" s="55" t="s">
        <v>42</v>
      </c>
      <c r="H135" s="55" t="s">
        <v>157</v>
      </c>
      <c r="I135" s="55" t="s">
        <v>155</v>
      </c>
      <c r="J135" s="55" t="s">
        <v>38</v>
      </c>
      <c r="K135" s="55" t="s">
        <v>156</v>
      </c>
      <c r="L135" s="237">
        <v>2</v>
      </c>
      <c r="N135" s="237">
        <v>4</v>
      </c>
      <c r="O135" s="55">
        <v>0.5</v>
      </c>
      <c r="P135" s="55">
        <v>0.5</v>
      </c>
      <c r="Q135" s="82">
        <f t="shared" si="8"/>
        <v>0.5</v>
      </c>
      <c r="R135" s="55">
        <v>15.1</v>
      </c>
      <c r="S135" s="55">
        <v>127</v>
      </c>
      <c r="T135" s="57">
        <f t="shared" si="6"/>
        <v>27</v>
      </c>
      <c r="U135" s="237">
        <v>471</v>
      </c>
      <c r="V135" s="58">
        <f t="shared" si="7"/>
        <v>3179.25</v>
      </c>
      <c r="W135" s="237">
        <v>2</v>
      </c>
      <c r="X135" s="55" t="s">
        <v>46</v>
      </c>
      <c r="Y135" s="55" t="s">
        <v>64</v>
      </c>
      <c r="Z135" s="55" t="s">
        <v>86</v>
      </c>
      <c r="AA135" s="55" t="s">
        <v>97</v>
      </c>
      <c r="AB135" s="55" t="s">
        <v>346</v>
      </c>
    </row>
    <row r="136" spans="1:28" x14ac:dyDescent="0.15">
      <c r="A136" s="55" t="s">
        <v>41</v>
      </c>
      <c r="B136" s="237" t="s">
        <v>344</v>
      </c>
      <c r="C136" s="152">
        <v>2018</v>
      </c>
      <c r="D136" s="56" t="s">
        <v>362</v>
      </c>
      <c r="E136" s="237" t="s">
        <v>170</v>
      </c>
      <c r="F136" s="237" t="s">
        <v>308</v>
      </c>
      <c r="G136" s="55" t="s">
        <v>42</v>
      </c>
      <c r="H136" s="55" t="s">
        <v>157</v>
      </c>
      <c r="I136" s="55" t="s">
        <v>155</v>
      </c>
      <c r="J136" s="55" t="s">
        <v>38</v>
      </c>
      <c r="K136" s="55" t="s">
        <v>156</v>
      </c>
      <c r="L136" s="237">
        <v>3</v>
      </c>
      <c r="N136" s="237">
        <v>4</v>
      </c>
      <c r="O136" s="55">
        <v>0.65</v>
      </c>
      <c r="P136" s="55">
        <v>0.6</v>
      </c>
      <c r="Q136" s="82">
        <f t="shared" si="8"/>
        <v>0.625</v>
      </c>
      <c r="R136" s="55">
        <v>14.4</v>
      </c>
      <c r="S136" s="55">
        <v>124</v>
      </c>
      <c r="T136" s="57">
        <f t="shared" si="6"/>
        <v>27</v>
      </c>
      <c r="U136" s="237">
        <v>471</v>
      </c>
      <c r="V136" s="58">
        <f t="shared" si="7"/>
        <v>3179.25</v>
      </c>
      <c r="W136" s="237">
        <v>2</v>
      </c>
      <c r="X136" s="55" t="s">
        <v>46</v>
      </c>
      <c r="Y136" s="55" t="s">
        <v>64</v>
      </c>
      <c r="Z136" s="55" t="s">
        <v>86</v>
      </c>
      <c r="AA136" s="55" t="s">
        <v>97</v>
      </c>
      <c r="AB136" s="55" t="s">
        <v>346</v>
      </c>
    </row>
    <row r="137" spans="1:28" x14ac:dyDescent="0.15">
      <c r="A137" s="55" t="s">
        <v>41</v>
      </c>
      <c r="B137" s="237" t="s">
        <v>344</v>
      </c>
      <c r="C137" s="152">
        <v>2018</v>
      </c>
      <c r="D137" s="56" t="s">
        <v>362</v>
      </c>
      <c r="E137" s="237" t="s">
        <v>299</v>
      </c>
      <c r="F137" s="237" t="s">
        <v>304</v>
      </c>
      <c r="G137" s="55" t="s">
        <v>42</v>
      </c>
      <c r="H137" s="55" t="s">
        <v>165</v>
      </c>
      <c r="I137" s="55" t="s">
        <v>155</v>
      </c>
      <c r="J137" s="55" t="s">
        <v>38</v>
      </c>
      <c r="K137" s="55" t="s">
        <v>156</v>
      </c>
      <c r="L137" s="237">
        <v>1</v>
      </c>
      <c r="N137" s="237">
        <v>1</v>
      </c>
      <c r="O137" s="55">
        <v>0.25</v>
      </c>
      <c r="P137" s="55">
        <v>0.2</v>
      </c>
      <c r="Q137" s="82">
        <f t="shared" si="8"/>
        <v>0.22500000000000001</v>
      </c>
      <c r="R137" s="55">
        <v>15.9</v>
      </c>
      <c r="S137" s="55">
        <v>118</v>
      </c>
      <c r="T137" s="57">
        <f t="shared" si="6"/>
        <v>30</v>
      </c>
      <c r="U137" s="237">
        <v>104</v>
      </c>
      <c r="V137" s="58">
        <f t="shared" si="7"/>
        <v>3120</v>
      </c>
      <c r="W137" s="237">
        <v>4</v>
      </c>
      <c r="X137" s="55" t="s">
        <v>46</v>
      </c>
      <c r="Y137" s="55" t="s">
        <v>97</v>
      </c>
      <c r="Z137" s="55" t="s">
        <v>64</v>
      </c>
      <c r="AA137" s="55" t="s">
        <v>88</v>
      </c>
      <c r="AB137" s="55" t="s">
        <v>346</v>
      </c>
    </row>
    <row r="138" spans="1:28" x14ac:dyDescent="0.15">
      <c r="A138" s="55" t="s">
        <v>41</v>
      </c>
      <c r="B138" s="237" t="s">
        <v>344</v>
      </c>
      <c r="C138" s="152">
        <v>2018</v>
      </c>
      <c r="D138" s="56" t="s">
        <v>362</v>
      </c>
      <c r="E138" s="237" t="s">
        <v>299</v>
      </c>
      <c r="F138" s="237" t="s">
        <v>304</v>
      </c>
      <c r="G138" s="55" t="s">
        <v>42</v>
      </c>
      <c r="H138" s="55" t="s">
        <v>165</v>
      </c>
      <c r="I138" s="55" t="s">
        <v>155</v>
      </c>
      <c r="J138" s="55" t="s">
        <v>38</v>
      </c>
      <c r="K138" s="55" t="s">
        <v>156</v>
      </c>
      <c r="L138" s="237">
        <v>2</v>
      </c>
      <c r="N138" s="237">
        <v>1</v>
      </c>
      <c r="O138" s="55">
        <v>0.2</v>
      </c>
      <c r="P138" s="55">
        <v>0.25</v>
      </c>
      <c r="Q138" s="82">
        <f t="shared" si="8"/>
        <v>0.22500000000000001</v>
      </c>
      <c r="R138" s="55">
        <v>16</v>
      </c>
      <c r="S138" s="55">
        <v>121</v>
      </c>
      <c r="T138" s="57">
        <f t="shared" si="6"/>
        <v>27</v>
      </c>
      <c r="U138" s="237">
        <v>104</v>
      </c>
      <c r="V138" s="58">
        <f t="shared" si="7"/>
        <v>2808</v>
      </c>
      <c r="W138" s="237">
        <v>4</v>
      </c>
      <c r="X138" s="55" t="s">
        <v>46</v>
      </c>
      <c r="Y138" s="55" t="s">
        <v>97</v>
      </c>
      <c r="Z138" s="55" t="s">
        <v>64</v>
      </c>
      <c r="AA138" s="55" t="s">
        <v>88</v>
      </c>
      <c r="AB138" s="55" t="s">
        <v>346</v>
      </c>
    </row>
    <row r="139" spans="1:28" x14ac:dyDescent="0.15">
      <c r="A139" s="55" t="s">
        <v>41</v>
      </c>
      <c r="B139" s="237" t="s">
        <v>344</v>
      </c>
      <c r="C139" s="152">
        <v>2018</v>
      </c>
      <c r="D139" s="56" t="s">
        <v>362</v>
      </c>
      <c r="E139" s="237" t="s">
        <v>299</v>
      </c>
      <c r="F139" s="237" t="s">
        <v>304</v>
      </c>
      <c r="G139" s="55" t="s">
        <v>42</v>
      </c>
      <c r="H139" s="55" t="s">
        <v>165</v>
      </c>
      <c r="I139" s="55" t="s">
        <v>155</v>
      </c>
      <c r="J139" s="55" t="s">
        <v>38</v>
      </c>
      <c r="K139" s="55" t="s">
        <v>156</v>
      </c>
      <c r="L139" s="237">
        <v>3</v>
      </c>
      <c r="N139" s="237">
        <v>1</v>
      </c>
      <c r="O139" s="55">
        <v>0.3</v>
      </c>
      <c r="P139" s="55">
        <v>0.25</v>
      </c>
      <c r="Q139" s="82">
        <f t="shared" si="8"/>
        <v>0.27500000000000002</v>
      </c>
      <c r="R139" s="55">
        <v>14.2</v>
      </c>
      <c r="S139" s="55">
        <v>114</v>
      </c>
      <c r="T139" s="57">
        <f t="shared" si="6"/>
        <v>30</v>
      </c>
      <c r="U139" s="237">
        <v>104</v>
      </c>
      <c r="V139" s="58">
        <f t="shared" si="7"/>
        <v>3120</v>
      </c>
      <c r="W139" s="237">
        <v>4</v>
      </c>
      <c r="X139" s="55" t="s">
        <v>46</v>
      </c>
      <c r="Y139" s="55" t="s">
        <v>97</v>
      </c>
      <c r="Z139" s="55" t="s">
        <v>64</v>
      </c>
      <c r="AA139" s="55" t="s">
        <v>88</v>
      </c>
      <c r="AB139" s="55" t="s">
        <v>346</v>
      </c>
    </row>
    <row r="140" spans="1:28" x14ac:dyDescent="0.15">
      <c r="A140" s="55" t="s">
        <v>41</v>
      </c>
      <c r="B140" s="237" t="s">
        <v>344</v>
      </c>
      <c r="C140" s="152">
        <v>2018</v>
      </c>
      <c r="D140" s="56" t="s">
        <v>362</v>
      </c>
      <c r="E140" s="237" t="s">
        <v>299</v>
      </c>
      <c r="F140" s="237" t="s">
        <v>304</v>
      </c>
      <c r="G140" s="55" t="s">
        <v>42</v>
      </c>
      <c r="H140" s="55" t="s">
        <v>157</v>
      </c>
      <c r="I140" s="55" t="s">
        <v>155</v>
      </c>
      <c r="J140" s="55" t="s">
        <v>38</v>
      </c>
      <c r="K140" s="55" t="s">
        <v>156</v>
      </c>
      <c r="L140" s="237">
        <v>1</v>
      </c>
      <c r="N140" s="237">
        <v>1</v>
      </c>
      <c r="O140" s="55">
        <v>0.85</v>
      </c>
      <c r="P140" s="55">
        <v>0.8</v>
      </c>
      <c r="Q140" s="82">
        <f t="shared" si="8"/>
        <v>0.82499999999999996</v>
      </c>
      <c r="R140" s="55">
        <v>14.9</v>
      </c>
      <c r="S140" s="55">
        <v>118</v>
      </c>
      <c r="T140" s="57">
        <f t="shared" si="6"/>
        <v>30</v>
      </c>
      <c r="U140" s="237">
        <v>104</v>
      </c>
      <c r="V140" s="58">
        <f t="shared" si="7"/>
        <v>3120</v>
      </c>
      <c r="W140" s="237">
        <v>3</v>
      </c>
      <c r="X140" s="55" t="s">
        <v>46</v>
      </c>
      <c r="Y140" s="55" t="s">
        <v>97</v>
      </c>
      <c r="Z140" s="55" t="s">
        <v>64</v>
      </c>
      <c r="AA140" s="55" t="s">
        <v>88</v>
      </c>
      <c r="AB140" s="55" t="s">
        <v>346</v>
      </c>
    </row>
    <row r="141" spans="1:28" x14ac:dyDescent="0.15">
      <c r="A141" s="55" t="s">
        <v>41</v>
      </c>
      <c r="B141" s="237" t="s">
        <v>344</v>
      </c>
      <c r="C141" s="152">
        <v>2018</v>
      </c>
      <c r="D141" s="56" t="s">
        <v>362</v>
      </c>
      <c r="E141" s="237" t="s">
        <v>299</v>
      </c>
      <c r="F141" s="237" t="s">
        <v>304</v>
      </c>
      <c r="G141" s="55" t="s">
        <v>42</v>
      </c>
      <c r="H141" s="55" t="s">
        <v>157</v>
      </c>
      <c r="I141" s="55" t="s">
        <v>155</v>
      </c>
      <c r="J141" s="55" t="s">
        <v>38</v>
      </c>
      <c r="K141" s="55" t="s">
        <v>156</v>
      </c>
      <c r="L141" s="237">
        <v>2</v>
      </c>
      <c r="N141" s="237">
        <v>1</v>
      </c>
      <c r="O141" s="55">
        <v>0.9</v>
      </c>
      <c r="P141" s="55">
        <v>0.95</v>
      </c>
      <c r="Q141" s="82">
        <f t="shared" si="8"/>
        <v>0.92500000000000004</v>
      </c>
      <c r="R141" s="55">
        <v>13.4</v>
      </c>
      <c r="S141" s="55">
        <v>115</v>
      </c>
      <c r="T141" s="57">
        <f t="shared" si="6"/>
        <v>30</v>
      </c>
      <c r="U141" s="237">
        <v>104</v>
      </c>
      <c r="V141" s="58">
        <f t="shared" si="7"/>
        <v>3120</v>
      </c>
      <c r="W141" s="237">
        <v>3</v>
      </c>
      <c r="X141" s="55" t="s">
        <v>46</v>
      </c>
      <c r="Y141" s="55" t="s">
        <v>97</v>
      </c>
      <c r="Z141" s="55" t="s">
        <v>64</v>
      </c>
      <c r="AA141" s="55" t="s">
        <v>88</v>
      </c>
      <c r="AB141" s="55" t="s">
        <v>346</v>
      </c>
    </row>
    <row r="142" spans="1:28" x14ac:dyDescent="0.15">
      <c r="A142" s="55" t="s">
        <v>41</v>
      </c>
      <c r="B142" s="237" t="s">
        <v>344</v>
      </c>
      <c r="C142" s="152">
        <v>2018</v>
      </c>
      <c r="D142" s="56" t="s">
        <v>362</v>
      </c>
      <c r="E142" s="237" t="s">
        <v>299</v>
      </c>
      <c r="F142" s="237" t="s">
        <v>304</v>
      </c>
      <c r="G142" s="55" t="s">
        <v>42</v>
      </c>
      <c r="H142" s="55" t="s">
        <v>157</v>
      </c>
      <c r="I142" s="55" t="s">
        <v>155</v>
      </c>
      <c r="J142" s="55" t="s">
        <v>38</v>
      </c>
      <c r="K142" s="55" t="s">
        <v>156</v>
      </c>
      <c r="L142" s="237">
        <v>3</v>
      </c>
      <c r="N142" s="237">
        <v>1</v>
      </c>
      <c r="O142" s="55">
        <v>0.75</v>
      </c>
      <c r="P142" s="55">
        <v>0.85</v>
      </c>
      <c r="Q142" s="82">
        <f t="shared" si="8"/>
        <v>0.8</v>
      </c>
      <c r="R142" s="55">
        <v>15.8</v>
      </c>
      <c r="S142" s="55">
        <v>113</v>
      </c>
      <c r="T142" s="57">
        <f t="shared" si="6"/>
        <v>30</v>
      </c>
      <c r="U142" s="237">
        <v>104</v>
      </c>
      <c r="V142" s="58">
        <f t="shared" si="7"/>
        <v>3120</v>
      </c>
      <c r="W142" s="237">
        <v>3</v>
      </c>
      <c r="X142" s="55" t="s">
        <v>46</v>
      </c>
      <c r="Y142" s="55" t="s">
        <v>97</v>
      </c>
      <c r="Z142" s="55" t="s">
        <v>64</v>
      </c>
      <c r="AA142" s="55" t="s">
        <v>88</v>
      </c>
      <c r="AB142" s="55" t="s">
        <v>346</v>
      </c>
    </row>
    <row r="143" spans="1:28" x14ac:dyDescent="0.15">
      <c r="K143" s="55"/>
      <c r="O143" s="55"/>
      <c r="P143" s="55"/>
      <c r="Q143" s="82"/>
      <c r="R143" s="55"/>
      <c r="S143" s="55"/>
      <c r="Y143" s="55"/>
    </row>
    <row r="144" spans="1:28" x14ac:dyDescent="0.15">
      <c r="K144" s="55"/>
      <c r="O144" s="55"/>
      <c r="P144" s="55"/>
      <c r="Q144" s="82"/>
      <c r="R144" s="55"/>
      <c r="S144" s="55"/>
      <c r="Y144" s="55"/>
    </row>
    <row r="145" spans="11:25" x14ac:dyDescent="0.15">
      <c r="K145" s="55"/>
      <c r="Y145" s="55"/>
    </row>
    <row r="146" spans="11:25" x14ac:dyDescent="0.15">
      <c r="K146" s="55"/>
      <c r="Y146" s="55"/>
    </row>
    <row r="147" spans="11:25" x14ac:dyDescent="0.15">
      <c r="K147" s="55"/>
      <c r="Y147" s="55"/>
    </row>
    <row r="148" spans="11:25" x14ac:dyDescent="0.15">
      <c r="K148" s="55"/>
      <c r="Y148" s="55"/>
    </row>
    <row r="149" spans="11:25" x14ac:dyDescent="0.15">
      <c r="K149" s="55"/>
      <c r="Y149" s="55"/>
    </row>
    <row r="150" spans="11:25" x14ac:dyDescent="0.15">
      <c r="K150" s="55"/>
      <c r="Y150" s="55"/>
    </row>
    <row r="151" spans="11:25" x14ac:dyDescent="0.15">
      <c r="K151" s="55"/>
      <c r="Y151" s="55"/>
    </row>
    <row r="152" spans="11:25" x14ac:dyDescent="0.15">
      <c r="K152" s="55"/>
      <c r="Y152" s="55"/>
    </row>
    <row r="153" spans="11:25" x14ac:dyDescent="0.15">
      <c r="K153" s="55"/>
      <c r="Y153" s="55"/>
    </row>
    <row r="154" spans="11:25" x14ac:dyDescent="0.15">
      <c r="K154" s="55"/>
      <c r="Y154" s="55"/>
    </row>
    <row r="155" spans="11:25" x14ac:dyDescent="0.15">
      <c r="K155" s="55"/>
      <c r="Y155" s="55"/>
    </row>
    <row r="156" spans="11:25" x14ac:dyDescent="0.15">
      <c r="K156" s="55"/>
      <c r="Y156" s="55"/>
    </row>
    <row r="157" spans="11:25" x14ac:dyDescent="0.15">
      <c r="K157" s="55"/>
      <c r="Y157" s="55"/>
    </row>
    <row r="158" spans="11:25" x14ac:dyDescent="0.15">
      <c r="K158" s="55"/>
      <c r="Y158" s="55"/>
    </row>
    <row r="159" spans="11:25" x14ac:dyDescent="0.15">
      <c r="K159" s="55"/>
      <c r="Y159" s="55"/>
    </row>
    <row r="160" spans="11:25" x14ac:dyDescent="0.15">
      <c r="Y160" s="55"/>
    </row>
  </sheetData>
  <autoFilter ref="A1:BA142"/>
  <dataConsolidate/>
  <phoneticPr fontId="3"/>
  <dataValidations count="13">
    <dataValidation operator="equal" allowBlank="1" showInputMessage="1" showErrorMessage="1" sqref="B2:B142"/>
    <dataValidation type="list" allowBlank="1" showInputMessage="1" showErrorMessage="1" sqref="Y1:AA1048576">
      <formula1>$AV$2:$AV$21</formula1>
    </dataValidation>
    <dataValidation type="list" allowBlank="1" showInputMessage="1" showErrorMessage="1" sqref="F1:F1048576">
      <formula1>$AH$2:$AH$11</formula1>
    </dataValidation>
    <dataValidation type="list" allowBlank="1" showInputMessage="1" showErrorMessage="1" sqref="E1:E1048576">
      <formula1>$AG$2:$AG$11</formula1>
    </dataValidation>
    <dataValidation type="list" allowBlank="1" showInputMessage="1" showErrorMessage="1" sqref="K2:K159">
      <formula1>$AR$2:$AR$23</formula1>
    </dataValidation>
    <dataValidation type="list" allowBlank="1" showInputMessage="1" showErrorMessage="1" sqref="J2:J343">
      <formula1>$AP$2:$AP$19</formula1>
    </dataValidation>
    <dataValidation type="list" allowBlank="1" showInputMessage="1" showErrorMessage="1" sqref="A2:A343">
      <formula1>$AE$2:$AE$16</formula1>
    </dataValidation>
    <dataValidation type="list" allowBlank="1" showInputMessage="1" showErrorMessage="1" sqref="X2:X343">
      <formula1>$AT$2:$AT$3</formula1>
    </dataValidation>
    <dataValidation type="list" allowBlank="1" showInputMessage="1" showErrorMessage="1" sqref="I2:I343">
      <formula1>$AN$5:$AN$6</formula1>
    </dataValidation>
    <dataValidation type="list" allowBlank="1" showInputMessage="1" showErrorMessage="1" sqref="G2:G343">
      <formula1>$AJ$2:$AJ$4</formula1>
    </dataValidation>
    <dataValidation type="list" allowBlank="1" showInputMessage="1" showErrorMessage="1" sqref="H2:H343">
      <formula1>$AL$2:$AL$8</formula1>
    </dataValidation>
    <dataValidation type="decimal" allowBlank="1" showInputMessage="1" showErrorMessage="1" error="硬度を正しく入力して下さい。" sqref="O2:P343">
      <formula1>0</formula1>
      <formula2>7</formula2>
    </dataValidation>
    <dataValidation type="list" allowBlank="1" showInputMessage="1" showErrorMessage="1" sqref="K160:K343">
      <formula1>$AR$2:$AR$19</formula1>
    </dataValidation>
  </dataValidations>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50"/>
  <sheetViews>
    <sheetView zoomScale="70" zoomScaleNormal="70" workbookViewId="0">
      <selection activeCell="D80" sqref="D80"/>
    </sheetView>
  </sheetViews>
  <sheetFormatPr defaultRowHeight="13.5" x14ac:dyDescent="0.15"/>
  <cols>
    <col min="1" max="1" width="9" style="208"/>
    <col min="2" max="2" width="9" style="216"/>
    <col min="3" max="3" width="9" style="208"/>
    <col min="4" max="4" width="10.5" style="208" bestFit="1" customWidth="1"/>
    <col min="5" max="13" width="9" style="208"/>
    <col min="14" max="14" width="9.5" style="208" bestFit="1" customWidth="1"/>
    <col min="15" max="16" width="9" style="208"/>
    <col min="17" max="17" width="9" style="217"/>
    <col min="18" max="19" width="9" style="208"/>
    <col min="20" max="20" width="9" style="217"/>
    <col min="21" max="21" width="9" style="208"/>
    <col min="22" max="22" width="9" style="217"/>
    <col min="23" max="27" width="9" style="208"/>
    <col min="28" max="28" width="9" style="216"/>
    <col min="29" max="32" width="9" style="208"/>
    <col min="33" max="33" width="15.875" style="208" bestFit="1" customWidth="1"/>
    <col min="34" max="34" width="11.375" style="208" bestFit="1" customWidth="1"/>
    <col min="35" max="259" width="9" style="208"/>
    <col min="260" max="260" width="10.5" style="208" bestFit="1" customWidth="1"/>
    <col min="261" max="269" width="9" style="208"/>
    <col min="270" max="270" width="9.5" style="208" bestFit="1" customWidth="1"/>
    <col min="271" max="288" width="9" style="208"/>
    <col min="289" max="289" width="15.875" style="208" bestFit="1" customWidth="1"/>
    <col min="290" max="290" width="11.375" style="208" bestFit="1" customWidth="1"/>
    <col min="291" max="515" width="9" style="208"/>
    <col min="516" max="516" width="10.5" style="208" bestFit="1" customWidth="1"/>
    <col min="517" max="525" width="9" style="208"/>
    <col min="526" max="526" width="9.5" style="208" bestFit="1" customWidth="1"/>
    <col min="527" max="544" width="9" style="208"/>
    <col min="545" max="545" width="15.875" style="208" bestFit="1" customWidth="1"/>
    <col min="546" max="546" width="11.375" style="208" bestFit="1" customWidth="1"/>
    <col min="547" max="771" width="9" style="208"/>
    <col min="772" max="772" width="10.5" style="208" bestFit="1" customWidth="1"/>
    <col min="773" max="781" width="9" style="208"/>
    <col min="782" max="782" width="9.5" style="208" bestFit="1" customWidth="1"/>
    <col min="783" max="800" width="9" style="208"/>
    <col min="801" max="801" width="15.875" style="208" bestFit="1" customWidth="1"/>
    <col min="802" max="802" width="11.375" style="208" bestFit="1" customWidth="1"/>
    <col min="803" max="1027" width="9" style="208"/>
    <col min="1028" max="1028" width="10.5" style="208" bestFit="1" customWidth="1"/>
    <col min="1029" max="1037" width="9" style="208"/>
    <col min="1038" max="1038" width="9.5" style="208" bestFit="1" customWidth="1"/>
    <col min="1039" max="1056" width="9" style="208"/>
    <col min="1057" max="1057" width="15.875" style="208" bestFit="1" customWidth="1"/>
    <col min="1058" max="1058" width="11.375" style="208" bestFit="1" customWidth="1"/>
    <col min="1059" max="1283" width="9" style="208"/>
    <col min="1284" max="1284" width="10.5" style="208" bestFit="1" customWidth="1"/>
    <col min="1285" max="1293" width="9" style="208"/>
    <col min="1294" max="1294" width="9.5" style="208" bestFit="1" customWidth="1"/>
    <col min="1295" max="1312" width="9" style="208"/>
    <col min="1313" max="1313" width="15.875" style="208" bestFit="1" customWidth="1"/>
    <col min="1314" max="1314" width="11.375" style="208" bestFit="1" customWidth="1"/>
    <col min="1315" max="1539" width="9" style="208"/>
    <col min="1540" max="1540" width="10.5" style="208" bestFit="1" customWidth="1"/>
    <col min="1541" max="1549" width="9" style="208"/>
    <col min="1550" max="1550" width="9.5" style="208" bestFit="1" customWidth="1"/>
    <col min="1551" max="1568" width="9" style="208"/>
    <col min="1569" max="1569" width="15.875" style="208" bestFit="1" customWidth="1"/>
    <col min="1570" max="1570" width="11.375" style="208" bestFit="1" customWidth="1"/>
    <col min="1571" max="1795" width="9" style="208"/>
    <col min="1796" max="1796" width="10.5" style="208" bestFit="1" customWidth="1"/>
    <col min="1797" max="1805" width="9" style="208"/>
    <col min="1806" max="1806" width="9.5" style="208" bestFit="1" customWidth="1"/>
    <col min="1807" max="1824" width="9" style="208"/>
    <col min="1825" max="1825" width="15.875" style="208" bestFit="1" customWidth="1"/>
    <col min="1826" max="1826" width="11.375" style="208" bestFit="1" customWidth="1"/>
    <col min="1827" max="2051" width="9" style="208"/>
    <col min="2052" max="2052" width="10.5" style="208" bestFit="1" customWidth="1"/>
    <col min="2053" max="2061" width="9" style="208"/>
    <col min="2062" max="2062" width="9.5" style="208" bestFit="1" customWidth="1"/>
    <col min="2063" max="2080" width="9" style="208"/>
    <col min="2081" max="2081" width="15.875" style="208" bestFit="1" customWidth="1"/>
    <col min="2082" max="2082" width="11.375" style="208" bestFit="1" customWidth="1"/>
    <col min="2083" max="2307" width="9" style="208"/>
    <col min="2308" max="2308" width="10.5" style="208" bestFit="1" customWidth="1"/>
    <col min="2309" max="2317" width="9" style="208"/>
    <col min="2318" max="2318" width="9.5" style="208" bestFit="1" customWidth="1"/>
    <col min="2319" max="2336" width="9" style="208"/>
    <col min="2337" max="2337" width="15.875" style="208" bestFit="1" customWidth="1"/>
    <col min="2338" max="2338" width="11.375" style="208" bestFit="1" customWidth="1"/>
    <col min="2339" max="2563" width="9" style="208"/>
    <col min="2564" max="2564" width="10.5" style="208" bestFit="1" customWidth="1"/>
    <col min="2565" max="2573" width="9" style="208"/>
    <col min="2574" max="2574" width="9.5" style="208" bestFit="1" customWidth="1"/>
    <col min="2575" max="2592" width="9" style="208"/>
    <col min="2593" max="2593" width="15.875" style="208" bestFit="1" customWidth="1"/>
    <col min="2594" max="2594" width="11.375" style="208" bestFit="1" customWidth="1"/>
    <col min="2595" max="2819" width="9" style="208"/>
    <col min="2820" max="2820" width="10.5" style="208" bestFit="1" customWidth="1"/>
    <col min="2821" max="2829" width="9" style="208"/>
    <col min="2830" max="2830" width="9.5" style="208" bestFit="1" customWidth="1"/>
    <col min="2831" max="2848" width="9" style="208"/>
    <col min="2849" max="2849" width="15.875" style="208" bestFit="1" customWidth="1"/>
    <col min="2850" max="2850" width="11.375" style="208" bestFit="1" customWidth="1"/>
    <col min="2851" max="3075" width="9" style="208"/>
    <col min="3076" max="3076" width="10.5" style="208" bestFit="1" customWidth="1"/>
    <col min="3077" max="3085" width="9" style="208"/>
    <col min="3086" max="3086" width="9.5" style="208" bestFit="1" customWidth="1"/>
    <col min="3087" max="3104" width="9" style="208"/>
    <col min="3105" max="3105" width="15.875" style="208" bestFit="1" customWidth="1"/>
    <col min="3106" max="3106" width="11.375" style="208" bestFit="1" customWidth="1"/>
    <col min="3107" max="3331" width="9" style="208"/>
    <col min="3332" max="3332" width="10.5" style="208" bestFit="1" customWidth="1"/>
    <col min="3333" max="3341" width="9" style="208"/>
    <col min="3342" max="3342" width="9.5" style="208" bestFit="1" customWidth="1"/>
    <col min="3343" max="3360" width="9" style="208"/>
    <col min="3361" max="3361" width="15.875" style="208" bestFit="1" customWidth="1"/>
    <col min="3362" max="3362" width="11.375" style="208" bestFit="1" customWidth="1"/>
    <col min="3363" max="3587" width="9" style="208"/>
    <col min="3588" max="3588" width="10.5" style="208" bestFit="1" customWidth="1"/>
    <col min="3589" max="3597" width="9" style="208"/>
    <col min="3598" max="3598" width="9.5" style="208" bestFit="1" customWidth="1"/>
    <col min="3599" max="3616" width="9" style="208"/>
    <col min="3617" max="3617" width="15.875" style="208" bestFit="1" customWidth="1"/>
    <col min="3618" max="3618" width="11.375" style="208" bestFit="1" customWidth="1"/>
    <col min="3619" max="3843" width="9" style="208"/>
    <col min="3844" max="3844" width="10.5" style="208" bestFit="1" customWidth="1"/>
    <col min="3845" max="3853" width="9" style="208"/>
    <col min="3854" max="3854" width="9.5" style="208" bestFit="1" customWidth="1"/>
    <col min="3855" max="3872" width="9" style="208"/>
    <col min="3873" max="3873" width="15.875" style="208" bestFit="1" customWidth="1"/>
    <col min="3874" max="3874" width="11.375" style="208" bestFit="1" customWidth="1"/>
    <col min="3875" max="4099" width="9" style="208"/>
    <col min="4100" max="4100" width="10.5" style="208" bestFit="1" customWidth="1"/>
    <col min="4101" max="4109" width="9" style="208"/>
    <col min="4110" max="4110" width="9.5" style="208" bestFit="1" customWidth="1"/>
    <col min="4111" max="4128" width="9" style="208"/>
    <col min="4129" max="4129" width="15.875" style="208" bestFit="1" customWidth="1"/>
    <col min="4130" max="4130" width="11.375" style="208" bestFit="1" customWidth="1"/>
    <col min="4131" max="4355" width="9" style="208"/>
    <col min="4356" max="4356" width="10.5" style="208" bestFit="1" customWidth="1"/>
    <col min="4357" max="4365" width="9" style="208"/>
    <col min="4366" max="4366" width="9.5" style="208" bestFit="1" customWidth="1"/>
    <col min="4367" max="4384" width="9" style="208"/>
    <col min="4385" max="4385" width="15.875" style="208" bestFit="1" customWidth="1"/>
    <col min="4386" max="4386" width="11.375" style="208" bestFit="1" customWidth="1"/>
    <col min="4387" max="4611" width="9" style="208"/>
    <col min="4612" max="4612" width="10.5" style="208" bestFit="1" customWidth="1"/>
    <col min="4613" max="4621" width="9" style="208"/>
    <col min="4622" max="4622" width="9.5" style="208" bestFit="1" customWidth="1"/>
    <col min="4623" max="4640" width="9" style="208"/>
    <col min="4641" max="4641" width="15.875" style="208" bestFit="1" customWidth="1"/>
    <col min="4642" max="4642" width="11.375" style="208" bestFit="1" customWidth="1"/>
    <col min="4643" max="4867" width="9" style="208"/>
    <col min="4868" max="4868" width="10.5" style="208" bestFit="1" customWidth="1"/>
    <col min="4869" max="4877" width="9" style="208"/>
    <col min="4878" max="4878" width="9.5" style="208" bestFit="1" customWidth="1"/>
    <col min="4879" max="4896" width="9" style="208"/>
    <col min="4897" max="4897" width="15.875" style="208" bestFit="1" customWidth="1"/>
    <col min="4898" max="4898" width="11.375" style="208" bestFit="1" customWidth="1"/>
    <col min="4899" max="5123" width="9" style="208"/>
    <col min="5124" max="5124" width="10.5" style="208" bestFit="1" customWidth="1"/>
    <col min="5125" max="5133" width="9" style="208"/>
    <col min="5134" max="5134" width="9.5" style="208" bestFit="1" customWidth="1"/>
    <col min="5135" max="5152" width="9" style="208"/>
    <col min="5153" max="5153" width="15.875" style="208" bestFit="1" customWidth="1"/>
    <col min="5154" max="5154" width="11.375" style="208" bestFit="1" customWidth="1"/>
    <col min="5155" max="5379" width="9" style="208"/>
    <col min="5380" max="5380" width="10.5" style="208" bestFit="1" customWidth="1"/>
    <col min="5381" max="5389" width="9" style="208"/>
    <col min="5390" max="5390" width="9.5" style="208" bestFit="1" customWidth="1"/>
    <col min="5391" max="5408" width="9" style="208"/>
    <col min="5409" max="5409" width="15.875" style="208" bestFit="1" customWidth="1"/>
    <col min="5410" max="5410" width="11.375" style="208" bestFit="1" customWidth="1"/>
    <col min="5411" max="5635" width="9" style="208"/>
    <col min="5636" max="5636" width="10.5" style="208" bestFit="1" customWidth="1"/>
    <col min="5637" max="5645" width="9" style="208"/>
    <col min="5646" max="5646" width="9.5" style="208" bestFit="1" customWidth="1"/>
    <col min="5647" max="5664" width="9" style="208"/>
    <col min="5665" max="5665" width="15.875" style="208" bestFit="1" customWidth="1"/>
    <col min="5666" max="5666" width="11.375" style="208" bestFit="1" customWidth="1"/>
    <col min="5667" max="5891" width="9" style="208"/>
    <col min="5892" max="5892" width="10.5" style="208" bestFit="1" customWidth="1"/>
    <col min="5893" max="5901" width="9" style="208"/>
    <col min="5902" max="5902" width="9.5" style="208" bestFit="1" customWidth="1"/>
    <col min="5903" max="5920" width="9" style="208"/>
    <col min="5921" max="5921" width="15.875" style="208" bestFit="1" customWidth="1"/>
    <col min="5922" max="5922" width="11.375" style="208" bestFit="1" customWidth="1"/>
    <col min="5923" max="6147" width="9" style="208"/>
    <col min="6148" max="6148" width="10.5" style="208" bestFit="1" customWidth="1"/>
    <col min="6149" max="6157" width="9" style="208"/>
    <col min="6158" max="6158" width="9.5" style="208" bestFit="1" customWidth="1"/>
    <col min="6159" max="6176" width="9" style="208"/>
    <col min="6177" max="6177" width="15.875" style="208" bestFit="1" customWidth="1"/>
    <col min="6178" max="6178" width="11.375" style="208" bestFit="1" customWidth="1"/>
    <col min="6179" max="6403" width="9" style="208"/>
    <col min="6404" max="6404" width="10.5" style="208" bestFit="1" customWidth="1"/>
    <col min="6405" max="6413" width="9" style="208"/>
    <col min="6414" max="6414" width="9.5" style="208" bestFit="1" customWidth="1"/>
    <col min="6415" max="6432" width="9" style="208"/>
    <col min="6433" max="6433" width="15.875" style="208" bestFit="1" customWidth="1"/>
    <col min="6434" max="6434" width="11.375" style="208" bestFit="1" customWidth="1"/>
    <col min="6435" max="6659" width="9" style="208"/>
    <col min="6660" max="6660" width="10.5" style="208" bestFit="1" customWidth="1"/>
    <col min="6661" max="6669" width="9" style="208"/>
    <col min="6670" max="6670" width="9.5" style="208" bestFit="1" customWidth="1"/>
    <col min="6671" max="6688" width="9" style="208"/>
    <col min="6689" max="6689" width="15.875" style="208" bestFit="1" customWidth="1"/>
    <col min="6690" max="6690" width="11.375" style="208" bestFit="1" customWidth="1"/>
    <col min="6691" max="6915" width="9" style="208"/>
    <col min="6916" max="6916" width="10.5" style="208" bestFit="1" customWidth="1"/>
    <col min="6917" max="6925" width="9" style="208"/>
    <col min="6926" max="6926" width="9.5" style="208" bestFit="1" customWidth="1"/>
    <col min="6927" max="6944" width="9" style="208"/>
    <col min="6945" max="6945" width="15.875" style="208" bestFit="1" customWidth="1"/>
    <col min="6946" max="6946" width="11.375" style="208" bestFit="1" customWidth="1"/>
    <col min="6947" max="7171" width="9" style="208"/>
    <col min="7172" max="7172" width="10.5" style="208" bestFit="1" customWidth="1"/>
    <col min="7173" max="7181" width="9" style="208"/>
    <col min="7182" max="7182" width="9.5" style="208" bestFit="1" customWidth="1"/>
    <col min="7183" max="7200" width="9" style="208"/>
    <col min="7201" max="7201" width="15.875" style="208" bestFit="1" customWidth="1"/>
    <col min="7202" max="7202" width="11.375" style="208" bestFit="1" customWidth="1"/>
    <col min="7203" max="7427" width="9" style="208"/>
    <col min="7428" max="7428" width="10.5" style="208" bestFit="1" customWidth="1"/>
    <col min="7429" max="7437" width="9" style="208"/>
    <col min="7438" max="7438" width="9.5" style="208" bestFit="1" customWidth="1"/>
    <col min="7439" max="7456" width="9" style="208"/>
    <col min="7457" max="7457" width="15.875" style="208" bestFit="1" customWidth="1"/>
    <col min="7458" max="7458" width="11.375" style="208" bestFit="1" customWidth="1"/>
    <col min="7459" max="7683" width="9" style="208"/>
    <col min="7684" max="7684" width="10.5" style="208" bestFit="1" customWidth="1"/>
    <col min="7685" max="7693" width="9" style="208"/>
    <col min="7694" max="7694" width="9.5" style="208" bestFit="1" customWidth="1"/>
    <col min="7695" max="7712" width="9" style="208"/>
    <col min="7713" max="7713" width="15.875" style="208" bestFit="1" customWidth="1"/>
    <col min="7714" max="7714" width="11.375" style="208" bestFit="1" customWidth="1"/>
    <col min="7715" max="7939" width="9" style="208"/>
    <col min="7940" max="7940" width="10.5" style="208" bestFit="1" customWidth="1"/>
    <col min="7941" max="7949" width="9" style="208"/>
    <col min="7950" max="7950" width="9.5" style="208" bestFit="1" customWidth="1"/>
    <col min="7951" max="7968" width="9" style="208"/>
    <col min="7969" max="7969" width="15.875" style="208" bestFit="1" customWidth="1"/>
    <col min="7970" max="7970" width="11.375" style="208" bestFit="1" customWidth="1"/>
    <col min="7971" max="8195" width="9" style="208"/>
    <col min="8196" max="8196" width="10.5" style="208" bestFit="1" customWidth="1"/>
    <col min="8197" max="8205" width="9" style="208"/>
    <col min="8206" max="8206" width="9.5" style="208" bestFit="1" customWidth="1"/>
    <col min="8207" max="8224" width="9" style="208"/>
    <col min="8225" max="8225" width="15.875" style="208" bestFit="1" customWidth="1"/>
    <col min="8226" max="8226" width="11.375" style="208" bestFit="1" customWidth="1"/>
    <col min="8227" max="8451" width="9" style="208"/>
    <col min="8452" max="8452" width="10.5" style="208" bestFit="1" customWidth="1"/>
    <col min="8453" max="8461" width="9" style="208"/>
    <col min="8462" max="8462" width="9.5" style="208" bestFit="1" customWidth="1"/>
    <col min="8463" max="8480" width="9" style="208"/>
    <col min="8481" max="8481" width="15.875" style="208" bestFit="1" customWidth="1"/>
    <col min="8482" max="8482" width="11.375" style="208" bestFit="1" customWidth="1"/>
    <col min="8483" max="8707" width="9" style="208"/>
    <col min="8708" max="8708" width="10.5" style="208" bestFit="1" customWidth="1"/>
    <col min="8709" max="8717" width="9" style="208"/>
    <col min="8718" max="8718" width="9.5" style="208" bestFit="1" customWidth="1"/>
    <col min="8719" max="8736" width="9" style="208"/>
    <col min="8737" max="8737" width="15.875" style="208" bestFit="1" customWidth="1"/>
    <col min="8738" max="8738" width="11.375" style="208" bestFit="1" customWidth="1"/>
    <col min="8739" max="8963" width="9" style="208"/>
    <col min="8964" max="8964" width="10.5" style="208" bestFit="1" customWidth="1"/>
    <col min="8965" max="8973" width="9" style="208"/>
    <col min="8974" max="8974" width="9.5" style="208" bestFit="1" customWidth="1"/>
    <col min="8975" max="8992" width="9" style="208"/>
    <col min="8993" max="8993" width="15.875" style="208" bestFit="1" customWidth="1"/>
    <col min="8994" max="8994" width="11.375" style="208" bestFit="1" customWidth="1"/>
    <col min="8995" max="9219" width="9" style="208"/>
    <col min="9220" max="9220" width="10.5" style="208" bestFit="1" customWidth="1"/>
    <col min="9221" max="9229" width="9" style="208"/>
    <col min="9230" max="9230" width="9.5" style="208" bestFit="1" customWidth="1"/>
    <col min="9231" max="9248" width="9" style="208"/>
    <col min="9249" max="9249" width="15.875" style="208" bestFit="1" customWidth="1"/>
    <col min="9250" max="9250" width="11.375" style="208" bestFit="1" customWidth="1"/>
    <col min="9251" max="9475" width="9" style="208"/>
    <col min="9476" max="9476" width="10.5" style="208" bestFit="1" customWidth="1"/>
    <col min="9477" max="9485" width="9" style="208"/>
    <col min="9486" max="9486" width="9.5" style="208" bestFit="1" customWidth="1"/>
    <col min="9487" max="9504" width="9" style="208"/>
    <col min="9505" max="9505" width="15.875" style="208" bestFit="1" customWidth="1"/>
    <col min="9506" max="9506" width="11.375" style="208" bestFit="1" customWidth="1"/>
    <col min="9507" max="9731" width="9" style="208"/>
    <col min="9732" max="9732" width="10.5" style="208" bestFit="1" customWidth="1"/>
    <col min="9733" max="9741" width="9" style="208"/>
    <col min="9742" max="9742" width="9.5" style="208" bestFit="1" customWidth="1"/>
    <col min="9743" max="9760" width="9" style="208"/>
    <col min="9761" max="9761" width="15.875" style="208" bestFit="1" customWidth="1"/>
    <col min="9762" max="9762" width="11.375" style="208" bestFit="1" customWidth="1"/>
    <col min="9763" max="9987" width="9" style="208"/>
    <col min="9988" max="9988" width="10.5" style="208" bestFit="1" customWidth="1"/>
    <col min="9989" max="9997" width="9" style="208"/>
    <col min="9998" max="9998" width="9.5" style="208" bestFit="1" customWidth="1"/>
    <col min="9999" max="10016" width="9" style="208"/>
    <col min="10017" max="10017" width="15.875" style="208" bestFit="1" customWidth="1"/>
    <col min="10018" max="10018" width="11.375" style="208" bestFit="1" customWidth="1"/>
    <col min="10019" max="10243" width="9" style="208"/>
    <col min="10244" max="10244" width="10.5" style="208" bestFit="1" customWidth="1"/>
    <col min="10245" max="10253" width="9" style="208"/>
    <col min="10254" max="10254" width="9.5" style="208" bestFit="1" customWidth="1"/>
    <col min="10255" max="10272" width="9" style="208"/>
    <col min="10273" max="10273" width="15.875" style="208" bestFit="1" customWidth="1"/>
    <col min="10274" max="10274" width="11.375" style="208" bestFit="1" customWidth="1"/>
    <col min="10275" max="10499" width="9" style="208"/>
    <col min="10500" max="10500" width="10.5" style="208" bestFit="1" customWidth="1"/>
    <col min="10501" max="10509" width="9" style="208"/>
    <col min="10510" max="10510" width="9.5" style="208" bestFit="1" customWidth="1"/>
    <col min="10511" max="10528" width="9" style="208"/>
    <col min="10529" max="10529" width="15.875" style="208" bestFit="1" customWidth="1"/>
    <col min="10530" max="10530" width="11.375" style="208" bestFit="1" customWidth="1"/>
    <col min="10531" max="10755" width="9" style="208"/>
    <col min="10756" max="10756" width="10.5" style="208" bestFit="1" customWidth="1"/>
    <col min="10757" max="10765" width="9" style="208"/>
    <col min="10766" max="10766" width="9.5" style="208" bestFit="1" customWidth="1"/>
    <col min="10767" max="10784" width="9" style="208"/>
    <col min="10785" max="10785" width="15.875" style="208" bestFit="1" customWidth="1"/>
    <col min="10786" max="10786" width="11.375" style="208" bestFit="1" customWidth="1"/>
    <col min="10787" max="11011" width="9" style="208"/>
    <col min="11012" max="11012" width="10.5" style="208" bestFit="1" customWidth="1"/>
    <col min="11013" max="11021" width="9" style="208"/>
    <col min="11022" max="11022" width="9.5" style="208" bestFit="1" customWidth="1"/>
    <col min="11023" max="11040" width="9" style="208"/>
    <col min="11041" max="11041" width="15.875" style="208" bestFit="1" customWidth="1"/>
    <col min="11042" max="11042" width="11.375" style="208" bestFit="1" customWidth="1"/>
    <col min="11043" max="11267" width="9" style="208"/>
    <col min="11268" max="11268" width="10.5" style="208" bestFit="1" customWidth="1"/>
    <col min="11269" max="11277" width="9" style="208"/>
    <col min="11278" max="11278" width="9.5" style="208" bestFit="1" customWidth="1"/>
    <col min="11279" max="11296" width="9" style="208"/>
    <col min="11297" max="11297" width="15.875" style="208" bestFit="1" customWidth="1"/>
    <col min="11298" max="11298" width="11.375" style="208" bestFit="1" customWidth="1"/>
    <col min="11299" max="11523" width="9" style="208"/>
    <col min="11524" max="11524" width="10.5" style="208" bestFit="1" customWidth="1"/>
    <col min="11525" max="11533" width="9" style="208"/>
    <col min="11534" max="11534" width="9.5" style="208" bestFit="1" customWidth="1"/>
    <col min="11535" max="11552" width="9" style="208"/>
    <col min="11553" max="11553" width="15.875" style="208" bestFit="1" customWidth="1"/>
    <col min="11554" max="11554" width="11.375" style="208" bestFit="1" customWidth="1"/>
    <col min="11555" max="11779" width="9" style="208"/>
    <col min="11780" max="11780" width="10.5" style="208" bestFit="1" customWidth="1"/>
    <col min="11781" max="11789" width="9" style="208"/>
    <col min="11790" max="11790" width="9.5" style="208" bestFit="1" customWidth="1"/>
    <col min="11791" max="11808" width="9" style="208"/>
    <col min="11809" max="11809" width="15.875" style="208" bestFit="1" customWidth="1"/>
    <col min="11810" max="11810" width="11.375" style="208" bestFit="1" customWidth="1"/>
    <col min="11811" max="12035" width="9" style="208"/>
    <col min="12036" max="12036" width="10.5" style="208" bestFit="1" customWidth="1"/>
    <col min="12037" max="12045" width="9" style="208"/>
    <col min="12046" max="12046" width="9.5" style="208" bestFit="1" customWidth="1"/>
    <col min="12047" max="12064" width="9" style="208"/>
    <col min="12065" max="12065" width="15.875" style="208" bestFit="1" customWidth="1"/>
    <col min="12066" max="12066" width="11.375" style="208" bestFit="1" customWidth="1"/>
    <col min="12067" max="12291" width="9" style="208"/>
    <col min="12292" max="12292" width="10.5" style="208" bestFit="1" customWidth="1"/>
    <col min="12293" max="12301" width="9" style="208"/>
    <col min="12302" max="12302" width="9.5" style="208" bestFit="1" customWidth="1"/>
    <col min="12303" max="12320" width="9" style="208"/>
    <col min="12321" max="12321" width="15.875" style="208" bestFit="1" customWidth="1"/>
    <col min="12322" max="12322" width="11.375" style="208" bestFit="1" customWidth="1"/>
    <col min="12323" max="12547" width="9" style="208"/>
    <col min="12548" max="12548" width="10.5" style="208" bestFit="1" customWidth="1"/>
    <col min="12549" max="12557" width="9" style="208"/>
    <col min="12558" max="12558" width="9.5" style="208" bestFit="1" customWidth="1"/>
    <col min="12559" max="12576" width="9" style="208"/>
    <col min="12577" max="12577" width="15.875" style="208" bestFit="1" customWidth="1"/>
    <col min="12578" max="12578" width="11.375" style="208" bestFit="1" customWidth="1"/>
    <col min="12579" max="12803" width="9" style="208"/>
    <col min="12804" max="12804" width="10.5" style="208" bestFit="1" customWidth="1"/>
    <col min="12805" max="12813" width="9" style="208"/>
    <col min="12814" max="12814" width="9.5" style="208" bestFit="1" customWidth="1"/>
    <col min="12815" max="12832" width="9" style="208"/>
    <col min="12833" max="12833" width="15.875" style="208" bestFit="1" customWidth="1"/>
    <col min="12834" max="12834" width="11.375" style="208" bestFit="1" customWidth="1"/>
    <col min="12835" max="13059" width="9" style="208"/>
    <col min="13060" max="13060" width="10.5" style="208" bestFit="1" customWidth="1"/>
    <col min="13061" max="13069" width="9" style="208"/>
    <col min="13070" max="13070" width="9.5" style="208" bestFit="1" customWidth="1"/>
    <col min="13071" max="13088" width="9" style="208"/>
    <col min="13089" max="13089" width="15.875" style="208" bestFit="1" customWidth="1"/>
    <col min="13090" max="13090" width="11.375" style="208" bestFit="1" customWidth="1"/>
    <col min="13091" max="13315" width="9" style="208"/>
    <col min="13316" max="13316" width="10.5" style="208" bestFit="1" customWidth="1"/>
    <col min="13317" max="13325" width="9" style="208"/>
    <col min="13326" max="13326" width="9.5" style="208" bestFit="1" customWidth="1"/>
    <col min="13327" max="13344" width="9" style="208"/>
    <col min="13345" max="13345" width="15.875" style="208" bestFit="1" customWidth="1"/>
    <col min="13346" max="13346" width="11.375" style="208" bestFit="1" customWidth="1"/>
    <col min="13347" max="13571" width="9" style="208"/>
    <col min="13572" max="13572" width="10.5" style="208" bestFit="1" customWidth="1"/>
    <col min="13573" max="13581" width="9" style="208"/>
    <col min="13582" max="13582" width="9.5" style="208" bestFit="1" customWidth="1"/>
    <col min="13583" max="13600" width="9" style="208"/>
    <col min="13601" max="13601" width="15.875" style="208" bestFit="1" customWidth="1"/>
    <col min="13602" max="13602" width="11.375" style="208" bestFit="1" customWidth="1"/>
    <col min="13603" max="13827" width="9" style="208"/>
    <col min="13828" max="13828" width="10.5" style="208" bestFit="1" customWidth="1"/>
    <col min="13829" max="13837" width="9" style="208"/>
    <col min="13838" max="13838" width="9.5" style="208" bestFit="1" customWidth="1"/>
    <col min="13839" max="13856" width="9" style="208"/>
    <col min="13857" max="13857" width="15.875" style="208" bestFit="1" customWidth="1"/>
    <col min="13858" max="13858" width="11.375" style="208" bestFit="1" customWidth="1"/>
    <col min="13859" max="14083" width="9" style="208"/>
    <col min="14084" max="14084" width="10.5" style="208" bestFit="1" customWidth="1"/>
    <col min="14085" max="14093" width="9" style="208"/>
    <col min="14094" max="14094" width="9.5" style="208" bestFit="1" customWidth="1"/>
    <col min="14095" max="14112" width="9" style="208"/>
    <col min="14113" max="14113" width="15.875" style="208" bestFit="1" customWidth="1"/>
    <col min="14114" max="14114" width="11.375" style="208" bestFit="1" customWidth="1"/>
    <col min="14115" max="14339" width="9" style="208"/>
    <col min="14340" max="14340" width="10.5" style="208" bestFit="1" customWidth="1"/>
    <col min="14341" max="14349" width="9" style="208"/>
    <col min="14350" max="14350" width="9.5" style="208" bestFit="1" customWidth="1"/>
    <col min="14351" max="14368" width="9" style="208"/>
    <col min="14369" max="14369" width="15.875" style="208" bestFit="1" customWidth="1"/>
    <col min="14370" max="14370" width="11.375" style="208" bestFit="1" customWidth="1"/>
    <col min="14371" max="14595" width="9" style="208"/>
    <col min="14596" max="14596" width="10.5" style="208" bestFit="1" customWidth="1"/>
    <col min="14597" max="14605" width="9" style="208"/>
    <col min="14606" max="14606" width="9.5" style="208" bestFit="1" customWidth="1"/>
    <col min="14607" max="14624" width="9" style="208"/>
    <col min="14625" max="14625" width="15.875" style="208" bestFit="1" customWidth="1"/>
    <col min="14626" max="14626" width="11.375" style="208" bestFit="1" customWidth="1"/>
    <col min="14627" max="14851" width="9" style="208"/>
    <col min="14852" max="14852" width="10.5" style="208" bestFit="1" customWidth="1"/>
    <col min="14853" max="14861" width="9" style="208"/>
    <col min="14862" max="14862" width="9.5" style="208" bestFit="1" customWidth="1"/>
    <col min="14863" max="14880" width="9" style="208"/>
    <col min="14881" max="14881" width="15.875" style="208" bestFit="1" customWidth="1"/>
    <col min="14882" max="14882" width="11.375" style="208" bestFit="1" customWidth="1"/>
    <col min="14883" max="15107" width="9" style="208"/>
    <col min="15108" max="15108" width="10.5" style="208" bestFit="1" customWidth="1"/>
    <col min="15109" max="15117" width="9" style="208"/>
    <col min="15118" max="15118" width="9.5" style="208" bestFit="1" customWidth="1"/>
    <col min="15119" max="15136" width="9" style="208"/>
    <col min="15137" max="15137" width="15.875" style="208" bestFit="1" customWidth="1"/>
    <col min="15138" max="15138" width="11.375" style="208" bestFit="1" customWidth="1"/>
    <col min="15139" max="15363" width="9" style="208"/>
    <col min="15364" max="15364" width="10.5" style="208" bestFit="1" customWidth="1"/>
    <col min="15365" max="15373" width="9" style="208"/>
    <col min="15374" max="15374" width="9.5" style="208" bestFit="1" customWidth="1"/>
    <col min="15375" max="15392" width="9" style="208"/>
    <col min="15393" max="15393" width="15.875" style="208" bestFit="1" customWidth="1"/>
    <col min="15394" max="15394" width="11.375" style="208" bestFit="1" customWidth="1"/>
    <col min="15395" max="15619" width="9" style="208"/>
    <col min="15620" max="15620" width="10.5" style="208" bestFit="1" customWidth="1"/>
    <col min="15621" max="15629" width="9" style="208"/>
    <col min="15630" max="15630" width="9.5" style="208" bestFit="1" customWidth="1"/>
    <col min="15631" max="15648" width="9" style="208"/>
    <col min="15649" max="15649" width="15.875" style="208" bestFit="1" customWidth="1"/>
    <col min="15650" max="15650" width="11.375" style="208" bestFit="1" customWidth="1"/>
    <col min="15651" max="15875" width="9" style="208"/>
    <col min="15876" max="15876" width="10.5" style="208" bestFit="1" customWidth="1"/>
    <col min="15877" max="15885" width="9" style="208"/>
    <col min="15886" max="15886" width="9.5" style="208" bestFit="1" customWidth="1"/>
    <col min="15887" max="15904" width="9" style="208"/>
    <col min="15905" max="15905" width="15.875" style="208" bestFit="1" customWidth="1"/>
    <col min="15906" max="15906" width="11.375" style="208" bestFit="1" customWidth="1"/>
    <col min="15907" max="16131" width="9" style="208"/>
    <col min="16132" max="16132" width="10.5" style="208" bestFit="1" customWidth="1"/>
    <col min="16133" max="16141" width="9" style="208"/>
    <col min="16142" max="16142" width="9.5" style="208" bestFit="1" customWidth="1"/>
    <col min="16143" max="16160" width="9" style="208"/>
    <col min="16161" max="16161" width="15.875" style="208" bestFit="1" customWidth="1"/>
    <col min="16162" max="16162" width="11.375" style="208" bestFit="1" customWidth="1"/>
    <col min="16163" max="16384" width="9" style="208"/>
  </cols>
  <sheetData>
    <row r="1" spans="1:53" ht="45" x14ac:dyDescent="0.15">
      <c r="A1" s="83" t="s">
        <v>0</v>
      </c>
      <c r="B1" s="202" t="s">
        <v>1</v>
      </c>
      <c r="C1" s="202" t="s">
        <v>376</v>
      </c>
      <c r="D1" s="203" t="s">
        <v>3</v>
      </c>
      <c r="E1" s="84" t="s">
        <v>4</v>
      </c>
      <c r="F1" s="84" t="s">
        <v>5</v>
      </c>
      <c r="G1" s="84" t="s">
        <v>6</v>
      </c>
      <c r="H1" s="84" t="s">
        <v>7</v>
      </c>
      <c r="I1" s="84" t="s">
        <v>8</v>
      </c>
      <c r="J1" s="84" t="s">
        <v>9</v>
      </c>
      <c r="K1" s="84" t="s">
        <v>10</v>
      </c>
      <c r="L1" s="203" t="s">
        <v>377</v>
      </c>
      <c r="M1" s="203" t="s">
        <v>12</v>
      </c>
      <c r="N1" s="203" t="s">
        <v>13</v>
      </c>
      <c r="O1" s="203" t="s">
        <v>378</v>
      </c>
      <c r="P1" s="203" t="s">
        <v>379</v>
      </c>
      <c r="Q1" s="204" t="s">
        <v>16</v>
      </c>
      <c r="R1" s="203" t="s">
        <v>380</v>
      </c>
      <c r="S1" s="203" t="s">
        <v>381</v>
      </c>
      <c r="T1" s="204" t="s">
        <v>19</v>
      </c>
      <c r="U1" s="205" t="s">
        <v>108</v>
      </c>
      <c r="V1" s="206" t="s">
        <v>20</v>
      </c>
      <c r="W1" s="203" t="s">
        <v>21</v>
      </c>
      <c r="X1" s="84" t="s">
        <v>22</v>
      </c>
      <c r="Y1" s="84" t="s">
        <v>23</v>
      </c>
      <c r="Z1" s="84" t="s">
        <v>24</v>
      </c>
      <c r="AA1" s="85" t="s">
        <v>25</v>
      </c>
      <c r="AB1" s="207" t="s">
        <v>382</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383</v>
      </c>
      <c r="AY1" s="214" t="s">
        <v>384</v>
      </c>
      <c r="AZ1" s="214" t="s">
        <v>385</v>
      </c>
      <c r="BA1" s="215" t="s">
        <v>386</v>
      </c>
    </row>
    <row r="2" spans="1:53" s="216" customFormat="1" x14ac:dyDescent="0.15">
      <c r="A2" s="55" t="s">
        <v>56</v>
      </c>
      <c r="B2" s="55" t="s">
        <v>388</v>
      </c>
      <c r="C2" s="216">
        <v>2018</v>
      </c>
      <c r="D2" s="86" t="s">
        <v>390</v>
      </c>
      <c r="E2" s="216" t="s">
        <v>391</v>
      </c>
      <c r="F2" s="216" t="s">
        <v>171</v>
      </c>
      <c r="G2" s="55" t="s">
        <v>42</v>
      </c>
      <c r="H2" s="216" t="s">
        <v>157</v>
      </c>
      <c r="I2" s="55" t="s">
        <v>155</v>
      </c>
      <c r="J2" s="216" t="s">
        <v>38</v>
      </c>
      <c r="K2" s="216" t="s">
        <v>156</v>
      </c>
      <c r="L2" s="216">
        <v>1</v>
      </c>
      <c r="N2" s="208">
        <v>1</v>
      </c>
      <c r="O2" s="216">
        <v>0.85</v>
      </c>
      <c r="P2" s="208">
        <v>0.85</v>
      </c>
      <c r="Q2" s="245">
        <f>IF(OR(O2="",P2=""),"",AVERAGE(O2,P2))</f>
        <v>0.85</v>
      </c>
      <c r="R2" s="216">
        <v>12.6</v>
      </c>
      <c r="S2" s="216">
        <v>133</v>
      </c>
      <c r="T2" s="217">
        <f>IF(H2="","",IF(OR(H2="GREEN",H2="GK"),IF(S2&gt;=$AX$2,VLOOKUP(S2,$AX$2:$AY$10,2,1),""),IF(S2&gt;=$AZ$2,VLOOKUP(S2,$AZ$2:$BA$10,2,1),"")))</f>
        <v>25</v>
      </c>
      <c r="U2" s="216">
        <v>138</v>
      </c>
      <c r="V2" s="217">
        <f>IF(OR(N2="",U2="",T2=""),"",U2/N2*T2)</f>
        <v>3450</v>
      </c>
      <c r="W2" s="216">
        <v>4</v>
      </c>
      <c r="X2" s="55" t="s">
        <v>46</v>
      </c>
      <c r="Y2" s="55" t="s">
        <v>55</v>
      </c>
      <c r="Z2" s="216" t="s">
        <v>78</v>
      </c>
      <c r="AA2" s="55" t="s">
        <v>64</v>
      </c>
      <c r="AB2" s="216" t="s">
        <v>346</v>
      </c>
      <c r="AE2" s="218" t="s">
        <v>35</v>
      </c>
      <c r="AG2" s="231" t="s">
        <v>392</v>
      </c>
      <c r="AH2" s="87" t="s">
        <v>171</v>
      </c>
      <c r="AJ2" s="219" t="s">
        <v>36</v>
      </c>
      <c r="AL2" s="219" t="s">
        <v>127</v>
      </c>
      <c r="AN2" s="219" t="s">
        <v>37</v>
      </c>
      <c r="AP2" s="219" t="s">
        <v>38</v>
      </c>
      <c r="AR2" s="219" t="s">
        <v>361</v>
      </c>
      <c r="AT2" s="219" t="s">
        <v>39</v>
      </c>
      <c r="AV2" s="219" t="s">
        <v>40</v>
      </c>
      <c r="AX2" s="220">
        <v>1</v>
      </c>
      <c r="AY2" s="221">
        <v>50</v>
      </c>
      <c r="AZ2" s="221">
        <v>1</v>
      </c>
      <c r="BA2" s="222">
        <v>50</v>
      </c>
    </row>
    <row r="3" spans="1:53" x14ac:dyDescent="0.15">
      <c r="A3" s="55" t="s">
        <v>56</v>
      </c>
      <c r="B3" s="55" t="s">
        <v>393</v>
      </c>
      <c r="C3" s="216">
        <v>2018</v>
      </c>
      <c r="D3" s="86" t="s">
        <v>394</v>
      </c>
      <c r="E3" s="216" t="s">
        <v>391</v>
      </c>
      <c r="F3" s="216" t="s">
        <v>171</v>
      </c>
      <c r="G3" s="55" t="s">
        <v>42</v>
      </c>
      <c r="H3" s="216" t="s">
        <v>157</v>
      </c>
      <c r="I3" s="55" t="s">
        <v>155</v>
      </c>
      <c r="J3" s="216" t="s">
        <v>38</v>
      </c>
      <c r="K3" s="216" t="s">
        <v>156</v>
      </c>
      <c r="L3" s="208">
        <v>2</v>
      </c>
      <c r="N3" s="208">
        <v>1</v>
      </c>
      <c r="O3" s="208">
        <v>0.6</v>
      </c>
      <c r="P3" s="208">
        <v>0.65</v>
      </c>
      <c r="Q3" s="245">
        <f>IF(OR(O3="",P3=""),"",AVERAGE(O3,P3))</f>
        <v>0.625</v>
      </c>
      <c r="R3" s="208">
        <v>12.8</v>
      </c>
      <c r="S3" s="208">
        <v>143</v>
      </c>
      <c r="T3" s="217">
        <f>IF(H3="","",IF(OR(H3="GREEN",H3="GK"),IF(S3&gt;=$AX$2,VLOOKUP(S3,$AX$2:$AY$10,2,1),""),IF(S3&gt;=$AZ$2,VLOOKUP(S3,$AZ$2:$BA$10,2,1),"")))</f>
        <v>22</v>
      </c>
      <c r="U3" s="208">
        <v>138</v>
      </c>
      <c r="V3" s="217">
        <f>IF(OR(N3="",U3="",T3=""),"",U3/N3*T3)</f>
        <v>3036</v>
      </c>
      <c r="W3" s="208">
        <v>4</v>
      </c>
      <c r="X3" s="55" t="s">
        <v>46</v>
      </c>
      <c r="Y3" s="55" t="s">
        <v>55</v>
      </c>
      <c r="Z3" s="216" t="s">
        <v>78</v>
      </c>
      <c r="AA3" s="55" t="s">
        <v>64</v>
      </c>
      <c r="AB3" s="216" t="s">
        <v>346</v>
      </c>
      <c r="AE3" s="223" t="s">
        <v>41</v>
      </c>
      <c r="AG3" s="231" t="s">
        <v>392</v>
      </c>
      <c r="AH3" s="87" t="s">
        <v>172</v>
      </c>
      <c r="AJ3" s="224" t="s">
        <v>42</v>
      </c>
      <c r="AL3" s="224" t="s">
        <v>128</v>
      </c>
      <c r="AN3" s="224" t="s">
        <v>43</v>
      </c>
      <c r="AP3" s="224" t="s">
        <v>44</v>
      </c>
      <c r="AR3" s="238" t="s">
        <v>45</v>
      </c>
      <c r="AT3" s="224" t="s">
        <v>46</v>
      </c>
      <c r="AV3" s="224" t="s">
        <v>47</v>
      </c>
      <c r="AX3" s="225">
        <v>72</v>
      </c>
      <c r="AY3" s="226">
        <v>46</v>
      </c>
      <c r="AZ3" s="226">
        <v>71</v>
      </c>
      <c r="BA3" s="227">
        <v>42</v>
      </c>
    </row>
    <row r="4" spans="1:53" x14ac:dyDescent="0.15">
      <c r="A4" s="55" t="s">
        <v>56</v>
      </c>
      <c r="B4" s="55" t="s">
        <v>393</v>
      </c>
      <c r="C4" s="216">
        <v>2018</v>
      </c>
      <c r="D4" s="86" t="s">
        <v>394</v>
      </c>
      <c r="E4" s="216" t="s">
        <v>391</v>
      </c>
      <c r="F4" s="216" t="s">
        <v>171</v>
      </c>
      <c r="G4" s="55" t="s">
        <v>42</v>
      </c>
      <c r="H4" s="216" t="s">
        <v>157</v>
      </c>
      <c r="I4" s="55" t="s">
        <v>155</v>
      </c>
      <c r="J4" s="216" t="s">
        <v>38</v>
      </c>
      <c r="K4" s="216" t="s">
        <v>156</v>
      </c>
      <c r="L4" s="208">
        <v>3</v>
      </c>
      <c r="N4" s="208">
        <v>1</v>
      </c>
      <c r="O4" s="208">
        <v>0.7</v>
      </c>
      <c r="P4" s="208">
        <v>0.7</v>
      </c>
      <c r="Q4" s="245">
        <f>IF(OR(O4="",P4=""),"",AVERAGE(O4,P4))</f>
        <v>0.7</v>
      </c>
      <c r="R4" s="208">
        <v>13.5</v>
      </c>
      <c r="S4" s="208">
        <v>135</v>
      </c>
      <c r="T4" s="217">
        <f>IF(H4="","",IF(OR(H4="GREEN",H4="GK"),IF(S4&gt;=$AX$2,VLOOKUP(S4,$AX$2:$AY$10,2,1),""),IF(S4&gt;=$AZ$2,VLOOKUP(S4,$AZ$2:$BA$10,2,1),"")))</f>
        <v>25</v>
      </c>
      <c r="U4" s="208">
        <v>138</v>
      </c>
      <c r="V4" s="217">
        <f>IF(OR(N4="",U4="",T4=""),"",U4/N4*T4)</f>
        <v>3450</v>
      </c>
      <c r="W4" s="208">
        <v>4</v>
      </c>
      <c r="X4" s="55" t="s">
        <v>46</v>
      </c>
      <c r="Y4" s="55" t="s">
        <v>55</v>
      </c>
      <c r="Z4" s="216" t="s">
        <v>78</v>
      </c>
      <c r="AA4" s="55" t="s">
        <v>64</v>
      </c>
      <c r="AB4" s="216" t="s">
        <v>346</v>
      </c>
      <c r="AE4" s="223" t="s">
        <v>34</v>
      </c>
      <c r="AG4" s="231" t="s">
        <v>395</v>
      </c>
      <c r="AH4" s="87" t="s">
        <v>396</v>
      </c>
      <c r="AJ4" s="228" t="s">
        <v>48</v>
      </c>
      <c r="AL4" s="228" t="s">
        <v>173</v>
      </c>
      <c r="AN4" s="229" t="s">
        <v>49</v>
      </c>
      <c r="AP4" s="224" t="s">
        <v>363</v>
      </c>
      <c r="AR4" s="238" t="s">
        <v>364</v>
      </c>
      <c r="AT4" s="229"/>
      <c r="AV4" s="224" t="s">
        <v>50</v>
      </c>
      <c r="AX4" s="225">
        <v>75</v>
      </c>
      <c r="AY4" s="226">
        <v>42</v>
      </c>
      <c r="AZ4" s="226">
        <v>76</v>
      </c>
      <c r="BA4" s="227">
        <v>39</v>
      </c>
    </row>
    <row r="5" spans="1:53" x14ac:dyDescent="0.15">
      <c r="A5" s="55" t="s">
        <v>56</v>
      </c>
      <c r="B5" s="55" t="s">
        <v>393</v>
      </c>
      <c r="C5" s="216">
        <v>2018</v>
      </c>
      <c r="D5" s="86" t="s">
        <v>394</v>
      </c>
      <c r="E5" s="216" t="s">
        <v>391</v>
      </c>
      <c r="F5" s="216" t="s">
        <v>171</v>
      </c>
      <c r="G5" s="55" t="s">
        <v>42</v>
      </c>
      <c r="H5" s="216" t="s">
        <v>165</v>
      </c>
      <c r="I5" s="55" t="s">
        <v>155</v>
      </c>
      <c r="J5" s="216" t="s">
        <v>38</v>
      </c>
      <c r="K5" s="216" t="s">
        <v>156</v>
      </c>
      <c r="L5" s="208">
        <v>1</v>
      </c>
      <c r="N5" s="208">
        <v>1</v>
      </c>
      <c r="O5" s="208">
        <v>0.75</v>
      </c>
      <c r="P5" s="208">
        <v>0.7</v>
      </c>
      <c r="Q5" s="245">
        <f t="shared" ref="Q5:Q68" si="0">IF(OR(O5="",P5=""),"",AVERAGE(O5,P5))</f>
        <v>0.72499999999999998</v>
      </c>
      <c r="R5" s="208">
        <v>12.7</v>
      </c>
      <c r="S5" s="208">
        <v>139</v>
      </c>
      <c r="T5" s="217">
        <f t="shared" ref="T5:T68" si="1">IF(H5="","",IF(OR(H5="GREEN",H5="GK"),IF(S5&gt;=$AX$2,VLOOKUP(S5,$AX$2:$AY$10,2,1),""),IF(S5&gt;=$AZ$2,VLOOKUP(S5,$AZ$2:$BA$10,2,1),"")))</f>
        <v>22</v>
      </c>
      <c r="U5" s="208">
        <v>138</v>
      </c>
      <c r="V5" s="217">
        <f t="shared" ref="V5:V68" si="2">IF(OR(N5="",U5="",T5=""),"",U5/N5*T5)</f>
        <v>3036</v>
      </c>
      <c r="W5" s="208">
        <v>4</v>
      </c>
      <c r="X5" s="55" t="s">
        <v>46</v>
      </c>
      <c r="Y5" s="55" t="s">
        <v>55</v>
      </c>
      <c r="Z5" s="216" t="s">
        <v>78</v>
      </c>
      <c r="AA5" s="55" t="s">
        <v>64</v>
      </c>
      <c r="AB5" s="216" t="s">
        <v>346</v>
      </c>
      <c r="AE5" s="223" t="s">
        <v>51</v>
      </c>
      <c r="AG5" s="231" t="s">
        <v>174</v>
      </c>
      <c r="AH5" s="87" t="s">
        <v>175</v>
      </c>
      <c r="AJ5" s="229"/>
      <c r="AL5" s="230" t="s">
        <v>166</v>
      </c>
      <c r="AN5" s="230" t="s">
        <v>52</v>
      </c>
      <c r="AP5" s="224" t="s">
        <v>176</v>
      </c>
      <c r="AR5" s="238" t="s">
        <v>54</v>
      </c>
      <c r="AV5" s="224" t="s">
        <v>55</v>
      </c>
      <c r="AX5" s="225">
        <v>84</v>
      </c>
      <c r="AY5" s="226">
        <v>39</v>
      </c>
      <c r="AZ5" s="226">
        <v>84</v>
      </c>
      <c r="BA5" s="227">
        <v>36</v>
      </c>
    </row>
    <row r="6" spans="1:53" x14ac:dyDescent="0.15">
      <c r="A6" s="55" t="s">
        <v>56</v>
      </c>
      <c r="B6" s="55" t="s">
        <v>387</v>
      </c>
      <c r="C6" s="216">
        <v>2018</v>
      </c>
      <c r="D6" s="86" t="s">
        <v>389</v>
      </c>
      <c r="E6" s="216" t="s">
        <v>391</v>
      </c>
      <c r="F6" s="216" t="s">
        <v>171</v>
      </c>
      <c r="G6" s="55" t="s">
        <v>42</v>
      </c>
      <c r="H6" s="216" t="s">
        <v>165</v>
      </c>
      <c r="I6" s="55" t="s">
        <v>155</v>
      </c>
      <c r="J6" s="216" t="s">
        <v>38</v>
      </c>
      <c r="K6" s="216" t="s">
        <v>156</v>
      </c>
      <c r="L6" s="208">
        <v>2</v>
      </c>
      <c r="N6" s="208">
        <v>1</v>
      </c>
      <c r="O6" s="208">
        <v>0.6</v>
      </c>
      <c r="P6" s="208">
        <v>0.7</v>
      </c>
      <c r="Q6" s="245">
        <f t="shared" si="0"/>
        <v>0.64999999999999991</v>
      </c>
      <c r="R6" s="208">
        <v>16</v>
      </c>
      <c r="S6" s="208">
        <v>144</v>
      </c>
      <c r="T6" s="217">
        <f t="shared" si="1"/>
        <v>22</v>
      </c>
      <c r="U6" s="208">
        <v>138</v>
      </c>
      <c r="V6" s="217">
        <f t="shared" si="2"/>
        <v>3036</v>
      </c>
      <c r="W6" s="208">
        <v>4</v>
      </c>
      <c r="X6" s="55" t="s">
        <v>46</v>
      </c>
      <c r="Y6" s="55" t="s">
        <v>55</v>
      </c>
      <c r="Z6" s="216" t="s">
        <v>78</v>
      </c>
      <c r="AA6" s="55" t="s">
        <v>64</v>
      </c>
      <c r="AB6" s="216" t="s">
        <v>346</v>
      </c>
      <c r="AE6" s="223" t="s">
        <v>56</v>
      </c>
      <c r="AG6" s="231" t="s">
        <v>177</v>
      </c>
      <c r="AH6" s="87" t="s">
        <v>175</v>
      </c>
      <c r="AL6" s="230" t="s">
        <v>99</v>
      </c>
      <c r="AN6" s="230" t="s">
        <v>57</v>
      </c>
      <c r="AP6" s="224" t="s">
        <v>53</v>
      </c>
      <c r="AR6" s="238" t="s">
        <v>59</v>
      </c>
      <c r="AV6" s="224" t="s">
        <v>60</v>
      </c>
      <c r="AX6" s="225">
        <v>97</v>
      </c>
      <c r="AY6" s="226">
        <v>36</v>
      </c>
      <c r="AZ6" s="226">
        <v>99</v>
      </c>
      <c r="BA6" s="227">
        <v>33</v>
      </c>
    </row>
    <row r="7" spans="1:53" x14ac:dyDescent="0.15">
      <c r="A7" s="55" t="s">
        <v>56</v>
      </c>
      <c r="B7" s="55" t="s">
        <v>387</v>
      </c>
      <c r="C7" s="216">
        <v>2018</v>
      </c>
      <c r="D7" s="86" t="s">
        <v>389</v>
      </c>
      <c r="E7" s="216" t="s">
        <v>391</v>
      </c>
      <c r="F7" s="216" t="s">
        <v>171</v>
      </c>
      <c r="G7" s="55" t="s">
        <v>42</v>
      </c>
      <c r="H7" s="216" t="s">
        <v>165</v>
      </c>
      <c r="I7" s="55" t="s">
        <v>155</v>
      </c>
      <c r="J7" s="216" t="s">
        <v>38</v>
      </c>
      <c r="K7" s="216" t="s">
        <v>156</v>
      </c>
      <c r="L7" s="208">
        <v>3</v>
      </c>
      <c r="N7" s="208">
        <v>1</v>
      </c>
      <c r="O7" s="208">
        <v>0.6</v>
      </c>
      <c r="P7" s="208">
        <v>0.7</v>
      </c>
      <c r="Q7" s="245">
        <f t="shared" si="0"/>
        <v>0.64999999999999991</v>
      </c>
      <c r="R7" s="208">
        <v>17.3</v>
      </c>
      <c r="S7" s="208">
        <v>140</v>
      </c>
      <c r="T7" s="217">
        <f t="shared" si="1"/>
        <v>22</v>
      </c>
      <c r="U7" s="208">
        <v>138</v>
      </c>
      <c r="V7" s="217">
        <f t="shared" si="2"/>
        <v>3036</v>
      </c>
      <c r="W7" s="208">
        <v>4</v>
      </c>
      <c r="X7" s="55" t="s">
        <v>46</v>
      </c>
      <c r="Y7" s="55" t="s">
        <v>55</v>
      </c>
      <c r="Z7" s="216" t="s">
        <v>78</v>
      </c>
      <c r="AA7" s="55" t="s">
        <v>64</v>
      </c>
      <c r="AB7" s="216" t="s">
        <v>346</v>
      </c>
      <c r="AE7" s="223" t="s">
        <v>61</v>
      </c>
      <c r="AG7" s="231" t="s">
        <v>178</v>
      </c>
      <c r="AH7" s="87" t="s">
        <v>179</v>
      </c>
      <c r="AL7" s="88" t="s">
        <v>180</v>
      </c>
      <c r="AP7" s="224" t="s">
        <v>58</v>
      </c>
      <c r="AR7" s="231" t="s">
        <v>122</v>
      </c>
      <c r="AV7" s="224" t="s">
        <v>64</v>
      </c>
      <c r="AX7" s="225">
        <v>109</v>
      </c>
      <c r="AY7" s="226">
        <v>33</v>
      </c>
      <c r="AZ7" s="226">
        <v>113</v>
      </c>
      <c r="BA7" s="227">
        <v>30</v>
      </c>
    </row>
    <row r="8" spans="1:53" x14ac:dyDescent="0.15">
      <c r="A8" s="55" t="s">
        <v>56</v>
      </c>
      <c r="B8" s="55" t="s">
        <v>397</v>
      </c>
      <c r="C8" s="216">
        <v>2018</v>
      </c>
      <c r="D8" s="86" t="s">
        <v>398</v>
      </c>
      <c r="E8" s="216" t="s">
        <v>391</v>
      </c>
      <c r="F8" s="216" t="s">
        <v>172</v>
      </c>
      <c r="G8" s="55" t="s">
        <v>42</v>
      </c>
      <c r="H8" s="216" t="s">
        <v>157</v>
      </c>
      <c r="I8" s="55" t="s">
        <v>155</v>
      </c>
      <c r="J8" s="216" t="s">
        <v>38</v>
      </c>
      <c r="K8" s="216" t="s">
        <v>156</v>
      </c>
      <c r="L8" s="208">
        <v>1</v>
      </c>
      <c r="N8" s="208">
        <v>1</v>
      </c>
      <c r="O8" s="208">
        <v>0.8</v>
      </c>
      <c r="P8" s="208">
        <v>0.8</v>
      </c>
      <c r="Q8" s="245">
        <f t="shared" si="0"/>
        <v>0.8</v>
      </c>
      <c r="R8" s="208">
        <v>12.5</v>
      </c>
      <c r="S8" s="208">
        <v>142</v>
      </c>
      <c r="T8" s="217">
        <f t="shared" si="1"/>
        <v>22</v>
      </c>
      <c r="U8" s="208">
        <v>138</v>
      </c>
      <c r="V8" s="217">
        <f t="shared" si="2"/>
        <v>3036</v>
      </c>
      <c r="W8" s="208">
        <v>8</v>
      </c>
      <c r="X8" s="55" t="s">
        <v>46</v>
      </c>
      <c r="Y8" s="55" t="s">
        <v>64</v>
      </c>
      <c r="Z8" s="216" t="s">
        <v>55</v>
      </c>
      <c r="AA8" s="55" t="s">
        <v>69</v>
      </c>
      <c r="AB8" s="216" t="s">
        <v>346</v>
      </c>
      <c r="AE8" s="223" t="s">
        <v>59</v>
      </c>
      <c r="AG8" s="231" t="s">
        <v>399</v>
      </c>
      <c r="AH8" s="87" t="s">
        <v>179</v>
      </c>
      <c r="AL8" s="88" t="s">
        <v>372</v>
      </c>
      <c r="AP8" s="224" t="s">
        <v>62</v>
      </c>
      <c r="AR8" s="238" t="s">
        <v>81</v>
      </c>
      <c r="AV8" s="224" t="s">
        <v>97</v>
      </c>
      <c r="AX8" s="225">
        <v>119</v>
      </c>
      <c r="AY8" s="226">
        <v>30</v>
      </c>
      <c r="AZ8" s="226">
        <v>121</v>
      </c>
      <c r="BA8" s="227">
        <v>27</v>
      </c>
    </row>
    <row r="9" spans="1:53" x14ac:dyDescent="0.15">
      <c r="A9" s="55" t="s">
        <v>56</v>
      </c>
      <c r="B9" s="55" t="s">
        <v>397</v>
      </c>
      <c r="C9" s="216">
        <v>2018</v>
      </c>
      <c r="D9" s="86" t="s">
        <v>398</v>
      </c>
      <c r="E9" s="216" t="s">
        <v>391</v>
      </c>
      <c r="F9" s="216" t="s">
        <v>172</v>
      </c>
      <c r="G9" s="55" t="s">
        <v>42</v>
      </c>
      <c r="H9" s="216" t="s">
        <v>157</v>
      </c>
      <c r="I9" s="55" t="s">
        <v>155</v>
      </c>
      <c r="J9" s="216" t="s">
        <v>38</v>
      </c>
      <c r="K9" s="216" t="s">
        <v>156</v>
      </c>
      <c r="L9" s="208">
        <v>2</v>
      </c>
      <c r="N9" s="208">
        <v>1</v>
      </c>
      <c r="O9" s="208">
        <v>0.9</v>
      </c>
      <c r="P9" s="208">
        <v>0.8</v>
      </c>
      <c r="Q9" s="245">
        <f t="shared" si="0"/>
        <v>0.85000000000000009</v>
      </c>
      <c r="R9" s="208">
        <v>12</v>
      </c>
      <c r="S9" s="208">
        <v>140</v>
      </c>
      <c r="T9" s="217">
        <f t="shared" si="1"/>
        <v>22</v>
      </c>
      <c r="U9" s="208">
        <v>138</v>
      </c>
      <c r="V9" s="217">
        <f t="shared" si="2"/>
        <v>3036</v>
      </c>
      <c r="W9" s="208">
        <v>8</v>
      </c>
      <c r="X9" s="55" t="s">
        <v>46</v>
      </c>
      <c r="Y9" s="55" t="s">
        <v>64</v>
      </c>
      <c r="Z9" s="216" t="s">
        <v>55</v>
      </c>
      <c r="AA9" s="55" t="s">
        <v>69</v>
      </c>
      <c r="AB9" s="216" t="s">
        <v>346</v>
      </c>
      <c r="AE9" s="223" t="s">
        <v>98</v>
      </c>
      <c r="AG9" s="231" t="s">
        <v>181</v>
      </c>
      <c r="AH9" s="231" t="s">
        <v>172</v>
      </c>
      <c r="AL9" s="230"/>
      <c r="AP9" s="224" t="s">
        <v>95</v>
      </c>
      <c r="AR9" s="231" t="s">
        <v>89</v>
      </c>
      <c r="AV9" s="224" t="s">
        <v>102</v>
      </c>
      <c r="AX9" s="225">
        <v>128</v>
      </c>
      <c r="AY9" s="226">
        <v>27</v>
      </c>
      <c r="AZ9" s="226">
        <v>129</v>
      </c>
      <c r="BA9" s="227">
        <v>25</v>
      </c>
    </row>
    <row r="10" spans="1:53" x14ac:dyDescent="0.15">
      <c r="A10" s="55" t="s">
        <v>56</v>
      </c>
      <c r="B10" s="55" t="s">
        <v>400</v>
      </c>
      <c r="C10" s="216">
        <v>2018</v>
      </c>
      <c r="D10" s="86" t="s">
        <v>401</v>
      </c>
      <c r="E10" s="216" t="s">
        <v>391</v>
      </c>
      <c r="F10" s="216" t="s">
        <v>172</v>
      </c>
      <c r="G10" s="55" t="s">
        <v>42</v>
      </c>
      <c r="H10" s="216" t="s">
        <v>157</v>
      </c>
      <c r="I10" s="55" t="s">
        <v>155</v>
      </c>
      <c r="J10" s="216" t="s">
        <v>38</v>
      </c>
      <c r="K10" s="216" t="s">
        <v>156</v>
      </c>
      <c r="L10" s="208">
        <v>3</v>
      </c>
      <c r="N10" s="208">
        <v>1</v>
      </c>
      <c r="O10" s="208">
        <v>0.9</v>
      </c>
      <c r="P10" s="208">
        <v>0.9</v>
      </c>
      <c r="Q10" s="245">
        <f t="shared" si="0"/>
        <v>0.9</v>
      </c>
      <c r="R10" s="208">
        <v>11.1</v>
      </c>
      <c r="S10" s="208">
        <v>133</v>
      </c>
      <c r="T10" s="217">
        <f t="shared" si="1"/>
        <v>25</v>
      </c>
      <c r="U10" s="208">
        <v>138</v>
      </c>
      <c r="V10" s="217">
        <f t="shared" si="2"/>
        <v>3450</v>
      </c>
      <c r="W10" s="208">
        <v>8</v>
      </c>
      <c r="X10" s="55" t="s">
        <v>46</v>
      </c>
      <c r="Y10" s="55" t="s">
        <v>64</v>
      </c>
      <c r="Z10" s="216" t="s">
        <v>55</v>
      </c>
      <c r="AA10" s="55" t="s">
        <v>69</v>
      </c>
      <c r="AB10" s="216" t="s">
        <v>346</v>
      </c>
      <c r="AE10" s="223" t="s">
        <v>103</v>
      </c>
      <c r="AG10" s="231" t="s">
        <v>402</v>
      </c>
      <c r="AH10" s="87" t="s">
        <v>403</v>
      </c>
      <c r="AL10" s="88"/>
      <c r="AP10" s="224" t="s">
        <v>100</v>
      </c>
      <c r="AR10" s="231" t="s">
        <v>123</v>
      </c>
      <c r="AV10" s="224" t="s">
        <v>106</v>
      </c>
      <c r="AX10" s="225">
        <v>138</v>
      </c>
      <c r="AY10" s="226">
        <v>25</v>
      </c>
      <c r="AZ10" s="226">
        <v>138</v>
      </c>
      <c r="BA10" s="227">
        <v>22</v>
      </c>
    </row>
    <row r="11" spans="1:53" x14ac:dyDescent="0.15">
      <c r="A11" s="55" t="s">
        <v>56</v>
      </c>
      <c r="B11" s="55" t="s">
        <v>400</v>
      </c>
      <c r="C11" s="216">
        <v>2018</v>
      </c>
      <c r="D11" s="86" t="s">
        <v>401</v>
      </c>
      <c r="E11" s="216" t="s">
        <v>391</v>
      </c>
      <c r="F11" s="216" t="s">
        <v>172</v>
      </c>
      <c r="G11" s="55" t="s">
        <v>42</v>
      </c>
      <c r="H11" s="216" t="s">
        <v>157</v>
      </c>
      <c r="I11" s="55" t="s">
        <v>158</v>
      </c>
      <c r="J11" s="216" t="s">
        <v>38</v>
      </c>
      <c r="K11" s="216" t="s">
        <v>156</v>
      </c>
      <c r="L11" s="208">
        <v>1</v>
      </c>
      <c r="N11" s="208">
        <v>4</v>
      </c>
      <c r="O11" s="208">
        <v>0.5</v>
      </c>
      <c r="P11" s="208">
        <v>0.5</v>
      </c>
      <c r="Q11" s="245">
        <f t="shared" si="0"/>
        <v>0.5</v>
      </c>
      <c r="R11" s="208">
        <v>11.8</v>
      </c>
      <c r="S11" s="208">
        <v>94</v>
      </c>
      <c r="T11" s="217">
        <f t="shared" si="1"/>
        <v>36</v>
      </c>
      <c r="U11" s="208">
        <v>430</v>
      </c>
      <c r="V11" s="217">
        <f t="shared" si="2"/>
        <v>3870</v>
      </c>
      <c r="W11" s="208">
        <v>4</v>
      </c>
      <c r="X11" s="55" t="s">
        <v>46</v>
      </c>
      <c r="Y11" s="55" t="s">
        <v>64</v>
      </c>
      <c r="Z11" s="216" t="s">
        <v>55</v>
      </c>
      <c r="AA11" s="55" t="s">
        <v>69</v>
      </c>
      <c r="AB11" s="216" t="s">
        <v>346</v>
      </c>
      <c r="AE11" s="223" t="s">
        <v>65</v>
      </c>
      <c r="AG11" s="231" t="s">
        <v>404</v>
      </c>
      <c r="AH11" s="87" t="s">
        <v>403</v>
      </c>
      <c r="AJ11" s="88"/>
      <c r="AP11" s="224" t="s">
        <v>104</v>
      </c>
      <c r="AR11" s="231" t="s">
        <v>87</v>
      </c>
      <c r="AV11" s="224" t="s">
        <v>69</v>
      </c>
    </row>
    <row r="12" spans="1:53" x14ac:dyDescent="0.15">
      <c r="A12" s="55" t="s">
        <v>56</v>
      </c>
      <c r="B12" s="55" t="s">
        <v>405</v>
      </c>
      <c r="C12" s="216">
        <v>2018</v>
      </c>
      <c r="D12" s="86" t="s">
        <v>406</v>
      </c>
      <c r="E12" s="216" t="s">
        <v>391</v>
      </c>
      <c r="F12" s="216" t="s">
        <v>172</v>
      </c>
      <c r="G12" s="55" t="s">
        <v>42</v>
      </c>
      <c r="H12" s="216" t="s">
        <v>157</v>
      </c>
      <c r="I12" s="55" t="s">
        <v>158</v>
      </c>
      <c r="J12" s="216" t="s">
        <v>38</v>
      </c>
      <c r="K12" s="216" t="s">
        <v>156</v>
      </c>
      <c r="L12" s="208">
        <v>2</v>
      </c>
      <c r="N12" s="208">
        <v>4</v>
      </c>
      <c r="O12" s="208">
        <v>0.5</v>
      </c>
      <c r="P12" s="208">
        <v>0.55000000000000004</v>
      </c>
      <c r="Q12" s="245">
        <f t="shared" si="0"/>
        <v>0.52500000000000002</v>
      </c>
      <c r="R12" s="208">
        <v>11.8</v>
      </c>
      <c r="S12" s="208">
        <v>102</v>
      </c>
      <c r="T12" s="217">
        <f t="shared" si="1"/>
        <v>33</v>
      </c>
      <c r="U12" s="208">
        <v>430</v>
      </c>
      <c r="V12" s="217">
        <f t="shared" si="2"/>
        <v>3547.5</v>
      </c>
      <c r="W12" s="208">
        <v>4</v>
      </c>
      <c r="X12" s="55" t="s">
        <v>46</v>
      </c>
      <c r="Y12" s="55" t="s">
        <v>64</v>
      </c>
      <c r="Z12" s="216" t="s">
        <v>55</v>
      </c>
      <c r="AA12" s="55" t="s">
        <v>69</v>
      </c>
      <c r="AB12" s="216" t="s">
        <v>346</v>
      </c>
      <c r="AE12" s="223" t="s">
        <v>70</v>
      </c>
      <c r="AG12" s="231" t="s">
        <v>407</v>
      </c>
      <c r="AH12" s="87" t="s">
        <v>408</v>
      </c>
      <c r="AJ12" s="88"/>
      <c r="AP12" s="224" t="s">
        <v>67</v>
      </c>
      <c r="AR12" s="231" t="s">
        <v>124</v>
      </c>
      <c r="AV12" s="224" t="s">
        <v>72</v>
      </c>
    </row>
    <row r="13" spans="1:53" x14ac:dyDescent="0.15">
      <c r="A13" s="55" t="s">
        <v>56</v>
      </c>
      <c r="B13" s="55" t="s">
        <v>409</v>
      </c>
      <c r="C13" s="216">
        <v>2018</v>
      </c>
      <c r="D13" s="86" t="s">
        <v>410</v>
      </c>
      <c r="E13" s="216" t="s">
        <v>391</v>
      </c>
      <c r="F13" s="216" t="s">
        <v>172</v>
      </c>
      <c r="G13" s="55" t="s">
        <v>42</v>
      </c>
      <c r="H13" s="216" t="s">
        <v>157</v>
      </c>
      <c r="I13" s="55" t="s">
        <v>158</v>
      </c>
      <c r="J13" s="216" t="s">
        <v>38</v>
      </c>
      <c r="K13" s="216" t="s">
        <v>156</v>
      </c>
      <c r="L13" s="208">
        <v>3</v>
      </c>
      <c r="N13" s="208">
        <v>4</v>
      </c>
      <c r="O13" s="208">
        <v>0.5</v>
      </c>
      <c r="P13" s="208">
        <v>0.5</v>
      </c>
      <c r="Q13" s="245">
        <f t="shared" si="0"/>
        <v>0.5</v>
      </c>
      <c r="R13" s="237">
        <v>11.8</v>
      </c>
      <c r="S13" s="208">
        <v>96</v>
      </c>
      <c r="T13" s="217">
        <f t="shared" si="1"/>
        <v>36</v>
      </c>
      <c r="U13" s="208">
        <v>430</v>
      </c>
      <c r="V13" s="217">
        <f t="shared" si="2"/>
        <v>3870</v>
      </c>
      <c r="W13" s="208">
        <v>4</v>
      </c>
      <c r="X13" s="55" t="s">
        <v>46</v>
      </c>
      <c r="Y13" s="55" t="s">
        <v>64</v>
      </c>
      <c r="Z13" s="216" t="s">
        <v>55</v>
      </c>
      <c r="AA13" s="55" t="s">
        <v>69</v>
      </c>
      <c r="AB13" s="216" t="s">
        <v>346</v>
      </c>
      <c r="AE13" s="223" t="s">
        <v>73</v>
      </c>
      <c r="AP13" s="224" t="s">
        <v>71</v>
      </c>
      <c r="AR13" s="231" t="s">
        <v>103</v>
      </c>
      <c r="AV13" s="224" t="s">
        <v>75</v>
      </c>
    </row>
    <row r="14" spans="1:53" x14ac:dyDescent="0.15">
      <c r="A14" s="55" t="s">
        <v>56</v>
      </c>
      <c r="B14" s="55" t="s">
        <v>411</v>
      </c>
      <c r="C14" s="216">
        <v>2018</v>
      </c>
      <c r="D14" s="86" t="s">
        <v>412</v>
      </c>
      <c r="E14" s="216" t="s">
        <v>391</v>
      </c>
      <c r="F14" s="216" t="s">
        <v>172</v>
      </c>
      <c r="G14" s="55" t="s">
        <v>42</v>
      </c>
      <c r="H14" s="216" t="s">
        <v>165</v>
      </c>
      <c r="I14" s="55" t="s">
        <v>155</v>
      </c>
      <c r="J14" s="216" t="s">
        <v>38</v>
      </c>
      <c r="K14" s="216" t="s">
        <v>156</v>
      </c>
      <c r="L14" s="208">
        <v>1</v>
      </c>
      <c r="N14" s="208">
        <v>1</v>
      </c>
      <c r="O14" s="208">
        <v>0.5</v>
      </c>
      <c r="P14" s="208">
        <v>0.5</v>
      </c>
      <c r="Q14" s="245">
        <f t="shared" si="0"/>
        <v>0.5</v>
      </c>
      <c r="R14" s="208">
        <v>12.7</v>
      </c>
      <c r="S14" s="208">
        <v>139</v>
      </c>
      <c r="T14" s="217">
        <f t="shared" si="1"/>
        <v>22</v>
      </c>
      <c r="U14" s="208">
        <v>138</v>
      </c>
      <c r="V14" s="217">
        <f t="shared" si="2"/>
        <v>3036</v>
      </c>
      <c r="W14" s="208">
        <v>8</v>
      </c>
      <c r="X14" s="55" t="s">
        <v>46</v>
      </c>
      <c r="Y14" s="55" t="s">
        <v>64</v>
      </c>
      <c r="Z14" s="216" t="s">
        <v>55</v>
      </c>
      <c r="AA14" s="55" t="s">
        <v>69</v>
      </c>
      <c r="AB14" s="216" t="s">
        <v>346</v>
      </c>
      <c r="AE14" s="223" t="s">
        <v>76</v>
      </c>
      <c r="AP14" s="224" t="s">
        <v>74</v>
      </c>
      <c r="AR14" s="231" t="s">
        <v>125</v>
      </c>
      <c r="AV14" s="224" t="s">
        <v>78</v>
      </c>
    </row>
    <row r="15" spans="1:53" x14ac:dyDescent="0.15">
      <c r="A15" s="55" t="s">
        <v>56</v>
      </c>
      <c r="B15" s="55" t="s">
        <v>411</v>
      </c>
      <c r="C15" s="216">
        <v>2018</v>
      </c>
      <c r="D15" s="86" t="s">
        <v>412</v>
      </c>
      <c r="E15" s="216" t="s">
        <v>391</v>
      </c>
      <c r="F15" s="216" t="s">
        <v>172</v>
      </c>
      <c r="G15" s="55" t="s">
        <v>42</v>
      </c>
      <c r="H15" s="216" t="s">
        <v>165</v>
      </c>
      <c r="I15" s="55" t="s">
        <v>155</v>
      </c>
      <c r="J15" s="216" t="s">
        <v>38</v>
      </c>
      <c r="K15" s="216" t="s">
        <v>156</v>
      </c>
      <c r="L15" s="208">
        <v>2</v>
      </c>
      <c r="N15" s="208">
        <v>1</v>
      </c>
      <c r="O15" s="208">
        <v>0.5</v>
      </c>
      <c r="P15" s="208">
        <v>0.5</v>
      </c>
      <c r="Q15" s="245">
        <f t="shared" si="0"/>
        <v>0.5</v>
      </c>
      <c r="R15" s="208">
        <v>12.7</v>
      </c>
      <c r="S15" s="208">
        <v>142</v>
      </c>
      <c r="T15" s="217">
        <f t="shared" si="1"/>
        <v>22</v>
      </c>
      <c r="U15" s="208">
        <v>138</v>
      </c>
      <c r="V15" s="217">
        <f t="shared" si="2"/>
        <v>3036</v>
      </c>
      <c r="W15" s="208">
        <v>8</v>
      </c>
      <c r="X15" s="55" t="s">
        <v>46</v>
      </c>
      <c r="Y15" s="55" t="s">
        <v>64</v>
      </c>
      <c r="Z15" s="216" t="s">
        <v>55</v>
      </c>
      <c r="AA15" s="55" t="s">
        <v>69</v>
      </c>
      <c r="AB15" s="216" t="s">
        <v>346</v>
      </c>
      <c r="AE15" s="223" t="s">
        <v>79</v>
      </c>
      <c r="AP15" s="224" t="s">
        <v>77</v>
      </c>
      <c r="AR15" s="231" t="s">
        <v>94</v>
      </c>
      <c r="AV15" s="224" t="s">
        <v>107</v>
      </c>
    </row>
    <row r="16" spans="1:53" x14ac:dyDescent="0.15">
      <c r="A16" s="55" t="s">
        <v>56</v>
      </c>
      <c r="B16" s="55" t="s">
        <v>413</v>
      </c>
      <c r="C16" s="216">
        <v>2018</v>
      </c>
      <c r="D16" s="86" t="s">
        <v>414</v>
      </c>
      <c r="E16" s="216" t="s">
        <v>391</v>
      </c>
      <c r="F16" s="216" t="s">
        <v>172</v>
      </c>
      <c r="G16" s="55" t="s">
        <v>42</v>
      </c>
      <c r="H16" s="216" t="s">
        <v>165</v>
      </c>
      <c r="I16" s="55" t="s">
        <v>155</v>
      </c>
      <c r="J16" s="216" t="s">
        <v>38</v>
      </c>
      <c r="K16" s="216" t="s">
        <v>156</v>
      </c>
      <c r="L16" s="208">
        <v>3</v>
      </c>
      <c r="N16" s="208">
        <v>1</v>
      </c>
      <c r="O16" s="208">
        <v>0.55000000000000004</v>
      </c>
      <c r="P16" s="208">
        <v>0.5</v>
      </c>
      <c r="Q16" s="245">
        <f t="shared" si="0"/>
        <v>0.52500000000000002</v>
      </c>
      <c r="R16" s="237">
        <v>17.600000000000001</v>
      </c>
      <c r="S16" s="208">
        <v>132</v>
      </c>
      <c r="T16" s="217">
        <f t="shared" si="1"/>
        <v>25</v>
      </c>
      <c r="U16" s="208">
        <v>138</v>
      </c>
      <c r="V16" s="217">
        <f t="shared" si="2"/>
        <v>3450</v>
      </c>
      <c r="W16" s="208">
        <v>8</v>
      </c>
      <c r="X16" s="55" t="s">
        <v>46</v>
      </c>
      <c r="Y16" s="55" t="s">
        <v>64</v>
      </c>
      <c r="Z16" s="216" t="s">
        <v>55</v>
      </c>
      <c r="AA16" s="55" t="s">
        <v>69</v>
      </c>
      <c r="AB16" s="216" t="s">
        <v>346</v>
      </c>
      <c r="AE16" s="223" t="s">
        <v>82</v>
      </c>
      <c r="AP16" s="224" t="s">
        <v>80</v>
      </c>
      <c r="AR16" s="238" t="s">
        <v>63</v>
      </c>
      <c r="AV16" s="224" t="s">
        <v>84</v>
      </c>
    </row>
    <row r="17" spans="1:48" x14ac:dyDescent="0.15">
      <c r="A17" s="55" t="s">
        <v>56</v>
      </c>
      <c r="B17" s="55" t="s">
        <v>413</v>
      </c>
      <c r="C17" s="216">
        <v>2018</v>
      </c>
      <c r="D17" s="86" t="s">
        <v>414</v>
      </c>
      <c r="E17" s="216" t="s">
        <v>415</v>
      </c>
      <c r="F17" s="216" t="s">
        <v>416</v>
      </c>
      <c r="G17" s="55" t="s">
        <v>42</v>
      </c>
      <c r="H17" s="216" t="s">
        <v>157</v>
      </c>
      <c r="I17" s="55" t="s">
        <v>155</v>
      </c>
      <c r="J17" s="216" t="s">
        <v>38</v>
      </c>
      <c r="K17" s="216" t="s">
        <v>156</v>
      </c>
      <c r="L17" s="208">
        <v>1</v>
      </c>
      <c r="N17" s="208">
        <v>1</v>
      </c>
      <c r="O17" s="208">
        <v>0.5</v>
      </c>
      <c r="P17" s="208">
        <v>0.5</v>
      </c>
      <c r="Q17" s="245">
        <f t="shared" si="0"/>
        <v>0.5</v>
      </c>
      <c r="R17" s="208">
        <v>12.1</v>
      </c>
      <c r="S17" s="208">
        <v>125</v>
      </c>
      <c r="T17" s="217">
        <f t="shared" si="1"/>
        <v>27</v>
      </c>
      <c r="U17" s="208">
        <v>106</v>
      </c>
      <c r="V17" s="217">
        <f t="shared" si="2"/>
        <v>2862</v>
      </c>
      <c r="W17" s="208">
        <v>2</v>
      </c>
      <c r="X17" s="55" t="s">
        <v>46</v>
      </c>
      <c r="Y17" s="55" t="s">
        <v>78</v>
      </c>
      <c r="Z17" s="216" t="s">
        <v>88</v>
      </c>
      <c r="AA17" s="55" t="s">
        <v>55</v>
      </c>
      <c r="AB17" s="216" t="s">
        <v>346</v>
      </c>
      <c r="AE17" s="223" t="s">
        <v>85</v>
      </c>
      <c r="AP17" s="239" t="s">
        <v>110</v>
      </c>
      <c r="AR17" s="238" t="s">
        <v>96</v>
      </c>
      <c r="AV17" s="224" t="s">
        <v>86</v>
      </c>
    </row>
    <row r="18" spans="1:48" x14ac:dyDescent="0.15">
      <c r="A18" s="55" t="s">
        <v>56</v>
      </c>
      <c r="B18" s="55" t="s">
        <v>413</v>
      </c>
      <c r="C18" s="216">
        <v>2018</v>
      </c>
      <c r="D18" s="86" t="s">
        <v>414</v>
      </c>
      <c r="E18" s="216" t="s">
        <v>415</v>
      </c>
      <c r="F18" s="216" t="s">
        <v>416</v>
      </c>
      <c r="G18" s="55" t="s">
        <v>42</v>
      </c>
      <c r="H18" s="216" t="s">
        <v>157</v>
      </c>
      <c r="I18" s="55" t="s">
        <v>155</v>
      </c>
      <c r="J18" s="216" t="s">
        <v>38</v>
      </c>
      <c r="K18" s="216" t="s">
        <v>156</v>
      </c>
      <c r="L18" s="208">
        <v>2</v>
      </c>
      <c r="N18" s="208">
        <v>1</v>
      </c>
      <c r="O18" s="208">
        <v>0.5</v>
      </c>
      <c r="P18" s="208">
        <v>0.5</v>
      </c>
      <c r="Q18" s="245">
        <f t="shared" si="0"/>
        <v>0.5</v>
      </c>
      <c r="R18" s="208">
        <v>12.5</v>
      </c>
      <c r="S18" s="208">
        <v>124</v>
      </c>
      <c r="T18" s="217">
        <f t="shared" si="1"/>
        <v>27</v>
      </c>
      <c r="U18" s="208">
        <v>106</v>
      </c>
      <c r="V18" s="217">
        <f t="shared" si="2"/>
        <v>2862</v>
      </c>
      <c r="W18" s="208">
        <v>2</v>
      </c>
      <c r="X18" s="55" t="s">
        <v>46</v>
      </c>
      <c r="Y18" s="55" t="s">
        <v>78</v>
      </c>
      <c r="Z18" s="216" t="s">
        <v>88</v>
      </c>
      <c r="AA18" s="55" t="s">
        <v>55</v>
      </c>
      <c r="AB18" s="216" t="s">
        <v>346</v>
      </c>
      <c r="AE18" s="223" t="s">
        <v>87</v>
      </c>
      <c r="AP18" s="239" t="s">
        <v>111</v>
      </c>
      <c r="AR18" s="238" t="s">
        <v>101</v>
      </c>
      <c r="AV18" s="224" t="s">
        <v>88</v>
      </c>
    </row>
    <row r="19" spans="1:48" x14ac:dyDescent="0.15">
      <c r="A19" s="55" t="s">
        <v>56</v>
      </c>
      <c r="B19" s="55" t="s">
        <v>405</v>
      </c>
      <c r="C19" s="216">
        <v>2018</v>
      </c>
      <c r="D19" s="86" t="s">
        <v>406</v>
      </c>
      <c r="E19" s="216" t="s">
        <v>415</v>
      </c>
      <c r="F19" s="216" t="s">
        <v>416</v>
      </c>
      <c r="G19" s="55" t="s">
        <v>42</v>
      </c>
      <c r="H19" s="216" t="s">
        <v>157</v>
      </c>
      <c r="I19" s="55" t="s">
        <v>155</v>
      </c>
      <c r="J19" s="216" t="s">
        <v>38</v>
      </c>
      <c r="K19" s="216" t="s">
        <v>156</v>
      </c>
      <c r="L19" s="208">
        <v>3</v>
      </c>
      <c r="N19" s="208">
        <v>1</v>
      </c>
      <c r="O19" s="208">
        <v>0.5</v>
      </c>
      <c r="P19" s="208">
        <v>0.5</v>
      </c>
      <c r="Q19" s="245">
        <f t="shared" si="0"/>
        <v>0.5</v>
      </c>
      <c r="R19" s="237">
        <v>12.6</v>
      </c>
      <c r="S19" s="208">
        <v>125</v>
      </c>
      <c r="T19" s="217">
        <f t="shared" si="1"/>
        <v>27</v>
      </c>
      <c r="U19" s="208">
        <v>106</v>
      </c>
      <c r="V19" s="217">
        <f t="shared" si="2"/>
        <v>2862</v>
      </c>
      <c r="W19" s="208">
        <v>2</v>
      </c>
      <c r="X19" s="55" t="s">
        <v>46</v>
      </c>
      <c r="Y19" s="55" t="s">
        <v>78</v>
      </c>
      <c r="Z19" s="216" t="s">
        <v>88</v>
      </c>
      <c r="AA19" s="55" t="s">
        <v>55</v>
      </c>
      <c r="AB19" s="216" t="s">
        <v>346</v>
      </c>
      <c r="AE19" s="236" t="s">
        <v>89</v>
      </c>
      <c r="AP19" s="239" t="s">
        <v>112</v>
      </c>
      <c r="AR19" s="231" t="s">
        <v>126</v>
      </c>
      <c r="AV19" s="224" t="s">
        <v>90</v>
      </c>
    </row>
    <row r="20" spans="1:48" x14ac:dyDescent="0.15">
      <c r="A20" s="55" t="s">
        <v>56</v>
      </c>
      <c r="B20" s="55" t="s">
        <v>405</v>
      </c>
      <c r="C20" s="216">
        <v>2018</v>
      </c>
      <c r="D20" s="86" t="s">
        <v>406</v>
      </c>
      <c r="E20" s="216" t="s">
        <v>415</v>
      </c>
      <c r="F20" s="216" t="s">
        <v>416</v>
      </c>
      <c r="G20" s="55" t="s">
        <v>42</v>
      </c>
      <c r="H20" s="216" t="s">
        <v>217</v>
      </c>
      <c r="I20" s="55" t="s">
        <v>155</v>
      </c>
      <c r="J20" s="216" t="s">
        <v>38</v>
      </c>
      <c r="K20" s="216" t="s">
        <v>156</v>
      </c>
      <c r="L20" s="208">
        <v>1</v>
      </c>
      <c r="N20" s="208">
        <v>5</v>
      </c>
      <c r="O20" s="208">
        <v>0.5</v>
      </c>
      <c r="P20" s="208">
        <v>0.5</v>
      </c>
      <c r="Q20" s="245">
        <f t="shared" si="0"/>
        <v>0.5</v>
      </c>
      <c r="R20" s="208">
        <v>13</v>
      </c>
      <c r="S20" s="208">
        <v>102</v>
      </c>
      <c r="T20" s="217">
        <f t="shared" si="1"/>
        <v>33</v>
      </c>
      <c r="U20" s="208">
        <v>430</v>
      </c>
      <c r="V20" s="217">
        <f t="shared" si="2"/>
        <v>2838</v>
      </c>
      <c r="W20" s="208">
        <v>4</v>
      </c>
      <c r="X20" s="55" t="s">
        <v>46</v>
      </c>
      <c r="Y20" s="55" t="s">
        <v>78</v>
      </c>
      <c r="Z20" s="216" t="s">
        <v>88</v>
      </c>
      <c r="AA20" s="55" t="s">
        <v>55</v>
      </c>
      <c r="AB20" s="216" t="s">
        <v>346</v>
      </c>
      <c r="AP20" s="239" t="s">
        <v>113</v>
      </c>
      <c r="AR20" s="238" t="s">
        <v>105</v>
      </c>
      <c r="AV20" s="228" t="s">
        <v>373</v>
      </c>
    </row>
    <row r="21" spans="1:48" x14ac:dyDescent="0.15">
      <c r="A21" s="55" t="s">
        <v>56</v>
      </c>
      <c r="B21" s="55" t="s">
        <v>405</v>
      </c>
      <c r="C21" s="216">
        <v>2018</v>
      </c>
      <c r="D21" s="86" t="s">
        <v>406</v>
      </c>
      <c r="E21" s="216" t="s">
        <v>415</v>
      </c>
      <c r="F21" s="216" t="s">
        <v>416</v>
      </c>
      <c r="G21" s="55" t="s">
        <v>42</v>
      </c>
      <c r="H21" s="216" t="s">
        <v>217</v>
      </c>
      <c r="I21" s="55" t="s">
        <v>155</v>
      </c>
      <c r="J21" s="216" t="s">
        <v>38</v>
      </c>
      <c r="K21" s="216" t="s">
        <v>156</v>
      </c>
      <c r="L21" s="208">
        <v>2</v>
      </c>
      <c r="N21" s="208">
        <v>5</v>
      </c>
      <c r="O21" s="208">
        <v>0.5</v>
      </c>
      <c r="P21" s="208">
        <v>0.5</v>
      </c>
      <c r="Q21" s="245">
        <f t="shared" si="0"/>
        <v>0.5</v>
      </c>
      <c r="R21" s="208">
        <v>13.8</v>
      </c>
      <c r="S21" s="208">
        <v>97</v>
      </c>
      <c r="T21" s="217">
        <f t="shared" si="1"/>
        <v>36</v>
      </c>
      <c r="U21" s="208">
        <v>430</v>
      </c>
      <c r="V21" s="217">
        <f t="shared" si="2"/>
        <v>3096</v>
      </c>
      <c r="W21" s="208">
        <v>4</v>
      </c>
      <c r="X21" s="55" t="s">
        <v>46</v>
      </c>
      <c r="Y21" s="55" t="s">
        <v>78</v>
      </c>
      <c r="Z21" s="216" t="s">
        <v>88</v>
      </c>
      <c r="AA21" s="55" t="s">
        <v>55</v>
      </c>
      <c r="AB21" s="216" t="s">
        <v>346</v>
      </c>
      <c r="AP21" s="239" t="s">
        <v>114</v>
      </c>
      <c r="AR21" s="238" t="s">
        <v>68</v>
      </c>
      <c r="AV21" s="229" t="s">
        <v>417</v>
      </c>
    </row>
    <row r="22" spans="1:48" x14ac:dyDescent="0.15">
      <c r="A22" s="55" t="s">
        <v>56</v>
      </c>
      <c r="B22" s="55" t="s">
        <v>405</v>
      </c>
      <c r="C22" s="216">
        <v>2018</v>
      </c>
      <c r="D22" s="86" t="s">
        <v>406</v>
      </c>
      <c r="E22" s="216" t="s">
        <v>415</v>
      </c>
      <c r="F22" s="216" t="s">
        <v>416</v>
      </c>
      <c r="G22" s="55" t="s">
        <v>42</v>
      </c>
      <c r="H22" s="216" t="s">
        <v>217</v>
      </c>
      <c r="I22" s="55" t="s">
        <v>155</v>
      </c>
      <c r="J22" s="216" t="s">
        <v>38</v>
      </c>
      <c r="K22" s="216" t="s">
        <v>156</v>
      </c>
      <c r="L22" s="208">
        <v>3</v>
      </c>
      <c r="N22" s="208">
        <v>5</v>
      </c>
      <c r="O22" s="208">
        <v>0.5</v>
      </c>
      <c r="P22" s="208">
        <v>0.5</v>
      </c>
      <c r="Q22" s="245">
        <f t="shared" si="0"/>
        <v>0.5</v>
      </c>
      <c r="R22" s="237">
        <v>12.2</v>
      </c>
      <c r="S22" s="208">
        <v>93</v>
      </c>
      <c r="T22" s="217">
        <f t="shared" si="1"/>
        <v>36</v>
      </c>
      <c r="U22" s="208">
        <v>430</v>
      </c>
      <c r="V22" s="217">
        <f t="shared" si="2"/>
        <v>3096</v>
      </c>
      <c r="W22" s="208">
        <v>4</v>
      </c>
      <c r="X22" s="55" t="s">
        <v>46</v>
      </c>
      <c r="Y22" s="55" t="s">
        <v>78</v>
      </c>
      <c r="Z22" s="216" t="s">
        <v>88</v>
      </c>
      <c r="AA22" s="55" t="s">
        <v>55</v>
      </c>
      <c r="AB22" s="216" t="s">
        <v>346</v>
      </c>
      <c r="AP22" s="239" t="s">
        <v>115</v>
      </c>
      <c r="AR22" s="238" t="s">
        <v>83</v>
      </c>
    </row>
    <row r="23" spans="1:48" x14ac:dyDescent="0.15">
      <c r="A23" s="55" t="s">
        <v>56</v>
      </c>
      <c r="B23" s="55" t="s">
        <v>405</v>
      </c>
      <c r="C23" s="216">
        <v>2018</v>
      </c>
      <c r="D23" s="86" t="s">
        <v>406</v>
      </c>
      <c r="E23" s="216" t="s">
        <v>415</v>
      </c>
      <c r="F23" s="216" t="s">
        <v>416</v>
      </c>
      <c r="G23" s="55" t="s">
        <v>42</v>
      </c>
      <c r="H23" s="216" t="s">
        <v>165</v>
      </c>
      <c r="I23" s="55" t="s">
        <v>155</v>
      </c>
      <c r="J23" s="216" t="s">
        <v>38</v>
      </c>
      <c r="K23" s="216" t="s">
        <v>156</v>
      </c>
      <c r="L23" s="208">
        <v>1</v>
      </c>
      <c r="N23" s="208">
        <v>5</v>
      </c>
      <c r="O23" s="208">
        <v>0.6</v>
      </c>
      <c r="P23" s="208">
        <v>0.6</v>
      </c>
      <c r="Q23" s="245">
        <f t="shared" si="0"/>
        <v>0.6</v>
      </c>
      <c r="R23" s="208">
        <v>17.899999999999999</v>
      </c>
      <c r="S23" s="208">
        <v>123</v>
      </c>
      <c r="T23" s="217">
        <f t="shared" si="1"/>
        <v>27</v>
      </c>
      <c r="U23" s="208">
        <v>646</v>
      </c>
      <c r="V23" s="217">
        <f t="shared" si="2"/>
        <v>3488.3999999999996</v>
      </c>
      <c r="W23" s="208">
        <v>6</v>
      </c>
      <c r="X23" s="55" t="s">
        <v>46</v>
      </c>
      <c r="Y23" s="55" t="s">
        <v>78</v>
      </c>
      <c r="Z23" s="216" t="s">
        <v>88</v>
      </c>
      <c r="AA23" s="55" t="s">
        <v>55</v>
      </c>
      <c r="AB23" s="216" t="s">
        <v>346</v>
      </c>
      <c r="AP23" s="239" t="s">
        <v>418</v>
      </c>
      <c r="AR23" s="238" t="s">
        <v>61</v>
      </c>
    </row>
    <row r="24" spans="1:48" x14ac:dyDescent="0.15">
      <c r="A24" s="55" t="s">
        <v>56</v>
      </c>
      <c r="B24" s="55" t="s">
        <v>405</v>
      </c>
      <c r="C24" s="216">
        <v>2018</v>
      </c>
      <c r="D24" s="86" t="s">
        <v>406</v>
      </c>
      <c r="E24" s="216" t="s">
        <v>415</v>
      </c>
      <c r="F24" s="216" t="s">
        <v>416</v>
      </c>
      <c r="G24" s="55" t="s">
        <v>42</v>
      </c>
      <c r="H24" s="216" t="s">
        <v>165</v>
      </c>
      <c r="I24" s="55" t="s">
        <v>155</v>
      </c>
      <c r="J24" s="216" t="s">
        <v>38</v>
      </c>
      <c r="K24" s="216" t="s">
        <v>156</v>
      </c>
      <c r="L24" s="208">
        <v>2</v>
      </c>
      <c r="N24" s="208">
        <v>5</v>
      </c>
      <c r="O24" s="208">
        <v>0.55000000000000004</v>
      </c>
      <c r="P24" s="208">
        <v>0.55000000000000004</v>
      </c>
      <c r="Q24" s="245">
        <f t="shared" si="0"/>
        <v>0.55000000000000004</v>
      </c>
      <c r="R24" s="208">
        <v>12.4</v>
      </c>
      <c r="S24" s="208">
        <v>119</v>
      </c>
      <c r="T24" s="217">
        <f t="shared" si="1"/>
        <v>30</v>
      </c>
      <c r="U24" s="208">
        <v>646</v>
      </c>
      <c r="V24" s="217">
        <f t="shared" si="2"/>
        <v>3875.9999999999995</v>
      </c>
      <c r="W24" s="208">
        <v>6</v>
      </c>
      <c r="X24" s="55" t="s">
        <v>46</v>
      </c>
      <c r="Y24" s="55" t="s">
        <v>78</v>
      </c>
      <c r="Z24" s="216" t="s">
        <v>88</v>
      </c>
      <c r="AA24" s="55" t="s">
        <v>55</v>
      </c>
      <c r="AB24" s="216" t="s">
        <v>346</v>
      </c>
      <c r="AP24" s="239" t="s">
        <v>419</v>
      </c>
      <c r="AR24" s="238" t="s">
        <v>91</v>
      </c>
    </row>
    <row r="25" spans="1:48" x14ac:dyDescent="0.15">
      <c r="A25" s="55" t="s">
        <v>56</v>
      </c>
      <c r="B25" s="55" t="s">
        <v>405</v>
      </c>
      <c r="C25" s="216">
        <v>2018</v>
      </c>
      <c r="D25" s="86" t="s">
        <v>406</v>
      </c>
      <c r="E25" s="216" t="s">
        <v>415</v>
      </c>
      <c r="F25" s="216" t="s">
        <v>416</v>
      </c>
      <c r="G25" s="55" t="s">
        <v>42</v>
      </c>
      <c r="H25" s="216" t="s">
        <v>165</v>
      </c>
      <c r="I25" s="55" t="s">
        <v>155</v>
      </c>
      <c r="J25" s="216" t="s">
        <v>38</v>
      </c>
      <c r="K25" s="216" t="s">
        <v>156</v>
      </c>
      <c r="L25" s="208">
        <v>3</v>
      </c>
      <c r="N25" s="208">
        <v>5</v>
      </c>
      <c r="O25" s="208">
        <v>0.55000000000000004</v>
      </c>
      <c r="P25" s="208">
        <v>0.55000000000000004</v>
      </c>
      <c r="Q25" s="245">
        <f t="shared" si="0"/>
        <v>0.55000000000000004</v>
      </c>
      <c r="R25" s="237">
        <v>13.8</v>
      </c>
      <c r="S25" s="208">
        <v>118</v>
      </c>
      <c r="T25" s="217">
        <f t="shared" si="1"/>
        <v>30</v>
      </c>
      <c r="U25" s="208">
        <v>646</v>
      </c>
      <c r="V25" s="217">
        <f t="shared" si="2"/>
        <v>3875.9999999999995</v>
      </c>
      <c r="W25" s="208">
        <v>6</v>
      </c>
      <c r="X25" s="55" t="s">
        <v>46</v>
      </c>
      <c r="Y25" s="55" t="s">
        <v>78</v>
      </c>
      <c r="Z25" s="216" t="s">
        <v>88</v>
      </c>
      <c r="AA25" s="55" t="s">
        <v>55</v>
      </c>
      <c r="AB25" s="216" t="s">
        <v>346</v>
      </c>
      <c r="AP25" s="239" t="s">
        <v>116</v>
      </c>
      <c r="AR25" s="42" t="s">
        <v>92</v>
      </c>
    </row>
    <row r="26" spans="1:48" x14ac:dyDescent="0.15">
      <c r="A26" s="55" t="s">
        <v>56</v>
      </c>
      <c r="B26" s="55" t="s">
        <v>405</v>
      </c>
      <c r="C26" s="216">
        <v>2018</v>
      </c>
      <c r="D26" s="86" t="s">
        <v>406</v>
      </c>
      <c r="E26" s="216" t="s">
        <v>420</v>
      </c>
      <c r="F26" s="216" t="s">
        <v>421</v>
      </c>
      <c r="G26" s="55" t="s">
        <v>42</v>
      </c>
      <c r="H26" s="216" t="s">
        <v>157</v>
      </c>
      <c r="I26" s="55" t="s">
        <v>155</v>
      </c>
      <c r="J26" s="216" t="s">
        <v>38</v>
      </c>
      <c r="K26" s="216" t="s">
        <v>156</v>
      </c>
      <c r="L26" s="208">
        <v>1</v>
      </c>
      <c r="N26" s="208">
        <v>1</v>
      </c>
      <c r="O26" s="208">
        <v>0.7</v>
      </c>
      <c r="P26" s="208">
        <v>0.75</v>
      </c>
      <c r="Q26" s="245">
        <f t="shared" si="0"/>
        <v>0.72499999999999998</v>
      </c>
      <c r="R26" s="208">
        <v>12.5</v>
      </c>
      <c r="S26" s="208">
        <v>119</v>
      </c>
      <c r="T26" s="217">
        <f t="shared" si="1"/>
        <v>30</v>
      </c>
      <c r="U26" s="208">
        <v>96</v>
      </c>
      <c r="V26" s="217">
        <f t="shared" si="2"/>
        <v>2880</v>
      </c>
      <c r="W26" s="208">
        <v>3</v>
      </c>
      <c r="X26" s="55" t="s">
        <v>46</v>
      </c>
      <c r="Y26" s="55" t="s">
        <v>69</v>
      </c>
      <c r="Z26" s="208" t="s">
        <v>86</v>
      </c>
      <c r="AA26" s="55" t="s">
        <v>55</v>
      </c>
      <c r="AB26" s="216" t="s">
        <v>346</v>
      </c>
      <c r="AP26" s="239" t="s">
        <v>117</v>
      </c>
      <c r="AR26" s="208" t="s">
        <v>296</v>
      </c>
    </row>
    <row r="27" spans="1:48" x14ac:dyDescent="0.15">
      <c r="A27" s="55" t="s">
        <v>56</v>
      </c>
      <c r="B27" s="55" t="s">
        <v>405</v>
      </c>
      <c r="C27" s="216">
        <v>2018</v>
      </c>
      <c r="D27" s="86" t="s">
        <v>406</v>
      </c>
      <c r="E27" s="216" t="s">
        <v>420</v>
      </c>
      <c r="F27" s="216" t="s">
        <v>421</v>
      </c>
      <c r="G27" s="55" t="s">
        <v>42</v>
      </c>
      <c r="H27" s="216" t="s">
        <v>157</v>
      </c>
      <c r="I27" s="55" t="s">
        <v>155</v>
      </c>
      <c r="J27" s="216" t="s">
        <v>38</v>
      </c>
      <c r="K27" s="216" t="s">
        <v>156</v>
      </c>
      <c r="L27" s="208">
        <v>2</v>
      </c>
      <c r="N27" s="208">
        <v>1</v>
      </c>
      <c r="O27" s="208">
        <v>0.65</v>
      </c>
      <c r="P27" s="208">
        <v>0.65</v>
      </c>
      <c r="Q27" s="245">
        <f t="shared" si="0"/>
        <v>0.65</v>
      </c>
      <c r="R27" s="208">
        <v>12.3</v>
      </c>
      <c r="S27" s="208">
        <v>122</v>
      </c>
      <c r="T27" s="217">
        <f t="shared" si="1"/>
        <v>27</v>
      </c>
      <c r="U27" s="208">
        <v>96</v>
      </c>
      <c r="V27" s="217">
        <f t="shared" si="2"/>
        <v>2592</v>
      </c>
      <c r="W27" s="208">
        <v>3</v>
      </c>
      <c r="X27" s="55" t="s">
        <v>46</v>
      </c>
      <c r="Y27" s="55" t="s">
        <v>69</v>
      </c>
      <c r="Z27" s="208" t="s">
        <v>86</v>
      </c>
      <c r="AA27" s="55" t="s">
        <v>55</v>
      </c>
      <c r="AB27" s="216" t="s">
        <v>346</v>
      </c>
      <c r="AP27" s="239" t="s">
        <v>118</v>
      </c>
    </row>
    <row r="28" spans="1:48" x14ac:dyDescent="0.15">
      <c r="A28" s="55" t="s">
        <v>56</v>
      </c>
      <c r="B28" s="55" t="s">
        <v>405</v>
      </c>
      <c r="C28" s="216">
        <v>2018</v>
      </c>
      <c r="D28" s="86" t="s">
        <v>406</v>
      </c>
      <c r="E28" s="216" t="s">
        <v>420</v>
      </c>
      <c r="F28" s="216" t="s">
        <v>421</v>
      </c>
      <c r="G28" s="55" t="s">
        <v>42</v>
      </c>
      <c r="H28" s="216" t="s">
        <v>157</v>
      </c>
      <c r="I28" s="55" t="s">
        <v>155</v>
      </c>
      <c r="J28" s="216" t="s">
        <v>38</v>
      </c>
      <c r="K28" s="216" t="s">
        <v>156</v>
      </c>
      <c r="L28" s="208">
        <v>3</v>
      </c>
      <c r="N28" s="208">
        <v>1</v>
      </c>
      <c r="O28" s="208">
        <v>0.75</v>
      </c>
      <c r="P28" s="208">
        <v>0.75</v>
      </c>
      <c r="Q28" s="245">
        <f t="shared" si="0"/>
        <v>0.75</v>
      </c>
      <c r="R28" s="237">
        <v>12.5</v>
      </c>
      <c r="S28" s="208">
        <v>118</v>
      </c>
      <c r="T28" s="217">
        <f t="shared" si="1"/>
        <v>30</v>
      </c>
      <c r="U28" s="208">
        <v>96</v>
      </c>
      <c r="V28" s="217">
        <f t="shared" si="2"/>
        <v>2880</v>
      </c>
      <c r="W28" s="208">
        <v>3</v>
      </c>
      <c r="X28" s="55" t="s">
        <v>46</v>
      </c>
      <c r="Y28" s="55" t="s">
        <v>69</v>
      </c>
      <c r="Z28" s="208" t="s">
        <v>86</v>
      </c>
      <c r="AA28" s="55" t="s">
        <v>55</v>
      </c>
      <c r="AB28" s="216" t="s">
        <v>346</v>
      </c>
    </row>
    <row r="29" spans="1:48" x14ac:dyDescent="0.15">
      <c r="A29" s="55" t="s">
        <v>56</v>
      </c>
      <c r="B29" s="55" t="s">
        <v>405</v>
      </c>
      <c r="C29" s="216">
        <v>2018</v>
      </c>
      <c r="D29" s="86" t="s">
        <v>406</v>
      </c>
      <c r="E29" s="216" t="s">
        <v>420</v>
      </c>
      <c r="F29" s="216" t="s">
        <v>421</v>
      </c>
      <c r="G29" s="55" t="s">
        <v>42</v>
      </c>
      <c r="H29" s="216" t="s">
        <v>157</v>
      </c>
      <c r="I29" s="55" t="s">
        <v>158</v>
      </c>
      <c r="J29" s="216" t="s">
        <v>38</v>
      </c>
      <c r="K29" s="216" t="s">
        <v>156</v>
      </c>
      <c r="L29" s="208">
        <v>1</v>
      </c>
      <c r="N29" s="208">
        <v>4</v>
      </c>
      <c r="O29" s="208">
        <v>0.5</v>
      </c>
      <c r="P29" s="208">
        <v>0.5</v>
      </c>
      <c r="Q29" s="245">
        <f t="shared" si="0"/>
        <v>0.5</v>
      </c>
      <c r="R29" s="208">
        <v>11.5</v>
      </c>
      <c r="S29" s="208">
        <v>99</v>
      </c>
      <c r="T29" s="217">
        <f t="shared" si="1"/>
        <v>33</v>
      </c>
      <c r="U29" s="208">
        <v>410</v>
      </c>
      <c r="V29" s="217">
        <f t="shared" si="2"/>
        <v>3382.5</v>
      </c>
      <c r="W29" s="208">
        <v>2</v>
      </c>
      <c r="X29" s="55" t="s">
        <v>46</v>
      </c>
      <c r="Y29" s="55" t="s">
        <v>69</v>
      </c>
      <c r="Z29" s="208" t="s">
        <v>86</v>
      </c>
      <c r="AA29" s="55" t="s">
        <v>55</v>
      </c>
      <c r="AB29" s="216" t="s">
        <v>346</v>
      </c>
    </row>
    <row r="30" spans="1:48" x14ac:dyDescent="0.15">
      <c r="A30" s="55" t="s">
        <v>56</v>
      </c>
      <c r="B30" s="55" t="s">
        <v>405</v>
      </c>
      <c r="C30" s="216">
        <v>2018</v>
      </c>
      <c r="D30" s="86" t="s">
        <v>406</v>
      </c>
      <c r="E30" s="216" t="s">
        <v>420</v>
      </c>
      <c r="F30" s="216" t="s">
        <v>421</v>
      </c>
      <c r="G30" s="55" t="s">
        <v>42</v>
      </c>
      <c r="H30" s="216" t="s">
        <v>157</v>
      </c>
      <c r="I30" s="55" t="s">
        <v>158</v>
      </c>
      <c r="J30" s="216" t="s">
        <v>38</v>
      </c>
      <c r="K30" s="216" t="s">
        <v>156</v>
      </c>
      <c r="L30" s="208">
        <v>2</v>
      </c>
      <c r="N30" s="208">
        <v>4</v>
      </c>
      <c r="O30" s="208">
        <v>0.6</v>
      </c>
      <c r="P30" s="208">
        <v>0.6</v>
      </c>
      <c r="Q30" s="245">
        <f t="shared" si="0"/>
        <v>0.6</v>
      </c>
      <c r="R30" s="208">
        <v>11.8</v>
      </c>
      <c r="S30" s="208">
        <v>104</v>
      </c>
      <c r="T30" s="217">
        <f t="shared" si="1"/>
        <v>33</v>
      </c>
      <c r="U30" s="208">
        <v>410</v>
      </c>
      <c r="V30" s="217">
        <f t="shared" si="2"/>
        <v>3382.5</v>
      </c>
      <c r="W30" s="208">
        <v>2</v>
      </c>
      <c r="X30" s="55" t="s">
        <v>46</v>
      </c>
      <c r="Y30" s="55" t="s">
        <v>69</v>
      </c>
      <c r="Z30" s="208" t="s">
        <v>86</v>
      </c>
      <c r="AA30" s="55" t="s">
        <v>55</v>
      </c>
      <c r="AB30" s="216" t="s">
        <v>346</v>
      </c>
    </row>
    <row r="31" spans="1:48" x14ac:dyDescent="0.15">
      <c r="A31" s="55" t="s">
        <v>56</v>
      </c>
      <c r="B31" s="55" t="s">
        <v>405</v>
      </c>
      <c r="C31" s="216">
        <v>2018</v>
      </c>
      <c r="D31" s="86" t="s">
        <v>406</v>
      </c>
      <c r="E31" s="216" t="s">
        <v>420</v>
      </c>
      <c r="F31" s="216" t="s">
        <v>421</v>
      </c>
      <c r="G31" s="55" t="s">
        <v>42</v>
      </c>
      <c r="H31" s="216" t="s">
        <v>157</v>
      </c>
      <c r="I31" s="55" t="s">
        <v>158</v>
      </c>
      <c r="J31" s="216" t="s">
        <v>38</v>
      </c>
      <c r="K31" s="216" t="s">
        <v>156</v>
      </c>
      <c r="L31" s="208">
        <v>3</v>
      </c>
      <c r="N31" s="208">
        <v>4</v>
      </c>
      <c r="O31" s="208">
        <v>0.6</v>
      </c>
      <c r="P31" s="208">
        <v>0.6</v>
      </c>
      <c r="Q31" s="245">
        <f t="shared" si="0"/>
        <v>0.6</v>
      </c>
      <c r="R31" s="237">
        <v>11.3</v>
      </c>
      <c r="S31" s="208">
        <v>97</v>
      </c>
      <c r="T31" s="217">
        <f t="shared" si="1"/>
        <v>36</v>
      </c>
      <c r="U31" s="208">
        <v>410</v>
      </c>
      <c r="V31" s="217">
        <f t="shared" si="2"/>
        <v>3690</v>
      </c>
      <c r="W31" s="208">
        <v>2</v>
      </c>
      <c r="X31" s="55" t="s">
        <v>46</v>
      </c>
      <c r="Y31" s="55" t="s">
        <v>69</v>
      </c>
      <c r="Z31" s="208" t="s">
        <v>86</v>
      </c>
      <c r="AA31" s="55" t="s">
        <v>55</v>
      </c>
      <c r="AB31" s="216" t="s">
        <v>346</v>
      </c>
    </row>
    <row r="32" spans="1:48" x14ac:dyDescent="0.15">
      <c r="A32" s="55" t="s">
        <v>56</v>
      </c>
      <c r="B32" s="55" t="s">
        <v>405</v>
      </c>
      <c r="C32" s="216">
        <v>2018</v>
      </c>
      <c r="D32" s="86" t="s">
        <v>406</v>
      </c>
      <c r="E32" s="216" t="s">
        <v>420</v>
      </c>
      <c r="F32" s="216" t="s">
        <v>421</v>
      </c>
      <c r="G32" s="55" t="s">
        <v>42</v>
      </c>
      <c r="H32" s="216" t="s">
        <v>165</v>
      </c>
      <c r="I32" s="55" t="s">
        <v>155</v>
      </c>
      <c r="J32" s="216" t="s">
        <v>38</v>
      </c>
      <c r="K32" s="216" t="s">
        <v>156</v>
      </c>
      <c r="L32" s="208">
        <v>1</v>
      </c>
      <c r="N32" s="208">
        <v>1</v>
      </c>
      <c r="O32" s="208">
        <v>0.7</v>
      </c>
      <c r="P32" s="208">
        <v>0.7</v>
      </c>
      <c r="Q32" s="245">
        <f t="shared" si="0"/>
        <v>0.7</v>
      </c>
      <c r="R32" s="208">
        <v>12.6</v>
      </c>
      <c r="S32" s="208">
        <v>117</v>
      </c>
      <c r="T32" s="217">
        <f t="shared" si="1"/>
        <v>30</v>
      </c>
      <c r="U32" s="208">
        <v>107</v>
      </c>
      <c r="V32" s="217">
        <f t="shared" si="2"/>
        <v>3210</v>
      </c>
      <c r="W32" s="208">
        <v>3</v>
      </c>
      <c r="X32" s="55" t="s">
        <v>46</v>
      </c>
      <c r="Y32" s="55" t="s">
        <v>69</v>
      </c>
      <c r="Z32" s="208" t="s">
        <v>86</v>
      </c>
      <c r="AA32" s="55" t="s">
        <v>55</v>
      </c>
      <c r="AB32" s="216" t="s">
        <v>346</v>
      </c>
    </row>
    <row r="33" spans="1:28" x14ac:dyDescent="0.15">
      <c r="A33" s="55" t="s">
        <v>56</v>
      </c>
      <c r="B33" s="55" t="s">
        <v>405</v>
      </c>
      <c r="C33" s="216">
        <v>2018</v>
      </c>
      <c r="D33" s="86" t="s">
        <v>406</v>
      </c>
      <c r="E33" s="216" t="s">
        <v>420</v>
      </c>
      <c r="F33" s="216" t="s">
        <v>421</v>
      </c>
      <c r="G33" s="55" t="s">
        <v>42</v>
      </c>
      <c r="H33" s="216" t="s">
        <v>165</v>
      </c>
      <c r="I33" s="55" t="s">
        <v>155</v>
      </c>
      <c r="J33" s="216" t="s">
        <v>38</v>
      </c>
      <c r="K33" s="216" t="s">
        <v>156</v>
      </c>
      <c r="L33" s="208">
        <v>2</v>
      </c>
      <c r="N33" s="208">
        <v>1</v>
      </c>
      <c r="O33" s="208">
        <v>0.6</v>
      </c>
      <c r="P33" s="208">
        <v>0.7</v>
      </c>
      <c r="Q33" s="245">
        <f t="shared" si="0"/>
        <v>0.64999999999999991</v>
      </c>
      <c r="R33" s="208">
        <v>13.3</v>
      </c>
      <c r="S33" s="208">
        <v>122</v>
      </c>
      <c r="T33" s="217">
        <f t="shared" si="1"/>
        <v>27</v>
      </c>
      <c r="U33" s="208">
        <v>107</v>
      </c>
      <c r="V33" s="217">
        <f t="shared" si="2"/>
        <v>2889</v>
      </c>
      <c r="W33" s="208">
        <v>3</v>
      </c>
      <c r="X33" s="55" t="s">
        <v>46</v>
      </c>
      <c r="Y33" s="55" t="s">
        <v>69</v>
      </c>
      <c r="Z33" s="208" t="s">
        <v>86</v>
      </c>
      <c r="AA33" s="55" t="s">
        <v>55</v>
      </c>
      <c r="AB33" s="216" t="s">
        <v>346</v>
      </c>
    </row>
    <row r="34" spans="1:28" x14ac:dyDescent="0.15">
      <c r="A34" s="55" t="s">
        <v>56</v>
      </c>
      <c r="B34" s="55" t="s">
        <v>405</v>
      </c>
      <c r="C34" s="216">
        <v>2018</v>
      </c>
      <c r="D34" s="86" t="s">
        <v>406</v>
      </c>
      <c r="E34" s="216" t="s">
        <v>420</v>
      </c>
      <c r="F34" s="216" t="s">
        <v>421</v>
      </c>
      <c r="G34" s="55" t="s">
        <v>42</v>
      </c>
      <c r="H34" s="216" t="s">
        <v>165</v>
      </c>
      <c r="I34" s="55" t="s">
        <v>155</v>
      </c>
      <c r="J34" s="216" t="s">
        <v>38</v>
      </c>
      <c r="K34" s="216" t="s">
        <v>156</v>
      </c>
      <c r="L34" s="208">
        <v>3</v>
      </c>
      <c r="N34" s="208">
        <v>1</v>
      </c>
      <c r="O34" s="208">
        <v>0.75</v>
      </c>
      <c r="P34" s="208">
        <v>0.7</v>
      </c>
      <c r="Q34" s="245">
        <f t="shared" si="0"/>
        <v>0.72499999999999998</v>
      </c>
      <c r="R34" s="237">
        <v>12.4</v>
      </c>
      <c r="S34" s="208">
        <v>123</v>
      </c>
      <c r="T34" s="217">
        <f t="shared" si="1"/>
        <v>27</v>
      </c>
      <c r="U34" s="208">
        <v>107</v>
      </c>
      <c r="V34" s="217">
        <f t="shared" si="2"/>
        <v>2889</v>
      </c>
      <c r="W34" s="208">
        <v>3</v>
      </c>
      <c r="X34" s="55" t="s">
        <v>46</v>
      </c>
      <c r="Y34" s="55" t="s">
        <v>69</v>
      </c>
      <c r="Z34" s="208" t="s">
        <v>86</v>
      </c>
      <c r="AA34" s="55" t="s">
        <v>55</v>
      </c>
      <c r="AB34" s="216" t="s">
        <v>346</v>
      </c>
    </row>
    <row r="35" spans="1:28" x14ac:dyDescent="0.15">
      <c r="A35" s="55" t="s">
        <v>56</v>
      </c>
      <c r="B35" s="55" t="s">
        <v>405</v>
      </c>
      <c r="C35" s="216">
        <v>2018</v>
      </c>
      <c r="D35" s="86" t="s">
        <v>406</v>
      </c>
      <c r="E35" s="216" t="s">
        <v>322</v>
      </c>
      <c r="F35" s="216" t="s">
        <v>179</v>
      </c>
      <c r="G35" s="55" t="s">
        <v>42</v>
      </c>
      <c r="H35" s="216" t="s">
        <v>157</v>
      </c>
      <c r="I35" s="55" t="s">
        <v>155</v>
      </c>
      <c r="J35" s="216" t="s">
        <v>38</v>
      </c>
      <c r="K35" s="216" t="s">
        <v>156</v>
      </c>
      <c r="L35" s="208">
        <v>1</v>
      </c>
      <c r="N35" s="208">
        <v>1</v>
      </c>
      <c r="O35" s="208">
        <v>0.7</v>
      </c>
      <c r="P35" s="208">
        <v>0.7</v>
      </c>
      <c r="Q35" s="245">
        <f t="shared" si="0"/>
        <v>0.7</v>
      </c>
      <c r="R35" s="208">
        <v>11.4</v>
      </c>
      <c r="S35" s="208">
        <v>125</v>
      </c>
      <c r="T35" s="217">
        <f t="shared" si="1"/>
        <v>27</v>
      </c>
      <c r="U35" s="208">
        <v>95</v>
      </c>
      <c r="V35" s="217">
        <f t="shared" si="2"/>
        <v>2565</v>
      </c>
      <c r="W35" s="208">
        <v>4</v>
      </c>
      <c r="X35" s="55" t="s">
        <v>46</v>
      </c>
      <c r="Y35" s="55" t="s">
        <v>55</v>
      </c>
      <c r="Z35" s="208" t="s">
        <v>78</v>
      </c>
      <c r="AA35" s="55" t="s">
        <v>60</v>
      </c>
      <c r="AB35" s="216" t="s">
        <v>346</v>
      </c>
    </row>
    <row r="36" spans="1:28" x14ac:dyDescent="0.15">
      <c r="A36" s="55" t="s">
        <v>56</v>
      </c>
      <c r="B36" s="55" t="s">
        <v>405</v>
      </c>
      <c r="C36" s="216">
        <v>2018</v>
      </c>
      <c r="D36" s="86" t="s">
        <v>406</v>
      </c>
      <c r="E36" s="216" t="s">
        <v>322</v>
      </c>
      <c r="F36" s="216" t="s">
        <v>179</v>
      </c>
      <c r="G36" s="55" t="s">
        <v>42</v>
      </c>
      <c r="H36" s="216" t="s">
        <v>157</v>
      </c>
      <c r="I36" s="55" t="s">
        <v>155</v>
      </c>
      <c r="J36" s="216" t="s">
        <v>38</v>
      </c>
      <c r="K36" s="216" t="s">
        <v>156</v>
      </c>
      <c r="L36" s="208">
        <v>2</v>
      </c>
      <c r="N36" s="208">
        <v>1</v>
      </c>
      <c r="O36" s="208">
        <v>0.5</v>
      </c>
      <c r="P36" s="208">
        <v>0.55000000000000004</v>
      </c>
      <c r="Q36" s="245">
        <f t="shared" si="0"/>
        <v>0.52500000000000002</v>
      </c>
      <c r="R36" s="208">
        <v>11.2</v>
      </c>
      <c r="S36" s="208">
        <v>132</v>
      </c>
      <c r="T36" s="217">
        <f t="shared" si="1"/>
        <v>25</v>
      </c>
      <c r="U36" s="208">
        <v>95</v>
      </c>
      <c r="V36" s="217">
        <f t="shared" si="2"/>
        <v>2375</v>
      </c>
      <c r="W36" s="208">
        <v>4</v>
      </c>
      <c r="X36" s="55" t="s">
        <v>46</v>
      </c>
      <c r="Y36" s="55" t="s">
        <v>55</v>
      </c>
      <c r="Z36" s="208" t="s">
        <v>78</v>
      </c>
      <c r="AA36" s="55" t="s">
        <v>60</v>
      </c>
      <c r="AB36" s="216" t="s">
        <v>346</v>
      </c>
    </row>
    <row r="37" spans="1:28" x14ac:dyDescent="0.15">
      <c r="A37" s="55" t="s">
        <v>56</v>
      </c>
      <c r="B37" s="55" t="s">
        <v>405</v>
      </c>
      <c r="C37" s="216">
        <v>2018</v>
      </c>
      <c r="D37" s="86" t="s">
        <v>406</v>
      </c>
      <c r="E37" s="216" t="s">
        <v>322</v>
      </c>
      <c r="F37" s="216" t="s">
        <v>179</v>
      </c>
      <c r="G37" s="55" t="s">
        <v>42</v>
      </c>
      <c r="H37" s="216" t="s">
        <v>157</v>
      </c>
      <c r="I37" s="55" t="s">
        <v>155</v>
      </c>
      <c r="J37" s="216" t="s">
        <v>38</v>
      </c>
      <c r="K37" s="216" t="s">
        <v>156</v>
      </c>
      <c r="L37" s="208">
        <v>3</v>
      </c>
      <c r="N37" s="208">
        <v>1</v>
      </c>
      <c r="O37" s="208">
        <v>0.6</v>
      </c>
      <c r="P37" s="208">
        <v>0.55000000000000004</v>
      </c>
      <c r="Q37" s="245">
        <f t="shared" si="0"/>
        <v>0.57499999999999996</v>
      </c>
      <c r="R37" s="237">
        <v>12.1</v>
      </c>
      <c r="S37" s="208">
        <v>130</v>
      </c>
      <c r="T37" s="217">
        <f t="shared" si="1"/>
        <v>25</v>
      </c>
      <c r="U37" s="208">
        <v>95</v>
      </c>
      <c r="V37" s="217">
        <f t="shared" si="2"/>
        <v>2375</v>
      </c>
      <c r="W37" s="208">
        <v>4</v>
      </c>
      <c r="X37" s="55" t="s">
        <v>46</v>
      </c>
      <c r="Y37" s="55" t="s">
        <v>55</v>
      </c>
      <c r="Z37" s="208" t="s">
        <v>78</v>
      </c>
      <c r="AA37" s="55" t="s">
        <v>60</v>
      </c>
      <c r="AB37" s="216" t="s">
        <v>346</v>
      </c>
    </row>
    <row r="38" spans="1:28" x14ac:dyDescent="0.15">
      <c r="A38" s="55" t="s">
        <v>56</v>
      </c>
      <c r="B38" s="55" t="s">
        <v>405</v>
      </c>
      <c r="C38" s="216">
        <v>2018</v>
      </c>
      <c r="D38" s="86" t="s">
        <v>406</v>
      </c>
      <c r="E38" s="216" t="s">
        <v>322</v>
      </c>
      <c r="F38" s="216" t="s">
        <v>179</v>
      </c>
      <c r="G38" s="55" t="s">
        <v>42</v>
      </c>
      <c r="H38" s="216" t="s">
        <v>217</v>
      </c>
      <c r="I38" s="55" t="s">
        <v>155</v>
      </c>
      <c r="J38" s="216" t="s">
        <v>38</v>
      </c>
      <c r="K38" s="216" t="s">
        <v>156</v>
      </c>
      <c r="L38" s="208">
        <v>1</v>
      </c>
      <c r="N38" s="208">
        <v>8</v>
      </c>
      <c r="O38" s="208">
        <v>0.55000000000000004</v>
      </c>
      <c r="P38" s="208">
        <v>0.55000000000000004</v>
      </c>
      <c r="Q38" s="245">
        <f t="shared" si="0"/>
        <v>0.55000000000000004</v>
      </c>
      <c r="R38" s="208">
        <v>12.1</v>
      </c>
      <c r="S38" s="208">
        <v>76</v>
      </c>
      <c r="T38" s="217">
        <f t="shared" si="1"/>
        <v>39</v>
      </c>
      <c r="U38" s="208">
        <v>429</v>
      </c>
      <c r="V38" s="217">
        <f t="shared" si="2"/>
        <v>2091.375</v>
      </c>
      <c r="W38" s="208">
        <v>2</v>
      </c>
      <c r="X38" s="55" t="s">
        <v>46</v>
      </c>
      <c r="Y38" s="55" t="s">
        <v>55</v>
      </c>
      <c r="Z38" s="208" t="s">
        <v>78</v>
      </c>
      <c r="AA38" s="55" t="s">
        <v>60</v>
      </c>
      <c r="AB38" s="216" t="s">
        <v>346</v>
      </c>
    </row>
    <row r="39" spans="1:28" x14ac:dyDescent="0.15">
      <c r="A39" s="55" t="s">
        <v>56</v>
      </c>
      <c r="B39" s="55" t="s">
        <v>405</v>
      </c>
      <c r="C39" s="216">
        <v>2018</v>
      </c>
      <c r="D39" s="86" t="s">
        <v>406</v>
      </c>
      <c r="E39" s="216" t="s">
        <v>322</v>
      </c>
      <c r="F39" s="216" t="s">
        <v>179</v>
      </c>
      <c r="G39" s="55" t="s">
        <v>42</v>
      </c>
      <c r="H39" s="216" t="s">
        <v>217</v>
      </c>
      <c r="I39" s="55" t="s">
        <v>155</v>
      </c>
      <c r="J39" s="216" t="s">
        <v>38</v>
      </c>
      <c r="K39" s="216" t="s">
        <v>156</v>
      </c>
      <c r="L39" s="208">
        <v>2</v>
      </c>
      <c r="N39" s="208">
        <v>8</v>
      </c>
      <c r="O39" s="208">
        <v>0.55000000000000004</v>
      </c>
      <c r="P39" s="208">
        <v>0.55000000000000004</v>
      </c>
      <c r="Q39" s="245">
        <f t="shared" si="0"/>
        <v>0.55000000000000004</v>
      </c>
      <c r="R39" s="208">
        <v>18</v>
      </c>
      <c r="S39" s="208">
        <v>74</v>
      </c>
      <c r="T39" s="217">
        <f t="shared" si="1"/>
        <v>42</v>
      </c>
      <c r="U39" s="208">
        <v>429</v>
      </c>
      <c r="V39" s="217">
        <f t="shared" si="2"/>
        <v>2252.25</v>
      </c>
      <c r="W39" s="208">
        <v>2</v>
      </c>
      <c r="X39" s="55" t="s">
        <v>46</v>
      </c>
      <c r="Y39" s="55" t="s">
        <v>55</v>
      </c>
      <c r="Z39" s="208" t="s">
        <v>78</v>
      </c>
      <c r="AA39" s="55" t="s">
        <v>60</v>
      </c>
      <c r="AB39" s="216" t="s">
        <v>346</v>
      </c>
    </row>
    <row r="40" spans="1:28" x14ac:dyDescent="0.15">
      <c r="A40" s="55" t="s">
        <v>56</v>
      </c>
      <c r="B40" s="55" t="s">
        <v>405</v>
      </c>
      <c r="C40" s="216">
        <v>2018</v>
      </c>
      <c r="D40" s="86" t="s">
        <v>406</v>
      </c>
      <c r="E40" s="216" t="s">
        <v>322</v>
      </c>
      <c r="F40" s="216" t="s">
        <v>179</v>
      </c>
      <c r="G40" s="55" t="s">
        <v>42</v>
      </c>
      <c r="H40" s="216" t="s">
        <v>217</v>
      </c>
      <c r="I40" s="55" t="s">
        <v>155</v>
      </c>
      <c r="J40" s="216" t="s">
        <v>38</v>
      </c>
      <c r="K40" s="216" t="s">
        <v>156</v>
      </c>
      <c r="L40" s="208">
        <v>3</v>
      </c>
      <c r="N40" s="208">
        <v>8</v>
      </c>
      <c r="O40" s="208">
        <v>0.5</v>
      </c>
      <c r="P40" s="208">
        <v>0.5</v>
      </c>
      <c r="Q40" s="245">
        <f t="shared" si="0"/>
        <v>0.5</v>
      </c>
      <c r="R40" s="208">
        <v>12.4</v>
      </c>
      <c r="S40" s="208">
        <v>78</v>
      </c>
      <c r="T40" s="217">
        <f t="shared" si="1"/>
        <v>39</v>
      </c>
      <c r="U40" s="208">
        <v>429</v>
      </c>
      <c r="V40" s="217">
        <f t="shared" si="2"/>
        <v>2091.375</v>
      </c>
      <c r="W40" s="208">
        <v>2</v>
      </c>
      <c r="X40" s="55" t="s">
        <v>46</v>
      </c>
      <c r="Y40" s="55" t="s">
        <v>55</v>
      </c>
      <c r="Z40" s="208" t="s">
        <v>78</v>
      </c>
      <c r="AA40" s="55" t="s">
        <v>60</v>
      </c>
      <c r="AB40" s="216" t="s">
        <v>346</v>
      </c>
    </row>
    <row r="41" spans="1:28" x14ac:dyDescent="0.15">
      <c r="A41" s="55" t="s">
        <v>56</v>
      </c>
      <c r="B41" s="55" t="s">
        <v>405</v>
      </c>
      <c r="C41" s="216">
        <v>2018</v>
      </c>
      <c r="D41" s="86" t="s">
        <v>406</v>
      </c>
      <c r="E41" s="216" t="s">
        <v>322</v>
      </c>
      <c r="F41" s="216" t="s">
        <v>179</v>
      </c>
      <c r="G41" s="55" t="s">
        <v>42</v>
      </c>
      <c r="H41" s="216" t="s">
        <v>165</v>
      </c>
      <c r="I41" s="55" t="s">
        <v>155</v>
      </c>
      <c r="J41" s="216" t="s">
        <v>38</v>
      </c>
      <c r="K41" s="216" t="s">
        <v>156</v>
      </c>
      <c r="L41" s="208">
        <v>1</v>
      </c>
      <c r="N41" s="208">
        <v>1</v>
      </c>
      <c r="O41" s="208">
        <v>0.5</v>
      </c>
      <c r="P41" s="208">
        <v>0.5</v>
      </c>
      <c r="Q41" s="245">
        <f t="shared" si="0"/>
        <v>0.5</v>
      </c>
      <c r="R41" s="208">
        <v>16.100000000000001</v>
      </c>
      <c r="S41" s="208">
        <v>138</v>
      </c>
      <c r="T41" s="217">
        <f t="shared" si="1"/>
        <v>22</v>
      </c>
      <c r="U41" s="208">
        <v>95</v>
      </c>
      <c r="V41" s="217">
        <f t="shared" si="2"/>
        <v>2090</v>
      </c>
      <c r="W41" s="208">
        <v>2</v>
      </c>
      <c r="X41" s="55" t="s">
        <v>46</v>
      </c>
      <c r="Y41" s="55" t="s">
        <v>55</v>
      </c>
      <c r="Z41" s="208" t="s">
        <v>78</v>
      </c>
      <c r="AA41" s="55" t="s">
        <v>60</v>
      </c>
      <c r="AB41" s="216" t="s">
        <v>346</v>
      </c>
    </row>
    <row r="42" spans="1:28" x14ac:dyDescent="0.15">
      <c r="A42" s="55" t="s">
        <v>56</v>
      </c>
      <c r="B42" s="55" t="s">
        <v>405</v>
      </c>
      <c r="C42" s="216">
        <v>2018</v>
      </c>
      <c r="D42" s="86" t="s">
        <v>406</v>
      </c>
      <c r="E42" s="216" t="s">
        <v>322</v>
      </c>
      <c r="F42" s="216" t="s">
        <v>179</v>
      </c>
      <c r="G42" s="55" t="s">
        <v>42</v>
      </c>
      <c r="H42" s="216" t="s">
        <v>165</v>
      </c>
      <c r="I42" s="55" t="s">
        <v>155</v>
      </c>
      <c r="J42" s="216" t="s">
        <v>38</v>
      </c>
      <c r="K42" s="216" t="s">
        <v>156</v>
      </c>
      <c r="L42" s="208">
        <v>2</v>
      </c>
      <c r="N42" s="208">
        <v>1</v>
      </c>
      <c r="O42" s="208">
        <v>0.6</v>
      </c>
      <c r="P42" s="208">
        <v>0.6</v>
      </c>
      <c r="Q42" s="245">
        <f t="shared" si="0"/>
        <v>0.6</v>
      </c>
      <c r="R42" s="208">
        <v>12.9</v>
      </c>
      <c r="S42" s="208">
        <v>143</v>
      </c>
      <c r="T42" s="217">
        <f t="shared" si="1"/>
        <v>22</v>
      </c>
      <c r="U42" s="208">
        <v>95</v>
      </c>
      <c r="V42" s="217">
        <f t="shared" si="2"/>
        <v>2090</v>
      </c>
      <c r="W42" s="208">
        <v>2</v>
      </c>
      <c r="X42" s="55" t="s">
        <v>46</v>
      </c>
      <c r="Y42" s="55" t="s">
        <v>55</v>
      </c>
      <c r="Z42" s="208" t="s">
        <v>78</v>
      </c>
      <c r="AA42" s="55" t="s">
        <v>60</v>
      </c>
      <c r="AB42" s="216" t="s">
        <v>346</v>
      </c>
    </row>
    <row r="43" spans="1:28" x14ac:dyDescent="0.15">
      <c r="A43" s="55" t="s">
        <v>56</v>
      </c>
      <c r="B43" s="55" t="s">
        <v>405</v>
      </c>
      <c r="C43" s="216">
        <v>2018</v>
      </c>
      <c r="D43" s="86" t="s">
        <v>406</v>
      </c>
      <c r="E43" s="216" t="s">
        <v>322</v>
      </c>
      <c r="F43" s="216" t="s">
        <v>179</v>
      </c>
      <c r="G43" s="55" t="s">
        <v>42</v>
      </c>
      <c r="H43" s="216" t="s">
        <v>165</v>
      </c>
      <c r="I43" s="55" t="s">
        <v>155</v>
      </c>
      <c r="J43" s="216" t="s">
        <v>38</v>
      </c>
      <c r="K43" s="216" t="s">
        <v>156</v>
      </c>
      <c r="L43" s="208">
        <v>3</v>
      </c>
      <c r="N43" s="208">
        <v>1</v>
      </c>
      <c r="O43" s="208">
        <v>0.6</v>
      </c>
      <c r="P43" s="208">
        <v>0.6</v>
      </c>
      <c r="Q43" s="245">
        <f t="shared" si="0"/>
        <v>0.6</v>
      </c>
      <c r="R43" s="208">
        <v>12.6</v>
      </c>
      <c r="S43" s="208">
        <v>137</v>
      </c>
      <c r="T43" s="217">
        <f t="shared" si="1"/>
        <v>25</v>
      </c>
      <c r="U43" s="208">
        <v>95</v>
      </c>
      <c r="V43" s="217">
        <f t="shared" si="2"/>
        <v>2375</v>
      </c>
      <c r="W43" s="208">
        <v>2</v>
      </c>
      <c r="X43" s="55" t="s">
        <v>46</v>
      </c>
      <c r="Y43" s="55" t="s">
        <v>55</v>
      </c>
      <c r="Z43" s="208" t="s">
        <v>78</v>
      </c>
      <c r="AA43" s="55" t="s">
        <v>60</v>
      </c>
      <c r="AB43" s="216" t="s">
        <v>346</v>
      </c>
    </row>
    <row r="44" spans="1:28" x14ac:dyDescent="0.15">
      <c r="A44" s="55" t="s">
        <v>56</v>
      </c>
      <c r="B44" s="55" t="s">
        <v>405</v>
      </c>
      <c r="C44" s="216">
        <v>2018</v>
      </c>
      <c r="D44" s="86" t="s">
        <v>406</v>
      </c>
      <c r="E44" s="216" t="s">
        <v>422</v>
      </c>
      <c r="F44" s="216" t="s">
        <v>179</v>
      </c>
      <c r="G44" s="55" t="s">
        <v>42</v>
      </c>
      <c r="H44" s="216" t="s">
        <v>157</v>
      </c>
      <c r="I44" s="55" t="s">
        <v>155</v>
      </c>
      <c r="J44" s="216" t="s">
        <v>38</v>
      </c>
      <c r="K44" s="216" t="s">
        <v>156</v>
      </c>
      <c r="L44" s="208">
        <v>1</v>
      </c>
      <c r="N44" s="208">
        <v>1</v>
      </c>
      <c r="O44" s="208">
        <v>0.65</v>
      </c>
      <c r="P44" s="208">
        <v>0.65</v>
      </c>
      <c r="Q44" s="217">
        <f t="shared" si="0"/>
        <v>0.65</v>
      </c>
      <c r="R44" s="208">
        <v>14</v>
      </c>
      <c r="S44" s="208">
        <v>132</v>
      </c>
      <c r="T44" s="217">
        <f t="shared" si="1"/>
        <v>25</v>
      </c>
      <c r="U44" s="208">
        <v>138</v>
      </c>
      <c r="V44" s="217">
        <f t="shared" si="2"/>
        <v>3450</v>
      </c>
      <c r="W44" s="208">
        <v>1</v>
      </c>
      <c r="X44" s="55" t="s">
        <v>39</v>
      </c>
      <c r="Y44" s="55" t="s">
        <v>47</v>
      </c>
      <c r="Z44" s="208" t="s">
        <v>78</v>
      </c>
      <c r="AA44" s="55" t="s">
        <v>64</v>
      </c>
      <c r="AB44" s="216" t="s">
        <v>346</v>
      </c>
    </row>
    <row r="45" spans="1:28" x14ac:dyDescent="0.15">
      <c r="A45" s="55" t="s">
        <v>56</v>
      </c>
      <c r="B45" s="55" t="s">
        <v>405</v>
      </c>
      <c r="C45" s="216">
        <v>2018</v>
      </c>
      <c r="D45" s="86" t="s">
        <v>406</v>
      </c>
      <c r="E45" s="216" t="s">
        <v>422</v>
      </c>
      <c r="F45" s="216" t="s">
        <v>179</v>
      </c>
      <c r="G45" s="55" t="s">
        <v>42</v>
      </c>
      <c r="H45" s="216" t="s">
        <v>157</v>
      </c>
      <c r="I45" s="55" t="s">
        <v>155</v>
      </c>
      <c r="J45" s="216" t="s">
        <v>38</v>
      </c>
      <c r="K45" s="216" t="s">
        <v>156</v>
      </c>
      <c r="L45" s="208">
        <v>2</v>
      </c>
      <c r="N45" s="208">
        <v>1</v>
      </c>
      <c r="O45" s="208">
        <v>0.65</v>
      </c>
      <c r="P45" s="208">
        <v>0.6</v>
      </c>
      <c r="Q45" s="217">
        <f t="shared" si="0"/>
        <v>0.625</v>
      </c>
      <c r="R45" s="208">
        <v>12.7</v>
      </c>
      <c r="S45" s="208">
        <v>135</v>
      </c>
      <c r="T45" s="217">
        <f t="shared" si="1"/>
        <v>25</v>
      </c>
      <c r="U45" s="208">
        <v>138</v>
      </c>
      <c r="V45" s="217">
        <f t="shared" si="2"/>
        <v>3450</v>
      </c>
      <c r="W45" s="208">
        <v>1</v>
      </c>
      <c r="X45" s="55" t="s">
        <v>39</v>
      </c>
      <c r="Y45" s="55" t="s">
        <v>47</v>
      </c>
      <c r="Z45" s="208" t="s">
        <v>78</v>
      </c>
      <c r="AA45" s="55" t="s">
        <v>64</v>
      </c>
      <c r="AB45" s="216" t="s">
        <v>346</v>
      </c>
    </row>
    <row r="46" spans="1:28" x14ac:dyDescent="0.15">
      <c r="A46" s="55" t="s">
        <v>56</v>
      </c>
      <c r="B46" s="55" t="s">
        <v>405</v>
      </c>
      <c r="C46" s="216">
        <v>2018</v>
      </c>
      <c r="D46" s="86" t="s">
        <v>406</v>
      </c>
      <c r="E46" s="216" t="s">
        <v>422</v>
      </c>
      <c r="F46" s="216" t="s">
        <v>179</v>
      </c>
      <c r="G46" s="55" t="s">
        <v>42</v>
      </c>
      <c r="H46" s="216" t="s">
        <v>157</v>
      </c>
      <c r="I46" s="55" t="s">
        <v>155</v>
      </c>
      <c r="J46" s="216" t="s">
        <v>38</v>
      </c>
      <c r="K46" s="216" t="s">
        <v>156</v>
      </c>
      <c r="L46" s="208">
        <v>3</v>
      </c>
      <c r="N46" s="208">
        <v>1</v>
      </c>
      <c r="O46" s="208">
        <v>0.75</v>
      </c>
      <c r="P46" s="208">
        <v>0.7</v>
      </c>
      <c r="Q46" s="217">
        <f t="shared" si="0"/>
        <v>0.72499999999999998</v>
      </c>
      <c r="R46" s="208">
        <v>12.2</v>
      </c>
      <c r="S46" s="208">
        <v>133</v>
      </c>
      <c r="T46" s="217">
        <f t="shared" si="1"/>
        <v>25</v>
      </c>
      <c r="U46" s="208">
        <v>138</v>
      </c>
      <c r="V46" s="217">
        <f t="shared" si="2"/>
        <v>3450</v>
      </c>
      <c r="W46" s="208">
        <v>1</v>
      </c>
      <c r="X46" s="55" t="s">
        <v>39</v>
      </c>
      <c r="Y46" s="55" t="s">
        <v>47</v>
      </c>
      <c r="Z46" s="208" t="s">
        <v>78</v>
      </c>
      <c r="AA46" s="55" t="s">
        <v>64</v>
      </c>
      <c r="AB46" s="216" t="s">
        <v>346</v>
      </c>
    </row>
    <row r="47" spans="1:28" x14ac:dyDescent="0.15">
      <c r="A47" s="55" t="s">
        <v>56</v>
      </c>
      <c r="B47" s="55" t="s">
        <v>405</v>
      </c>
      <c r="C47" s="216">
        <v>2018</v>
      </c>
      <c r="D47" s="86" t="s">
        <v>406</v>
      </c>
      <c r="E47" s="216" t="s">
        <v>422</v>
      </c>
      <c r="F47" s="216" t="s">
        <v>179</v>
      </c>
      <c r="G47" s="55" t="s">
        <v>42</v>
      </c>
      <c r="H47" s="216" t="s">
        <v>165</v>
      </c>
      <c r="I47" s="55" t="s">
        <v>155</v>
      </c>
      <c r="J47" s="216" t="s">
        <v>38</v>
      </c>
      <c r="K47" s="216" t="s">
        <v>156</v>
      </c>
      <c r="L47" s="208">
        <v>1</v>
      </c>
      <c r="N47" s="208">
        <v>1</v>
      </c>
      <c r="O47" s="208">
        <v>0.65</v>
      </c>
      <c r="P47" s="208">
        <v>0.6</v>
      </c>
      <c r="Q47" s="217">
        <f t="shared" si="0"/>
        <v>0.625</v>
      </c>
      <c r="R47" s="208">
        <v>12.6</v>
      </c>
      <c r="S47" s="208">
        <v>128</v>
      </c>
      <c r="T47" s="217">
        <f t="shared" si="1"/>
        <v>27</v>
      </c>
      <c r="U47" s="208">
        <v>178</v>
      </c>
      <c r="V47" s="217">
        <f t="shared" si="2"/>
        <v>4806</v>
      </c>
      <c r="W47" s="208">
        <v>1</v>
      </c>
      <c r="X47" s="55" t="s">
        <v>39</v>
      </c>
      <c r="Y47" s="55" t="s">
        <v>47</v>
      </c>
      <c r="Z47" s="208" t="s">
        <v>78</v>
      </c>
      <c r="AA47" s="55" t="s">
        <v>64</v>
      </c>
      <c r="AB47" s="216" t="s">
        <v>346</v>
      </c>
    </row>
    <row r="48" spans="1:28" x14ac:dyDescent="0.15">
      <c r="A48" s="55" t="s">
        <v>56</v>
      </c>
      <c r="B48" s="55" t="s">
        <v>405</v>
      </c>
      <c r="C48" s="216">
        <v>2018</v>
      </c>
      <c r="D48" s="86" t="s">
        <v>406</v>
      </c>
      <c r="E48" s="216" t="s">
        <v>422</v>
      </c>
      <c r="F48" s="216" t="s">
        <v>179</v>
      </c>
      <c r="G48" s="55" t="s">
        <v>42</v>
      </c>
      <c r="H48" s="216" t="s">
        <v>165</v>
      </c>
      <c r="I48" s="55" t="s">
        <v>155</v>
      </c>
      <c r="J48" s="216" t="s">
        <v>38</v>
      </c>
      <c r="K48" s="216" t="s">
        <v>156</v>
      </c>
      <c r="L48" s="208">
        <v>2</v>
      </c>
      <c r="N48" s="208">
        <v>1</v>
      </c>
      <c r="O48" s="208">
        <v>0.6</v>
      </c>
      <c r="P48" s="208">
        <v>0.65</v>
      </c>
      <c r="Q48" s="217">
        <f t="shared" si="0"/>
        <v>0.625</v>
      </c>
      <c r="R48" s="208">
        <v>13.6</v>
      </c>
      <c r="S48" s="208">
        <v>133</v>
      </c>
      <c r="T48" s="217">
        <f t="shared" si="1"/>
        <v>25</v>
      </c>
      <c r="U48" s="208">
        <v>178</v>
      </c>
      <c r="V48" s="217">
        <f t="shared" si="2"/>
        <v>4450</v>
      </c>
      <c r="W48" s="208">
        <v>1</v>
      </c>
      <c r="X48" s="55" t="s">
        <v>39</v>
      </c>
      <c r="Y48" s="55" t="s">
        <v>47</v>
      </c>
      <c r="Z48" s="208" t="s">
        <v>78</v>
      </c>
      <c r="AA48" s="55" t="s">
        <v>64</v>
      </c>
      <c r="AB48" s="216" t="s">
        <v>346</v>
      </c>
    </row>
    <row r="49" spans="1:28" x14ac:dyDescent="0.15">
      <c r="A49" s="55" t="s">
        <v>56</v>
      </c>
      <c r="B49" s="55" t="s">
        <v>405</v>
      </c>
      <c r="C49" s="216">
        <v>2018</v>
      </c>
      <c r="D49" s="86" t="s">
        <v>406</v>
      </c>
      <c r="E49" s="216" t="s">
        <v>422</v>
      </c>
      <c r="F49" s="216" t="s">
        <v>179</v>
      </c>
      <c r="G49" s="55" t="s">
        <v>42</v>
      </c>
      <c r="H49" s="216" t="s">
        <v>165</v>
      </c>
      <c r="I49" s="55" t="s">
        <v>155</v>
      </c>
      <c r="J49" s="216" t="s">
        <v>38</v>
      </c>
      <c r="K49" s="216" t="s">
        <v>156</v>
      </c>
      <c r="L49" s="208">
        <v>3</v>
      </c>
      <c r="N49" s="208">
        <v>1</v>
      </c>
      <c r="O49" s="208">
        <v>0.65</v>
      </c>
      <c r="P49" s="208">
        <v>0.65</v>
      </c>
      <c r="Q49" s="217">
        <f t="shared" si="0"/>
        <v>0.65</v>
      </c>
      <c r="R49" s="208">
        <v>12.7</v>
      </c>
      <c r="S49" s="208">
        <v>130</v>
      </c>
      <c r="T49" s="217">
        <f t="shared" si="1"/>
        <v>25</v>
      </c>
      <c r="U49" s="208">
        <v>178</v>
      </c>
      <c r="V49" s="217">
        <f t="shared" si="2"/>
        <v>4450</v>
      </c>
      <c r="W49" s="208">
        <v>1</v>
      </c>
      <c r="X49" s="55" t="s">
        <v>39</v>
      </c>
      <c r="Y49" s="55" t="s">
        <v>47</v>
      </c>
      <c r="Z49" s="208" t="s">
        <v>78</v>
      </c>
      <c r="AA49" s="55" t="s">
        <v>64</v>
      </c>
      <c r="AB49" s="216" t="s">
        <v>346</v>
      </c>
    </row>
    <row r="50" spans="1:28" x14ac:dyDescent="0.15">
      <c r="A50" s="55" t="s">
        <v>56</v>
      </c>
      <c r="B50" s="55" t="s">
        <v>405</v>
      </c>
      <c r="C50" s="216">
        <v>2018</v>
      </c>
      <c r="D50" s="86" t="s">
        <v>406</v>
      </c>
      <c r="E50" s="216" t="s">
        <v>181</v>
      </c>
      <c r="F50" s="216" t="s">
        <v>421</v>
      </c>
      <c r="G50" s="55" t="s">
        <v>42</v>
      </c>
      <c r="H50" s="216" t="s">
        <v>157</v>
      </c>
      <c r="I50" s="55" t="s">
        <v>158</v>
      </c>
      <c r="J50" s="216" t="s">
        <v>38</v>
      </c>
      <c r="K50" s="216" t="s">
        <v>156</v>
      </c>
      <c r="L50" s="208">
        <v>1</v>
      </c>
      <c r="N50" s="208">
        <v>1</v>
      </c>
      <c r="O50" s="208">
        <v>0.7</v>
      </c>
      <c r="P50" s="208">
        <v>0.7</v>
      </c>
      <c r="Q50" s="217">
        <f t="shared" si="0"/>
        <v>0.7</v>
      </c>
      <c r="R50" s="208">
        <v>11.9</v>
      </c>
      <c r="S50" s="208">
        <v>117</v>
      </c>
      <c r="T50" s="217">
        <f t="shared" si="1"/>
        <v>30</v>
      </c>
      <c r="U50" s="208">
        <v>172</v>
      </c>
      <c r="V50" s="217">
        <f t="shared" si="2"/>
        <v>5160</v>
      </c>
      <c r="W50" s="208">
        <v>4</v>
      </c>
      <c r="X50" s="55" t="s">
        <v>39</v>
      </c>
      <c r="Y50" s="55" t="s">
        <v>106</v>
      </c>
      <c r="Z50" s="208" t="s">
        <v>55</v>
      </c>
      <c r="AA50" s="55" t="s">
        <v>88</v>
      </c>
      <c r="AB50" s="216" t="s">
        <v>346</v>
      </c>
    </row>
    <row r="51" spans="1:28" x14ac:dyDescent="0.15">
      <c r="A51" s="55" t="s">
        <v>56</v>
      </c>
      <c r="B51" s="55" t="s">
        <v>405</v>
      </c>
      <c r="C51" s="216">
        <v>2018</v>
      </c>
      <c r="D51" s="86" t="s">
        <v>406</v>
      </c>
      <c r="E51" s="216" t="s">
        <v>181</v>
      </c>
      <c r="F51" s="216" t="s">
        <v>421</v>
      </c>
      <c r="G51" s="55" t="s">
        <v>42</v>
      </c>
      <c r="H51" s="216" t="s">
        <v>157</v>
      </c>
      <c r="I51" s="55" t="s">
        <v>158</v>
      </c>
      <c r="J51" s="216" t="s">
        <v>38</v>
      </c>
      <c r="K51" s="216" t="s">
        <v>156</v>
      </c>
      <c r="L51" s="208">
        <v>2</v>
      </c>
      <c r="N51" s="208">
        <v>1</v>
      </c>
      <c r="O51" s="208">
        <v>0.65</v>
      </c>
      <c r="P51" s="208">
        <v>0.6</v>
      </c>
      <c r="Q51" s="217">
        <f t="shared" si="0"/>
        <v>0.625</v>
      </c>
      <c r="R51" s="208">
        <v>11.9</v>
      </c>
      <c r="S51" s="208">
        <v>123</v>
      </c>
      <c r="T51" s="217">
        <f t="shared" si="1"/>
        <v>27</v>
      </c>
      <c r="U51" s="208">
        <v>172</v>
      </c>
      <c r="V51" s="217">
        <f t="shared" si="2"/>
        <v>4644</v>
      </c>
      <c r="W51" s="208">
        <v>4</v>
      </c>
      <c r="X51" s="55" t="s">
        <v>39</v>
      </c>
      <c r="Y51" s="55" t="s">
        <v>106</v>
      </c>
      <c r="Z51" s="208" t="s">
        <v>55</v>
      </c>
      <c r="AA51" s="55" t="s">
        <v>88</v>
      </c>
      <c r="AB51" s="216" t="s">
        <v>346</v>
      </c>
    </row>
    <row r="52" spans="1:28" x14ac:dyDescent="0.15">
      <c r="A52" s="55" t="s">
        <v>56</v>
      </c>
      <c r="B52" s="55" t="s">
        <v>405</v>
      </c>
      <c r="C52" s="216">
        <v>2018</v>
      </c>
      <c r="D52" s="86" t="s">
        <v>406</v>
      </c>
      <c r="E52" s="216" t="s">
        <v>181</v>
      </c>
      <c r="F52" s="216" t="s">
        <v>421</v>
      </c>
      <c r="G52" s="55" t="s">
        <v>42</v>
      </c>
      <c r="H52" s="216" t="s">
        <v>157</v>
      </c>
      <c r="I52" s="55" t="s">
        <v>158</v>
      </c>
      <c r="J52" s="216" t="s">
        <v>38</v>
      </c>
      <c r="K52" s="216" t="s">
        <v>156</v>
      </c>
      <c r="L52" s="208">
        <v>3</v>
      </c>
      <c r="N52" s="208">
        <v>1</v>
      </c>
      <c r="O52" s="208">
        <v>0.65</v>
      </c>
      <c r="P52" s="208">
        <v>0.75</v>
      </c>
      <c r="Q52" s="217">
        <f t="shared" si="0"/>
        <v>0.7</v>
      </c>
      <c r="R52" s="208">
        <v>11.5</v>
      </c>
      <c r="S52" s="208">
        <v>118</v>
      </c>
      <c r="T52" s="217">
        <f t="shared" si="1"/>
        <v>30</v>
      </c>
      <c r="U52" s="208">
        <v>172</v>
      </c>
      <c r="V52" s="217">
        <f t="shared" si="2"/>
        <v>5160</v>
      </c>
      <c r="W52" s="208">
        <v>4</v>
      </c>
      <c r="X52" s="55" t="s">
        <v>39</v>
      </c>
      <c r="Y52" s="55" t="s">
        <v>106</v>
      </c>
      <c r="Z52" s="208" t="s">
        <v>55</v>
      </c>
      <c r="AA52" s="55" t="s">
        <v>88</v>
      </c>
      <c r="AB52" s="216" t="s">
        <v>346</v>
      </c>
    </row>
    <row r="53" spans="1:28" x14ac:dyDescent="0.15">
      <c r="A53" s="55" t="s">
        <v>56</v>
      </c>
      <c r="B53" s="55" t="s">
        <v>405</v>
      </c>
      <c r="C53" s="216">
        <v>2018</v>
      </c>
      <c r="D53" s="86" t="s">
        <v>406</v>
      </c>
      <c r="E53" s="216" t="s">
        <v>181</v>
      </c>
      <c r="F53" s="216" t="s">
        <v>421</v>
      </c>
      <c r="G53" s="55" t="s">
        <v>42</v>
      </c>
      <c r="H53" s="216" t="s">
        <v>165</v>
      </c>
      <c r="I53" s="55" t="s">
        <v>158</v>
      </c>
      <c r="J53" s="216" t="s">
        <v>38</v>
      </c>
      <c r="K53" s="216" t="s">
        <v>156</v>
      </c>
      <c r="L53" s="208">
        <v>1</v>
      </c>
      <c r="N53" s="208">
        <v>1</v>
      </c>
      <c r="O53" s="208">
        <v>0.65</v>
      </c>
      <c r="P53" s="208">
        <v>0.75</v>
      </c>
      <c r="Q53" s="217">
        <f t="shared" si="0"/>
        <v>0.7</v>
      </c>
      <c r="R53" s="208">
        <v>16</v>
      </c>
      <c r="S53" s="208">
        <v>135</v>
      </c>
      <c r="T53" s="217">
        <f t="shared" si="1"/>
        <v>25</v>
      </c>
      <c r="U53" s="208">
        <v>172</v>
      </c>
      <c r="V53" s="217">
        <f t="shared" si="2"/>
        <v>4300</v>
      </c>
      <c r="W53" s="208">
        <v>4</v>
      </c>
      <c r="X53" s="55" t="s">
        <v>39</v>
      </c>
      <c r="Y53" s="55" t="s">
        <v>106</v>
      </c>
      <c r="Z53" s="208" t="s">
        <v>55</v>
      </c>
      <c r="AA53" s="55" t="s">
        <v>88</v>
      </c>
      <c r="AB53" s="216" t="s">
        <v>346</v>
      </c>
    </row>
    <row r="54" spans="1:28" x14ac:dyDescent="0.15">
      <c r="A54" s="55" t="s">
        <v>56</v>
      </c>
      <c r="B54" s="55" t="s">
        <v>405</v>
      </c>
      <c r="C54" s="216">
        <v>2018</v>
      </c>
      <c r="D54" s="86" t="s">
        <v>406</v>
      </c>
      <c r="E54" s="216" t="s">
        <v>181</v>
      </c>
      <c r="F54" s="216" t="s">
        <v>421</v>
      </c>
      <c r="G54" s="55" t="s">
        <v>42</v>
      </c>
      <c r="H54" s="216" t="s">
        <v>165</v>
      </c>
      <c r="I54" s="55" t="s">
        <v>158</v>
      </c>
      <c r="J54" s="216" t="s">
        <v>38</v>
      </c>
      <c r="K54" s="216" t="s">
        <v>156</v>
      </c>
      <c r="L54" s="208">
        <v>2</v>
      </c>
      <c r="N54" s="208">
        <v>1</v>
      </c>
      <c r="O54" s="208">
        <v>0.6</v>
      </c>
      <c r="P54" s="208">
        <v>0.55000000000000004</v>
      </c>
      <c r="Q54" s="217">
        <f t="shared" si="0"/>
        <v>0.57499999999999996</v>
      </c>
      <c r="R54" s="208">
        <v>11.6</v>
      </c>
      <c r="S54" s="208">
        <v>128</v>
      </c>
      <c r="T54" s="217">
        <f t="shared" si="1"/>
        <v>27</v>
      </c>
      <c r="U54" s="208">
        <v>172</v>
      </c>
      <c r="V54" s="217">
        <f t="shared" si="2"/>
        <v>4644</v>
      </c>
      <c r="W54" s="208">
        <v>4</v>
      </c>
      <c r="X54" s="55" t="s">
        <v>39</v>
      </c>
      <c r="Y54" s="55" t="s">
        <v>106</v>
      </c>
      <c r="Z54" s="208" t="s">
        <v>55</v>
      </c>
      <c r="AA54" s="55" t="s">
        <v>88</v>
      </c>
      <c r="AB54" s="216" t="s">
        <v>346</v>
      </c>
    </row>
    <row r="55" spans="1:28" x14ac:dyDescent="0.15">
      <c r="A55" s="55" t="s">
        <v>56</v>
      </c>
      <c r="B55" s="55" t="s">
        <v>405</v>
      </c>
      <c r="C55" s="216">
        <v>2018</v>
      </c>
      <c r="D55" s="86" t="s">
        <v>406</v>
      </c>
      <c r="E55" s="216" t="s">
        <v>181</v>
      </c>
      <c r="F55" s="216" t="s">
        <v>421</v>
      </c>
      <c r="G55" s="55" t="s">
        <v>42</v>
      </c>
      <c r="H55" s="216" t="s">
        <v>165</v>
      </c>
      <c r="I55" s="55" t="s">
        <v>158</v>
      </c>
      <c r="J55" s="216" t="s">
        <v>38</v>
      </c>
      <c r="K55" s="216" t="s">
        <v>156</v>
      </c>
      <c r="L55" s="208">
        <v>3</v>
      </c>
      <c r="N55" s="208">
        <v>1</v>
      </c>
      <c r="O55" s="208">
        <v>0.55000000000000004</v>
      </c>
      <c r="P55" s="208">
        <v>0.55000000000000004</v>
      </c>
      <c r="Q55" s="217">
        <f t="shared" si="0"/>
        <v>0.55000000000000004</v>
      </c>
      <c r="R55" s="208">
        <v>11.9</v>
      </c>
      <c r="S55" s="208">
        <v>126</v>
      </c>
      <c r="T55" s="217">
        <f t="shared" si="1"/>
        <v>27</v>
      </c>
      <c r="U55" s="208">
        <v>172</v>
      </c>
      <c r="V55" s="217">
        <f t="shared" si="2"/>
        <v>4644</v>
      </c>
      <c r="W55" s="208">
        <v>4</v>
      </c>
      <c r="X55" s="55" t="s">
        <v>39</v>
      </c>
      <c r="Y55" s="55" t="s">
        <v>106</v>
      </c>
      <c r="Z55" s="208" t="s">
        <v>55</v>
      </c>
      <c r="AA55" s="55" t="s">
        <v>88</v>
      </c>
      <c r="AB55" s="216" t="s">
        <v>346</v>
      </c>
    </row>
    <row r="56" spans="1:28" x14ac:dyDescent="0.15">
      <c r="A56" s="55" t="s">
        <v>56</v>
      </c>
      <c r="B56" s="55" t="s">
        <v>405</v>
      </c>
      <c r="C56" s="216">
        <v>2018</v>
      </c>
      <c r="D56" s="86" t="s">
        <v>406</v>
      </c>
      <c r="E56" s="216" t="s">
        <v>322</v>
      </c>
      <c r="F56" s="216" t="s">
        <v>421</v>
      </c>
      <c r="G56" s="55" t="s">
        <v>42</v>
      </c>
      <c r="H56" s="216" t="s">
        <v>157</v>
      </c>
      <c r="I56" s="55" t="s">
        <v>155</v>
      </c>
      <c r="J56" s="216" t="s">
        <v>38</v>
      </c>
      <c r="K56" s="216" t="s">
        <v>156</v>
      </c>
      <c r="L56" s="208">
        <v>1</v>
      </c>
      <c r="N56" s="208">
        <v>1</v>
      </c>
      <c r="O56" s="208">
        <v>0.65</v>
      </c>
      <c r="P56" s="208">
        <v>0.75</v>
      </c>
      <c r="Q56" s="217">
        <f t="shared" si="0"/>
        <v>0.7</v>
      </c>
      <c r="R56" s="208">
        <v>11</v>
      </c>
      <c r="S56" s="208">
        <v>121</v>
      </c>
      <c r="T56" s="217">
        <f t="shared" si="1"/>
        <v>27</v>
      </c>
      <c r="U56" s="208">
        <v>105</v>
      </c>
      <c r="V56" s="217">
        <f t="shared" si="2"/>
        <v>2835</v>
      </c>
      <c r="W56" s="208">
        <v>4</v>
      </c>
      <c r="X56" s="55" t="s">
        <v>46</v>
      </c>
      <c r="Y56" s="55" t="s">
        <v>55</v>
      </c>
      <c r="Z56" s="208" t="s">
        <v>78</v>
      </c>
      <c r="AA56" s="55" t="s">
        <v>86</v>
      </c>
      <c r="AB56" s="216" t="s">
        <v>346</v>
      </c>
    </row>
    <row r="57" spans="1:28" x14ac:dyDescent="0.15">
      <c r="A57" s="55" t="s">
        <v>56</v>
      </c>
      <c r="B57" s="55" t="s">
        <v>405</v>
      </c>
      <c r="C57" s="216">
        <v>2018</v>
      </c>
      <c r="D57" s="86" t="s">
        <v>406</v>
      </c>
      <c r="E57" s="216" t="s">
        <v>322</v>
      </c>
      <c r="F57" s="216" t="s">
        <v>421</v>
      </c>
      <c r="G57" s="55" t="s">
        <v>42</v>
      </c>
      <c r="H57" s="216" t="s">
        <v>157</v>
      </c>
      <c r="I57" s="55" t="s">
        <v>155</v>
      </c>
      <c r="J57" s="216" t="s">
        <v>38</v>
      </c>
      <c r="K57" s="216" t="s">
        <v>156</v>
      </c>
      <c r="L57" s="208">
        <v>2</v>
      </c>
      <c r="N57" s="208">
        <v>1</v>
      </c>
      <c r="O57" s="208">
        <v>0.75</v>
      </c>
      <c r="P57" s="208">
        <v>0.7</v>
      </c>
      <c r="Q57" s="217">
        <f t="shared" si="0"/>
        <v>0.72499999999999998</v>
      </c>
      <c r="R57" s="208">
        <v>11.6</v>
      </c>
      <c r="S57" s="208">
        <v>119</v>
      </c>
      <c r="T57" s="217">
        <f t="shared" si="1"/>
        <v>30</v>
      </c>
      <c r="U57" s="208">
        <v>105</v>
      </c>
      <c r="V57" s="217">
        <f t="shared" si="2"/>
        <v>3150</v>
      </c>
      <c r="W57" s="208">
        <v>4</v>
      </c>
      <c r="X57" s="55" t="s">
        <v>46</v>
      </c>
      <c r="Y57" s="55" t="s">
        <v>55</v>
      </c>
      <c r="Z57" s="208" t="s">
        <v>78</v>
      </c>
      <c r="AA57" s="55" t="s">
        <v>86</v>
      </c>
      <c r="AB57" s="216" t="s">
        <v>346</v>
      </c>
    </row>
    <row r="58" spans="1:28" x14ac:dyDescent="0.15">
      <c r="A58" s="55" t="s">
        <v>56</v>
      </c>
      <c r="B58" s="55" t="s">
        <v>405</v>
      </c>
      <c r="C58" s="216">
        <v>2018</v>
      </c>
      <c r="D58" s="86" t="s">
        <v>406</v>
      </c>
      <c r="E58" s="216" t="s">
        <v>322</v>
      </c>
      <c r="F58" s="216" t="s">
        <v>421</v>
      </c>
      <c r="G58" s="55" t="s">
        <v>42</v>
      </c>
      <c r="H58" s="216" t="s">
        <v>157</v>
      </c>
      <c r="I58" s="55" t="s">
        <v>155</v>
      </c>
      <c r="J58" s="216" t="s">
        <v>38</v>
      </c>
      <c r="K58" s="216" t="s">
        <v>156</v>
      </c>
      <c r="L58" s="208">
        <v>3</v>
      </c>
      <c r="N58" s="208">
        <v>1</v>
      </c>
      <c r="O58" s="208">
        <v>0.6</v>
      </c>
      <c r="P58" s="208">
        <v>0.6</v>
      </c>
      <c r="Q58" s="217">
        <f t="shared" si="0"/>
        <v>0.6</v>
      </c>
      <c r="R58" s="208">
        <v>11.6</v>
      </c>
      <c r="S58" s="208">
        <v>118</v>
      </c>
      <c r="T58" s="217">
        <f t="shared" si="1"/>
        <v>30</v>
      </c>
      <c r="U58" s="208">
        <v>105</v>
      </c>
      <c r="V58" s="217">
        <f t="shared" si="2"/>
        <v>3150</v>
      </c>
      <c r="W58" s="208">
        <v>4</v>
      </c>
      <c r="X58" s="55" t="s">
        <v>46</v>
      </c>
      <c r="Y58" s="55" t="s">
        <v>55</v>
      </c>
      <c r="Z58" s="208" t="s">
        <v>78</v>
      </c>
      <c r="AA58" s="55" t="s">
        <v>86</v>
      </c>
      <c r="AB58" s="216" t="s">
        <v>346</v>
      </c>
    </row>
    <row r="59" spans="1:28" x14ac:dyDescent="0.15">
      <c r="A59" s="55" t="s">
        <v>56</v>
      </c>
      <c r="B59" s="55" t="s">
        <v>405</v>
      </c>
      <c r="C59" s="216">
        <v>2018</v>
      </c>
      <c r="D59" s="86" t="s">
        <v>406</v>
      </c>
      <c r="E59" s="216" t="s">
        <v>322</v>
      </c>
      <c r="F59" s="216" t="s">
        <v>421</v>
      </c>
      <c r="G59" s="55" t="s">
        <v>42</v>
      </c>
      <c r="H59" s="216" t="s">
        <v>217</v>
      </c>
      <c r="I59" s="55" t="s">
        <v>155</v>
      </c>
      <c r="J59" s="216" t="s">
        <v>38</v>
      </c>
      <c r="K59" s="216" t="s">
        <v>156</v>
      </c>
      <c r="L59" s="208">
        <v>1</v>
      </c>
      <c r="N59" s="208">
        <v>5</v>
      </c>
      <c r="O59" s="208">
        <v>0.5</v>
      </c>
      <c r="P59" s="208">
        <v>0.7</v>
      </c>
      <c r="Q59" s="217">
        <f t="shared" si="0"/>
        <v>0.6</v>
      </c>
      <c r="R59" s="208">
        <v>11.4</v>
      </c>
      <c r="S59" s="208">
        <v>92</v>
      </c>
      <c r="T59" s="217">
        <f t="shared" si="1"/>
        <v>36</v>
      </c>
      <c r="U59" s="208">
        <v>429</v>
      </c>
      <c r="V59" s="217">
        <f t="shared" si="2"/>
        <v>3088.7999999999997</v>
      </c>
      <c r="W59" s="208">
        <v>1</v>
      </c>
      <c r="X59" s="55" t="s">
        <v>46</v>
      </c>
      <c r="Y59" s="55" t="s">
        <v>55</v>
      </c>
      <c r="Z59" s="208" t="s">
        <v>78</v>
      </c>
      <c r="AA59" s="55" t="s">
        <v>86</v>
      </c>
      <c r="AB59" s="216" t="s">
        <v>346</v>
      </c>
    </row>
    <row r="60" spans="1:28" x14ac:dyDescent="0.15">
      <c r="A60" s="55" t="s">
        <v>56</v>
      </c>
      <c r="B60" s="55" t="s">
        <v>405</v>
      </c>
      <c r="C60" s="216">
        <v>2018</v>
      </c>
      <c r="D60" s="86" t="s">
        <v>406</v>
      </c>
      <c r="E60" s="216" t="s">
        <v>322</v>
      </c>
      <c r="F60" s="216" t="s">
        <v>421</v>
      </c>
      <c r="G60" s="55" t="s">
        <v>42</v>
      </c>
      <c r="H60" s="216" t="s">
        <v>217</v>
      </c>
      <c r="I60" s="55" t="s">
        <v>155</v>
      </c>
      <c r="J60" s="216" t="s">
        <v>38</v>
      </c>
      <c r="K60" s="216" t="s">
        <v>156</v>
      </c>
      <c r="L60" s="208">
        <v>2</v>
      </c>
      <c r="N60" s="208">
        <v>5</v>
      </c>
      <c r="O60" s="208">
        <v>0.5</v>
      </c>
      <c r="P60" s="208">
        <v>0.5</v>
      </c>
      <c r="Q60" s="217">
        <f t="shared" si="0"/>
        <v>0.5</v>
      </c>
      <c r="R60" s="208">
        <v>11.7</v>
      </c>
      <c r="S60" s="208">
        <v>87</v>
      </c>
      <c r="T60" s="217">
        <f t="shared" si="1"/>
        <v>36</v>
      </c>
      <c r="U60" s="208">
        <v>429</v>
      </c>
      <c r="V60" s="217">
        <f t="shared" si="2"/>
        <v>3088.7999999999997</v>
      </c>
      <c r="W60" s="208">
        <v>1</v>
      </c>
      <c r="X60" s="55" t="s">
        <v>46</v>
      </c>
      <c r="Y60" s="55" t="s">
        <v>55</v>
      </c>
      <c r="Z60" s="208" t="s">
        <v>78</v>
      </c>
      <c r="AA60" s="55" t="s">
        <v>86</v>
      </c>
      <c r="AB60" s="216" t="s">
        <v>346</v>
      </c>
    </row>
    <row r="61" spans="1:28" x14ac:dyDescent="0.15">
      <c r="A61" s="55" t="s">
        <v>56</v>
      </c>
      <c r="B61" s="55" t="s">
        <v>405</v>
      </c>
      <c r="C61" s="216">
        <v>2018</v>
      </c>
      <c r="D61" s="86" t="s">
        <v>406</v>
      </c>
      <c r="E61" s="216" t="s">
        <v>322</v>
      </c>
      <c r="F61" s="216" t="s">
        <v>421</v>
      </c>
      <c r="G61" s="55" t="s">
        <v>42</v>
      </c>
      <c r="H61" s="216" t="s">
        <v>217</v>
      </c>
      <c r="I61" s="55" t="s">
        <v>155</v>
      </c>
      <c r="J61" s="216" t="s">
        <v>38</v>
      </c>
      <c r="K61" s="216" t="s">
        <v>156</v>
      </c>
      <c r="L61" s="208">
        <v>3</v>
      </c>
      <c r="N61" s="208">
        <v>5</v>
      </c>
      <c r="O61" s="208">
        <v>0.6</v>
      </c>
      <c r="P61" s="208">
        <v>0.6</v>
      </c>
      <c r="Q61" s="217">
        <f t="shared" si="0"/>
        <v>0.6</v>
      </c>
      <c r="R61" s="208">
        <v>11.5</v>
      </c>
      <c r="S61" s="208">
        <v>87</v>
      </c>
      <c r="T61" s="217">
        <f t="shared" si="1"/>
        <v>36</v>
      </c>
      <c r="U61" s="208">
        <v>429</v>
      </c>
      <c r="V61" s="217">
        <f t="shared" si="2"/>
        <v>3088.7999999999997</v>
      </c>
      <c r="W61" s="208">
        <v>1</v>
      </c>
      <c r="X61" s="55" t="s">
        <v>46</v>
      </c>
      <c r="Y61" s="55" t="s">
        <v>55</v>
      </c>
      <c r="Z61" s="208" t="s">
        <v>78</v>
      </c>
      <c r="AA61" s="55" t="s">
        <v>86</v>
      </c>
      <c r="AB61" s="216" t="s">
        <v>346</v>
      </c>
    </row>
    <row r="62" spans="1:28" x14ac:dyDescent="0.15">
      <c r="A62" s="55" t="s">
        <v>56</v>
      </c>
      <c r="B62" s="55" t="s">
        <v>405</v>
      </c>
      <c r="C62" s="216">
        <v>2018</v>
      </c>
      <c r="D62" s="86" t="s">
        <v>406</v>
      </c>
      <c r="E62" s="216" t="s">
        <v>322</v>
      </c>
      <c r="F62" s="216" t="s">
        <v>421</v>
      </c>
      <c r="G62" s="55" t="s">
        <v>42</v>
      </c>
      <c r="H62" s="216" t="s">
        <v>165</v>
      </c>
      <c r="I62" s="55" t="s">
        <v>155</v>
      </c>
      <c r="J62" s="216" t="s">
        <v>38</v>
      </c>
      <c r="K62" s="216" t="s">
        <v>156</v>
      </c>
      <c r="L62" s="208">
        <v>1</v>
      </c>
      <c r="N62" s="208">
        <v>1</v>
      </c>
      <c r="O62" s="208">
        <v>0.55000000000000004</v>
      </c>
      <c r="P62" s="208">
        <v>0.55000000000000004</v>
      </c>
      <c r="Q62" s="217">
        <f t="shared" si="0"/>
        <v>0.55000000000000004</v>
      </c>
      <c r="R62" s="208">
        <v>12.4</v>
      </c>
      <c r="S62" s="208">
        <v>130</v>
      </c>
      <c r="T62" s="217">
        <f t="shared" si="1"/>
        <v>25</v>
      </c>
      <c r="U62" s="208">
        <v>149</v>
      </c>
      <c r="V62" s="217">
        <f t="shared" si="2"/>
        <v>3725</v>
      </c>
      <c r="W62" s="208">
        <v>4</v>
      </c>
      <c r="X62" s="55" t="s">
        <v>46</v>
      </c>
      <c r="Y62" s="55" t="s">
        <v>55</v>
      </c>
      <c r="Z62" s="208" t="s">
        <v>78</v>
      </c>
      <c r="AA62" s="55" t="s">
        <v>86</v>
      </c>
      <c r="AB62" s="216" t="s">
        <v>346</v>
      </c>
    </row>
    <row r="63" spans="1:28" x14ac:dyDescent="0.15">
      <c r="A63" s="55" t="s">
        <v>56</v>
      </c>
      <c r="B63" s="55" t="s">
        <v>405</v>
      </c>
      <c r="C63" s="216">
        <v>2018</v>
      </c>
      <c r="D63" s="86" t="s">
        <v>406</v>
      </c>
      <c r="E63" s="216" t="s">
        <v>322</v>
      </c>
      <c r="F63" s="216" t="s">
        <v>421</v>
      </c>
      <c r="G63" s="55" t="s">
        <v>42</v>
      </c>
      <c r="H63" s="216" t="s">
        <v>165</v>
      </c>
      <c r="I63" s="55" t="s">
        <v>155</v>
      </c>
      <c r="J63" s="216" t="s">
        <v>38</v>
      </c>
      <c r="K63" s="216" t="s">
        <v>156</v>
      </c>
      <c r="L63" s="208">
        <v>2</v>
      </c>
      <c r="N63" s="208">
        <v>1</v>
      </c>
      <c r="O63" s="208">
        <v>0.55000000000000004</v>
      </c>
      <c r="P63" s="208">
        <v>0.55000000000000004</v>
      </c>
      <c r="Q63" s="217">
        <f t="shared" si="0"/>
        <v>0.55000000000000004</v>
      </c>
      <c r="R63" s="208">
        <v>12.3</v>
      </c>
      <c r="S63" s="208">
        <v>128</v>
      </c>
      <c r="T63" s="217">
        <f t="shared" si="1"/>
        <v>27</v>
      </c>
      <c r="U63" s="208">
        <v>149</v>
      </c>
      <c r="V63" s="217">
        <f t="shared" si="2"/>
        <v>4023</v>
      </c>
      <c r="W63" s="208">
        <v>4</v>
      </c>
      <c r="X63" s="55" t="s">
        <v>46</v>
      </c>
      <c r="Y63" s="55" t="s">
        <v>55</v>
      </c>
      <c r="Z63" s="208" t="s">
        <v>78</v>
      </c>
      <c r="AA63" s="55" t="s">
        <v>86</v>
      </c>
      <c r="AB63" s="216" t="s">
        <v>346</v>
      </c>
    </row>
    <row r="64" spans="1:28" x14ac:dyDescent="0.15">
      <c r="A64" s="55" t="s">
        <v>56</v>
      </c>
      <c r="B64" s="55" t="s">
        <v>405</v>
      </c>
      <c r="C64" s="216">
        <v>2018</v>
      </c>
      <c r="D64" s="86" t="s">
        <v>406</v>
      </c>
      <c r="E64" s="216" t="s">
        <v>322</v>
      </c>
      <c r="F64" s="216" t="s">
        <v>421</v>
      </c>
      <c r="G64" s="55" t="s">
        <v>42</v>
      </c>
      <c r="H64" s="216" t="s">
        <v>165</v>
      </c>
      <c r="I64" s="55" t="s">
        <v>155</v>
      </c>
      <c r="J64" s="216" t="s">
        <v>38</v>
      </c>
      <c r="K64" s="216" t="s">
        <v>156</v>
      </c>
      <c r="L64" s="208">
        <v>3</v>
      </c>
      <c r="N64" s="208">
        <v>1</v>
      </c>
      <c r="O64" s="208">
        <v>0.5</v>
      </c>
      <c r="P64" s="208">
        <v>0.5</v>
      </c>
      <c r="Q64" s="217">
        <f t="shared" si="0"/>
        <v>0.5</v>
      </c>
      <c r="R64" s="208">
        <v>12.8</v>
      </c>
      <c r="S64" s="208">
        <v>136</v>
      </c>
      <c r="T64" s="217">
        <f t="shared" si="1"/>
        <v>25</v>
      </c>
      <c r="U64" s="208">
        <v>149</v>
      </c>
      <c r="V64" s="217">
        <f t="shared" si="2"/>
        <v>3725</v>
      </c>
      <c r="W64" s="208">
        <v>4</v>
      </c>
      <c r="X64" s="55" t="s">
        <v>46</v>
      </c>
      <c r="Y64" s="55" t="s">
        <v>55</v>
      </c>
      <c r="Z64" s="208" t="s">
        <v>78</v>
      </c>
      <c r="AA64" s="55" t="s">
        <v>86</v>
      </c>
      <c r="AB64" s="216" t="s">
        <v>346</v>
      </c>
    </row>
    <row r="65" spans="1:28" x14ac:dyDescent="0.15">
      <c r="A65" s="55" t="s">
        <v>56</v>
      </c>
      <c r="B65" s="55" t="s">
        <v>405</v>
      </c>
      <c r="C65" s="216">
        <v>2018</v>
      </c>
      <c r="D65" s="86" t="s">
        <v>406</v>
      </c>
      <c r="E65" s="216" t="s">
        <v>391</v>
      </c>
      <c r="F65" s="216" t="s">
        <v>421</v>
      </c>
      <c r="G65" s="55" t="s">
        <v>42</v>
      </c>
      <c r="H65" s="216" t="s">
        <v>157</v>
      </c>
      <c r="I65" s="55" t="s">
        <v>155</v>
      </c>
      <c r="J65" s="216" t="s">
        <v>38</v>
      </c>
      <c r="K65" s="216" t="s">
        <v>156</v>
      </c>
      <c r="L65" s="208">
        <v>1</v>
      </c>
      <c r="N65" s="208">
        <v>1</v>
      </c>
      <c r="O65" s="208">
        <v>0.7</v>
      </c>
      <c r="P65" s="208">
        <v>0.7</v>
      </c>
      <c r="Q65" s="217">
        <f t="shared" si="0"/>
        <v>0.7</v>
      </c>
      <c r="R65" s="208">
        <v>12.5</v>
      </c>
      <c r="S65" s="208">
        <v>165</v>
      </c>
      <c r="T65" s="217">
        <f t="shared" si="1"/>
        <v>22</v>
      </c>
      <c r="U65" s="208">
        <v>138</v>
      </c>
      <c r="V65" s="217">
        <f t="shared" si="2"/>
        <v>3036</v>
      </c>
      <c r="W65" s="208">
        <v>4</v>
      </c>
      <c r="X65" s="55" t="s">
        <v>46</v>
      </c>
      <c r="Y65" s="55" t="s">
        <v>97</v>
      </c>
      <c r="Z65" s="208" t="s">
        <v>55</v>
      </c>
      <c r="AA65" s="55" t="s">
        <v>64</v>
      </c>
      <c r="AB65" s="216" t="s">
        <v>346</v>
      </c>
    </row>
    <row r="66" spans="1:28" x14ac:dyDescent="0.15">
      <c r="A66" s="55" t="s">
        <v>56</v>
      </c>
      <c r="B66" s="55" t="s">
        <v>405</v>
      </c>
      <c r="C66" s="216">
        <v>2018</v>
      </c>
      <c r="D66" s="86" t="s">
        <v>406</v>
      </c>
      <c r="E66" s="216" t="s">
        <v>391</v>
      </c>
      <c r="F66" s="216" t="s">
        <v>421</v>
      </c>
      <c r="G66" s="55" t="s">
        <v>42</v>
      </c>
      <c r="H66" s="216" t="s">
        <v>157</v>
      </c>
      <c r="I66" s="55" t="s">
        <v>155</v>
      </c>
      <c r="J66" s="216" t="s">
        <v>38</v>
      </c>
      <c r="K66" s="216" t="s">
        <v>156</v>
      </c>
      <c r="L66" s="208">
        <v>2</v>
      </c>
      <c r="N66" s="208">
        <v>1</v>
      </c>
      <c r="O66" s="208">
        <v>0.75</v>
      </c>
      <c r="P66" s="208">
        <v>0.9</v>
      </c>
      <c r="Q66" s="217">
        <f t="shared" si="0"/>
        <v>0.82499999999999996</v>
      </c>
      <c r="R66" s="208">
        <v>15.9</v>
      </c>
      <c r="S66" s="208">
        <v>166</v>
      </c>
      <c r="T66" s="217">
        <f t="shared" si="1"/>
        <v>22</v>
      </c>
      <c r="U66" s="208">
        <v>138</v>
      </c>
      <c r="V66" s="217">
        <f t="shared" si="2"/>
        <v>3036</v>
      </c>
      <c r="W66" s="208">
        <v>4</v>
      </c>
      <c r="X66" s="55" t="s">
        <v>46</v>
      </c>
      <c r="Y66" s="55" t="s">
        <v>97</v>
      </c>
      <c r="Z66" s="208" t="s">
        <v>55</v>
      </c>
      <c r="AA66" s="55" t="s">
        <v>64</v>
      </c>
      <c r="AB66" s="216" t="s">
        <v>346</v>
      </c>
    </row>
    <row r="67" spans="1:28" x14ac:dyDescent="0.15">
      <c r="A67" s="55" t="s">
        <v>56</v>
      </c>
      <c r="B67" s="55" t="s">
        <v>405</v>
      </c>
      <c r="C67" s="216">
        <v>2018</v>
      </c>
      <c r="D67" s="86" t="s">
        <v>406</v>
      </c>
      <c r="E67" s="216" t="s">
        <v>391</v>
      </c>
      <c r="F67" s="216" t="s">
        <v>421</v>
      </c>
      <c r="G67" s="55" t="s">
        <v>42</v>
      </c>
      <c r="H67" s="216" t="s">
        <v>157</v>
      </c>
      <c r="I67" s="55" t="s">
        <v>155</v>
      </c>
      <c r="J67" s="216" t="s">
        <v>38</v>
      </c>
      <c r="K67" s="216" t="s">
        <v>156</v>
      </c>
      <c r="L67" s="208">
        <v>3</v>
      </c>
      <c r="N67" s="208">
        <v>1</v>
      </c>
      <c r="O67" s="208">
        <v>0.75</v>
      </c>
      <c r="P67" s="208">
        <v>0.85</v>
      </c>
      <c r="Q67" s="217">
        <f t="shared" si="0"/>
        <v>0.8</v>
      </c>
      <c r="R67" s="208">
        <v>12.7</v>
      </c>
      <c r="S67" s="208">
        <v>171</v>
      </c>
      <c r="T67" s="217">
        <f t="shared" si="1"/>
        <v>22</v>
      </c>
      <c r="U67" s="208">
        <v>138</v>
      </c>
      <c r="V67" s="217">
        <f t="shared" si="2"/>
        <v>3036</v>
      </c>
      <c r="W67" s="208">
        <v>4</v>
      </c>
      <c r="X67" s="55" t="s">
        <v>46</v>
      </c>
      <c r="Y67" s="55" t="s">
        <v>97</v>
      </c>
      <c r="Z67" s="208" t="s">
        <v>55</v>
      </c>
      <c r="AA67" s="55" t="s">
        <v>64</v>
      </c>
      <c r="AB67" s="216" t="s">
        <v>346</v>
      </c>
    </row>
    <row r="68" spans="1:28" x14ac:dyDescent="0.15">
      <c r="A68" s="55" t="s">
        <v>56</v>
      </c>
      <c r="B68" s="55" t="s">
        <v>405</v>
      </c>
      <c r="C68" s="216">
        <v>2018</v>
      </c>
      <c r="D68" s="86" t="s">
        <v>406</v>
      </c>
      <c r="E68" s="216" t="s">
        <v>391</v>
      </c>
      <c r="F68" s="216" t="s">
        <v>421</v>
      </c>
      <c r="G68" s="55" t="s">
        <v>42</v>
      </c>
      <c r="H68" s="216" t="s">
        <v>157</v>
      </c>
      <c r="I68" s="55" t="s">
        <v>158</v>
      </c>
      <c r="J68" s="216" t="s">
        <v>38</v>
      </c>
      <c r="K68" s="216" t="s">
        <v>156</v>
      </c>
      <c r="L68" s="208">
        <v>1</v>
      </c>
      <c r="N68" s="208">
        <v>4</v>
      </c>
      <c r="O68" s="208">
        <v>0.5</v>
      </c>
      <c r="P68" s="208">
        <v>0.5</v>
      </c>
      <c r="Q68" s="217">
        <f t="shared" si="0"/>
        <v>0.5</v>
      </c>
      <c r="R68" s="208">
        <v>12.3</v>
      </c>
      <c r="S68" s="208">
        <v>95</v>
      </c>
      <c r="T68" s="217">
        <f t="shared" si="1"/>
        <v>36</v>
      </c>
      <c r="U68" s="208">
        <v>430</v>
      </c>
      <c r="V68" s="217">
        <f t="shared" si="2"/>
        <v>3870</v>
      </c>
      <c r="W68" s="208">
        <v>4</v>
      </c>
      <c r="X68" s="55" t="s">
        <v>46</v>
      </c>
      <c r="Y68" s="55" t="s">
        <v>97</v>
      </c>
      <c r="Z68" s="208" t="s">
        <v>55</v>
      </c>
      <c r="AA68" s="55" t="s">
        <v>64</v>
      </c>
      <c r="AB68" s="216" t="s">
        <v>346</v>
      </c>
    </row>
    <row r="69" spans="1:28" x14ac:dyDescent="0.15">
      <c r="A69" s="55" t="s">
        <v>56</v>
      </c>
      <c r="B69" s="55" t="s">
        <v>405</v>
      </c>
      <c r="C69" s="216">
        <v>2018</v>
      </c>
      <c r="D69" s="86" t="s">
        <v>406</v>
      </c>
      <c r="E69" s="216" t="s">
        <v>391</v>
      </c>
      <c r="F69" s="216" t="s">
        <v>421</v>
      </c>
      <c r="G69" s="55" t="s">
        <v>42</v>
      </c>
      <c r="H69" s="216" t="s">
        <v>157</v>
      </c>
      <c r="I69" s="55" t="s">
        <v>158</v>
      </c>
      <c r="J69" s="216" t="s">
        <v>38</v>
      </c>
      <c r="K69" s="216" t="s">
        <v>156</v>
      </c>
      <c r="L69" s="208">
        <v>2</v>
      </c>
      <c r="N69" s="208">
        <v>4</v>
      </c>
      <c r="O69" s="208">
        <v>0.5</v>
      </c>
      <c r="P69" s="208">
        <v>0.5</v>
      </c>
      <c r="Q69" s="217">
        <f t="shared" ref="Q69:Q86" si="3">IF(OR(O69="",P69=""),"",AVERAGE(O69,P69))</f>
        <v>0.5</v>
      </c>
      <c r="R69" s="208">
        <v>12.8</v>
      </c>
      <c r="S69" s="208">
        <v>103</v>
      </c>
      <c r="T69" s="217">
        <f t="shared" ref="T69:T86" si="4">IF(H69="","",IF(OR(H69="GREEN",H69="GK"),IF(S69&gt;=$AX$2,VLOOKUP(S69,$AX$2:$AY$10,2,1),""),IF(S69&gt;=$AZ$2,VLOOKUP(S69,$AZ$2:$BA$10,2,1),"")))</f>
        <v>33</v>
      </c>
      <c r="U69" s="208">
        <v>430</v>
      </c>
      <c r="V69" s="217">
        <f t="shared" ref="V69:V86" si="5">IF(OR(N69="",U69="",T69=""),"",U69/N69*T69)</f>
        <v>3547.5</v>
      </c>
      <c r="W69" s="208">
        <v>4</v>
      </c>
      <c r="X69" s="55" t="s">
        <v>46</v>
      </c>
      <c r="Y69" s="55" t="s">
        <v>97</v>
      </c>
      <c r="Z69" s="208" t="s">
        <v>55</v>
      </c>
      <c r="AA69" s="55" t="s">
        <v>64</v>
      </c>
      <c r="AB69" s="216" t="s">
        <v>346</v>
      </c>
    </row>
    <row r="70" spans="1:28" x14ac:dyDescent="0.15">
      <c r="A70" s="55" t="s">
        <v>56</v>
      </c>
      <c r="B70" s="55" t="s">
        <v>405</v>
      </c>
      <c r="C70" s="216">
        <v>2018</v>
      </c>
      <c r="D70" s="86" t="s">
        <v>406</v>
      </c>
      <c r="E70" s="216" t="s">
        <v>391</v>
      </c>
      <c r="F70" s="216" t="s">
        <v>421</v>
      </c>
      <c r="G70" s="55" t="s">
        <v>42</v>
      </c>
      <c r="H70" s="216" t="s">
        <v>157</v>
      </c>
      <c r="I70" s="55" t="s">
        <v>158</v>
      </c>
      <c r="J70" s="216" t="s">
        <v>38</v>
      </c>
      <c r="K70" s="216" t="s">
        <v>156</v>
      </c>
      <c r="L70" s="208">
        <v>3</v>
      </c>
      <c r="N70" s="208">
        <v>4</v>
      </c>
      <c r="O70" s="208">
        <v>0.55000000000000004</v>
      </c>
      <c r="P70" s="208">
        <v>0.55000000000000004</v>
      </c>
      <c r="Q70" s="217">
        <f t="shared" si="3"/>
        <v>0.55000000000000004</v>
      </c>
      <c r="R70" s="208">
        <v>11.9</v>
      </c>
      <c r="S70" s="208">
        <v>100</v>
      </c>
      <c r="T70" s="217">
        <f t="shared" si="4"/>
        <v>33</v>
      </c>
      <c r="U70" s="208">
        <v>430</v>
      </c>
      <c r="V70" s="217">
        <f t="shared" si="5"/>
        <v>3547.5</v>
      </c>
      <c r="W70" s="208">
        <v>4</v>
      </c>
      <c r="X70" s="55" t="s">
        <v>46</v>
      </c>
      <c r="Y70" s="55" t="s">
        <v>97</v>
      </c>
      <c r="Z70" s="208" t="s">
        <v>55</v>
      </c>
      <c r="AA70" s="55" t="s">
        <v>64</v>
      </c>
      <c r="AB70" s="216" t="s">
        <v>346</v>
      </c>
    </row>
    <row r="71" spans="1:28" x14ac:dyDescent="0.15">
      <c r="A71" s="55" t="s">
        <v>56</v>
      </c>
      <c r="B71" s="55" t="s">
        <v>405</v>
      </c>
      <c r="C71" s="216">
        <v>2018</v>
      </c>
      <c r="D71" s="86" t="s">
        <v>406</v>
      </c>
      <c r="E71" s="216" t="s">
        <v>391</v>
      </c>
      <c r="F71" s="216" t="s">
        <v>421</v>
      </c>
      <c r="G71" s="55" t="s">
        <v>42</v>
      </c>
      <c r="H71" s="216" t="s">
        <v>165</v>
      </c>
      <c r="I71" s="55" t="s">
        <v>155</v>
      </c>
      <c r="J71" s="216" t="s">
        <v>38</v>
      </c>
      <c r="K71" s="216" t="s">
        <v>156</v>
      </c>
      <c r="L71" s="208">
        <v>1</v>
      </c>
      <c r="N71" s="208">
        <v>1</v>
      </c>
      <c r="O71" s="208">
        <v>0.65</v>
      </c>
      <c r="P71" s="208">
        <v>0.75</v>
      </c>
      <c r="Q71" s="217">
        <f t="shared" si="3"/>
        <v>0.7</v>
      </c>
      <c r="R71" s="208">
        <v>12.7</v>
      </c>
      <c r="S71" s="208">
        <v>138</v>
      </c>
      <c r="T71" s="217">
        <f t="shared" si="4"/>
        <v>22</v>
      </c>
      <c r="U71" s="208">
        <v>138</v>
      </c>
      <c r="V71" s="217">
        <f t="shared" si="5"/>
        <v>3036</v>
      </c>
      <c r="W71" s="208">
        <v>4</v>
      </c>
      <c r="X71" s="55" t="s">
        <v>46</v>
      </c>
      <c r="Y71" s="55" t="s">
        <v>97</v>
      </c>
      <c r="Z71" s="208" t="s">
        <v>55</v>
      </c>
      <c r="AA71" s="55" t="s">
        <v>64</v>
      </c>
      <c r="AB71" s="216" t="s">
        <v>346</v>
      </c>
    </row>
    <row r="72" spans="1:28" x14ac:dyDescent="0.15">
      <c r="A72" s="55" t="s">
        <v>56</v>
      </c>
      <c r="B72" s="55" t="s">
        <v>405</v>
      </c>
      <c r="C72" s="216">
        <v>2018</v>
      </c>
      <c r="D72" s="86" t="s">
        <v>406</v>
      </c>
      <c r="E72" s="216" t="s">
        <v>391</v>
      </c>
      <c r="F72" s="216" t="s">
        <v>421</v>
      </c>
      <c r="G72" s="55" t="s">
        <v>42</v>
      </c>
      <c r="H72" s="216" t="s">
        <v>165</v>
      </c>
      <c r="I72" s="55" t="s">
        <v>155</v>
      </c>
      <c r="J72" s="216" t="s">
        <v>38</v>
      </c>
      <c r="K72" s="216" t="s">
        <v>156</v>
      </c>
      <c r="L72" s="208">
        <v>2</v>
      </c>
      <c r="N72" s="208">
        <v>1</v>
      </c>
      <c r="O72" s="208">
        <v>0.9</v>
      </c>
      <c r="P72" s="208">
        <v>0.95</v>
      </c>
      <c r="Q72" s="217">
        <f t="shared" si="3"/>
        <v>0.92500000000000004</v>
      </c>
      <c r="R72" s="208">
        <v>14.3</v>
      </c>
      <c r="S72" s="208">
        <v>149</v>
      </c>
      <c r="T72" s="217">
        <f t="shared" si="4"/>
        <v>22</v>
      </c>
      <c r="U72" s="208">
        <v>138</v>
      </c>
      <c r="V72" s="217">
        <f t="shared" si="5"/>
        <v>3036</v>
      </c>
      <c r="W72" s="208">
        <v>4</v>
      </c>
      <c r="X72" s="55" t="s">
        <v>46</v>
      </c>
      <c r="Y72" s="55" t="s">
        <v>97</v>
      </c>
      <c r="Z72" s="208" t="s">
        <v>55</v>
      </c>
      <c r="AA72" s="55" t="s">
        <v>64</v>
      </c>
      <c r="AB72" s="216" t="s">
        <v>346</v>
      </c>
    </row>
    <row r="73" spans="1:28" x14ac:dyDescent="0.15">
      <c r="A73" s="55" t="s">
        <v>56</v>
      </c>
      <c r="B73" s="55" t="s">
        <v>405</v>
      </c>
      <c r="C73" s="216">
        <v>2018</v>
      </c>
      <c r="D73" s="86" t="s">
        <v>406</v>
      </c>
      <c r="E73" s="216" t="s">
        <v>391</v>
      </c>
      <c r="F73" s="216" t="s">
        <v>421</v>
      </c>
      <c r="G73" s="55" t="s">
        <v>42</v>
      </c>
      <c r="H73" s="216" t="s">
        <v>165</v>
      </c>
      <c r="I73" s="55" t="s">
        <v>155</v>
      </c>
      <c r="J73" s="216" t="s">
        <v>38</v>
      </c>
      <c r="K73" s="216" t="s">
        <v>156</v>
      </c>
      <c r="L73" s="208">
        <v>3</v>
      </c>
      <c r="N73" s="208">
        <v>1</v>
      </c>
      <c r="O73" s="208">
        <v>0.7</v>
      </c>
      <c r="P73" s="208">
        <v>0.75</v>
      </c>
      <c r="Q73" s="217">
        <f t="shared" si="3"/>
        <v>0.72499999999999998</v>
      </c>
      <c r="R73" s="208">
        <v>12.8</v>
      </c>
      <c r="S73" s="208">
        <v>140</v>
      </c>
      <c r="T73" s="217">
        <f t="shared" si="4"/>
        <v>22</v>
      </c>
      <c r="U73" s="208">
        <v>138</v>
      </c>
      <c r="V73" s="217">
        <f t="shared" si="5"/>
        <v>3036</v>
      </c>
      <c r="W73" s="208">
        <v>4</v>
      </c>
      <c r="X73" s="55" t="s">
        <v>46</v>
      </c>
      <c r="Y73" s="55" t="s">
        <v>97</v>
      </c>
      <c r="Z73" s="208" t="s">
        <v>55</v>
      </c>
      <c r="AA73" s="55" t="s">
        <v>64</v>
      </c>
      <c r="AB73" s="216" t="s">
        <v>346</v>
      </c>
    </row>
    <row r="74" spans="1:28" x14ac:dyDescent="0.15">
      <c r="A74" s="55" t="s">
        <v>56</v>
      </c>
      <c r="B74" s="55" t="s">
        <v>405</v>
      </c>
      <c r="C74" s="216">
        <v>2018</v>
      </c>
      <c r="D74" s="86" t="s">
        <v>406</v>
      </c>
      <c r="E74" s="216" t="s">
        <v>423</v>
      </c>
      <c r="F74" s="216" t="s">
        <v>421</v>
      </c>
      <c r="G74" s="55" t="s">
        <v>42</v>
      </c>
      <c r="H74" s="216" t="s">
        <v>217</v>
      </c>
      <c r="I74" s="55" t="s">
        <v>155</v>
      </c>
      <c r="J74" s="216" t="s">
        <v>38</v>
      </c>
      <c r="K74" s="216" t="s">
        <v>156</v>
      </c>
      <c r="L74" s="208">
        <v>1</v>
      </c>
      <c r="N74" s="208">
        <v>5</v>
      </c>
      <c r="O74" s="208">
        <v>0.65</v>
      </c>
      <c r="P74" s="208">
        <v>0.75</v>
      </c>
      <c r="Q74" s="217">
        <f t="shared" si="3"/>
        <v>0.7</v>
      </c>
      <c r="R74" s="208">
        <v>12.7</v>
      </c>
      <c r="S74" s="208">
        <v>101</v>
      </c>
      <c r="T74" s="217">
        <f t="shared" si="4"/>
        <v>33</v>
      </c>
      <c r="U74" s="208">
        <v>430</v>
      </c>
      <c r="V74" s="217">
        <f t="shared" si="5"/>
        <v>2838</v>
      </c>
      <c r="W74" s="208">
        <v>5</v>
      </c>
      <c r="X74" s="55" t="s">
        <v>46</v>
      </c>
      <c r="Y74" s="55" t="s">
        <v>64</v>
      </c>
      <c r="Z74" s="208" t="s">
        <v>78</v>
      </c>
      <c r="AA74" s="55" t="s">
        <v>88</v>
      </c>
      <c r="AB74" s="216" t="s">
        <v>346</v>
      </c>
    </row>
    <row r="75" spans="1:28" x14ac:dyDescent="0.15">
      <c r="A75" s="55" t="s">
        <v>56</v>
      </c>
      <c r="B75" s="55" t="s">
        <v>405</v>
      </c>
      <c r="C75" s="216">
        <v>2018</v>
      </c>
      <c r="D75" s="86" t="s">
        <v>406</v>
      </c>
      <c r="E75" s="216" t="s">
        <v>423</v>
      </c>
      <c r="F75" s="216" t="s">
        <v>421</v>
      </c>
      <c r="G75" s="55" t="s">
        <v>42</v>
      </c>
      <c r="H75" s="216" t="s">
        <v>217</v>
      </c>
      <c r="I75" s="55" t="s">
        <v>155</v>
      </c>
      <c r="J75" s="216" t="s">
        <v>38</v>
      </c>
      <c r="K75" s="216" t="s">
        <v>156</v>
      </c>
      <c r="L75" s="208">
        <v>2</v>
      </c>
      <c r="N75" s="208">
        <v>5</v>
      </c>
      <c r="O75" s="208">
        <v>0.65</v>
      </c>
      <c r="P75" s="208">
        <v>0.8</v>
      </c>
      <c r="Q75" s="217">
        <f t="shared" si="3"/>
        <v>0.72500000000000009</v>
      </c>
      <c r="R75" s="208">
        <v>13.7</v>
      </c>
      <c r="S75" s="208">
        <v>96</v>
      </c>
      <c r="T75" s="217">
        <f t="shared" si="4"/>
        <v>36</v>
      </c>
      <c r="U75" s="208">
        <v>430</v>
      </c>
      <c r="V75" s="217">
        <f t="shared" si="5"/>
        <v>3096</v>
      </c>
      <c r="W75" s="208">
        <v>5</v>
      </c>
      <c r="X75" s="55" t="s">
        <v>46</v>
      </c>
      <c r="Y75" s="55" t="s">
        <v>64</v>
      </c>
      <c r="Z75" s="208" t="s">
        <v>78</v>
      </c>
      <c r="AA75" s="55" t="s">
        <v>88</v>
      </c>
      <c r="AB75" s="216" t="s">
        <v>346</v>
      </c>
    </row>
    <row r="76" spans="1:28" x14ac:dyDescent="0.15">
      <c r="A76" s="55" t="s">
        <v>56</v>
      </c>
      <c r="B76" s="55" t="s">
        <v>405</v>
      </c>
      <c r="C76" s="216">
        <v>2018</v>
      </c>
      <c r="D76" s="86" t="s">
        <v>406</v>
      </c>
      <c r="E76" s="216" t="s">
        <v>423</v>
      </c>
      <c r="F76" s="216" t="s">
        <v>421</v>
      </c>
      <c r="G76" s="55" t="s">
        <v>42</v>
      </c>
      <c r="H76" s="216" t="s">
        <v>217</v>
      </c>
      <c r="I76" s="55" t="s">
        <v>155</v>
      </c>
      <c r="J76" s="216" t="s">
        <v>38</v>
      </c>
      <c r="K76" s="216" t="s">
        <v>156</v>
      </c>
      <c r="L76" s="208">
        <v>3</v>
      </c>
      <c r="N76" s="208">
        <v>5</v>
      </c>
      <c r="O76" s="208">
        <v>0.7</v>
      </c>
      <c r="P76" s="208">
        <v>0.6</v>
      </c>
      <c r="Q76" s="217">
        <f t="shared" si="3"/>
        <v>0.64999999999999991</v>
      </c>
      <c r="R76" s="208">
        <v>18.100000000000001</v>
      </c>
      <c r="S76" s="208">
        <v>103</v>
      </c>
      <c r="T76" s="217">
        <f t="shared" si="4"/>
        <v>33</v>
      </c>
      <c r="U76" s="208">
        <v>430</v>
      </c>
      <c r="V76" s="217">
        <f t="shared" si="5"/>
        <v>2838</v>
      </c>
      <c r="W76" s="208">
        <v>5</v>
      </c>
      <c r="X76" s="55" t="s">
        <v>46</v>
      </c>
      <c r="Y76" s="55" t="s">
        <v>64</v>
      </c>
      <c r="Z76" s="208" t="s">
        <v>78</v>
      </c>
      <c r="AA76" s="55" t="s">
        <v>88</v>
      </c>
      <c r="AB76" s="216" t="s">
        <v>346</v>
      </c>
    </row>
    <row r="77" spans="1:28" x14ac:dyDescent="0.15">
      <c r="A77" s="55" t="s">
        <v>56</v>
      </c>
      <c r="B77" s="55" t="s">
        <v>405</v>
      </c>
      <c r="C77" s="216">
        <v>2018</v>
      </c>
      <c r="D77" s="86" t="s">
        <v>406</v>
      </c>
      <c r="E77" s="216" t="s">
        <v>423</v>
      </c>
      <c r="F77" s="216" t="s">
        <v>421</v>
      </c>
      <c r="G77" s="55" t="s">
        <v>42</v>
      </c>
      <c r="H77" s="216" t="s">
        <v>165</v>
      </c>
      <c r="I77" s="55" t="s">
        <v>155</v>
      </c>
      <c r="J77" s="216" t="s">
        <v>38</v>
      </c>
      <c r="K77" s="216" t="s">
        <v>156</v>
      </c>
      <c r="L77" s="208">
        <v>1</v>
      </c>
      <c r="N77" s="208">
        <v>5</v>
      </c>
      <c r="O77" s="208">
        <v>0.8</v>
      </c>
      <c r="P77" s="208">
        <v>0.8</v>
      </c>
      <c r="Q77" s="217">
        <f t="shared" si="3"/>
        <v>0.8</v>
      </c>
      <c r="R77" s="208">
        <v>12.9</v>
      </c>
      <c r="S77" s="208">
        <v>128</v>
      </c>
      <c r="T77" s="217">
        <f t="shared" si="4"/>
        <v>27</v>
      </c>
      <c r="U77" s="208">
        <v>646</v>
      </c>
      <c r="V77" s="217">
        <f t="shared" si="5"/>
        <v>3488.3999999999996</v>
      </c>
      <c r="W77" s="208">
        <v>5</v>
      </c>
      <c r="X77" s="55" t="s">
        <v>46</v>
      </c>
      <c r="Y77" s="55" t="s">
        <v>64</v>
      </c>
      <c r="Z77" s="208" t="s">
        <v>78</v>
      </c>
      <c r="AA77" s="55" t="s">
        <v>88</v>
      </c>
      <c r="AB77" s="216" t="s">
        <v>346</v>
      </c>
    </row>
    <row r="78" spans="1:28" x14ac:dyDescent="0.15">
      <c r="A78" s="55" t="s">
        <v>56</v>
      </c>
      <c r="B78" s="55" t="s">
        <v>405</v>
      </c>
      <c r="C78" s="216">
        <v>2018</v>
      </c>
      <c r="D78" s="86" t="s">
        <v>406</v>
      </c>
      <c r="E78" s="216" t="s">
        <v>423</v>
      </c>
      <c r="F78" s="216" t="s">
        <v>421</v>
      </c>
      <c r="G78" s="55" t="s">
        <v>42</v>
      </c>
      <c r="H78" s="216" t="s">
        <v>165</v>
      </c>
      <c r="I78" s="55" t="s">
        <v>155</v>
      </c>
      <c r="J78" s="216" t="s">
        <v>38</v>
      </c>
      <c r="K78" s="216" t="s">
        <v>156</v>
      </c>
      <c r="L78" s="208">
        <v>2</v>
      </c>
      <c r="N78" s="208">
        <v>5</v>
      </c>
      <c r="O78" s="208">
        <v>0.7</v>
      </c>
      <c r="P78" s="208">
        <v>0.7</v>
      </c>
      <c r="Q78" s="217">
        <f t="shared" si="3"/>
        <v>0.7</v>
      </c>
      <c r="R78" s="208">
        <v>12.4</v>
      </c>
      <c r="S78" s="208">
        <v>127</v>
      </c>
      <c r="T78" s="217">
        <f t="shared" si="4"/>
        <v>27</v>
      </c>
      <c r="U78" s="208">
        <v>646</v>
      </c>
      <c r="V78" s="217">
        <f t="shared" si="5"/>
        <v>3488.3999999999996</v>
      </c>
      <c r="W78" s="208">
        <v>5</v>
      </c>
      <c r="X78" s="55" t="s">
        <v>46</v>
      </c>
      <c r="Y78" s="55" t="s">
        <v>64</v>
      </c>
      <c r="Z78" s="208" t="s">
        <v>78</v>
      </c>
      <c r="AA78" s="55" t="s">
        <v>88</v>
      </c>
      <c r="AB78" s="216" t="s">
        <v>346</v>
      </c>
    </row>
    <row r="79" spans="1:28" x14ac:dyDescent="0.15">
      <c r="A79" s="55" t="s">
        <v>56</v>
      </c>
      <c r="B79" s="55" t="s">
        <v>405</v>
      </c>
      <c r="C79" s="216">
        <v>2018</v>
      </c>
      <c r="D79" s="86" t="s">
        <v>406</v>
      </c>
      <c r="E79" s="216" t="s">
        <v>423</v>
      </c>
      <c r="F79" s="216" t="s">
        <v>421</v>
      </c>
      <c r="G79" s="55" t="s">
        <v>42</v>
      </c>
      <c r="H79" s="216" t="s">
        <v>165</v>
      </c>
      <c r="I79" s="55" t="s">
        <v>155</v>
      </c>
      <c r="J79" s="216" t="s">
        <v>38</v>
      </c>
      <c r="K79" s="216" t="s">
        <v>156</v>
      </c>
      <c r="L79" s="208">
        <v>3</v>
      </c>
      <c r="N79" s="208">
        <v>5</v>
      </c>
      <c r="O79" s="208">
        <v>0.55000000000000004</v>
      </c>
      <c r="P79" s="208">
        <v>0.55000000000000004</v>
      </c>
      <c r="Q79" s="217">
        <f t="shared" si="3"/>
        <v>0.55000000000000004</v>
      </c>
      <c r="R79" s="208">
        <v>12.4</v>
      </c>
      <c r="S79" s="208">
        <v>127</v>
      </c>
      <c r="T79" s="217">
        <f t="shared" si="4"/>
        <v>27</v>
      </c>
      <c r="U79" s="208">
        <v>646</v>
      </c>
      <c r="V79" s="217">
        <f t="shared" si="5"/>
        <v>3488.3999999999996</v>
      </c>
      <c r="W79" s="208">
        <v>5</v>
      </c>
      <c r="X79" s="55" t="s">
        <v>46</v>
      </c>
      <c r="Y79" s="55" t="s">
        <v>64</v>
      </c>
      <c r="Z79" s="208" t="s">
        <v>78</v>
      </c>
      <c r="AA79" s="55" t="s">
        <v>88</v>
      </c>
      <c r="AB79" s="216" t="s">
        <v>346</v>
      </c>
    </row>
    <row r="80" spans="1:28" x14ac:dyDescent="0.15">
      <c r="A80" s="55"/>
      <c r="B80" s="55"/>
      <c r="C80" s="216"/>
      <c r="D80" s="86"/>
      <c r="E80" s="216"/>
      <c r="F80" s="216"/>
      <c r="G80" s="55"/>
      <c r="H80" s="216"/>
      <c r="I80" s="55"/>
      <c r="J80" s="216"/>
      <c r="K80" s="216"/>
      <c r="X80" s="55"/>
      <c r="Y80" s="55"/>
      <c r="AA80" s="55"/>
    </row>
    <row r="81" spans="1:27" x14ac:dyDescent="0.15">
      <c r="A81" s="55"/>
      <c r="B81" s="55"/>
      <c r="C81" s="216"/>
      <c r="D81" s="86"/>
      <c r="E81" s="216"/>
      <c r="F81" s="216"/>
      <c r="G81" s="55"/>
      <c r="H81" s="216"/>
      <c r="I81" s="55"/>
      <c r="J81" s="216"/>
      <c r="K81" s="216"/>
      <c r="X81" s="55"/>
      <c r="Y81" s="55"/>
      <c r="AA81" s="55"/>
    </row>
    <row r="82" spans="1:27" x14ac:dyDescent="0.15">
      <c r="A82" s="55"/>
      <c r="B82" s="55"/>
      <c r="C82" s="216"/>
      <c r="D82" s="86"/>
      <c r="E82" s="216"/>
      <c r="F82" s="216"/>
      <c r="G82" s="55"/>
      <c r="H82" s="216"/>
      <c r="I82" s="55"/>
      <c r="J82" s="216"/>
      <c r="K82" s="216"/>
      <c r="X82" s="55"/>
      <c r="Y82" s="55"/>
      <c r="AA82" s="55"/>
    </row>
    <row r="83" spans="1:27" x14ac:dyDescent="0.15">
      <c r="E83" s="216"/>
      <c r="F83" s="216"/>
      <c r="G83" s="55"/>
      <c r="H83" s="216"/>
      <c r="I83" s="55"/>
      <c r="J83" s="216"/>
      <c r="K83" s="216"/>
      <c r="X83" s="55"/>
      <c r="Y83" s="55"/>
      <c r="AA83" s="55"/>
    </row>
    <row r="84" spans="1:27" x14ac:dyDescent="0.15">
      <c r="E84" s="216"/>
      <c r="F84" s="216"/>
      <c r="G84" s="55"/>
      <c r="H84" s="216"/>
      <c r="I84" s="55"/>
      <c r="J84" s="216"/>
      <c r="K84" s="216"/>
      <c r="X84" s="55"/>
      <c r="Y84" s="55"/>
      <c r="AA84" s="55"/>
    </row>
    <row r="85" spans="1:27" x14ac:dyDescent="0.15">
      <c r="E85" s="216"/>
      <c r="F85" s="216"/>
      <c r="G85" s="55"/>
      <c r="H85" s="216"/>
      <c r="I85" s="55"/>
      <c r="J85" s="216"/>
      <c r="K85" s="216"/>
      <c r="X85" s="55"/>
      <c r="Y85" s="55"/>
      <c r="AA85" s="55"/>
    </row>
    <row r="86" spans="1:27" x14ac:dyDescent="0.15">
      <c r="J86" s="216"/>
      <c r="K86" s="216"/>
    </row>
    <row r="87" spans="1:27" x14ac:dyDescent="0.15">
      <c r="J87" s="216"/>
      <c r="K87" s="216"/>
    </row>
    <row r="88" spans="1:27" x14ac:dyDescent="0.15">
      <c r="J88" s="216"/>
      <c r="K88" s="216"/>
    </row>
    <row r="89" spans="1:27" x14ac:dyDescent="0.15">
      <c r="J89" s="216"/>
      <c r="K89" s="216"/>
    </row>
    <row r="90" spans="1:27" x14ac:dyDescent="0.15">
      <c r="J90" s="216"/>
      <c r="K90" s="216"/>
    </row>
    <row r="91" spans="1:27" x14ac:dyDescent="0.15">
      <c r="J91" s="216"/>
      <c r="K91" s="216"/>
    </row>
    <row r="92" spans="1:27" x14ac:dyDescent="0.15">
      <c r="J92" s="216"/>
      <c r="K92" s="216"/>
    </row>
    <row r="93" spans="1:27" x14ac:dyDescent="0.15">
      <c r="J93" s="216"/>
      <c r="K93" s="216"/>
    </row>
    <row r="94" spans="1:27" x14ac:dyDescent="0.15">
      <c r="J94" s="216"/>
      <c r="K94" s="216"/>
    </row>
    <row r="95" spans="1:27" x14ac:dyDescent="0.15">
      <c r="J95" s="216"/>
      <c r="K95" s="216"/>
    </row>
    <row r="96" spans="1:27" x14ac:dyDescent="0.15">
      <c r="J96" s="216"/>
      <c r="K96" s="216"/>
    </row>
    <row r="97" spans="10:11" x14ac:dyDescent="0.15">
      <c r="J97" s="216"/>
      <c r="K97" s="216"/>
    </row>
    <row r="98" spans="10:11" x14ac:dyDescent="0.15">
      <c r="J98" s="216"/>
      <c r="K98" s="216"/>
    </row>
    <row r="99" spans="10:11" x14ac:dyDescent="0.15">
      <c r="J99" s="216"/>
      <c r="K99" s="216"/>
    </row>
    <row r="100" spans="10:11" x14ac:dyDescent="0.15">
      <c r="J100" s="216"/>
      <c r="K100" s="216"/>
    </row>
    <row r="101" spans="10:11" x14ac:dyDescent="0.15">
      <c r="K101" s="216"/>
    </row>
    <row r="102" spans="10:11" x14ac:dyDescent="0.15">
      <c r="K102" s="216"/>
    </row>
    <row r="103" spans="10:11" x14ac:dyDescent="0.15">
      <c r="K103" s="216"/>
    </row>
    <row r="104" spans="10:11" x14ac:dyDescent="0.15">
      <c r="K104" s="216"/>
    </row>
    <row r="105" spans="10:11" x14ac:dyDescent="0.15">
      <c r="K105" s="216"/>
    </row>
    <row r="106" spans="10:11" x14ac:dyDescent="0.15">
      <c r="K106" s="216"/>
    </row>
    <row r="107" spans="10:11" x14ac:dyDescent="0.15">
      <c r="K107" s="216"/>
    </row>
    <row r="108" spans="10:11" x14ac:dyDescent="0.15">
      <c r="K108" s="216"/>
    </row>
    <row r="109" spans="10:11" x14ac:dyDescent="0.15">
      <c r="K109" s="216"/>
    </row>
    <row r="110" spans="10:11" x14ac:dyDescent="0.15">
      <c r="K110" s="216"/>
    </row>
    <row r="111" spans="10:11" x14ac:dyDescent="0.15">
      <c r="K111" s="216"/>
    </row>
    <row r="112" spans="10:11" x14ac:dyDescent="0.15">
      <c r="K112" s="216"/>
    </row>
    <row r="113" spans="11:11" x14ac:dyDescent="0.15">
      <c r="K113" s="216"/>
    </row>
    <row r="114" spans="11:11" x14ac:dyDescent="0.15">
      <c r="K114" s="216"/>
    </row>
    <row r="115" spans="11:11" x14ac:dyDescent="0.15">
      <c r="K115" s="216"/>
    </row>
    <row r="116" spans="11:11" x14ac:dyDescent="0.15">
      <c r="K116" s="216"/>
    </row>
    <row r="117" spans="11:11" x14ac:dyDescent="0.15">
      <c r="K117" s="216"/>
    </row>
    <row r="118" spans="11:11" x14ac:dyDescent="0.15">
      <c r="K118" s="216"/>
    </row>
    <row r="119" spans="11:11" x14ac:dyDescent="0.15">
      <c r="K119" s="216"/>
    </row>
    <row r="120" spans="11:11" x14ac:dyDescent="0.15">
      <c r="K120" s="216"/>
    </row>
    <row r="121" spans="11:11" x14ac:dyDescent="0.15">
      <c r="K121" s="216"/>
    </row>
    <row r="122" spans="11:11" x14ac:dyDescent="0.15">
      <c r="K122" s="216"/>
    </row>
    <row r="123" spans="11:11" x14ac:dyDescent="0.15">
      <c r="K123" s="216"/>
    </row>
    <row r="124" spans="11:11" x14ac:dyDescent="0.15">
      <c r="K124" s="216"/>
    </row>
    <row r="125" spans="11:11" x14ac:dyDescent="0.15">
      <c r="K125" s="216"/>
    </row>
    <row r="126" spans="11:11" x14ac:dyDescent="0.15">
      <c r="K126" s="216"/>
    </row>
    <row r="127" spans="11:11" x14ac:dyDescent="0.15">
      <c r="K127" s="216"/>
    </row>
    <row r="128" spans="11:11" x14ac:dyDescent="0.15">
      <c r="K128" s="216"/>
    </row>
    <row r="129" spans="11:11" x14ac:dyDescent="0.15">
      <c r="K129" s="216"/>
    </row>
    <row r="130" spans="11:11" x14ac:dyDescent="0.15">
      <c r="K130" s="216"/>
    </row>
    <row r="131" spans="11:11" x14ac:dyDescent="0.15">
      <c r="K131" s="216"/>
    </row>
    <row r="132" spans="11:11" x14ac:dyDescent="0.15">
      <c r="K132" s="216"/>
    </row>
    <row r="133" spans="11:11" x14ac:dyDescent="0.15">
      <c r="K133" s="216"/>
    </row>
    <row r="134" spans="11:11" x14ac:dyDescent="0.15">
      <c r="K134" s="216"/>
    </row>
    <row r="135" spans="11:11" x14ac:dyDescent="0.15">
      <c r="K135" s="216"/>
    </row>
    <row r="136" spans="11:11" x14ac:dyDescent="0.15">
      <c r="K136" s="216"/>
    </row>
    <row r="137" spans="11:11" x14ac:dyDescent="0.15">
      <c r="K137" s="216"/>
    </row>
    <row r="138" spans="11:11" x14ac:dyDescent="0.15">
      <c r="K138" s="216"/>
    </row>
    <row r="139" spans="11:11" x14ac:dyDescent="0.15">
      <c r="K139" s="216"/>
    </row>
    <row r="140" spans="11:11" x14ac:dyDescent="0.15">
      <c r="K140" s="216"/>
    </row>
    <row r="141" spans="11:11" x14ac:dyDescent="0.15">
      <c r="K141" s="216"/>
    </row>
    <row r="142" spans="11:11" x14ac:dyDescent="0.15">
      <c r="K142" s="216"/>
    </row>
    <row r="143" spans="11:11" x14ac:dyDescent="0.15">
      <c r="K143" s="216"/>
    </row>
    <row r="144" spans="11:11" x14ac:dyDescent="0.15">
      <c r="K144" s="216"/>
    </row>
    <row r="145" spans="11:11" x14ac:dyDescent="0.15">
      <c r="K145" s="216"/>
    </row>
    <row r="146" spans="11:11" x14ac:dyDescent="0.15">
      <c r="K146" s="216"/>
    </row>
    <row r="147" spans="11:11" x14ac:dyDescent="0.15">
      <c r="K147" s="216"/>
    </row>
    <row r="148" spans="11:11" x14ac:dyDescent="0.15">
      <c r="K148" s="216"/>
    </row>
    <row r="149" spans="11:11" x14ac:dyDescent="0.15">
      <c r="K149" s="216"/>
    </row>
    <row r="150" spans="11:11" x14ac:dyDescent="0.15">
      <c r="K150" s="216"/>
    </row>
    <row r="151" spans="11:11" x14ac:dyDescent="0.15">
      <c r="K151" s="216"/>
    </row>
    <row r="152" spans="11:11" x14ac:dyDescent="0.15">
      <c r="K152" s="216"/>
    </row>
    <row r="153" spans="11:11" x14ac:dyDescent="0.15">
      <c r="K153" s="216"/>
    </row>
    <row r="154" spans="11:11" x14ac:dyDescent="0.15">
      <c r="K154" s="216"/>
    </row>
    <row r="155" spans="11:11" x14ac:dyDescent="0.15">
      <c r="K155" s="216"/>
    </row>
    <row r="156" spans="11:11" x14ac:dyDescent="0.15">
      <c r="K156" s="216"/>
    </row>
    <row r="157" spans="11:11" x14ac:dyDescent="0.15">
      <c r="K157" s="216"/>
    </row>
    <row r="158" spans="11:11" x14ac:dyDescent="0.15">
      <c r="K158" s="216"/>
    </row>
    <row r="159" spans="11:11" x14ac:dyDescent="0.15">
      <c r="K159" s="216"/>
    </row>
    <row r="160" spans="11:11" x14ac:dyDescent="0.15">
      <c r="K160" s="216"/>
    </row>
    <row r="161" spans="11:11" x14ac:dyDescent="0.15">
      <c r="K161" s="216"/>
    </row>
    <row r="162" spans="11:11" x14ac:dyDescent="0.15">
      <c r="K162" s="216"/>
    </row>
    <row r="163" spans="11:11" x14ac:dyDescent="0.15">
      <c r="K163" s="216"/>
    </row>
    <row r="164" spans="11:11" x14ac:dyDescent="0.15">
      <c r="K164" s="216"/>
    </row>
    <row r="165" spans="11:11" x14ac:dyDescent="0.15">
      <c r="K165" s="216"/>
    </row>
    <row r="166" spans="11:11" x14ac:dyDescent="0.15">
      <c r="K166" s="216"/>
    </row>
    <row r="167" spans="11:11" x14ac:dyDescent="0.15">
      <c r="K167" s="216"/>
    </row>
    <row r="168" spans="11:11" x14ac:dyDescent="0.15">
      <c r="K168" s="216"/>
    </row>
    <row r="169" spans="11:11" x14ac:dyDescent="0.15">
      <c r="K169" s="216"/>
    </row>
    <row r="170" spans="11:11" x14ac:dyDescent="0.15">
      <c r="K170" s="216"/>
    </row>
    <row r="171" spans="11:11" x14ac:dyDescent="0.15">
      <c r="K171" s="216"/>
    </row>
    <row r="172" spans="11:11" x14ac:dyDescent="0.15">
      <c r="K172" s="216"/>
    </row>
    <row r="173" spans="11:11" x14ac:dyDescent="0.15">
      <c r="K173" s="216"/>
    </row>
    <row r="174" spans="11:11" x14ac:dyDescent="0.15">
      <c r="K174" s="216"/>
    </row>
    <row r="175" spans="11:11" x14ac:dyDescent="0.15">
      <c r="K175" s="216"/>
    </row>
    <row r="176" spans="11:11" x14ac:dyDescent="0.15">
      <c r="K176" s="216"/>
    </row>
    <row r="177" spans="11:11" x14ac:dyDescent="0.15">
      <c r="K177" s="216"/>
    </row>
    <row r="178" spans="11:11" x14ac:dyDescent="0.15">
      <c r="K178" s="216"/>
    </row>
    <row r="179" spans="11:11" x14ac:dyDescent="0.15">
      <c r="K179" s="216"/>
    </row>
    <row r="180" spans="11:11" x14ac:dyDescent="0.15">
      <c r="K180" s="216"/>
    </row>
    <row r="181" spans="11:11" x14ac:dyDescent="0.15">
      <c r="K181" s="216"/>
    </row>
    <row r="182" spans="11:11" x14ac:dyDescent="0.15">
      <c r="K182" s="216"/>
    </row>
    <row r="183" spans="11:11" x14ac:dyDescent="0.15">
      <c r="K183" s="216"/>
    </row>
    <row r="184" spans="11:11" x14ac:dyDescent="0.15">
      <c r="K184" s="216"/>
    </row>
    <row r="185" spans="11:11" x14ac:dyDescent="0.15">
      <c r="K185" s="216"/>
    </row>
    <row r="186" spans="11:11" x14ac:dyDescent="0.15">
      <c r="K186" s="216"/>
    </row>
    <row r="187" spans="11:11" x14ac:dyDescent="0.15">
      <c r="K187" s="216"/>
    </row>
    <row r="188" spans="11:11" x14ac:dyDescent="0.15">
      <c r="K188" s="216"/>
    </row>
    <row r="189" spans="11:11" x14ac:dyDescent="0.15">
      <c r="K189" s="216"/>
    </row>
    <row r="190" spans="11:11" x14ac:dyDescent="0.15">
      <c r="K190" s="216"/>
    </row>
    <row r="191" spans="11:11" x14ac:dyDescent="0.15">
      <c r="K191" s="216"/>
    </row>
    <row r="192" spans="11:11" x14ac:dyDescent="0.15">
      <c r="K192" s="216"/>
    </row>
    <row r="193" spans="11:11" x14ac:dyDescent="0.15">
      <c r="K193" s="216"/>
    </row>
    <row r="194" spans="11:11" x14ac:dyDescent="0.15">
      <c r="K194" s="216"/>
    </row>
    <row r="195" spans="11:11" x14ac:dyDescent="0.15">
      <c r="K195" s="216"/>
    </row>
    <row r="196" spans="11:11" x14ac:dyDescent="0.15">
      <c r="K196" s="216"/>
    </row>
    <row r="197" spans="11:11" x14ac:dyDescent="0.15">
      <c r="K197" s="216"/>
    </row>
    <row r="198" spans="11:11" x14ac:dyDescent="0.15">
      <c r="K198" s="216"/>
    </row>
    <row r="199" spans="11:11" x14ac:dyDescent="0.15">
      <c r="K199" s="216"/>
    </row>
    <row r="200" spans="11:11" x14ac:dyDescent="0.15">
      <c r="K200" s="216"/>
    </row>
    <row r="201" spans="11:11" x14ac:dyDescent="0.15">
      <c r="K201" s="216"/>
    </row>
    <row r="202" spans="11:11" x14ac:dyDescent="0.15">
      <c r="K202" s="216"/>
    </row>
    <row r="203" spans="11:11" x14ac:dyDescent="0.15">
      <c r="K203" s="216"/>
    </row>
    <row r="204" spans="11:11" x14ac:dyDescent="0.15">
      <c r="K204" s="216"/>
    </row>
    <row r="205" spans="11:11" x14ac:dyDescent="0.15">
      <c r="K205" s="216"/>
    </row>
    <row r="206" spans="11:11" x14ac:dyDescent="0.15">
      <c r="K206" s="216"/>
    </row>
    <row r="207" spans="11:11" x14ac:dyDescent="0.15">
      <c r="K207" s="216"/>
    </row>
    <row r="208" spans="11:11" x14ac:dyDescent="0.15">
      <c r="K208" s="216"/>
    </row>
    <row r="209" spans="11:11" x14ac:dyDescent="0.15">
      <c r="K209" s="216"/>
    </row>
    <row r="210" spans="11:11" x14ac:dyDescent="0.15">
      <c r="K210" s="216"/>
    </row>
    <row r="211" spans="11:11" x14ac:dyDescent="0.15">
      <c r="K211" s="216"/>
    </row>
    <row r="212" spans="11:11" x14ac:dyDescent="0.15">
      <c r="K212" s="216"/>
    </row>
    <row r="213" spans="11:11" x14ac:dyDescent="0.15">
      <c r="K213" s="216"/>
    </row>
    <row r="214" spans="11:11" x14ac:dyDescent="0.15">
      <c r="K214" s="216"/>
    </row>
    <row r="215" spans="11:11" x14ac:dyDescent="0.15">
      <c r="K215" s="216"/>
    </row>
    <row r="216" spans="11:11" x14ac:dyDescent="0.15">
      <c r="K216" s="216"/>
    </row>
    <row r="217" spans="11:11" x14ac:dyDescent="0.15">
      <c r="K217" s="216"/>
    </row>
    <row r="218" spans="11:11" x14ac:dyDescent="0.15">
      <c r="K218" s="216"/>
    </row>
    <row r="219" spans="11:11" x14ac:dyDescent="0.15">
      <c r="K219" s="216"/>
    </row>
    <row r="220" spans="11:11" x14ac:dyDescent="0.15">
      <c r="K220" s="216"/>
    </row>
    <row r="221" spans="11:11" x14ac:dyDescent="0.15">
      <c r="K221" s="216"/>
    </row>
    <row r="222" spans="11:11" x14ac:dyDescent="0.15">
      <c r="K222" s="216"/>
    </row>
    <row r="223" spans="11:11" x14ac:dyDescent="0.15">
      <c r="K223" s="216"/>
    </row>
    <row r="224" spans="11:11" x14ac:dyDescent="0.15">
      <c r="K224" s="216"/>
    </row>
    <row r="225" spans="11:11" x14ac:dyDescent="0.15">
      <c r="K225" s="216"/>
    </row>
    <row r="226" spans="11:11" x14ac:dyDescent="0.15">
      <c r="K226" s="216"/>
    </row>
    <row r="227" spans="11:11" x14ac:dyDescent="0.15">
      <c r="K227" s="216"/>
    </row>
    <row r="228" spans="11:11" x14ac:dyDescent="0.15">
      <c r="K228" s="216"/>
    </row>
    <row r="229" spans="11:11" x14ac:dyDescent="0.15">
      <c r="K229" s="216"/>
    </row>
    <row r="230" spans="11:11" x14ac:dyDescent="0.15">
      <c r="K230" s="216"/>
    </row>
    <row r="231" spans="11:11" x14ac:dyDescent="0.15">
      <c r="K231" s="216"/>
    </row>
    <row r="232" spans="11:11" x14ac:dyDescent="0.15">
      <c r="K232" s="216"/>
    </row>
    <row r="233" spans="11:11" x14ac:dyDescent="0.15">
      <c r="K233" s="216"/>
    </row>
    <row r="234" spans="11:11" x14ac:dyDescent="0.15">
      <c r="K234" s="216"/>
    </row>
    <row r="235" spans="11:11" x14ac:dyDescent="0.15">
      <c r="K235" s="216"/>
    </row>
    <row r="236" spans="11:11" x14ac:dyDescent="0.15">
      <c r="K236" s="216"/>
    </row>
    <row r="237" spans="11:11" x14ac:dyDescent="0.15">
      <c r="K237" s="216"/>
    </row>
    <row r="238" spans="11:11" x14ac:dyDescent="0.15">
      <c r="K238" s="216"/>
    </row>
    <row r="239" spans="11:11" x14ac:dyDescent="0.15">
      <c r="K239" s="216"/>
    </row>
    <row r="240" spans="11:11" x14ac:dyDescent="0.15">
      <c r="K240" s="216"/>
    </row>
    <row r="241" spans="11:11" x14ac:dyDescent="0.15">
      <c r="K241" s="216"/>
    </row>
    <row r="242" spans="11:11" x14ac:dyDescent="0.15">
      <c r="K242" s="216"/>
    </row>
    <row r="243" spans="11:11" x14ac:dyDescent="0.15">
      <c r="K243" s="216"/>
    </row>
    <row r="244" spans="11:11" x14ac:dyDescent="0.15">
      <c r="K244" s="216"/>
    </row>
    <row r="245" spans="11:11" x14ac:dyDescent="0.15">
      <c r="K245" s="216"/>
    </row>
    <row r="246" spans="11:11" x14ac:dyDescent="0.15">
      <c r="K246" s="216"/>
    </row>
    <row r="247" spans="11:11" x14ac:dyDescent="0.15">
      <c r="K247" s="216"/>
    </row>
    <row r="248" spans="11:11" x14ac:dyDescent="0.15">
      <c r="K248" s="216"/>
    </row>
    <row r="249" spans="11:11" x14ac:dyDescent="0.15">
      <c r="K249" s="216"/>
    </row>
    <row r="250" spans="11:11" x14ac:dyDescent="0.15">
      <c r="K250" s="216"/>
    </row>
    <row r="251" spans="11:11" x14ac:dyDescent="0.15">
      <c r="K251" s="216"/>
    </row>
    <row r="252" spans="11:11" x14ac:dyDescent="0.15">
      <c r="K252" s="216"/>
    </row>
    <row r="253" spans="11:11" x14ac:dyDescent="0.15">
      <c r="K253" s="216"/>
    </row>
    <row r="254" spans="11:11" x14ac:dyDescent="0.15">
      <c r="K254" s="216"/>
    </row>
    <row r="255" spans="11:11" x14ac:dyDescent="0.15">
      <c r="K255" s="216"/>
    </row>
    <row r="256" spans="11:11" x14ac:dyDescent="0.15">
      <c r="K256" s="216"/>
    </row>
    <row r="257" spans="11:11" x14ac:dyDescent="0.15">
      <c r="K257" s="216"/>
    </row>
    <row r="258" spans="11:11" x14ac:dyDescent="0.15">
      <c r="K258" s="216"/>
    </row>
    <row r="259" spans="11:11" x14ac:dyDescent="0.15">
      <c r="K259" s="216"/>
    </row>
    <row r="260" spans="11:11" x14ac:dyDescent="0.15">
      <c r="K260" s="216"/>
    </row>
    <row r="261" spans="11:11" x14ac:dyDescent="0.15">
      <c r="K261" s="216"/>
    </row>
    <row r="262" spans="11:11" x14ac:dyDescent="0.15">
      <c r="K262" s="216"/>
    </row>
    <row r="263" spans="11:11" x14ac:dyDescent="0.15">
      <c r="K263" s="216"/>
    </row>
    <row r="264" spans="11:11" x14ac:dyDescent="0.15">
      <c r="K264" s="216"/>
    </row>
    <row r="265" spans="11:11" x14ac:dyDescent="0.15">
      <c r="K265" s="216"/>
    </row>
    <row r="266" spans="11:11" x14ac:dyDescent="0.15">
      <c r="K266" s="216"/>
    </row>
    <row r="267" spans="11:11" x14ac:dyDescent="0.15">
      <c r="K267" s="216"/>
    </row>
    <row r="268" spans="11:11" x14ac:dyDescent="0.15">
      <c r="K268" s="216"/>
    </row>
    <row r="269" spans="11:11" x14ac:dyDescent="0.15">
      <c r="K269" s="216"/>
    </row>
    <row r="270" spans="11:11" x14ac:dyDescent="0.15">
      <c r="K270" s="216"/>
    </row>
    <row r="271" spans="11:11" x14ac:dyDescent="0.15">
      <c r="K271" s="216"/>
    </row>
    <row r="272" spans="11:11" x14ac:dyDescent="0.15">
      <c r="K272" s="216"/>
    </row>
    <row r="273" spans="11:11" x14ac:dyDescent="0.15">
      <c r="K273" s="216"/>
    </row>
    <row r="274" spans="11:11" x14ac:dyDescent="0.15">
      <c r="K274" s="216"/>
    </row>
    <row r="275" spans="11:11" x14ac:dyDescent="0.15">
      <c r="K275" s="216"/>
    </row>
    <row r="276" spans="11:11" x14ac:dyDescent="0.15">
      <c r="K276" s="216"/>
    </row>
    <row r="277" spans="11:11" x14ac:dyDescent="0.15">
      <c r="K277" s="216"/>
    </row>
    <row r="278" spans="11:11" x14ac:dyDescent="0.15">
      <c r="K278" s="216"/>
    </row>
    <row r="279" spans="11:11" x14ac:dyDescent="0.15">
      <c r="K279" s="216"/>
    </row>
    <row r="280" spans="11:11" x14ac:dyDescent="0.15">
      <c r="K280" s="216"/>
    </row>
    <row r="281" spans="11:11" x14ac:dyDescent="0.15">
      <c r="K281" s="216"/>
    </row>
    <row r="282" spans="11:11" x14ac:dyDescent="0.15">
      <c r="K282" s="216"/>
    </row>
    <row r="283" spans="11:11" x14ac:dyDescent="0.15">
      <c r="K283" s="216"/>
    </row>
    <row r="284" spans="11:11" x14ac:dyDescent="0.15">
      <c r="K284" s="216"/>
    </row>
    <row r="285" spans="11:11" x14ac:dyDescent="0.15">
      <c r="K285" s="216"/>
    </row>
    <row r="286" spans="11:11" x14ac:dyDescent="0.15">
      <c r="K286" s="216"/>
    </row>
    <row r="287" spans="11:11" x14ac:dyDescent="0.15">
      <c r="K287" s="216"/>
    </row>
    <row r="288" spans="11:11" x14ac:dyDescent="0.15">
      <c r="K288" s="216"/>
    </row>
    <row r="289" spans="11:11" x14ac:dyDescent="0.15">
      <c r="K289" s="216"/>
    </row>
    <row r="290" spans="11:11" x14ac:dyDescent="0.15">
      <c r="K290" s="216"/>
    </row>
    <row r="291" spans="11:11" x14ac:dyDescent="0.15">
      <c r="K291" s="216"/>
    </row>
    <row r="292" spans="11:11" x14ac:dyDescent="0.15">
      <c r="K292" s="216"/>
    </row>
    <row r="293" spans="11:11" x14ac:dyDescent="0.15">
      <c r="K293" s="216"/>
    </row>
    <row r="294" spans="11:11" x14ac:dyDescent="0.15">
      <c r="K294" s="216"/>
    </row>
    <row r="295" spans="11:11" x14ac:dyDescent="0.15">
      <c r="K295" s="216"/>
    </row>
    <row r="296" spans="11:11" x14ac:dyDescent="0.15">
      <c r="K296" s="216"/>
    </row>
    <row r="297" spans="11:11" x14ac:dyDescent="0.15">
      <c r="K297" s="216"/>
    </row>
    <row r="298" spans="11:11" x14ac:dyDescent="0.15">
      <c r="K298" s="216"/>
    </row>
    <row r="299" spans="11:11" x14ac:dyDescent="0.15">
      <c r="K299" s="216"/>
    </row>
    <row r="300" spans="11:11" x14ac:dyDescent="0.15">
      <c r="K300" s="216"/>
    </row>
    <row r="301" spans="11:11" x14ac:dyDescent="0.15">
      <c r="K301" s="216"/>
    </row>
    <row r="302" spans="11:11" x14ac:dyDescent="0.15">
      <c r="K302" s="216"/>
    </row>
    <row r="303" spans="11:11" x14ac:dyDescent="0.15">
      <c r="K303" s="216"/>
    </row>
    <row r="304" spans="11:11" x14ac:dyDescent="0.15">
      <c r="K304" s="216"/>
    </row>
    <row r="305" spans="11:11" x14ac:dyDescent="0.15">
      <c r="K305" s="216"/>
    </row>
    <row r="306" spans="11:11" x14ac:dyDescent="0.15">
      <c r="K306" s="216"/>
    </row>
    <row r="307" spans="11:11" x14ac:dyDescent="0.15">
      <c r="K307" s="216"/>
    </row>
    <row r="308" spans="11:11" x14ac:dyDescent="0.15">
      <c r="K308" s="216"/>
    </row>
    <row r="309" spans="11:11" x14ac:dyDescent="0.15">
      <c r="K309" s="216"/>
    </row>
    <row r="310" spans="11:11" x14ac:dyDescent="0.15">
      <c r="K310" s="216"/>
    </row>
    <row r="311" spans="11:11" x14ac:dyDescent="0.15">
      <c r="K311" s="216"/>
    </row>
    <row r="312" spans="11:11" x14ac:dyDescent="0.15">
      <c r="K312" s="216"/>
    </row>
    <row r="313" spans="11:11" x14ac:dyDescent="0.15">
      <c r="K313" s="216"/>
    </row>
    <row r="314" spans="11:11" x14ac:dyDescent="0.15">
      <c r="K314" s="216"/>
    </row>
    <row r="315" spans="11:11" x14ac:dyDescent="0.15">
      <c r="K315" s="216"/>
    </row>
    <row r="316" spans="11:11" x14ac:dyDescent="0.15">
      <c r="K316" s="216"/>
    </row>
    <row r="317" spans="11:11" x14ac:dyDescent="0.15">
      <c r="K317" s="216"/>
    </row>
    <row r="318" spans="11:11" x14ac:dyDescent="0.15">
      <c r="K318" s="216"/>
    </row>
    <row r="319" spans="11:11" x14ac:dyDescent="0.15">
      <c r="K319" s="216"/>
    </row>
    <row r="320" spans="11:11" x14ac:dyDescent="0.15">
      <c r="K320" s="216"/>
    </row>
    <row r="321" spans="11:11" x14ac:dyDescent="0.15">
      <c r="K321" s="216"/>
    </row>
    <row r="322" spans="11:11" x14ac:dyDescent="0.15">
      <c r="K322" s="216"/>
    </row>
    <row r="323" spans="11:11" x14ac:dyDescent="0.15">
      <c r="K323" s="216"/>
    </row>
    <row r="324" spans="11:11" x14ac:dyDescent="0.15">
      <c r="K324" s="216"/>
    </row>
    <row r="325" spans="11:11" x14ac:dyDescent="0.15">
      <c r="K325" s="216"/>
    </row>
    <row r="326" spans="11:11" x14ac:dyDescent="0.15">
      <c r="K326" s="216"/>
    </row>
    <row r="327" spans="11:11" x14ac:dyDescent="0.15">
      <c r="K327" s="216"/>
    </row>
    <row r="328" spans="11:11" x14ac:dyDescent="0.15">
      <c r="K328" s="216"/>
    </row>
    <row r="329" spans="11:11" x14ac:dyDescent="0.15">
      <c r="K329" s="216"/>
    </row>
    <row r="330" spans="11:11" x14ac:dyDescent="0.15">
      <c r="K330" s="216"/>
    </row>
    <row r="331" spans="11:11" x14ac:dyDescent="0.15">
      <c r="K331" s="216"/>
    </row>
    <row r="332" spans="11:11" x14ac:dyDescent="0.15">
      <c r="K332" s="216"/>
    </row>
    <row r="333" spans="11:11" x14ac:dyDescent="0.15">
      <c r="K333" s="216"/>
    </row>
    <row r="334" spans="11:11" x14ac:dyDescent="0.15">
      <c r="K334" s="216"/>
    </row>
    <row r="335" spans="11:11" x14ac:dyDescent="0.15">
      <c r="K335" s="216"/>
    </row>
    <row r="336" spans="11:11" x14ac:dyDescent="0.15">
      <c r="K336" s="216"/>
    </row>
    <row r="337" spans="11:11" x14ac:dyDescent="0.15">
      <c r="K337" s="216"/>
    </row>
    <row r="338" spans="11:11" x14ac:dyDescent="0.15">
      <c r="K338" s="216"/>
    </row>
    <row r="339" spans="11:11" x14ac:dyDescent="0.15">
      <c r="K339" s="216"/>
    </row>
    <row r="340" spans="11:11" x14ac:dyDescent="0.15">
      <c r="K340" s="216"/>
    </row>
    <row r="341" spans="11:11" x14ac:dyDescent="0.15">
      <c r="K341" s="216"/>
    </row>
    <row r="342" spans="11:11" x14ac:dyDescent="0.15">
      <c r="K342" s="216"/>
    </row>
    <row r="343" spans="11:11" x14ac:dyDescent="0.15">
      <c r="K343" s="216"/>
    </row>
    <row r="344" spans="11:11" x14ac:dyDescent="0.15">
      <c r="K344" s="216"/>
    </row>
    <row r="345" spans="11:11" x14ac:dyDescent="0.15">
      <c r="K345" s="216"/>
    </row>
    <row r="346" spans="11:11" x14ac:dyDescent="0.15">
      <c r="K346" s="216"/>
    </row>
    <row r="347" spans="11:11" x14ac:dyDescent="0.15">
      <c r="K347" s="216"/>
    </row>
    <row r="348" spans="11:11" x14ac:dyDescent="0.15">
      <c r="K348" s="216"/>
    </row>
    <row r="349" spans="11:11" x14ac:dyDescent="0.15">
      <c r="K349" s="216"/>
    </row>
    <row r="350" spans="11:11" x14ac:dyDescent="0.15">
      <c r="K350" s="216"/>
    </row>
    <row r="351" spans="11:11" x14ac:dyDescent="0.15">
      <c r="K351" s="216"/>
    </row>
    <row r="352" spans="11:11" x14ac:dyDescent="0.15">
      <c r="K352" s="216"/>
    </row>
    <row r="353" spans="11:11" x14ac:dyDescent="0.15">
      <c r="K353" s="216"/>
    </row>
    <row r="354" spans="11:11" x14ac:dyDescent="0.15">
      <c r="K354" s="216"/>
    </row>
    <row r="355" spans="11:11" x14ac:dyDescent="0.15">
      <c r="K355" s="216"/>
    </row>
    <row r="356" spans="11:11" x14ac:dyDescent="0.15">
      <c r="K356" s="216"/>
    </row>
    <row r="357" spans="11:11" x14ac:dyDescent="0.15">
      <c r="K357" s="216"/>
    </row>
    <row r="358" spans="11:11" x14ac:dyDescent="0.15">
      <c r="K358" s="216"/>
    </row>
    <row r="359" spans="11:11" x14ac:dyDescent="0.15">
      <c r="K359" s="216"/>
    </row>
    <row r="360" spans="11:11" x14ac:dyDescent="0.15">
      <c r="K360" s="216"/>
    </row>
    <row r="361" spans="11:11" x14ac:dyDescent="0.15">
      <c r="K361" s="216"/>
    </row>
    <row r="362" spans="11:11" x14ac:dyDescent="0.15">
      <c r="K362" s="216"/>
    </row>
    <row r="363" spans="11:11" x14ac:dyDescent="0.15">
      <c r="K363" s="216"/>
    </row>
    <row r="364" spans="11:11" x14ac:dyDescent="0.15">
      <c r="K364" s="216"/>
    </row>
    <row r="365" spans="11:11" x14ac:dyDescent="0.15">
      <c r="K365" s="216"/>
    </row>
    <row r="366" spans="11:11" x14ac:dyDescent="0.15">
      <c r="K366" s="216"/>
    </row>
    <row r="367" spans="11:11" x14ac:dyDescent="0.15">
      <c r="K367" s="216"/>
    </row>
    <row r="368" spans="11:11" x14ac:dyDescent="0.15">
      <c r="K368" s="216"/>
    </row>
    <row r="369" spans="11:11" x14ac:dyDescent="0.15">
      <c r="K369" s="216"/>
    </row>
    <row r="370" spans="11:11" x14ac:dyDescent="0.15">
      <c r="K370" s="216"/>
    </row>
    <row r="371" spans="11:11" x14ac:dyDescent="0.15">
      <c r="K371" s="216"/>
    </row>
    <row r="372" spans="11:11" x14ac:dyDescent="0.15">
      <c r="K372" s="216"/>
    </row>
    <row r="373" spans="11:11" x14ac:dyDescent="0.15">
      <c r="K373" s="216"/>
    </row>
    <row r="374" spans="11:11" x14ac:dyDescent="0.15">
      <c r="K374" s="216"/>
    </row>
    <row r="375" spans="11:11" x14ac:dyDescent="0.15">
      <c r="K375" s="216"/>
    </row>
    <row r="376" spans="11:11" x14ac:dyDescent="0.15">
      <c r="K376" s="216"/>
    </row>
    <row r="377" spans="11:11" x14ac:dyDescent="0.15">
      <c r="K377" s="216"/>
    </row>
    <row r="378" spans="11:11" x14ac:dyDescent="0.15">
      <c r="K378" s="216"/>
    </row>
    <row r="379" spans="11:11" x14ac:dyDescent="0.15">
      <c r="K379" s="216"/>
    </row>
    <row r="380" spans="11:11" x14ac:dyDescent="0.15">
      <c r="K380" s="216"/>
    </row>
    <row r="381" spans="11:11" x14ac:dyDescent="0.15">
      <c r="K381" s="216"/>
    </row>
    <row r="382" spans="11:11" x14ac:dyDescent="0.15">
      <c r="K382" s="216"/>
    </row>
    <row r="383" spans="11:11" x14ac:dyDescent="0.15">
      <c r="K383" s="216"/>
    </row>
    <row r="384" spans="11:11" x14ac:dyDescent="0.15">
      <c r="K384" s="216"/>
    </row>
    <row r="385" spans="11:11" x14ac:dyDescent="0.15">
      <c r="K385" s="216"/>
    </row>
    <row r="386" spans="11:11" x14ac:dyDescent="0.15">
      <c r="K386" s="216"/>
    </row>
    <row r="387" spans="11:11" x14ac:dyDescent="0.15">
      <c r="K387" s="216"/>
    </row>
    <row r="388" spans="11:11" x14ac:dyDescent="0.15">
      <c r="K388" s="216"/>
    </row>
    <row r="389" spans="11:11" x14ac:dyDescent="0.15">
      <c r="K389" s="216"/>
    </row>
    <row r="390" spans="11:11" x14ac:dyDescent="0.15">
      <c r="K390" s="216"/>
    </row>
    <row r="391" spans="11:11" x14ac:dyDescent="0.15">
      <c r="K391" s="216"/>
    </row>
    <row r="392" spans="11:11" x14ac:dyDescent="0.15">
      <c r="K392" s="216"/>
    </row>
    <row r="393" spans="11:11" x14ac:dyDescent="0.15">
      <c r="K393" s="216"/>
    </row>
    <row r="394" spans="11:11" x14ac:dyDescent="0.15">
      <c r="K394" s="216"/>
    </row>
    <row r="395" spans="11:11" x14ac:dyDescent="0.15">
      <c r="K395" s="216"/>
    </row>
    <row r="396" spans="11:11" x14ac:dyDescent="0.15">
      <c r="K396" s="216"/>
    </row>
    <row r="397" spans="11:11" x14ac:dyDescent="0.15">
      <c r="K397" s="216"/>
    </row>
    <row r="398" spans="11:11" x14ac:dyDescent="0.15">
      <c r="K398" s="216"/>
    </row>
    <row r="399" spans="11:11" x14ac:dyDescent="0.15">
      <c r="K399" s="216"/>
    </row>
    <row r="400" spans="11:11" x14ac:dyDescent="0.15">
      <c r="K400" s="216"/>
    </row>
    <row r="401" spans="11:11" x14ac:dyDescent="0.15">
      <c r="K401" s="216"/>
    </row>
    <row r="402" spans="11:11" x14ac:dyDescent="0.15">
      <c r="K402" s="216"/>
    </row>
    <row r="403" spans="11:11" x14ac:dyDescent="0.15">
      <c r="K403" s="216"/>
    </row>
    <row r="404" spans="11:11" x14ac:dyDescent="0.15">
      <c r="K404" s="216"/>
    </row>
    <row r="405" spans="11:11" x14ac:dyDescent="0.15">
      <c r="K405" s="216"/>
    </row>
    <row r="406" spans="11:11" x14ac:dyDescent="0.15">
      <c r="K406" s="216"/>
    </row>
    <row r="407" spans="11:11" x14ac:dyDescent="0.15">
      <c r="K407" s="216"/>
    </row>
    <row r="408" spans="11:11" x14ac:dyDescent="0.15">
      <c r="K408" s="216"/>
    </row>
    <row r="409" spans="11:11" x14ac:dyDescent="0.15">
      <c r="K409" s="216"/>
    </row>
    <row r="410" spans="11:11" x14ac:dyDescent="0.15">
      <c r="K410" s="216"/>
    </row>
    <row r="411" spans="11:11" x14ac:dyDescent="0.15">
      <c r="K411" s="216"/>
    </row>
    <row r="412" spans="11:11" x14ac:dyDescent="0.15">
      <c r="K412" s="216"/>
    </row>
    <row r="413" spans="11:11" x14ac:dyDescent="0.15">
      <c r="K413" s="216"/>
    </row>
    <row r="414" spans="11:11" x14ac:dyDescent="0.15">
      <c r="K414" s="216"/>
    </row>
    <row r="415" spans="11:11" x14ac:dyDescent="0.15">
      <c r="K415" s="216"/>
    </row>
    <row r="416" spans="11:11" x14ac:dyDescent="0.15">
      <c r="K416" s="216"/>
    </row>
    <row r="417" spans="11:11" x14ac:dyDescent="0.15">
      <c r="K417" s="216"/>
    </row>
    <row r="418" spans="11:11" x14ac:dyDescent="0.15">
      <c r="K418" s="216"/>
    </row>
    <row r="419" spans="11:11" x14ac:dyDescent="0.15">
      <c r="K419" s="216"/>
    </row>
    <row r="420" spans="11:11" x14ac:dyDescent="0.15">
      <c r="K420" s="216"/>
    </row>
    <row r="421" spans="11:11" x14ac:dyDescent="0.15">
      <c r="K421" s="216"/>
    </row>
    <row r="422" spans="11:11" x14ac:dyDescent="0.15">
      <c r="K422" s="216"/>
    </row>
    <row r="423" spans="11:11" x14ac:dyDescent="0.15">
      <c r="K423" s="216"/>
    </row>
    <row r="424" spans="11:11" x14ac:dyDescent="0.15">
      <c r="K424" s="216"/>
    </row>
    <row r="425" spans="11:11" x14ac:dyDescent="0.15">
      <c r="K425" s="216"/>
    </row>
    <row r="426" spans="11:11" x14ac:dyDescent="0.15">
      <c r="K426" s="216"/>
    </row>
    <row r="427" spans="11:11" x14ac:dyDescent="0.15">
      <c r="K427" s="216"/>
    </row>
    <row r="428" spans="11:11" x14ac:dyDescent="0.15">
      <c r="K428" s="216"/>
    </row>
    <row r="429" spans="11:11" x14ac:dyDescent="0.15">
      <c r="K429" s="216"/>
    </row>
    <row r="430" spans="11:11" x14ac:dyDescent="0.15">
      <c r="K430" s="216"/>
    </row>
    <row r="431" spans="11:11" x14ac:dyDescent="0.15">
      <c r="K431" s="216"/>
    </row>
    <row r="432" spans="11:11" x14ac:dyDescent="0.15">
      <c r="K432" s="216"/>
    </row>
    <row r="433" spans="11:11" x14ac:dyDescent="0.15">
      <c r="K433" s="216"/>
    </row>
    <row r="434" spans="11:11" x14ac:dyDescent="0.15">
      <c r="K434" s="216"/>
    </row>
    <row r="435" spans="11:11" x14ac:dyDescent="0.15">
      <c r="K435" s="216"/>
    </row>
    <row r="436" spans="11:11" x14ac:dyDescent="0.15">
      <c r="K436" s="216"/>
    </row>
    <row r="437" spans="11:11" x14ac:dyDescent="0.15">
      <c r="K437" s="216"/>
    </row>
    <row r="438" spans="11:11" x14ac:dyDescent="0.15">
      <c r="K438" s="216"/>
    </row>
    <row r="439" spans="11:11" x14ac:dyDescent="0.15">
      <c r="K439" s="216"/>
    </row>
    <row r="440" spans="11:11" x14ac:dyDescent="0.15">
      <c r="K440" s="216"/>
    </row>
    <row r="441" spans="11:11" x14ac:dyDescent="0.15">
      <c r="K441" s="216"/>
    </row>
    <row r="442" spans="11:11" x14ac:dyDescent="0.15">
      <c r="K442" s="216"/>
    </row>
    <row r="443" spans="11:11" x14ac:dyDescent="0.15">
      <c r="K443" s="216"/>
    </row>
    <row r="444" spans="11:11" x14ac:dyDescent="0.15">
      <c r="K444" s="216"/>
    </row>
    <row r="445" spans="11:11" x14ac:dyDescent="0.15">
      <c r="K445" s="216"/>
    </row>
    <row r="446" spans="11:11" x14ac:dyDescent="0.15">
      <c r="K446" s="216"/>
    </row>
    <row r="447" spans="11:11" x14ac:dyDescent="0.15">
      <c r="K447" s="216"/>
    </row>
    <row r="448" spans="11:11" x14ac:dyDescent="0.15">
      <c r="K448" s="216"/>
    </row>
    <row r="449" spans="11:11" x14ac:dyDescent="0.15">
      <c r="K449" s="216"/>
    </row>
    <row r="450" spans="11:11" x14ac:dyDescent="0.15">
      <c r="K450" s="216"/>
    </row>
  </sheetData>
  <autoFilter ref="A1:BA52"/>
  <phoneticPr fontId="3"/>
  <dataValidations count="18">
    <dataValidation type="list" allowBlank="1" showInputMessage="1" showErrorMessage="1" sqref="K2:K450">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2:P500">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29"/>
  <sheetViews>
    <sheetView zoomScale="70" zoomScaleNormal="70" workbookViewId="0">
      <selection activeCell="L31" sqref="L31"/>
    </sheetView>
  </sheetViews>
  <sheetFormatPr defaultColWidth="9" defaultRowHeight="13.5" x14ac:dyDescent="0.15"/>
  <cols>
    <col min="1" max="3" width="9" style="98"/>
    <col min="4" max="4" width="10.5" style="98" customWidth="1"/>
    <col min="5" max="16" width="9" style="98"/>
    <col min="17" max="17" width="9" style="132"/>
    <col min="18" max="18" width="9" style="98"/>
    <col min="19" max="19" width="9.5" style="98" customWidth="1"/>
    <col min="20" max="20" width="9" style="132"/>
    <col min="21" max="21" width="9" style="98"/>
    <col min="22" max="22" width="9" style="132"/>
    <col min="23" max="23" width="10.5" style="98" customWidth="1"/>
    <col min="24" max="32" width="9" style="98"/>
    <col min="33" max="33" width="19.625" style="98" customWidth="1"/>
    <col min="34" max="34" width="9.375" style="98" customWidth="1"/>
    <col min="35" max="259" width="9" style="98"/>
    <col min="260" max="260" width="10.5" style="98" customWidth="1"/>
    <col min="261" max="274" width="9" style="98"/>
    <col min="275" max="275" width="9.5" style="98" customWidth="1"/>
    <col min="276" max="278" width="9" style="98"/>
    <col min="279" max="279" width="10.5" style="98" customWidth="1"/>
    <col min="280" max="515" width="9" style="98"/>
    <col min="516" max="516" width="10.5" style="98" customWidth="1"/>
    <col min="517" max="530" width="9" style="98"/>
    <col min="531" max="531" width="9.5" style="98" customWidth="1"/>
    <col min="532" max="534" width="9" style="98"/>
    <col min="535" max="535" width="10.5" style="98" customWidth="1"/>
    <col min="536" max="771" width="9" style="98"/>
    <col min="772" max="772" width="10.5" style="98" customWidth="1"/>
    <col min="773" max="786" width="9" style="98"/>
    <col min="787" max="787" width="9.5" style="98" customWidth="1"/>
    <col min="788" max="790" width="9" style="98"/>
    <col min="791" max="791" width="10.5" style="98" customWidth="1"/>
    <col min="792" max="1027" width="9" style="98"/>
    <col min="1028" max="1028" width="10.5" style="98" customWidth="1"/>
    <col min="1029" max="1042" width="9" style="98"/>
    <col min="1043" max="1043" width="9.5" style="98" customWidth="1"/>
    <col min="1044" max="1046" width="9" style="98"/>
    <col min="1047" max="1047" width="10.5" style="98" customWidth="1"/>
    <col min="1048" max="1283" width="9" style="98"/>
    <col min="1284" max="1284" width="10.5" style="98" customWidth="1"/>
    <col min="1285" max="1298" width="9" style="98"/>
    <col min="1299" max="1299" width="9.5" style="98" customWidth="1"/>
    <col min="1300" max="1302" width="9" style="98"/>
    <col min="1303" max="1303" width="10.5" style="98" customWidth="1"/>
    <col min="1304" max="1539" width="9" style="98"/>
    <col min="1540" max="1540" width="10.5" style="98" customWidth="1"/>
    <col min="1541" max="1554" width="9" style="98"/>
    <col min="1555" max="1555" width="9.5" style="98" customWidth="1"/>
    <col min="1556" max="1558" width="9" style="98"/>
    <col min="1559" max="1559" width="10.5" style="98" customWidth="1"/>
    <col min="1560" max="1795" width="9" style="98"/>
    <col min="1796" max="1796" width="10.5" style="98" customWidth="1"/>
    <col min="1797" max="1810" width="9" style="98"/>
    <col min="1811" max="1811" width="9.5" style="98" customWidth="1"/>
    <col min="1812" max="1814" width="9" style="98"/>
    <col min="1815" max="1815" width="10.5" style="98" customWidth="1"/>
    <col min="1816" max="2051" width="9" style="98"/>
    <col min="2052" max="2052" width="10.5" style="98" customWidth="1"/>
    <col min="2053" max="2066" width="9" style="98"/>
    <col min="2067" max="2067" width="9.5" style="98" customWidth="1"/>
    <col min="2068" max="2070" width="9" style="98"/>
    <col min="2071" max="2071" width="10.5" style="98" customWidth="1"/>
    <col min="2072" max="2307" width="9" style="98"/>
    <col min="2308" max="2308" width="10.5" style="98" customWidth="1"/>
    <col min="2309" max="2322" width="9" style="98"/>
    <col min="2323" max="2323" width="9.5" style="98" customWidth="1"/>
    <col min="2324" max="2326" width="9" style="98"/>
    <col min="2327" max="2327" width="10.5" style="98" customWidth="1"/>
    <col min="2328" max="2563" width="9" style="98"/>
    <col min="2564" max="2564" width="10.5" style="98" customWidth="1"/>
    <col min="2565" max="2578" width="9" style="98"/>
    <col min="2579" max="2579" width="9.5" style="98" customWidth="1"/>
    <col min="2580" max="2582" width="9" style="98"/>
    <col min="2583" max="2583" width="10.5" style="98" customWidth="1"/>
    <col min="2584" max="2819" width="9" style="98"/>
    <col min="2820" max="2820" width="10.5" style="98" customWidth="1"/>
    <col min="2821" max="2834" width="9" style="98"/>
    <col min="2835" max="2835" width="9.5" style="98" customWidth="1"/>
    <col min="2836" max="2838" width="9" style="98"/>
    <col min="2839" max="2839" width="10.5" style="98" customWidth="1"/>
    <col min="2840" max="3075" width="9" style="98"/>
    <col min="3076" max="3076" width="10.5" style="98" customWidth="1"/>
    <col min="3077" max="3090" width="9" style="98"/>
    <col min="3091" max="3091" width="9.5" style="98" customWidth="1"/>
    <col min="3092" max="3094" width="9" style="98"/>
    <col min="3095" max="3095" width="10.5" style="98" customWidth="1"/>
    <col min="3096" max="3331" width="9" style="98"/>
    <col min="3332" max="3332" width="10.5" style="98" customWidth="1"/>
    <col min="3333" max="3346" width="9" style="98"/>
    <col min="3347" max="3347" width="9.5" style="98" customWidth="1"/>
    <col min="3348" max="3350" width="9" style="98"/>
    <col min="3351" max="3351" width="10.5" style="98" customWidth="1"/>
    <col min="3352" max="3587" width="9" style="98"/>
    <col min="3588" max="3588" width="10.5" style="98" customWidth="1"/>
    <col min="3589" max="3602" width="9" style="98"/>
    <col min="3603" max="3603" width="9.5" style="98" customWidth="1"/>
    <col min="3604" max="3606" width="9" style="98"/>
    <col min="3607" max="3607" width="10.5" style="98" customWidth="1"/>
    <col min="3608" max="3843" width="9" style="98"/>
    <col min="3844" max="3844" width="10.5" style="98" customWidth="1"/>
    <col min="3845" max="3858" width="9" style="98"/>
    <col min="3859" max="3859" width="9.5" style="98" customWidth="1"/>
    <col min="3860" max="3862" width="9" style="98"/>
    <col min="3863" max="3863" width="10.5" style="98" customWidth="1"/>
    <col min="3864" max="4099" width="9" style="98"/>
    <col min="4100" max="4100" width="10.5" style="98" customWidth="1"/>
    <col min="4101" max="4114" width="9" style="98"/>
    <col min="4115" max="4115" width="9.5" style="98" customWidth="1"/>
    <col min="4116" max="4118" width="9" style="98"/>
    <col min="4119" max="4119" width="10.5" style="98" customWidth="1"/>
    <col min="4120" max="4355" width="9" style="98"/>
    <col min="4356" max="4356" width="10.5" style="98" customWidth="1"/>
    <col min="4357" max="4370" width="9" style="98"/>
    <col min="4371" max="4371" width="9.5" style="98" customWidth="1"/>
    <col min="4372" max="4374" width="9" style="98"/>
    <col min="4375" max="4375" width="10.5" style="98" customWidth="1"/>
    <col min="4376" max="4611" width="9" style="98"/>
    <col min="4612" max="4612" width="10.5" style="98" customWidth="1"/>
    <col min="4613" max="4626" width="9" style="98"/>
    <col min="4627" max="4627" width="9.5" style="98" customWidth="1"/>
    <col min="4628" max="4630" width="9" style="98"/>
    <col min="4631" max="4631" width="10.5" style="98" customWidth="1"/>
    <col min="4632" max="4867" width="9" style="98"/>
    <col min="4868" max="4868" width="10.5" style="98" customWidth="1"/>
    <col min="4869" max="4882" width="9" style="98"/>
    <col min="4883" max="4883" width="9.5" style="98" customWidth="1"/>
    <col min="4884" max="4886" width="9" style="98"/>
    <col min="4887" max="4887" width="10.5" style="98" customWidth="1"/>
    <col min="4888" max="5123" width="9" style="98"/>
    <col min="5124" max="5124" width="10.5" style="98" customWidth="1"/>
    <col min="5125" max="5138" width="9" style="98"/>
    <col min="5139" max="5139" width="9.5" style="98" customWidth="1"/>
    <col min="5140" max="5142" width="9" style="98"/>
    <col min="5143" max="5143" width="10.5" style="98" customWidth="1"/>
    <col min="5144" max="5379" width="9" style="98"/>
    <col min="5380" max="5380" width="10.5" style="98" customWidth="1"/>
    <col min="5381" max="5394" width="9" style="98"/>
    <col min="5395" max="5395" width="9.5" style="98" customWidth="1"/>
    <col min="5396" max="5398" width="9" style="98"/>
    <col min="5399" max="5399" width="10.5" style="98" customWidth="1"/>
    <col min="5400" max="5635" width="9" style="98"/>
    <col min="5636" max="5636" width="10.5" style="98" customWidth="1"/>
    <col min="5637" max="5650" width="9" style="98"/>
    <col min="5651" max="5651" width="9.5" style="98" customWidth="1"/>
    <col min="5652" max="5654" width="9" style="98"/>
    <col min="5655" max="5655" width="10.5" style="98" customWidth="1"/>
    <col min="5656" max="5891" width="9" style="98"/>
    <col min="5892" max="5892" width="10.5" style="98" customWidth="1"/>
    <col min="5893" max="5906" width="9" style="98"/>
    <col min="5907" max="5907" width="9.5" style="98" customWidth="1"/>
    <col min="5908" max="5910" width="9" style="98"/>
    <col min="5911" max="5911" width="10.5" style="98" customWidth="1"/>
    <col min="5912" max="6147" width="9" style="98"/>
    <col min="6148" max="6148" width="10.5" style="98" customWidth="1"/>
    <col min="6149" max="6162" width="9" style="98"/>
    <col min="6163" max="6163" width="9.5" style="98" customWidth="1"/>
    <col min="6164" max="6166" width="9" style="98"/>
    <col min="6167" max="6167" width="10.5" style="98" customWidth="1"/>
    <col min="6168" max="6403" width="9" style="98"/>
    <col min="6404" max="6404" width="10.5" style="98" customWidth="1"/>
    <col min="6405" max="6418" width="9" style="98"/>
    <col min="6419" max="6419" width="9.5" style="98" customWidth="1"/>
    <col min="6420" max="6422" width="9" style="98"/>
    <col min="6423" max="6423" width="10.5" style="98" customWidth="1"/>
    <col min="6424" max="6659" width="9" style="98"/>
    <col min="6660" max="6660" width="10.5" style="98" customWidth="1"/>
    <col min="6661" max="6674" width="9" style="98"/>
    <col min="6675" max="6675" width="9.5" style="98" customWidth="1"/>
    <col min="6676" max="6678" width="9" style="98"/>
    <col min="6679" max="6679" width="10.5" style="98" customWidth="1"/>
    <col min="6680" max="6915" width="9" style="98"/>
    <col min="6916" max="6916" width="10.5" style="98" customWidth="1"/>
    <col min="6917" max="6930" width="9" style="98"/>
    <col min="6931" max="6931" width="9.5" style="98" customWidth="1"/>
    <col min="6932" max="6934" width="9" style="98"/>
    <col min="6935" max="6935" width="10.5" style="98" customWidth="1"/>
    <col min="6936" max="7171" width="9" style="98"/>
    <col min="7172" max="7172" width="10.5" style="98" customWidth="1"/>
    <col min="7173" max="7186" width="9" style="98"/>
    <col min="7187" max="7187" width="9.5" style="98" customWidth="1"/>
    <col min="7188" max="7190" width="9" style="98"/>
    <col min="7191" max="7191" width="10.5" style="98" customWidth="1"/>
    <col min="7192" max="7427" width="9" style="98"/>
    <col min="7428" max="7428" width="10.5" style="98" customWidth="1"/>
    <col min="7429" max="7442" width="9" style="98"/>
    <col min="7443" max="7443" width="9.5" style="98" customWidth="1"/>
    <col min="7444" max="7446" width="9" style="98"/>
    <col min="7447" max="7447" width="10.5" style="98" customWidth="1"/>
    <col min="7448" max="7683" width="9" style="98"/>
    <col min="7684" max="7684" width="10.5" style="98" customWidth="1"/>
    <col min="7685" max="7698" width="9" style="98"/>
    <col min="7699" max="7699" width="9.5" style="98" customWidth="1"/>
    <col min="7700" max="7702" width="9" style="98"/>
    <col min="7703" max="7703" width="10.5" style="98" customWidth="1"/>
    <col min="7704" max="7939" width="9" style="98"/>
    <col min="7940" max="7940" width="10.5" style="98" customWidth="1"/>
    <col min="7941" max="7954" width="9" style="98"/>
    <col min="7955" max="7955" width="9.5" style="98" customWidth="1"/>
    <col min="7956" max="7958" width="9" style="98"/>
    <col min="7959" max="7959" width="10.5" style="98" customWidth="1"/>
    <col min="7960" max="8195" width="9" style="98"/>
    <col min="8196" max="8196" width="10.5" style="98" customWidth="1"/>
    <col min="8197" max="8210" width="9" style="98"/>
    <col min="8211" max="8211" width="9.5" style="98" customWidth="1"/>
    <col min="8212" max="8214" width="9" style="98"/>
    <col min="8215" max="8215" width="10.5" style="98" customWidth="1"/>
    <col min="8216" max="8451" width="9" style="98"/>
    <col min="8452" max="8452" width="10.5" style="98" customWidth="1"/>
    <col min="8453" max="8466" width="9" style="98"/>
    <col min="8467" max="8467" width="9.5" style="98" customWidth="1"/>
    <col min="8468" max="8470" width="9" style="98"/>
    <col min="8471" max="8471" width="10.5" style="98" customWidth="1"/>
    <col min="8472" max="8707" width="9" style="98"/>
    <col min="8708" max="8708" width="10.5" style="98" customWidth="1"/>
    <col min="8709" max="8722" width="9" style="98"/>
    <col min="8723" max="8723" width="9.5" style="98" customWidth="1"/>
    <col min="8724" max="8726" width="9" style="98"/>
    <col min="8727" max="8727" width="10.5" style="98" customWidth="1"/>
    <col min="8728" max="8963" width="9" style="98"/>
    <col min="8964" max="8964" width="10.5" style="98" customWidth="1"/>
    <col min="8965" max="8978" width="9" style="98"/>
    <col min="8979" max="8979" width="9.5" style="98" customWidth="1"/>
    <col min="8980" max="8982" width="9" style="98"/>
    <col min="8983" max="8983" width="10.5" style="98" customWidth="1"/>
    <col min="8984" max="9219" width="9" style="98"/>
    <col min="9220" max="9220" width="10.5" style="98" customWidth="1"/>
    <col min="9221" max="9234" width="9" style="98"/>
    <col min="9235" max="9235" width="9.5" style="98" customWidth="1"/>
    <col min="9236" max="9238" width="9" style="98"/>
    <col min="9239" max="9239" width="10.5" style="98" customWidth="1"/>
    <col min="9240" max="9475" width="9" style="98"/>
    <col min="9476" max="9476" width="10.5" style="98" customWidth="1"/>
    <col min="9477" max="9490" width="9" style="98"/>
    <col min="9491" max="9491" width="9.5" style="98" customWidth="1"/>
    <col min="9492" max="9494" width="9" style="98"/>
    <col min="9495" max="9495" width="10.5" style="98" customWidth="1"/>
    <col min="9496" max="9731" width="9" style="98"/>
    <col min="9732" max="9732" width="10.5" style="98" customWidth="1"/>
    <col min="9733" max="9746" width="9" style="98"/>
    <col min="9747" max="9747" width="9.5" style="98" customWidth="1"/>
    <col min="9748" max="9750" width="9" style="98"/>
    <col min="9751" max="9751" width="10.5" style="98" customWidth="1"/>
    <col min="9752" max="9987" width="9" style="98"/>
    <col min="9988" max="9988" width="10.5" style="98" customWidth="1"/>
    <col min="9989" max="10002" width="9" style="98"/>
    <col min="10003" max="10003" width="9.5" style="98" customWidth="1"/>
    <col min="10004" max="10006" width="9" style="98"/>
    <col min="10007" max="10007" width="10.5" style="98" customWidth="1"/>
    <col min="10008" max="10243" width="9" style="98"/>
    <col min="10244" max="10244" width="10.5" style="98" customWidth="1"/>
    <col min="10245" max="10258" width="9" style="98"/>
    <col min="10259" max="10259" width="9.5" style="98" customWidth="1"/>
    <col min="10260" max="10262" width="9" style="98"/>
    <col min="10263" max="10263" width="10.5" style="98" customWidth="1"/>
    <col min="10264" max="10499" width="9" style="98"/>
    <col min="10500" max="10500" width="10.5" style="98" customWidth="1"/>
    <col min="10501" max="10514" width="9" style="98"/>
    <col min="10515" max="10515" width="9.5" style="98" customWidth="1"/>
    <col min="10516" max="10518" width="9" style="98"/>
    <col min="10519" max="10519" width="10.5" style="98" customWidth="1"/>
    <col min="10520" max="10755" width="9" style="98"/>
    <col min="10756" max="10756" width="10.5" style="98" customWidth="1"/>
    <col min="10757" max="10770" width="9" style="98"/>
    <col min="10771" max="10771" width="9.5" style="98" customWidth="1"/>
    <col min="10772" max="10774" width="9" style="98"/>
    <col min="10775" max="10775" width="10.5" style="98" customWidth="1"/>
    <col min="10776" max="11011" width="9" style="98"/>
    <col min="11012" max="11012" width="10.5" style="98" customWidth="1"/>
    <col min="11013" max="11026" width="9" style="98"/>
    <col min="11027" max="11027" width="9.5" style="98" customWidth="1"/>
    <col min="11028" max="11030" width="9" style="98"/>
    <col min="11031" max="11031" width="10.5" style="98" customWidth="1"/>
    <col min="11032" max="11267" width="9" style="98"/>
    <col min="11268" max="11268" width="10.5" style="98" customWidth="1"/>
    <col min="11269" max="11282" width="9" style="98"/>
    <col min="11283" max="11283" width="9.5" style="98" customWidth="1"/>
    <col min="11284" max="11286" width="9" style="98"/>
    <col min="11287" max="11287" width="10.5" style="98" customWidth="1"/>
    <col min="11288" max="11523" width="9" style="98"/>
    <col min="11524" max="11524" width="10.5" style="98" customWidth="1"/>
    <col min="11525" max="11538" width="9" style="98"/>
    <col min="11539" max="11539" width="9.5" style="98" customWidth="1"/>
    <col min="11540" max="11542" width="9" style="98"/>
    <col min="11543" max="11543" width="10.5" style="98" customWidth="1"/>
    <col min="11544" max="11779" width="9" style="98"/>
    <col min="11780" max="11780" width="10.5" style="98" customWidth="1"/>
    <col min="11781" max="11794" width="9" style="98"/>
    <col min="11795" max="11795" width="9.5" style="98" customWidth="1"/>
    <col min="11796" max="11798" width="9" style="98"/>
    <col min="11799" max="11799" width="10.5" style="98" customWidth="1"/>
    <col min="11800" max="12035" width="9" style="98"/>
    <col min="12036" max="12036" width="10.5" style="98" customWidth="1"/>
    <col min="12037" max="12050" width="9" style="98"/>
    <col min="12051" max="12051" width="9.5" style="98" customWidth="1"/>
    <col min="12052" max="12054" width="9" style="98"/>
    <col min="12055" max="12055" width="10.5" style="98" customWidth="1"/>
    <col min="12056" max="12291" width="9" style="98"/>
    <col min="12292" max="12292" width="10.5" style="98" customWidth="1"/>
    <col min="12293" max="12306" width="9" style="98"/>
    <col min="12307" max="12307" width="9.5" style="98" customWidth="1"/>
    <col min="12308" max="12310" width="9" style="98"/>
    <col min="12311" max="12311" width="10.5" style="98" customWidth="1"/>
    <col min="12312" max="12547" width="9" style="98"/>
    <col min="12548" max="12548" width="10.5" style="98" customWidth="1"/>
    <col min="12549" max="12562" width="9" style="98"/>
    <col min="12563" max="12563" width="9.5" style="98" customWidth="1"/>
    <col min="12564" max="12566" width="9" style="98"/>
    <col min="12567" max="12567" width="10.5" style="98" customWidth="1"/>
    <col min="12568" max="12803" width="9" style="98"/>
    <col min="12804" max="12804" width="10.5" style="98" customWidth="1"/>
    <col min="12805" max="12818" width="9" style="98"/>
    <col min="12819" max="12819" width="9.5" style="98" customWidth="1"/>
    <col min="12820" max="12822" width="9" style="98"/>
    <col min="12823" max="12823" width="10.5" style="98" customWidth="1"/>
    <col min="12824" max="13059" width="9" style="98"/>
    <col min="13060" max="13060" width="10.5" style="98" customWidth="1"/>
    <col min="13061" max="13074" width="9" style="98"/>
    <col min="13075" max="13075" width="9.5" style="98" customWidth="1"/>
    <col min="13076" max="13078" width="9" style="98"/>
    <col min="13079" max="13079" width="10.5" style="98" customWidth="1"/>
    <col min="13080" max="13315" width="9" style="98"/>
    <col min="13316" max="13316" width="10.5" style="98" customWidth="1"/>
    <col min="13317" max="13330" width="9" style="98"/>
    <col min="13331" max="13331" width="9.5" style="98" customWidth="1"/>
    <col min="13332" max="13334" width="9" style="98"/>
    <col min="13335" max="13335" width="10.5" style="98" customWidth="1"/>
    <col min="13336" max="13571" width="9" style="98"/>
    <col min="13572" max="13572" width="10.5" style="98" customWidth="1"/>
    <col min="13573" max="13586" width="9" style="98"/>
    <col min="13587" max="13587" width="9.5" style="98" customWidth="1"/>
    <col min="13588" max="13590" width="9" style="98"/>
    <col min="13591" max="13591" width="10.5" style="98" customWidth="1"/>
    <col min="13592" max="13827" width="9" style="98"/>
    <col min="13828" max="13828" width="10.5" style="98" customWidth="1"/>
    <col min="13829" max="13842" width="9" style="98"/>
    <col min="13843" max="13843" width="9.5" style="98" customWidth="1"/>
    <col min="13844" max="13846" width="9" style="98"/>
    <col min="13847" max="13847" width="10.5" style="98" customWidth="1"/>
    <col min="13848" max="14083" width="9" style="98"/>
    <col min="14084" max="14084" width="10.5" style="98" customWidth="1"/>
    <col min="14085" max="14098" width="9" style="98"/>
    <col min="14099" max="14099" width="9.5" style="98" customWidth="1"/>
    <col min="14100" max="14102" width="9" style="98"/>
    <col min="14103" max="14103" width="10.5" style="98" customWidth="1"/>
    <col min="14104" max="14339" width="9" style="98"/>
    <col min="14340" max="14340" width="10.5" style="98" customWidth="1"/>
    <col min="14341" max="14354" width="9" style="98"/>
    <col min="14355" max="14355" width="9.5" style="98" customWidth="1"/>
    <col min="14356" max="14358" width="9" style="98"/>
    <col min="14359" max="14359" width="10.5" style="98" customWidth="1"/>
    <col min="14360" max="14595" width="9" style="98"/>
    <col min="14596" max="14596" width="10.5" style="98" customWidth="1"/>
    <col min="14597" max="14610" width="9" style="98"/>
    <col min="14611" max="14611" width="9.5" style="98" customWidth="1"/>
    <col min="14612" max="14614" width="9" style="98"/>
    <col min="14615" max="14615" width="10.5" style="98" customWidth="1"/>
    <col min="14616" max="14851" width="9" style="98"/>
    <col min="14852" max="14852" width="10.5" style="98" customWidth="1"/>
    <col min="14853" max="14866" width="9" style="98"/>
    <col min="14867" max="14867" width="9.5" style="98" customWidth="1"/>
    <col min="14868" max="14870" width="9" style="98"/>
    <col min="14871" max="14871" width="10.5" style="98" customWidth="1"/>
    <col min="14872" max="15107" width="9" style="98"/>
    <col min="15108" max="15108" width="10.5" style="98" customWidth="1"/>
    <col min="15109" max="15122" width="9" style="98"/>
    <col min="15123" max="15123" width="9.5" style="98" customWidth="1"/>
    <col min="15124" max="15126" width="9" style="98"/>
    <col min="15127" max="15127" width="10.5" style="98" customWidth="1"/>
    <col min="15128" max="15363" width="9" style="98"/>
    <col min="15364" max="15364" width="10.5" style="98" customWidth="1"/>
    <col min="15365" max="15378" width="9" style="98"/>
    <col min="15379" max="15379" width="9.5" style="98" customWidth="1"/>
    <col min="15380" max="15382" width="9" style="98"/>
    <col min="15383" max="15383" width="10.5" style="98" customWidth="1"/>
    <col min="15384" max="15619" width="9" style="98"/>
    <col min="15620" max="15620" width="10.5" style="98" customWidth="1"/>
    <col min="15621" max="15634" width="9" style="98"/>
    <col min="15635" max="15635" width="9.5" style="98" customWidth="1"/>
    <col min="15636" max="15638" width="9" style="98"/>
    <col min="15639" max="15639" width="10.5" style="98" customWidth="1"/>
    <col min="15640" max="15875" width="9" style="98"/>
    <col min="15876" max="15876" width="10.5" style="98" customWidth="1"/>
    <col min="15877" max="15890" width="9" style="98"/>
    <col min="15891" max="15891" width="9.5" style="98" customWidth="1"/>
    <col min="15892" max="15894" width="9" style="98"/>
    <col min="15895" max="15895" width="10.5" style="98" customWidth="1"/>
    <col min="15896" max="16131" width="9" style="98"/>
    <col min="16132" max="16132" width="10.5" style="98" customWidth="1"/>
    <col min="16133" max="16146" width="9" style="98"/>
    <col min="16147" max="16147" width="9.5" style="98" customWidth="1"/>
    <col min="16148" max="16150" width="9" style="98"/>
    <col min="16151" max="16151" width="10.5" style="98" customWidth="1"/>
    <col min="16152" max="16384" width="9" style="98"/>
  </cols>
  <sheetData>
    <row r="1" spans="1:53" ht="45" x14ac:dyDescent="0.15">
      <c r="A1" s="89" t="s">
        <v>0</v>
      </c>
      <c r="B1" s="90" t="s">
        <v>182</v>
      </c>
      <c r="C1" s="90" t="s">
        <v>183</v>
      </c>
      <c r="D1" s="91" t="s">
        <v>3</v>
      </c>
      <c r="E1" s="92" t="s">
        <v>4</v>
      </c>
      <c r="F1" s="92" t="s">
        <v>5</v>
      </c>
      <c r="G1" s="92" t="s">
        <v>6</v>
      </c>
      <c r="H1" s="92" t="s">
        <v>7</v>
      </c>
      <c r="I1" s="92" t="s">
        <v>8</v>
      </c>
      <c r="J1" s="92" t="s">
        <v>9</v>
      </c>
      <c r="K1" s="92" t="s">
        <v>10</v>
      </c>
      <c r="L1" s="91" t="s">
        <v>184</v>
      </c>
      <c r="M1" s="91" t="s">
        <v>185</v>
      </c>
      <c r="N1" s="91" t="s">
        <v>13</v>
      </c>
      <c r="O1" s="91" t="s">
        <v>186</v>
      </c>
      <c r="P1" s="91" t="s">
        <v>187</v>
      </c>
      <c r="Q1" s="93" t="s">
        <v>188</v>
      </c>
      <c r="R1" s="91" t="s">
        <v>189</v>
      </c>
      <c r="S1" s="91" t="s">
        <v>190</v>
      </c>
      <c r="T1" s="93" t="s">
        <v>19</v>
      </c>
      <c r="U1" s="94" t="s">
        <v>108</v>
      </c>
      <c r="V1" s="95" t="s">
        <v>20</v>
      </c>
      <c r="W1" s="91" t="s">
        <v>191</v>
      </c>
      <c r="X1" s="92" t="s">
        <v>22</v>
      </c>
      <c r="Y1" s="92" t="s">
        <v>23</v>
      </c>
      <c r="Z1" s="92" t="s">
        <v>24</v>
      </c>
      <c r="AA1" s="96" t="s">
        <v>25</v>
      </c>
      <c r="AB1" s="97" t="s">
        <v>192</v>
      </c>
      <c r="AE1" s="99" t="s">
        <v>0</v>
      </c>
      <c r="AF1" s="100"/>
      <c r="AG1" s="99" t="s">
        <v>4</v>
      </c>
      <c r="AH1" s="99" t="s">
        <v>5</v>
      </c>
      <c r="AI1" s="100"/>
      <c r="AJ1" s="99" t="s">
        <v>6</v>
      </c>
      <c r="AK1" s="100"/>
      <c r="AL1" s="101" t="s">
        <v>7</v>
      </c>
      <c r="AM1" s="100"/>
      <c r="AN1" s="101" t="s">
        <v>8</v>
      </c>
      <c r="AO1" s="100"/>
      <c r="AP1" s="101" t="s">
        <v>27</v>
      </c>
      <c r="AQ1" s="100"/>
      <c r="AR1" s="101" t="s">
        <v>10</v>
      </c>
      <c r="AS1" s="100"/>
      <c r="AT1" s="102" t="s">
        <v>193</v>
      </c>
      <c r="AU1" s="100"/>
      <c r="AV1" s="101" t="s">
        <v>29</v>
      </c>
      <c r="AX1" s="103" t="s">
        <v>194</v>
      </c>
      <c r="AY1" s="104" t="s">
        <v>195</v>
      </c>
      <c r="AZ1" s="104" t="s">
        <v>196</v>
      </c>
      <c r="BA1" s="105" t="s">
        <v>197</v>
      </c>
    </row>
    <row r="2" spans="1:53" s="246" customFormat="1" x14ac:dyDescent="0.15">
      <c r="A2" s="246" t="s">
        <v>51</v>
      </c>
      <c r="B2" s="246" t="s">
        <v>344</v>
      </c>
      <c r="C2" s="246">
        <v>2018</v>
      </c>
      <c r="D2" s="106" t="s">
        <v>424</v>
      </c>
      <c r="E2" s="246" t="s">
        <v>198</v>
      </c>
      <c r="F2" s="246" t="s">
        <v>199</v>
      </c>
      <c r="G2" s="246" t="s">
        <v>42</v>
      </c>
      <c r="H2" s="246" t="s">
        <v>157</v>
      </c>
      <c r="I2" s="246" t="s">
        <v>155</v>
      </c>
      <c r="J2" s="246" t="s">
        <v>38</v>
      </c>
      <c r="K2" s="246" t="s">
        <v>156</v>
      </c>
      <c r="L2" s="246">
        <v>1</v>
      </c>
      <c r="N2" s="246">
        <v>1</v>
      </c>
      <c r="O2" s="246">
        <v>0.7</v>
      </c>
      <c r="P2" s="246">
        <v>0.6</v>
      </c>
      <c r="Q2" s="107">
        <f t="shared" ref="Q2:Q65" si="0">IF(OR(O2="",P2=""),"",AVERAGE(O2,P2))</f>
        <v>0.64999999999999991</v>
      </c>
      <c r="R2" s="246">
        <v>16.899999999999999</v>
      </c>
      <c r="S2" s="246">
        <v>134</v>
      </c>
      <c r="T2" s="108">
        <f t="shared" ref="T2:T65" si="1">IF(H2="","",IF(OR(H2="GREEN",H2="GK"),IF(S2&gt;=$AX$2,VLOOKUP(S2,$AX$2:$AY$12,2,1),""),IF(S2&gt;=$AZ$2,VLOOKUP(S2,$AZ$2:$BA$12,2,1),"")))</f>
        <v>25</v>
      </c>
      <c r="U2" s="246">
        <v>78</v>
      </c>
      <c r="V2" s="109">
        <f t="shared" ref="V2:V65" si="2">IF(OR(N2="",U2="",T2=""),"",U2/N2*T2)</f>
        <v>1950</v>
      </c>
      <c r="W2" s="246">
        <v>12</v>
      </c>
      <c r="X2" s="246" t="s">
        <v>46</v>
      </c>
      <c r="Y2" s="246" t="s">
        <v>69</v>
      </c>
      <c r="Z2" s="246" t="s">
        <v>88</v>
      </c>
      <c r="AA2" s="246" t="s">
        <v>78</v>
      </c>
      <c r="AB2" s="246" t="s">
        <v>346</v>
      </c>
      <c r="AE2" s="110" t="s">
        <v>35</v>
      </c>
      <c r="AG2" s="111" t="s">
        <v>170</v>
      </c>
      <c r="AH2" s="111" t="s">
        <v>200</v>
      </c>
      <c r="AJ2" s="111" t="s">
        <v>36</v>
      </c>
      <c r="AL2" s="111" t="s">
        <v>201</v>
      </c>
      <c r="AN2" s="111" t="s">
        <v>37</v>
      </c>
      <c r="AP2" s="111" t="s">
        <v>38</v>
      </c>
      <c r="AR2" s="111" t="s">
        <v>156</v>
      </c>
      <c r="AT2" s="111" t="s">
        <v>39</v>
      </c>
      <c r="AV2" s="111" t="s">
        <v>40</v>
      </c>
      <c r="AX2" s="112">
        <v>1</v>
      </c>
      <c r="AY2" s="113">
        <v>50</v>
      </c>
      <c r="AZ2" s="113">
        <v>1</v>
      </c>
      <c r="BA2" s="114">
        <v>50</v>
      </c>
    </row>
    <row r="3" spans="1:53" s="115" customFormat="1" x14ac:dyDescent="0.15">
      <c r="A3" s="246" t="s">
        <v>51</v>
      </c>
      <c r="B3" s="246" t="s">
        <v>344</v>
      </c>
      <c r="C3" s="246">
        <v>2018</v>
      </c>
      <c r="D3" s="106" t="s">
        <v>424</v>
      </c>
      <c r="E3" s="246" t="s">
        <v>198</v>
      </c>
      <c r="F3" s="246" t="s">
        <v>199</v>
      </c>
      <c r="G3" s="246" t="s">
        <v>42</v>
      </c>
      <c r="H3" s="246" t="s">
        <v>157</v>
      </c>
      <c r="I3" s="246" t="s">
        <v>155</v>
      </c>
      <c r="J3" s="246" t="s">
        <v>38</v>
      </c>
      <c r="K3" s="246" t="s">
        <v>156</v>
      </c>
      <c r="L3" s="246">
        <v>2</v>
      </c>
      <c r="M3" s="246"/>
      <c r="N3" s="246">
        <v>1</v>
      </c>
      <c r="O3" s="246">
        <v>0.6</v>
      </c>
      <c r="P3" s="246">
        <v>0.65</v>
      </c>
      <c r="Q3" s="107">
        <f t="shared" si="0"/>
        <v>0.625</v>
      </c>
      <c r="R3" s="246">
        <v>16.3</v>
      </c>
      <c r="S3" s="246">
        <v>124</v>
      </c>
      <c r="T3" s="108">
        <f t="shared" si="1"/>
        <v>27</v>
      </c>
      <c r="U3" s="246">
        <v>78</v>
      </c>
      <c r="V3" s="109">
        <f t="shared" si="2"/>
        <v>2106</v>
      </c>
      <c r="W3" s="246">
        <v>12</v>
      </c>
      <c r="X3" s="246" t="s">
        <v>46</v>
      </c>
      <c r="Y3" s="246" t="s">
        <v>69</v>
      </c>
      <c r="Z3" s="246" t="s">
        <v>88</v>
      </c>
      <c r="AA3" s="246" t="s">
        <v>78</v>
      </c>
      <c r="AB3" s="246" t="s">
        <v>346</v>
      </c>
      <c r="AE3" s="116" t="s">
        <v>41</v>
      </c>
      <c r="AG3" s="111" t="s">
        <v>202</v>
      </c>
      <c r="AH3" s="111" t="s">
        <v>203</v>
      </c>
      <c r="AJ3" s="117" t="s">
        <v>42</v>
      </c>
      <c r="AL3" s="117" t="s">
        <v>204</v>
      </c>
      <c r="AN3" s="117" t="s">
        <v>43</v>
      </c>
      <c r="AP3" s="117" t="s">
        <v>44</v>
      </c>
      <c r="AR3" s="118" t="s">
        <v>45</v>
      </c>
      <c r="AT3" s="117" t="s">
        <v>46</v>
      </c>
      <c r="AV3" s="117" t="s">
        <v>47</v>
      </c>
      <c r="AX3" s="119">
        <v>72</v>
      </c>
      <c r="AY3" s="120">
        <v>46</v>
      </c>
      <c r="AZ3" s="120">
        <v>71</v>
      </c>
      <c r="BA3" s="121">
        <v>42</v>
      </c>
    </row>
    <row r="4" spans="1:53" s="115" customFormat="1" x14ac:dyDescent="0.15">
      <c r="A4" s="246" t="s">
        <v>51</v>
      </c>
      <c r="B4" s="246" t="s">
        <v>344</v>
      </c>
      <c r="C4" s="246">
        <v>2018</v>
      </c>
      <c r="D4" s="106" t="s">
        <v>424</v>
      </c>
      <c r="E4" s="246" t="s">
        <v>198</v>
      </c>
      <c r="F4" s="246" t="s">
        <v>199</v>
      </c>
      <c r="G4" s="246" t="s">
        <v>42</v>
      </c>
      <c r="H4" s="246" t="s">
        <v>157</v>
      </c>
      <c r="I4" s="246" t="s">
        <v>155</v>
      </c>
      <c r="J4" s="246" t="s">
        <v>38</v>
      </c>
      <c r="K4" s="246" t="s">
        <v>156</v>
      </c>
      <c r="L4" s="246">
        <v>3</v>
      </c>
      <c r="M4" s="246"/>
      <c r="N4" s="246">
        <v>1</v>
      </c>
      <c r="O4" s="246">
        <v>0.65</v>
      </c>
      <c r="P4" s="246">
        <v>0.55000000000000004</v>
      </c>
      <c r="Q4" s="107">
        <f t="shared" si="0"/>
        <v>0.60000000000000009</v>
      </c>
      <c r="R4" s="246">
        <v>16.600000000000001</v>
      </c>
      <c r="S4" s="246">
        <v>126</v>
      </c>
      <c r="T4" s="108">
        <f t="shared" si="1"/>
        <v>27</v>
      </c>
      <c r="U4" s="246">
        <v>78</v>
      </c>
      <c r="V4" s="109">
        <f t="shared" si="2"/>
        <v>2106</v>
      </c>
      <c r="W4" s="246">
        <v>12</v>
      </c>
      <c r="X4" s="246" t="s">
        <v>46</v>
      </c>
      <c r="Y4" s="246" t="s">
        <v>69</v>
      </c>
      <c r="Z4" s="246" t="s">
        <v>88</v>
      </c>
      <c r="AA4" s="246" t="s">
        <v>78</v>
      </c>
      <c r="AB4" s="246" t="s">
        <v>346</v>
      </c>
      <c r="AE4" s="116" t="s">
        <v>34</v>
      </c>
      <c r="AG4" s="111" t="s">
        <v>205</v>
      </c>
      <c r="AH4" s="111" t="s">
        <v>206</v>
      </c>
      <c r="AJ4" s="122" t="s">
        <v>48</v>
      </c>
      <c r="AL4" s="122" t="s">
        <v>207</v>
      </c>
      <c r="AN4" s="123" t="s">
        <v>208</v>
      </c>
      <c r="AP4" s="117" t="s">
        <v>209</v>
      </c>
      <c r="AR4" s="118" t="s">
        <v>210</v>
      </c>
      <c r="AT4" s="123"/>
      <c r="AV4" s="117" t="s">
        <v>50</v>
      </c>
      <c r="AX4" s="119">
        <v>75</v>
      </c>
      <c r="AY4" s="120">
        <v>42</v>
      </c>
      <c r="AZ4" s="120">
        <v>76</v>
      </c>
      <c r="BA4" s="121">
        <v>39</v>
      </c>
    </row>
    <row r="5" spans="1:53" s="115" customFormat="1" x14ac:dyDescent="0.15">
      <c r="A5" s="246" t="s">
        <v>51</v>
      </c>
      <c r="B5" s="246" t="s">
        <v>344</v>
      </c>
      <c r="C5" s="246">
        <v>2018</v>
      </c>
      <c r="D5" s="106" t="s">
        <v>424</v>
      </c>
      <c r="E5" s="246" t="s">
        <v>198</v>
      </c>
      <c r="F5" s="246" t="s">
        <v>199</v>
      </c>
      <c r="G5" s="246" t="s">
        <v>42</v>
      </c>
      <c r="H5" s="246" t="s">
        <v>217</v>
      </c>
      <c r="I5" s="246" t="s">
        <v>155</v>
      </c>
      <c r="J5" s="246" t="s">
        <v>38</v>
      </c>
      <c r="K5" s="246" t="s">
        <v>156</v>
      </c>
      <c r="L5" s="246">
        <v>1</v>
      </c>
      <c r="M5" s="246"/>
      <c r="N5" s="246">
        <v>4</v>
      </c>
      <c r="O5" s="246">
        <v>0.5</v>
      </c>
      <c r="P5" s="246">
        <v>0.55000000000000004</v>
      </c>
      <c r="Q5" s="107">
        <f t="shared" si="0"/>
        <v>0.52500000000000002</v>
      </c>
      <c r="R5" s="246">
        <v>16.8</v>
      </c>
      <c r="S5" s="246">
        <v>95</v>
      </c>
      <c r="T5" s="108">
        <f t="shared" si="1"/>
        <v>36</v>
      </c>
      <c r="U5" s="246">
        <v>298</v>
      </c>
      <c r="V5" s="109">
        <f t="shared" si="2"/>
        <v>2682</v>
      </c>
      <c r="W5" s="246">
        <v>12</v>
      </c>
      <c r="X5" s="246" t="s">
        <v>46</v>
      </c>
      <c r="Y5" s="246" t="s">
        <v>69</v>
      </c>
      <c r="Z5" s="246" t="s">
        <v>88</v>
      </c>
      <c r="AA5" s="246" t="s">
        <v>78</v>
      </c>
      <c r="AB5" s="246" t="s">
        <v>346</v>
      </c>
      <c r="AE5" s="116" t="s">
        <v>51</v>
      </c>
      <c r="AG5" s="111" t="s">
        <v>211</v>
      </c>
      <c r="AH5" s="111" t="s">
        <v>199</v>
      </c>
      <c r="AJ5" s="123"/>
      <c r="AL5" s="124" t="s">
        <v>157</v>
      </c>
      <c r="AN5" s="124" t="s">
        <v>155</v>
      </c>
      <c r="AP5" s="117" t="s">
        <v>212</v>
      </c>
      <c r="AR5" s="118" t="s">
        <v>54</v>
      </c>
      <c r="AV5" s="117" t="s">
        <v>55</v>
      </c>
      <c r="AX5" s="119">
        <v>84</v>
      </c>
      <c r="AY5" s="120">
        <v>39</v>
      </c>
      <c r="AZ5" s="120">
        <v>84</v>
      </c>
      <c r="BA5" s="121">
        <v>36</v>
      </c>
    </row>
    <row r="6" spans="1:53" s="115" customFormat="1" x14ac:dyDescent="0.15">
      <c r="A6" s="246" t="s">
        <v>51</v>
      </c>
      <c r="B6" s="246" t="s">
        <v>344</v>
      </c>
      <c r="C6" s="246">
        <v>2018</v>
      </c>
      <c r="D6" s="106" t="s">
        <v>424</v>
      </c>
      <c r="E6" s="246" t="s">
        <v>198</v>
      </c>
      <c r="F6" s="246" t="s">
        <v>199</v>
      </c>
      <c r="G6" s="246" t="s">
        <v>42</v>
      </c>
      <c r="H6" s="246" t="s">
        <v>217</v>
      </c>
      <c r="I6" s="246" t="s">
        <v>155</v>
      </c>
      <c r="J6" s="246" t="s">
        <v>38</v>
      </c>
      <c r="K6" s="246" t="s">
        <v>156</v>
      </c>
      <c r="L6" s="246">
        <v>2</v>
      </c>
      <c r="M6" s="246"/>
      <c r="N6" s="246">
        <v>4</v>
      </c>
      <c r="O6" s="246">
        <v>0.25</v>
      </c>
      <c r="P6" s="246">
        <v>0.25</v>
      </c>
      <c r="Q6" s="107">
        <f t="shared" si="0"/>
        <v>0.25</v>
      </c>
      <c r="R6" s="246">
        <v>17.5</v>
      </c>
      <c r="S6" s="246">
        <v>102</v>
      </c>
      <c r="T6" s="108">
        <f t="shared" si="1"/>
        <v>33</v>
      </c>
      <c r="U6" s="246">
        <v>298</v>
      </c>
      <c r="V6" s="109">
        <f t="shared" si="2"/>
        <v>2458.5</v>
      </c>
      <c r="W6" s="246">
        <v>12</v>
      </c>
      <c r="X6" s="246" t="s">
        <v>46</v>
      </c>
      <c r="Y6" s="246" t="s">
        <v>69</v>
      </c>
      <c r="Z6" s="246" t="s">
        <v>88</v>
      </c>
      <c r="AA6" s="246" t="s">
        <v>78</v>
      </c>
      <c r="AB6" s="246" t="s">
        <v>346</v>
      </c>
      <c r="AE6" s="116" t="s">
        <v>56</v>
      </c>
      <c r="AG6" s="111" t="s">
        <v>213</v>
      </c>
      <c r="AH6" s="111" t="s">
        <v>214</v>
      </c>
      <c r="AL6" s="124" t="s">
        <v>215</v>
      </c>
      <c r="AN6" s="124" t="s">
        <v>158</v>
      </c>
      <c r="AP6" s="117" t="s">
        <v>53</v>
      </c>
      <c r="AR6" s="118" t="s">
        <v>59</v>
      </c>
      <c r="AV6" s="117" t="s">
        <v>60</v>
      </c>
      <c r="AX6" s="119">
        <v>97</v>
      </c>
      <c r="AY6" s="120">
        <v>36</v>
      </c>
      <c r="AZ6" s="120">
        <v>99</v>
      </c>
      <c r="BA6" s="121">
        <v>33</v>
      </c>
    </row>
    <row r="7" spans="1:53" s="115" customFormat="1" x14ac:dyDescent="0.15">
      <c r="A7" s="246" t="s">
        <v>51</v>
      </c>
      <c r="B7" s="246" t="s">
        <v>344</v>
      </c>
      <c r="C7" s="246">
        <v>2018</v>
      </c>
      <c r="D7" s="106" t="s">
        <v>424</v>
      </c>
      <c r="E7" s="246" t="s">
        <v>198</v>
      </c>
      <c r="F7" s="246" t="s">
        <v>199</v>
      </c>
      <c r="G7" s="246" t="s">
        <v>42</v>
      </c>
      <c r="H7" s="246" t="s">
        <v>217</v>
      </c>
      <c r="I7" s="246" t="s">
        <v>155</v>
      </c>
      <c r="J7" s="246" t="s">
        <v>38</v>
      </c>
      <c r="K7" s="246" t="s">
        <v>156</v>
      </c>
      <c r="L7" s="246">
        <v>3</v>
      </c>
      <c r="M7" s="246"/>
      <c r="N7" s="246">
        <v>4</v>
      </c>
      <c r="O7" s="246">
        <v>0.6</v>
      </c>
      <c r="P7" s="246">
        <v>0.5</v>
      </c>
      <c r="Q7" s="107">
        <f t="shared" si="0"/>
        <v>0.55000000000000004</v>
      </c>
      <c r="R7" s="246">
        <v>17.100000000000001</v>
      </c>
      <c r="S7" s="246">
        <v>108</v>
      </c>
      <c r="T7" s="108">
        <f t="shared" si="1"/>
        <v>33</v>
      </c>
      <c r="U7" s="246">
        <v>298</v>
      </c>
      <c r="V7" s="109">
        <f t="shared" si="2"/>
        <v>2458.5</v>
      </c>
      <c r="W7" s="246">
        <v>12</v>
      </c>
      <c r="X7" s="246" t="s">
        <v>46</v>
      </c>
      <c r="Y7" s="246" t="s">
        <v>69</v>
      </c>
      <c r="Z7" s="246" t="s">
        <v>88</v>
      </c>
      <c r="AA7" s="246" t="s">
        <v>78</v>
      </c>
      <c r="AB7" s="246" t="s">
        <v>346</v>
      </c>
      <c r="AE7" s="116" t="s">
        <v>61</v>
      </c>
      <c r="AG7" s="111" t="s">
        <v>216</v>
      </c>
      <c r="AH7" s="111" t="s">
        <v>200</v>
      </c>
      <c r="AL7" s="115" t="s">
        <v>217</v>
      </c>
      <c r="AP7" s="117" t="s">
        <v>58</v>
      </c>
      <c r="AR7" s="118" t="s">
        <v>218</v>
      </c>
      <c r="AV7" s="117" t="s">
        <v>64</v>
      </c>
      <c r="AX7" s="119">
        <v>109</v>
      </c>
      <c r="AY7" s="120">
        <v>33</v>
      </c>
      <c r="AZ7" s="120">
        <v>113</v>
      </c>
      <c r="BA7" s="121">
        <v>30</v>
      </c>
    </row>
    <row r="8" spans="1:53" s="115" customFormat="1" x14ac:dyDescent="0.15">
      <c r="A8" s="246" t="s">
        <v>51</v>
      </c>
      <c r="B8" s="246" t="s">
        <v>344</v>
      </c>
      <c r="C8" s="246">
        <v>2018</v>
      </c>
      <c r="D8" s="106" t="s">
        <v>424</v>
      </c>
      <c r="E8" s="246" t="s">
        <v>198</v>
      </c>
      <c r="F8" s="246" t="s">
        <v>199</v>
      </c>
      <c r="G8" s="246" t="s">
        <v>42</v>
      </c>
      <c r="H8" s="246" t="s">
        <v>165</v>
      </c>
      <c r="I8" s="246" t="s">
        <v>155</v>
      </c>
      <c r="J8" s="246" t="s">
        <v>38</v>
      </c>
      <c r="K8" s="246" t="s">
        <v>156</v>
      </c>
      <c r="L8" s="246">
        <v>1</v>
      </c>
      <c r="M8" s="246"/>
      <c r="N8" s="246">
        <v>1</v>
      </c>
      <c r="O8" s="246">
        <v>1</v>
      </c>
      <c r="P8" s="246">
        <v>0.95</v>
      </c>
      <c r="Q8" s="107">
        <f t="shared" si="0"/>
        <v>0.97499999999999998</v>
      </c>
      <c r="R8" s="246">
        <v>16.2</v>
      </c>
      <c r="S8" s="246">
        <v>132</v>
      </c>
      <c r="T8" s="108">
        <f t="shared" si="1"/>
        <v>25</v>
      </c>
      <c r="U8" s="246">
        <v>128</v>
      </c>
      <c r="V8" s="109">
        <f t="shared" si="2"/>
        <v>3200</v>
      </c>
      <c r="W8" s="246">
        <v>12</v>
      </c>
      <c r="X8" s="246" t="s">
        <v>46</v>
      </c>
      <c r="Y8" s="246" t="s">
        <v>69</v>
      </c>
      <c r="Z8" s="246" t="s">
        <v>88</v>
      </c>
      <c r="AA8" s="246" t="s">
        <v>78</v>
      </c>
      <c r="AB8" s="246" t="s">
        <v>346</v>
      </c>
      <c r="AE8" s="116" t="s">
        <v>59</v>
      </c>
      <c r="AG8" s="111" t="s">
        <v>219</v>
      </c>
      <c r="AH8" s="111" t="s">
        <v>220</v>
      </c>
      <c r="AL8" s="115" t="s">
        <v>165</v>
      </c>
      <c r="AP8" s="117" t="s">
        <v>62</v>
      </c>
      <c r="AR8" s="118" t="s">
        <v>81</v>
      </c>
      <c r="AV8" s="117" t="s">
        <v>97</v>
      </c>
      <c r="AX8" s="119">
        <v>119</v>
      </c>
      <c r="AY8" s="120">
        <v>30</v>
      </c>
      <c r="AZ8" s="120">
        <v>121</v>
      </c>
      <c r="BA8" s="121">
        <v>27</v>
      </c>
    </row>
    <row r="9" spans="1:53" s="115" customFormat="1" x14ac:dyDescent="0.15">
      <c r="A9" s="246" t="s">
        <v>51</v>
      </c>
      <c r="B9" s="246" t="s">
        <v>344</v>
      </c>
      <c r="C9" s="246">
        <v>2018</v>
      </c>
      <c r="D9" s="106" t="s">
        <v>424</v>
      </c>
      <c r="E9" s="246" t="s">
        <v>198</v>
      </c>
      <c r="F9" s="246" t="s">
        <v>199</v>
      </c>
      <c r="G9" s="246" t="s">
        <v>42</v>
      </c>
      <c r="H9" s="246" t="s">
        <v>165</v>
      </c>
      <c r="I9" s="246" t="s">
        <v>155</v>
      </c>
      <c r="J9" s="246" t="s">
        <v>38</v>
      </c>
      <c r="K9" s="246" t="s">
        <v>156</v>
      </c>
      <c r="L9" s="246">
        <v>2</v>
      </c>
      <c r="M9" s="246"/>
      <c r="N9" s="246">
        <v>1</v>
      </c>
      <c r="O9" s="246">
        <v>0.95</v>
      </c>
      <c r="P9" s="246">
        <v>1.05</v>
      </c>
      <c r="Q9" s="107">
        <f t="shared" si="0"/>
        <v>1</v>
      </c>
      <c r="R9" s="246">
        <v>15.4</v>
      </c>
      <c r="S9" s="246">
        <v>126</v>
      </c>
      <c r="T9" s="108">
        <f t="shared" si="1"/>
        <v>27</v>
      </c>
      <c r="U9" s="246">
        <v>128</v>
      </c>
      <c r="V9" s="109">
        <f t="shared" si="2"/>
        <v>3456</v>
      </c>
      <c r="W9" s="246">
        <v>12</v>
      </c>
      <c r="X9" s="246" t="s">
        <v>46</v>
      </c>
      <c r="Y9" s="246" t="s">
        <v>69</v>
      </c>
      <c r="Z9" s="246" t="s">
        <v>88</v>
      </c>
      <c r="AA9" s="246" t="s">
        <v>78</v>
      </c>
      <c r="AB9" s="246" t="s">
        <v>346</v>
      </c>
      <c r="AE9" s="116" t="s">
        <v>221</v>
      </c>
      <c r="AG9" s="111" t="s">
        <v>222</v>
      </c>
      <c r="AH9" s="111" t="s">
        <v>199</v>
      </c>
      <c r="AL9" s="124"/>
      <c r="AP9" s="117" t="s">
        <v>95</v>
      </c>
      <c r="AR9" s="118" t="s">
        <v>223</v>
      </c>
      <c r="AV9" s="117" t="s">
        <v>102</v>
      </c>
      <c r="AX9" s="119">
        <v>128</v>
      </c>
      <c r="AY9" s="120">
        <v>27</v>
      </c>
      <c r="AZ9" s="120">
        <v>129</v>
      </c>
      <c r="BA9" s="121">
        <v>25</v>
      </c>
    </row>
    <row r="10" spans="1:53" s="115" customFormat="1" x14ac:dyDescent="0.15">
      <c r="A10" s="246" t="s">
        <v>51</v>
      </c>
      <c r="B10" s="246" t="s">
        <v>344</v>
      </c>
      <c r="C10" s="246">
        <v>2018</v>
      </c>
      <c r="D10" s="106" t="s">
        <v>424</v>
      </c>
      <c r="E10" s="246" t="s">
        <v>198</v>
      </c>
      <c r="F10" s="246" t="s">
        <v>199</v>
      </c>
      <c r="G10" s="246" t="s">
        <v>42</v>
      </c>
      <c r="H10" s="246" t="s">
        <v>165</v>
      </c>
      <c r="I10" s="246" t="s">
        <v>155</v>
      </c>
      <c r="J10" s="246" t="s">
        <v>38</v>
      </c>
      <c r="K10" s="246" t="s">
        <v>156</v>
      </c>
      <c r="L10" s="246">
        <v>3</v>
      </c>
      <c r="M10" s="246"/>
      <c r="N10" s="246">
        <v>1</v>
      </c>
      <c r="O10" s="246">
        <v>0.9</v>
      </c>
      <c r="P10" s="246">
        <v>1</v>
      </c>
      <c r="Q10" s="107">
        <f t="shared" si="0"/>
        <v>0.95</v>
      </c>
      <c r="R10" s="246">
        <v>16.3</v>
      </c>
      <c r="S10" s="246">
        <v>132</v>
      </c>
      <c r="T10" s="108">
        <f t="shared" si="1"/>
        <v>25</v>
      </c>
      <c r="U10" s="246">
        <v>128</v>
      </c>
      <c r="V10" s="109">
        <f t="shared" si="2"/>
        <v>3200</v>
      </c>
      <c r="W10" s="246">
        <v>12</v>
      </c>
      <c r="X10" s="246" t="s">
        <v>46</v>
      </c>
      <c r="Y10" s="246" t="s">
        <v>69</v>
      </c>
      <c r="Z10" s="246" t="s">
        <v>88</v>
      </c>
      <c r="AA10" s="246" t="s">
        <v>78</v>
      </c>
      <c r="AB10" s="246" t="s">
        <v>346</v>
      </c>
      <c r="AE10" s="116" t="s">
        <v>224</v>
      </c>
      <c r="AG10" s="111" t="s">
        <v>198</v>
      </c>
      <c r="AH10" s="117" t="s">
        <v>199</v>
      </c>
      <c r="AP10" s="117" t="s">
        <v>100</v>
      </c>
      <c r="AR10" s="118" t="s">
        <v>225</v>
      </c>
      <c r="AV10" s="117" t="s">
        <v>106</v>
      </c>
      <c r="AX10" s="119">
        <v>138</v>
      </c>
      <c r="AY10" s="120">
        <v>25</v>
      </c>
      <c r="AZ10" s="120">
        <v>138</v>
      </c>
      <c r="BA10" s="121">
        <v>22</v>
      </c>
    </row>
    <row r="11" spans="1:53" s="115" customFormat="1" x14ac:dyDescent="0.15">
      <c r="A11" s="246" t="s">
        <v>51</v>
      </c>
      <c r="B11" s="246" t="s">
        <v>344</v>
      </c>
      <c r="C11" s="246">
        <v>2018</v>
      </c>
      <c r="D11" s="106" t="s">
        <v>424</v>
      </c>
      <c r="E11" s="246" t="s">
        <v>202</v>
      </c>
      <c r="F11" s="246" t="s">
        <v>203</v>
      </c>
      <c r="G11" s="246" t="s">
        <v>36</v>
      </c>
      <c r="H11" s="246" t="s">
        <v>157</v>
      </c>
      <c r="I11" s="246" t="s">
        <v>155</v>
      </c>
      <c r="J11" s="246" t="s">
        <v>38</v>
      </c>
      <c r="K11" s="246" t="s">
        <v>156</v>
      </c>
      <c r="L11" s="246">
        <v>1</v>
      </c>
      <c r="M11" s="246"/>
      <c r="N11" s="246">
        <v>1</v>
      </c>
      <c r="O11" s="246">
        <v>0.5</v>
      </c>
      <c r="P11" s="246">
        <v>0.55000000000000004</v>
      </c>
      <c r="Q11" s="107">
        <f t="shared" si="0"/>
        <v>0.52500000000000002</v>
      </c>
      <c r="R11" s="246">
        <v>14.6</v>
      </c>
      <c r="S11" s="246">
        <v>126</v>
      </c>
      <c r="T11" s="108">
        <f t="shared" si="1"/>
        <v>27</v>
      </c>
      <c r="U11" s="246">
        <v>138</v>
      </c>
      <c r="V11" s="109">
        <f t="shared" si="2"/>
        <v>3726</v>
      </c>
      <c r="W11" s="246">
        <v>15</v>
      </c>
      <c r="X11" s="246" t="s">
        <v>46</v>
      </c>
      <c r="Y11" s="246" t="s">
        <v>69</v>
      </c>
      <c r="Z11" s="246" t="s">
        <v>90</v>
      </c>
      <c r="AA11" s="246" t="s">
        <v>69</v>
      </c>
      <c r="AB11" s="246" t="s">
        <v>346</v>
      </c>
      <c r="AE11" s="116" t="s">
        <v>68</v>
      </c>
      <c r="AG11" s="111" t="s">
        <v>139</v>
      </c>
      <c r="AH11" s="117" t="s">
        <v>425</v>
      </c>
      <c r="AP11" s="117" t="s">
        <v>104</v>
      </c>
      <c r="AR11" s="118" t="s">
        <v>226</v>
      </c>
      <c r="AV11" s="117" t="s">
        <v>69</v>
      </c>
      <c r="AX11" s="119">
        <v>151</v>
      </c>
      <c r="AY11" s="120">
        <v>22</v>
      </c>
      <c r="AZ11" s="120">
        <v>152</v>
      </c>
      <c r="BA11" s="121">
        <v>18</v>
      </c>
    </row>
    <row r="12" spans="1:53" s="115" customFormat="1" x14ac:dyDescent="0.15">
      <c r="A12" s="246" t="s">
        <v>51</v>
      </c>
      <c r="B12" s="246" t="s">
        <v>344</v>
      </c>
      <c r="C12" s="246">
        <v>2018</v>
      </c>
      <c r="D12" s="106" t="s">
        <v>424</v>
      </c>
      <c r="E12" s="246" t="s">
        <v>202</v>
      </c>
      <c r="F12" s="246" t="s">
        <v>203</v>
      </c>
      <c r="G12" s="246" t="s">
        <v>36</v>
      </c>
      <c r="H12" s="246" t="s">
        <v>157</v>
      </c>
      <c r="I12" s="246" t="s">
        <v>155</v>
      </c>
      <c r="J12" s="246" t="s">
        <v>38</v>
      </c>
      <c r="K12" s="246" t="s">
        <v>156</v>
      </c>
      <c r="L12" s="246">
        <v>2</v>
      </c>
      <c r="M12" s="246"/>
      <c r="N12" s="246">
        <v>1</v>
      </c>
      <c r="O12" s="246">
        <v>0.5</v>
      </c>
      <c r="P12" s="246">
        <v>0.25</v>
      </c>
      <c r="Q12" s="107">
        <f t="shared" si="0"/>
        <v>0.375</v>
      </c>
      <c r="R12" s="246">
        <v>15.1</v>
      </c>
      <c r="S12" s="246">
        <v>128</v>
      </c>
      <c r="T12" s="108">
        <f t="shared" si="1"/>
        <v>27</v>
      </c>
      <c r="U12" s="246">
        <v>138</v>
      </c>
      <c r="V12" s="109">
        <f t="shared" si="2"/>
        <v>3726</v>
      </c>
      <c r="W12" s="246">
        <v>15</v>
      </c>
      <c r="X12" s="246" t="s">
        <v>46</v>
      </c>
      <c r="Y12" s="246" t="s">
        <v>69</v>
      </c>
      <c r="Z12" s="246" t="s">
        <v>90</v>
      </c>
      <c r="AA12" s="246" t="s">
        <v>69</v>
      </c>
      <c r="AB12" s="246" t="s">
        <v>346</v>
      </c>
      <c r="AE12" s="116" t="s">
        <v>227</v>
      </c>
      <c r="AG12" s="117"/>
      <c r="AH12" s="117"/>
      <c r="AP12" s="117" t="s">
        <v>67</v>
      </c>
      <c r="AR12" s="118" t="s">
        <v>228</v>
      </c>
      <c r="AV12" s="117" t="s">
        <v>72</v>
      </c>
      <c r="AX12" s="125">
        <v>180</v>
      </c>
      <c r="AY12" s="126">
        <v>18</v>
      </c>
      <c r="AZ12" s="126">
        <v>181</v>
      </c>
      <c r="BA12" s="127">
        <v>16</v>
      </c>
    </row>
    <row r="13" spans="1:53" s="115" customFormat="1" x14ac:dyDescent="0.15">
      <c r="A13" s="246" t="s">
        <v>51</v>
      </c>
      <c r="B13" s="246" t="s">
        <v>344</v>
      </c>
      <c r="C13" s="246">
        <v>2018</v>
      </c>
      <c r="D13" s="106" t="s">
        <v>424</v>
      </c>
      <c r="E13" s="246" t="s">
        <v>202</v>
      </c>
      <c r="F13" s="246" t="s">
        <v>203</v>
      </c>
      <c r="G13" s="246" t="s">
        <v>36</v>
      </c>
      <c r="H13" s="246" t="s">
        <v>157</v>
      </c>
      <c r="I13" s="246" t="s">
        <v>155</v>
      </c>
      <c r="J13" s="246" t="s">
        <v>38</v>
      </c>
      <c r="K13" s="246" t="s">
        <v>156</v>
      </c>
      <c r="L13" s="246">
        <v>3</v>
      </c>
      <c r="M13" s="246"/>
      <c r="N13" s="246">
        <v>1</v>
      </c>
      <c r="O13" s="246">
        <v>0.25</v>
      </c>
      <c r="P13" s="246">
        <v>0.25</v>
      </c>
      <c r="Q13" s="107">
        <f t="shared" si="0"/>
        <v>0.25</v>
      </c>
      <c r="R13" s="246">
        <v>14.2</v>
      </c>
      <c r="S13" s="246">
        <v>124</v>
      </c>
      <c r="T13" s="108">
        <f t="shared" si="1"/>
        <v>27</v>
      </c>
      <c r="U13" s="246">
        <v>138</v>
      </c>
      <c r="V13" s="109">
        <f t="shared" si="2"/>
        <v>3726</v>
      </c>
      <c r="W13" s="246">
        <v>15</v>
      </c>
      <c r="X13" s="246" t="s">
        <v>46</v>
      </c>
      <c r="Y13" s="246" t="s">
        <v>69</v>
      </c>
      <c r="Z13" s="246" t="s">
        <v>90</v>
      </c>
      <c r="AA13" s="246" t="s">
        <v>69</v>
      </c>
      <c r="AB13" s="246" t="s">
        <v>346</v>
      </c>
      <c r="AE13" s="116" t="s">
        <v>229</v>
      </c>
      <c r="AG13" s="117"/>
      <c r="AH13" s="117"/>
      <c r="AP13" s="117" t="s">
        <v>71</v>
      </c>
      <c r="AR13" s="118" t="s">
        <v>224</v>
      </c>
      <c r="AV13" s="117" t="s">
        <v>75</v>
      </c>
    </row>
    <row r="14" spans="1:53" s="115" customFormat="1" x14ac:dyDescent="0.15">
      <c r="A14" s="246" t="s">
        <v>51</v>
      </c>
      <c r="B14" s="246" t="s">
        <v>344</v>
      </c>
      <c r="C14" s="246">
        <v>2018</v>
      </c>
      <c r="D14" s="106" t="s">
        <v>424</v>
      </c>
      <c r="E14" s="246" t="s">
        <v>202</v>
      </c>
      <c r="F14" s="246" t="s">
        <v>203</v>
      </c>
      <c r="G14" s="246" t="s">
        <v>36</v>
      </c>
      <c r="H14" s="246" t="s">
        <v>217</v>
      </c>
      <c r="I14" s="246" t="s">
        <v>155</v>
      </c>
      <c r="J14" s="246" t="s">
        <v>38</v>
      </c>
      <c r="K14" s="246" t="s">
        <v>156</v>
      </c>
      <c r="L14" s="246">
        <v>1</v>
      </c>
      <c r="M14" s="246"/>
      <c r="N14" s="246">
        <v>1</v>
      </c>
      <c r="O14" s="246">
        <v>0.55000000000000004</v>
      </c>
      <c r="P14" s="246">
        <v>0.5</v>
      </c>
      <c r="Q14" s="107">
        <f t="shared" si="0"/>
        <v>0.52500000000000002</v>
      </c>
      <c r="R14" s="246">
        <v>20.8</v>
      </c>
      <c r="S14" s="246">
        <v>120</v>
      </c>
      <c r="T14" s="108">
        <f t="shared" si="1"/>
        <v>30</v>
      </c>
      <c r="U14" s="246">
        <v>138</v>
      </c>
      <c r="V14" s="109">
        <f t="shared" si="2"/>
        <v>4140</v>
      </c>
      <c r="W14" s="246">
        <v>15</v>
      </c>
      <c r="X14" s="246" t="s">
        <v>46</v>
      </c>
      <c r="Y14" s="246" t="s">
        <v>69</v>
      </c>
      <c r="Z14" s="246" t="s">
        <v>90</v>
      </c>
      <c r="AA14" s="246" t="s">
        <v>69</v>
      </c>
      <c r="AB14" s="246" t="s">
        <v>346</v>
      </c>
      <c r="AE14" s="116" t="s">
        <v>96</v>
      </c>
      <c r="AG14" s="117"/>
      <c r="AH14" s="117"/>
      <c r="AP14" s="117" t="s">
        <v>74</v>
      </c>
      <c r="AR14" s="118" t="s">
        <v>230</v>
      </c>
      <c r="AV14" s="117" t="s">
        <v>78</v>
      </c>
    </row>
    <row r="15" spans="1:53" s="115" customFormat="1" x14ac:dyDescent="0.15">
      <c r="A15" s="246" t="s">
        <v>51</v>
      </c>
      <c r="B15" s="246" t="s">
        <v>344</v>
      </c>
      <c r="C15" s="246">
        <v>2018</v>
      </c>
      <c r="D15" s="106" t="s">
        <v>424</v>
      </c>
      <c r="E15" s="246" t="s">
        <v>202</v>
      </c>
      <c r="F15" s="246" t="s">
        <v>203</v>
      </c>
      <c r="G15" s="246" t="s">
        <v>36</v>
      </c>
      <c r="H15" s="246" t="s">
        <v>217</v>
      </c>
      <c r="I15" s="246" t="s">
        <v>155</v>
      </c>
      <c r="J15" s="246" t="s">
        <v>38</v>
      </c>
      <c r="K15" s="246" t="s">
        <v>156</v>
      </c>
      <c r="L15" s="246">
        <v>2</v>
      </c>
      <c r="M15" s="246"/>
      <c r="N15" s="246">
        <v>1</v>
      </c>
      <c r="O15" s="246">
        <v>0.25</v>
      </c>
      <c r="P15" s="246">
        <v>0.25</v>
      </c>
      <c r="Q15" s="107">
        <f t="shared" si="0"/>
        <v>0.25</v>
      </c>
      <c r="R15" s="246">
        <v>18.899999999999999</v>
      </c>
      <c r="S15" s="246">
        <v>130</v>
      </c>
      <c r="T15" s="108">
        <f t="shared" si="1"/>
        <v>25</v>
      </c>
      <c r="U15" s="246">
        <v>138</v>
      </c>
      <c r="V15" s="109">
        <f t="shared" si="2"/>
        <v>3450</v>
      </c>
      <c r="W15" s="246">
        <v>15</v>
      </c>
      <c r="X15" s="246" t="s">
        <v>46</v>
      </c>
      <c r="Y15" s="246" t="s">
        <v>69</v>
      </c>
      <c r="Z15" s="246" t="s">
        <v>90</v>
      </c>
      <c r="AA15" s="246" t="s">
        <v>69</v>
      </c>
      <c r="AB15" s="246" t="s">
        <v>346</v>
      </c>
      <c r="AE15" s="116" t="s">
        <v>231</v>
      </c>
      <c r="AG15" s="117"/>
      <c r="AH15" s="117"/>
      <c r="AP15" s="117" t="s">
        <v>77</v>
      </c>
      <c r="AR15" s="118" t="s">
        <v>80</v>
      </c>
      <c r="AV15" s="117" t="s">
        <v>107</v>
      </c>
    </row>
    <row r="16" spans="1:53" s="115" customFormat="1" x14ac:dyDescent="0.15">
      <c r="A16" s="246" t="s">
        <v>51</v>
      </c>
      <c r="B16" s="246" t="s">
        <v>344</v>
      </c>
      <c r="C16" s="246">
        <v>2018</v>
      </c>
      <c r="D16" s="106" t="s">
        <v>424</v>
      </c>
      <c r="E16" s="246" t="s">
        <v>202</v>
      </c>
      <c r="F16" s="246" t="s">
        <v>203</v>
      </c>
      <c r="G16" s="246" t="s">
        <v>36</v>
      </c>
      <c r="H16" s="246" t="s">
        <v>217</v>
      </c>
      <c r="I16" s="246" t="s">
        <v>155</v>
      </c>
      <c r="J16" s="246" t="s">
        <v>38</v>
      </c>
      <c r="K16" s="246" t="s">
        <v>156</v>
      </c>
      <c r="L16" s="246">
        <v>3</v>
      </c>
      <c r="M16" s="246"/>
      <c r="N16" s="246">
        <v>1</v>
      </c>
      <c r="O16" s="246">
        <v>0.25</v>
      </c>
      <c r="P16" s="246">
        <v>0.25</v>
      </c>
      <c r="Q16" s="107">
        <f t="shared" si="0"/>
        <v>0.25</v>
      </c>
      <c r="R16" s="246">
        <v>19.2</v>
      </c>
      <c r="S16" s="246">
        <v>126</v>
      </c>
      <c r="T16" s="108">
        <f t="shared" si="1"/>
        <v>27</v>
      </c>
      <c r="U16" s="246">
        <v>138</v>
      </c>
      <c r="V16" s="109">
        <f t="shared" si="2"/>
        <v>3726</v>
      </c>
      <c r="W16" s="246">
        <v>15</v>
      </c>
      <c r="X16" s="246" t="s">
        <v>46</v>
      </c>
      <c r="Y16" s="246" t="s">
        <v>69</v>
      </c>
      <c r="Z16" s="246" t="s">
        <v>90</v>
      </c>
      <c r="AA16" s="246" t="s">
        <v>69</v>
      </c>
      <c r="AB16" s="246" t="s">
        <v>346</v>
      </c>
      <c r="AE16" s="116" t="s">
        <v>232</v>
      </c>
      <c r="AG16" s="123"/>
      <c r="AH16" s="123"/>
      <c r="AP16" s="117" t="s">
        <v>80</v>
      </c>
      <c r="AR16" s="118" t="s">
        <v>63</v>
      </c>
      <c r="AV16" s="117" t="s">
        <v>84</v>
      </c>
    </row>
    <row r="17" spans="1:48" s="115" customFormat="1" x14ac:dyDescent="0.15">
      <c r="A17" s="246" t="s">
        <v>51</v>
      </c>
      <c r="B17" s="246" t="s">
        <v>344</v>
      </c>
      <c r="C17" s="246">
        <v>2018</v>
      </c>
      <c r="D17" s="106" t="s">
        <v>424</v>
      </c>
      <c r="E17" s="246" t="s">
        <v>202</v>
      </c>
      <c r="F17" s="246" t="s">
        <v>203</v>
      </c>
      <c r="G17" s="246" t="s">
        <v>36</v>
      </c>
      <c r="H17" s="246" t="s">
        <v>165</v>
      </c>
      <c r="I17" s="246" t="s">
        <v>155</v>
      </c>
      <c r="J17" s="246" t="s">
        <v>38</v>
      </c>
      <c r="K17" s="246" t="s">
        <v>156</v>
      </c>
      <c r="L17" s="246">
        <v>1</v>
      </c>
      <c r="M17" s="246"/>
      <c r="N17" s="246">
        <v>1</v>
      </c>
      <c r="O17" s="246">
        <v>0.65</v>
      </c>
      <c r="P17" s="246">
        <v>0.75</v>
      </c>
      <c r="Q17" s="107">
        <f t="shared" si="0"/>
        <v>0.7</v>
      </c>
      <c r="R17" s="246">
        <v>16.100000000000001</v>
      </c>
      <c r="S17" s="246">
        <v>132</v>
      </c>
      <c r="T17" s="108">
        <f t="shared" si="1"/>
        <v>25</v>
      </c>
      <c r="U17" s="246">
        <v>138</v>
      </c>
      <c r="V17" s="109">
        <f t="shared" si="2"/>
        <v>3450</v>
      </c>
      <c r="W17" s="246">
        <v>15</v>
      </c>
      <c r="X17" s="246" t="s">
        <v>46</v>
      </c>
      <c r="Y17" s="246" t="s">
        <v>69</v>
      </c>
      <c r="Z17" s="246" t="s">
        <v>90</v>
      </c>
      <c r="AA17" s="246" t="s">
        <v>69</v>
      </c>
      <c r="AB17" s="246" t="s">
        <v>346</v>
      </c>
      <c r="AE17" s="116" t="s">
        <v>233</v>
      </c>
      <c r="AP17" s="128" t="s">
        <v>234</v>
      </c>
      <c r="AR17" s="118" t="s">
        <v>96</v>
      </c>
      <c r="AV17" s="117" t="s">
        <v>86</v>
      </c>
    </row>
    <row r="18" spans="1:48" s="115" customFormat="1" x14ac:dyDescent="0.15">
      <c r="A18" s="246" t="s">
        <v>51</v>
      </c>
      <c r="B18" s="246" t="s">
        <v>344</v>
      </c>
      <c r="C18" s="246">
        <v>2018</v>
      </c>
      <c r="D18" s="106" t="s">
        <v>424</v>
      </c>
      <c r="E18" s="246" t="s">
        <v>202</v>
      </c>
      <c r="F18" s="246" t="s">
        <v>203</v>
      </c>
      <c r="G18" s="246" t="s">
        <v>36</v>
      </c>
      <c r="H18" s="246" t="s">
        <v>165</v>
      </c>
      <c r="I18" s="246" t="s">
        <v>155</v>
      </c>
      <c r="J18" s="246" t="s">
        <v>38</v>
      </c>
      <c r="K18" s="246" t="s">
        <v>156</v>
      </c>
      <c r="L18" s="246">
        <v>2</v>
      </c>
      <c r="M18" s="246"/>
      <c r="N18" s="246">
        <v>1</v>
      </c>
      <c r="O18" s="246">
        <v>0.7</v>
      </c>
      <c r="P18" s="246">
        <v>0.7</v>
      </c>
      <c r="Q18" s="107">
        <f t="shared" si="0"/>
        <v>0.7</v>
      </c>
      <c r="R18" s="246">
        <v>16.5</v>
      </c>
      <c r="S18" s="246">
        <v>136</v>
      </c>
      <c r="T18" s="108">
        <f t="shared" si="1"/>
        <v>25</v>
      </c>
      <c r="U18" s="246">
        <v>138</v>
      </c>
      <c r="V18" s="109">
        <f t="shared" si="2"/>
        <v>3450</v>
      </c>
      <c r="W18" s="246">
        <v>15</v>
      </c>
      <c r="X18" s="246" t="s">
        <v>46</v>
      </c>
      <c r="Y18" s="246" t="s">
        <v>69</v>
      </c>
      <c r="Z18" s="246" t="s">
        <v>90</v>
      </c>
      <c r="AA18" s="246" t="s">
        <v>69</v>
      </c>
      <c r="AB18" s="246" t="s">
        <v>346</v>
      </c>
      <c r="AE18" s="116" t="s">
        <v>226</v>
      </c>
      <c r="AP18" s="128" t="s">
        <v>235</v>
      </c>
      <c r="AR18" s="118" t="s">
        <v>101</v>
      </c>
      <c r="AV18" s="117" t="s">
        <v>88</v>
      </c>
    </row>
    <row r="19" spans="1:48" s="115" customFormat="1" x14ac:dyDescent="0.15">
      <c r="A19" s="246" t="s">
        <v>51</v>
      </c>
      <c r="B19" s="246" t="s">
        <v>344</v>
      </c>
      <c r="C19" s="246">
        <v>2018</v>
      </c>
      <c r="D19" s="106" t="s">
        <v>424</v>
      </c>
      <c r="E19" s="246" t="s">
        <v>202</v>
      </c>
      <c r="F19" s="246" t="s">
        <v>203</v>
      </c>
      <c r="G19" s="246" t="s">
        <v>36</v>
      </c>
      <c r="H19" s="246" t="s">
        <v>165</v>
      </c>
      <c r="I19" s="246" t="s">
        <v>155</v>
      </c>
      <c r="J19" s="246" t="s">
        <v>38</v>
      </c>
      <c r="K19" s="246" t="s">
        <v>156</v>
      </c>
      <c r="L19" s="246">
        <v>3</v>
      </c>
      <c r="M19" s="246"/>
      <c r="N19" s="246">
        <v>1</v>
      </c>
      <c r="O19" s="246">
        <v>0.75</v>
      </c>
      <c r="P19" s="246">
        <v>0.7</v>
      </c>
      <c r="Q19" s="107">
        <f t="shared" si="0"/>
        <v>0.72499999999999998</v>
      </c>
      <c r="R19" s="246">
        <v>17.7</v>
      </c>
      <c r="S19" s="246">
        <v>140</v>
      </c>
      <c r="T19" s="108">
        <f t="shared" si="1"/>
        <v>22</v>
      </c>
      <c r="U19" s="246">
        <v>138</v>
      </c>
      <c r="V19" s="109">
        <f t="shared" si="2"/>
        <v>3036</v>
      </c>
      <c r="W19" s="246">
        <v>15</v>
      </c>
      <c r="X19" s="246" t="s">
        <v>46</v>
      </c>
      <c r="Y19" s="246" t="s">
        <v>69</v>
      </c>
      <c r="Z19" s="246" t="s">
        <v>90</v>
      </c>
      <c r="AA19" s="246" t="s">
        <v>69</v>
      </c>
      <c r="AB19" s="246" t="s">
        <v>346</v>
      </c>
      <c r="AE19" s="129" t="s">
        <v>223</v>
      </c>
      <c r="AP19" s="128" t="s">
        <v>236</v>
      </c>
      <c r="AR19" s="118" t="s">
        <v>237</v>
      </c>
      <c r="AV19" s="117" t="s">
        <v>90</v>
      </c>
    </row>
    <row r="20" spans="1:48" s="115" customFormat="1" x14ac:dyDescent="0.15">
      <c r="A20" s="246" t="s">
        <v>51</v>
      </c>
      <c r="B20" s="246" t="s">
        <v>344</v>
      </c>
      <c r="C20" s="246">
        <v>2018</v>
      </c>
      <c r="D20" s="106" t="s">
        <v>424</v>
      </c>
      <c r="E20" s="246" t="s">
        <v>139</v>
      </c>
      <c r="F20" s="246" t="s">
        <v>425</v>
      </c>
      <c r="G20" s="246" t="s">
        <v>42</v>
      </c>
      <c r="H20" s="246" t="s">
        <v>157</v>
      </c>
      <c r="I20" s="246" t="s">
        <v>155</v>
      </c>
      <c r="J20" s="246" t="s">
        <v>38</v>
      </c>
      <c r="K20" s="246" t="s">
        <v>156</v>
      </c>
      <c r="L20" s="246">
        <v>1</v>
      </c>
      <c r="M20" s="246"/>
      <c r="N20" s="246">
        <v>1</v>
      </c>
      <c r="O20" s="246">
        <v>0.5</v>
      </c>
      <c r="P20" s="246">
        <v>0.5</v>
      </c>
      <c r="Q20" s="107">
        <f t="shared" si="0"/>
        <v>0.5</v>
      </c>
      <c r="R20" s="246">
        <v>16.2</v>
      </c>
      <c r="S20" s="246">
        <v>112</v>
      </c>
      <c r="T20" s="108">
        <f t="shared" si="1"/>
        <v>33</v>
      </c>
      <c r="U20" s="246">
        <v>128</v>
      </c>
      <c r="V20" s="109">
        <f t="shared" si="2"/>
        <v>4224</v>
      </c>
      <c r="W20" s="246">
        <v>12</v>
      </c>
      <c r="X20" s="246" t="s">
        <v>46</v>
      </c>
      <c r="Y20" s="246" t="s">
        <v>69</v>
      </c>
      <c r="Z20" s="246" t="s">
        <v>78</v>
      </c>
      <c r="AA20" s="246" t="s">
        <v>64</v>
      </c>
      <c r="AB20" s="246" t="s">
        <v>346</v>
      </c>
      <c r="AE20" s="129"/>
      <c r="AP20" s="128" t="s">
        <v>238</v>
      </c>
      <c r="AR20" s="118" t="s">
        <v>105</v>
      </c>
      <c r="AV20" s="122" t="s">
        <v>239</v>
      </c>
    </row>
    <row r="21" spans="1:48" s="115" customFormat="1" x14ac:dyDescent="0.15">
      <c r="A21" s="246" t="s">
        <v>51</v>
      </c>
      <c r="B21" s="246" t="s">
        <v>344</v>
      </c>
      <c r="C21" s="246">
        <v>2018</v>
      </c>
      <c r="D21" s="106" t="s">
        <v>424</v>
      </c>
      <c r="E21" s="246" t="s">
        <v>139</v>
      </c>
      <c r="F21" s="246" t="s">
        <v>425</v>
      </c>
      <c r="G21" s="246" t="s">
        <v>42</v>
      </c>
      <c r="H21" s="246" t="s">
        <v>157</v>
      </c>
      <c r="I21" s="246" t="s">
        <v>155</v>
      </c>
      <c r="J21" s="246" t="s">
        <v>38</v>
      </c>
      <c r="K21" s="246" t="s">
        <v>156</v>
      </c>
      <c r="L21" s="246">
        <v>2</v>
      </c>
      <c r="M21" s="246"/>
      <c r="N21" s="246">
        <v>1</v>
      </c>
      <c r="O21" s="246">
        <v>0.6</v>
      </c>
      <c r="P21" s="246">
        <v>0.55000000000000004</v>
      </c>
      <c r="Q21" s="107">
        <f t="shared" si="0"/>
        <v>0.57499999999999996</v>
      </c>
      <c r="R21" s="246">
        <v>16.399999999999999</v>
      </c>
      <c r="S21" s="246">
        <v>116</v>
      </c>
      <c r="T21" s="108">
        <f t="shared" si="1"/>
        <v>30</v>
      </c>
      <c r="U21" s="246">
        <v>128</v>
      </c>
      <c r="V21" s="109">
        <f t="shared" si="2"/>
        <v>3840</v>
      </c>
      <c r="W21" s="246">
        <v>12</v>
      </c>
      <c r="X21" s="246" t="s">
        <v>46</v>
      </c>
      <c r="Y21" s="246" t="s">
        <v>69</v>
      </c>
      <c r="Z21" s="246" t="s">
        <v>78</v>
      </c>
      <c r="AA21" s="246" t="s">
        <v>64</v>
      </c>
      <c r="AB21" s="246" t="s">
        <v>346</v>
      </c>
      <c r="AE21" s="123"/>
      <c r="AP21" s="128" t="s">
        <v>240</v>
      </c>
      <c r="AR21" s="118" t="s">
        <v>68</v>
      </c>
      <c r="AV21" s="122" t="s">
        <v>169</v>
      </c>
    </row>
    <row r="22" spans="1:48" s="115" customFormat="1" x14ac:dyDescent="0.15">
      <c r="A22" s="246" t="s">
        <v>51</v>
      </c>
      <c r="B22" s="246" t="s">
        <v>344</v>
      </c>
      <c r="C22" s="246">
        <v>2018</v>
      </c>
      <c r="D22" s="106" t="s">
        <v>424</v>
      </c>
      <c r="E22" s="246" t="s">
        <v>139</v>
      </c>
      <c r="F22" s="246" t="s">
        <v>425</v>
      </c>
      <c r="G22" s="246" t="s">
        <v>42</v>
      </c>
      <c r="H22" s="246" t="s">
        <v>157</v>
      </c>
      <c r="I22" s="246" t="s">
        <v>155</v>
      </c>
      <c r="J22" s="246" t="s">
        <v>38</v>
      </c>
      <c r="K22" s="246" t="s">
        <v>156</v>
      </c>
      <c r="L22" s="246">
        <v>3</v>
      </c>
      <c r="M22" s="246"/>
      <c r="N22" s="246">
        <v>1</v>
      </c>
      <c r="O22" s="246">
        <v>0.65</v>
      </c>
      <c r="P22" s="246">
        <v>0.6</v>
      </c>
      <c r="Q22" s="107">
        <f t="shared" si="0"/>
        <v>0.625</v>
      </c>
      <c r="R22" s="246">
        <v>15.8</v>
      </c>
      <c r="S22" s="246">
        <v>114</v>
      </c>
      <c r="T22" s="108">
        <f t="shared" si="1"/>
        <v>30</v>
      </c>
      <c r="U22" s="246">
        <v>128</v>
      </c>
      <c r="V22" s="109">
        <f t="shared" si="2"/>
        <v>3840</v>
      </c>
      <c r="W22" s="246">
        <v>12</v>
      </c>
      <c r="X22" s="246" t="s">
        <v>46</v>
      </c>
      <c r="Y22" s="246" t="s">
        <v>69</v>
      </c>
      <c r="Z22" s="246" t="s">
        <v>78</v>
      </c>
      <c r="AA22" s="246" t="s">
        <v>64</v>
      </c>
      <c r="AB22" s="246" t="s">
        <v>346</v>
      </c>
      <c r="AP22" s="128" t="s">
        <v>241</v>
      </c>
      <c r="AR22" s="118" t="s">
        <v>83</v>
      </c>
      <c r="AV22" s="122"/>
    </row>
    <row r="23" spans="1:48" s="115" customFormat="1" x14ac:dyDescent="0.15">
      <c r="A23" s="246" t="s">
        <v>51</v>
      </c>
      <c r="B23" s="246" t="s">
        <v>344</v>
      </c>
      <c r="C23" s="246">
        <v>2018</v>
      </c>
      <c r="D23" s="106" t="s">
        <v>424</v>
      </c>
      <c r="E23" s="246" t="s">
        <v>139</v>
      </c>
      <c r="F23" s="246" t="s">
        <v>425</v>
      </c>
      <c r="G23" s="246" t="s">
        <v>42</v>
      </c>
      <c r="H23" s="246" t="s">
        <v>157</v>
      </c>
      <c r="I23" s="246" t="s">
        <v>158</v>
      </c>
      <c r="J23" s="246" t="s">
        <v>38</v>
      </c>
      <c r="K23" s="246" t="s">
        <v>156</v>
      </c>
      <c r="L23" s="246">
        <v>1</v>
      </c>
      <c r="M23" s="246"/>
      <c r="N23" s="246">
        <v>2</v>
      </c>
      <c r="O23" s="246">
        <v>0.9</v>
      </c>
      <c r="P23" s="246">
        <v>0.8</v>
      </c>
      <c r="Q23" s="107">
        <f t="shared" si="0"/>
        <v>0.85000000000000009</v>
      </c>
      <c r="R23" s="246">
        <v>14</v>
      </c>
      <c r="S23" s="246">
        <v>160</v>
      </c>
      <c r="T23" s="108">
        <f t="shared" si="1"/>
        <v>18</v>
      </c>
      <c r="U23" s="246">
        <v>450</v>
      </c>
      <c r="V23" s="109">
        <f t="shared" si="2"/>
        <v>4050</v>
      </c>
      <c r="W23" s="246">
        <v>12</v>
      </c>
      <c r="X23" s="246" t="s">
        <v>46</v>
      </c>
      <c r="Y23" s="246" t="s">
        <v>69</v>
      </c>
      <c r="Z23" s="246" t="s">
        <v>78</v>
      </c>
      <c r="AA23" s="246" t="s">
        <v>64</v>
      </c>
      <c r="AB23" s="246" t="s">
        <v>346</v>
      </c>
      <c r="AP23" s="128" t="s">
        <v>242</v>
      </c>
      <c r="AR23" s="118" t="s">
        <v>61</v>
      </c>
    </row>
    <row r="24" spans="1:48" s="115" customFormat="1" x14ac:dyDescent="0.15">
      <c r="A24" s="246" t="s">
        <v>51</v>
      </c>
      <c r="B24" s="246" t="s">
        <v>344</v>
      </c>
      <c r="C24" s="246">
        <v>2018</v>
      </c>
      <c r="D24" s="106" t="s">
        <v>424</v>
      </c>
      <c r="E24" s="246" t="s">
        <v>139</v>
      </c>
      <c r="F24" s="246" t="s">
        <v>425</v>
      </c>
      <c r="G24" s="246" t="s">
        <v>42</v>
      </c>
      <c r="H24" s="246" t="s">
        <v>157</v>
      </c>
      <c r="I24" s="246" t="s">
        <v>158</v>
      </c>
      <c r="J24" s="246" t="s">
        <v>38</v>
      </c>
      <c r="K24" s="246" t="s">
        <v>156</v>
      </c>
      <c r="L24" s="246">
        <v>2</v>
      </c>
      <c r="M24" s="246"/>
      <c r="N24" s="246">
        <v>2</v>
      </c>
      <c r="O24" s="246">
        <v>0.85</v>
      </c>
      <c r="P24" s="246">
        <v>0.85</v>
      </c>
      <c r="Q24" s="107">
        <f t="shared" si="0"/>
        <v>0.85</v>
      </c>
      <c r="R24" s="246">
        <v>14.5</v>
      </c>
      <c r="S24" s="246">
        <v>160</v>
      </c>
      <c r="T24" s="108">
        <f t="shared" si="1"/>
        <v>18</v>
      </c>
      <c r="U24" s="246">
        <v>450</v>
      </c>
      <c r="V24" s="109">
        <f t="shared" si="2"/>
        <v>4050</v>
      </c>
      <c r="W24" s="246">
        <v>12</v>
      </c>
      <c r="X24" s="246" t="s">
        <v>46</v>
      </c>
      <c r="Y24" s="246" t="s">
        <v>69</v>
      </c>
      <c r="Z24" s="246" t="s">
        <v>78</v>
      </c>
      <c r="AA24" s="246" t="s">
        <v>64</v>
      </c>
      <c r="AB24" s="246" t="s">
        <v>346</v>
      </c>
      <c r="AP24" s="128" t="s">
        <v>243</v>
      </c>
      <c r="AR24" s="118" t="s">
        <v>91</v>
      </c>
    </row>
    <row r="25" spans="1:48" s="115" customFormat="1" x14ac:dyDescent="0.15">
      <c r="A25" s="246" t="s">
        <v>51</v>
      </c>
      <c r="B25" s="246" t="s">
        <v>344</v>
      </c>
      <c r="C25" s="246">
        <v>2018</v>
      </c>
      <c r="D25" s="106" t="s">
        <v>424</v>
      </c>
      <c r="E25" s="246" t="s">
        <v>139</v>
      </c>
      <c r="F25" s="246" t="s">
        <v>425</v>
      </c>
      <c r="G25" s="246" t="s">
        <v>42</v>
      </c>
      <c r="H25" s="246" t="s">
        <v>157</v>
      </c>
      <c r="I25" s="246" t="s">
        <v>158</v>
      </c>
      <c r="J25" s="246" t="s">
        <v>38</v>
      </c>
      <c r="K25" s="246" t="s">
        <v>156</v>
      </c>
      <c r="L25" s="246">
        <v>3</v>
      </c>
      <c r="M25" s="246"/>
      <c r="N25" s="246">
        <v>2</v>
      </c>
      <c r="O25" s="246">
        <v>0.85</v>
      </c>
      <c r="P25" s="246">
        <v>0.75</v>
      </c>
      <c r="Q25" s="107">
        <f t="shared" si="0"/>
        <v>0.8</v>
      </c>
      <c r="R25" s="246">
        <v>15.2</v>
      </c>
      <c r="S25" s="246">
        <v>168</v>
      </c>
      <c r="T25" s="108">
        <f t="shared" si="1"/>
        <v>18</v>
      </c>
      <c r="U25" s="246">
        <v>450</v>
      </c>
      <c r="V25" s="109">
        <f t="shared" si="2"/>
        <v>4050</v>
      </c>
      <c r="W25" s="246">
        <v>12</v>
      </c>
      <c r="X25" s="246" t="s">
        <v>46</v>
      </c>
      <c r="Y25" s="246" t="s">
        <v>69</v>
      </c>
      <c r="Z25" s="246" t="s">
        <v>78</v>
      </c>
      <c r="AA25" s="246" t="s">
        <v>64</v>
      </c>
      <c r="AB25" s="246" t="s">
        <v>346</v>
      </c>
      <c r="AP25" s="128" t="s">
        <v>244</v>
      </c>
      <c r="AR25" s="128" t="s">
        <v>51</v>
      </c>
    </row>
    <row r="26" spans="1:48" s="115" customFormat="1" x14ac:dyDescent="0.15">
      <c r="A26" s="246" t="s">
        <v>51</v>
      </c>
      <c r="B26" s="246" t="s">
        <v>344</v>
      </c>
      <c r="C26" s="246">
        <v>2018</v>
      </c>
      <c r="D26" s="106" t="s">
        <v>424</v>
      </c>
      <c r="E26" s="246" t="s">
        <v>139</v>
      </c>
      <c r="F26" s="246" t="s">
        <v>425</v>
      </c>
      <c r="G26" s="246" t="s">
        <v>42</v>
      </c>
      <c r="H26" s="246" t="s">
        <v>165</v>
      </c>
      <c r="I26" s="246" t="s">
        <v>155</v>
      </c>
      <c r="J26" s="246" t="s">
        <v>38</v>
      </c>
      <c r="K26" s="246" t="s">
        <v>156</v>
      </c>
      <c r="L26" s="246">
        <v>1</v>
      </c>
      <c r="M26" s="246"/>
      <c r="N26" s="246">
        <v>1</v>
      </c>
      <c r="O26" s="246">
        <v>1.1000000000000001</v>
      </c>
      <c r="P26" s="246">
        <v>1.1499999999999999</v>
      </c>
      <c r="Q26" s="107">
        <f t="shared" si="0"/>
        <v>1.125</v>
      </c>
      <c r="R26" s="246">
        <v>15.6</v>
      </c>
      <c r="S26" s="246">
        <v>142</v>
      </c>
      <c r="T26" s="108">
        <f t="shared" si="1"/>
        <v>22</v>
      </c>
      <c r="U26" s="246">
        <v>138</v>
      </c>
      <c r="V26" s="109">
        <f t="shared" si="2"/>
        <v>3036</v>
      </c>
      <c r="W26" s="246">
        <v>12</v>
      </c>
      <c r="X26" s="246" t="s">
        <v>46</v>
      </c>
      <c r="Y26" s="246" t="s">
        <v>69</v>
      </c>
      <c r="Z26" s="246" t="s">
        <v>78</v>
      </c>
      <c r="AA26" s="246" t="s">
        <v>64</v>
      </c>
      <c r="AB26" s="246" t="s">
        <v>346</v>
      </c>
      <c r="AP26" s="128" t="s">
        <v>245</v>
      </c>
      <c r="AR26" s="115" t="s">
        <v>426</v>
      </c>
    </row>
    <row r="27" spans="1:48" s="115" customFormat="1" x14ac:dyDescent="0.15">
      <c r="A27" s="246" t="s">
        <v>51</v>
      </c>
      <c r="B27" s="246" t="s">
        <v>344</v>
      </c>
      <c r="C27" s="246">
        <v>2018</v>
      </c>
      <c r="D27" s="106" t="s">
        <v>424</v>
      </c>
      <c r="E27" s="246" t="s">
        <v>139</v>
      </c>
      <c r="F27" s="246" t="s">
        <v>425</v>
      </c>
      <c r="G27" s="246" t="s">
        <v>42</v>
      </c>
      <c r="H27" s="246" t="s">
        <v>165</v>
      </c>
      <c r="I27" s="246" t="s">
        <v>155</v>
      </c>
      <c r="J27" s="246" t="s">
        <v>38</v>
      </c>
      <c r="K27" s="246" t="s">
        <v>156</v>
      </c>
      <c r="L27" s="246">
        <v>2</v>
      </c>
      <c r="M27" s="246"/>
      <c r="N27" s="246">
        <v>1</v>
      </c>
      <c r="O27" s="246">
        <v>1.05</v>
      </c>
      <c r="P27" s="246">
        <v>1</v>
      </c>
      <c r="Q27" s="107">
        <f t="shared" si="0"/>
        <v>1.0249999999999999</v>
      </c>
      <c r="R27" s="246">
        <v>16.7</v>
      </c>
      <c r="S27" s="246">
        <v>152</v>
      </c>
      <c r="T27" s="108">
        <f t="shared" si="1"/>
        <v>18</v>
      </c>
      <c r="U27" s="246">
        <v>138</v>
      </c>
      <c r="V27" s="109">
        <f t="shared" si="2"/>
        <v>2484</v>
      </c>
      <c r="W27" s="246">
        <v>12</v>
      </c>
      <c r="X27" s="246" t="s">
        <v>46</v>
      </c>
      <c r="Y27" s="246" t="s">
        <v>69</v>
      </c>
      <c r="Z27" s="246" t="s">
        <v>78</v>
      </c>
      <c r="AA27" s="246" t="s">
        <v>64</v>
      </c>
      <c r="AB27" s="246" t="s">
        <v>346</v>
      </c>
      <c r="AP27" s="128" t="s">
        <v>246</v>
      </c>
    </row>
    <row r="28" spans="1:48" s="115" customFormat="1" x14ac:dyDescent="0.15">
      <c r="A28" s="246" t="s">
        <v>51</v>
      </c>
      <c r="B28" s="246" t="s">
        <v>344</v>
      </c>
      <c r="C28" s="246">
        <v>2018</v>
      </c>
      <c r="D28" s="106" t="s">
        <v>424</v>
      </c>
      <c r="E28" s="246" t="s">
        <v>139</v>
      </c>
      <c r="F28" s="246" t="s">
        <v>425</v>
      </c>
      <c r="G28" s="246" t="s">
        <v>42</v>
      </c>
      <c r="H28" s="246" t="s">
        <v>165</v>
      </c>
      <c r="I28" s="246" t="s">
        <v>155</v>
      </c>
      <c r="J28" s="246" t="s">
        <v>38</v>
      </c>
      <c r="K28" s="246" t="s">
        <v>156</v>
      </c>
      <c r="L28" s="246">
        <v>3</v>
      </c>
      <c r="M28" s="246"/>
      <c r="N28" s="246">
        <v>1</v>
      </c>
      <c r="O28" s="246">
        <v>1.1000000000000001</v>
      </c>
      <c r="P28" s="246">
        <v>1.05</v>
      </c>
      <c r="Q28" s="107">
        <f t="shared" si="0"/>
        <v>1.0750000000000002</v>
      </c>
      <c r="R28" s="246">
        <v>16.3</v>
      </c>
      <c r="S28" s="246">
        <v>152</v>
      </c>
      <c r="T28" s="108">
        <f t="shared" si="1"/>
        <v>18</v>
      </c>
      <c r="U28" s="246">
        <v>138</v>
      </c>
      <c r="V28" s="109">
        <f t="shared" si="2"/>
        <v>2484</v>
      </c>
      <c r="W28" s="246">
        <v>12</v>
      </c>
      <c r="X28" s="246" t="s">
        <v>46</v>
      </c>
      <c r="Y28" s="246" t="s">
        <v>69</v>
      </c>
      <c r="Z28" s="246" t="s">
        <v>78</v>
      </c>
      <c r="AA28" s="246" t="s">
        <v>64</v>
      </c>
      <c r="AB28" s="246" t="s">
        <v>346</v>
      </c>
    </row>
    <row r="29" spans="1:48" s="115" customFormat="1" x14ac:dyDescent="0.15">
      <c r="A29" s="246" t="s">
        <v>51</v>
      </c>
      <c r="B29" s="246" t="s">
        <v>344</v>
      </c>
      <c r="C29" s="246">
        <v>2018</v>
      </c>
      <c r="D29" s="106" t="s">
        <v>424</v>
      </c>
      <c r="E29" s="246" t="s">
        <v>139</v>
      </c>
      <c r="F29" s="246" t="s">
        <v>425</v>
      </c>
      <c r="G29" s="246" t="s">
        <v>42</v>
      </c>
      <c r="H29" s="246" t="s">
        <v>165</v>
      </c>
      <c r="I29" s="246" t="s">
        <v>158</v>
      </c>
      <c r="J29" s="246" t="s">
        <v>38</v>
      </c>
      <c r="K29" s="246" t="s">
        <v>156</v>
      </c>
      <c r="L29" s="246">
        <v>1</v>
      </c>
      <c r="M29" s="246"/>
      <c r="N29" s="246">
        <v>2</v>
      </c>
      <c r="O29" s="246">
        <v>0.5</v>
      </c>
      <c r="P29" s="246">
        <v>0.55000000000000004</v>
      </c>
      <c r="Q29" s="107">
        <f t="shared" si="0"/>
        <v>0.52500000000000002</v>
      </c>
      <c r="R29" s="246">
        <v>17.8</v>
      </c>
      <c r="S29" s="246">
        <v>146</v>
      </c>
      <c r="T29" s="108">
        <f t="shared" si="1"/>
        <v>22</v>
      </c>
      <c r="U29" s="246">
        <v>450</v>
      </c>
      <c r="V29" s="109">
        <f t="shared" si="2"/>
        <v>4950</v>
      </c>
      <c r="W29" s="246">
        <v>12</v>
      </c>
      <c r="X29" s="246" t="s">
        <v>46</v>
      </c>
      <c r="Y29" s="246" t="s">
        <v>69</v>
      </c>
      <c r="Z29" s="246" t="s">
        <v>78</v>
      </c>
      <c r="AA29" s="246" t="s">
        <v>64</v>
      </c>
      <c r="AB29" s="246" t="s">
        <v>346</v>
      </c>
    </row>
    <row r="30" spans="1:48" s="115" customFormat="1" x14ac:dyDescent="0.15">
      <c r="A30" s="246" t="s">
        <v>51</v>
      </c>
      <c r="B30" s="246" t="s">
        <v>344</v>
      </c>
      <c r="C30" s="246">
        <v>2018</v>
      </c>
      <c r="D30" s="106" t="s">
        <v>424</v>
      </c>
      <c r="E30" s="246" t="s">
        <v>139</v>
      </c>
      <c r="F30" s="246" t="s">
        <v>425</v>
      </c>
      <c r="G30" s="246" t="s">
        <v>42</v>
      </c>
      <c r="H30" s="246" t="s">
        <v>165</v>
      </c>
      <c r="I30" s="246" t="s">
        <v>158</v>
      </c>
      <c r="J30" s="246" t="s">
        <v>38</v>
      </c>
      <c r="K30" s="246" t="s">
        <v>156</v>
      </c>
      <c r="L30" s="246">
        <v>2</v>
      </c>
      <c r="M30" s="246"/>
      <c r="N30" s="246">
        <v>2</v>
      </c>
      <c r="O30" s="246">
        <v>0.65</v>
      </c>
      <c r="P30" s="246">
        <v>0.6</v>
      </c>
      <c r="Q30" s="107">
        <f t="shared" si="0"/>
        <v>0.625</v>
      </c>
      <c r="R30" s="246">
        <v>18.2</v>
      </c>
      <c r="S30" s="246">
        <v>158</v>
      </c>
      <c r="T30" s="108">
        <f t="shared" si="1"/>
        <v>18</v>
      </c>
      <c r="U30" s="246">
        <v>450</v>
      </c>
      <c r="V30" s="109">
        <f t="shared" si="2"/>
        <v>4050</v>
      </c>
      <c r="W30" s="246">
        <v>12</v>
      </c>
      <c r="X30" s="246" t="s">
        <v>46</v>
      </c>
      <c r="Y30" s="246" t="s">
        <v>69</v>
      </c>
      <c r="Z30" s="246" t="s">
        <v>78</v>
      </c>
      <c r="AA30" s="246" t="s">
        <v>64</v>
      </c>
      <c r="AB30" s="246" t="s">
        <v>346</v>
      </c>
    </row>
    <row r="31" spans="1:48" s="115" customFormat="1" x14ac:dyDescent="0.15">
      <c r="A31" s="246" t="s">
        <v>51</v>
      </c>
      <c r="B31" s="246" t="s">
        <v>344</v>
      </c>
      <c r="C31" s="246">
        <v>2018</v>
      </c>
      <c r="D31" s="106" t="s">
        <v>424</v>
      </c>
      <c r="E31" s="246" t="s">
        <v>139</v>
      </c>
      <c r="F31" s="246" t="s">
        <v>425</v>
      </c>
      <c r="G31" s="246" t="s">
        <v>42</v>
      </c>
      <c r="H31" s="246" t="s">
        <v>165</v>
      </c>
      <c r="I31" s="246" t="s">
        <v>158</v>
      </c>
      <c r="J31" s="246" t="s">
        <v>38</v>
      </c>
      <c r="K31" s="246" t="s">
        <v>156</v>
      </c>
      <c r="L31" s="246">
        <v>3</v>
      </c>
      <c r="M31" s="246"/>
      <c r="N31" s="246">
        <v>2</v>
      </c>
      <c r="O31" s="246">
        <v>0.65</v>
      </c>
      <c r="P31" s="246">
        <v>0.7</v>
      </c>
      <c r="Q31" s="107">
        <f t="shared" si="0"/>
        <v>0.67500000000000004</v>
      </c>
      <c r="R31" s="246">
        <v>17.399999999999999</v>
      </c>
      <c r="S31" s="246">
        <v>156</v>
      </c>
      <c r="T31" s="108">
        <f t="shared" si="1"/>
        <v>18</v>
      </c>
      <c r="U31" s="246">
        <v>450</v>
      </c>
      <c r="V31" s="109">
        <f t="shared" si="2"/>
        <v>4050</v>
      </c>
      <c r="W31" s="246">
        <v>12</v>
      </c>
      <c r="X31" s="246" t="s">
        <v>46</v>
      </c>
      <c r="Y31" s="246" t="s">
        <v>69</v>
      </c>
      <c r="Z31" s="246" t="s">
        <v>78</v>
      </c>
      <c r="AA31" s="246" t="s">
        <v>64</v>
      </c>
      <c r="AB31" s="246" t="s">
        <v>346</v>
      </c>
    </row>
    <row r="32" spans="1:48" s="115" customFormat="1" x14ac:dyDescent="0.15">
      <c r="A32" s="246" t="s">
        <v>51</v>
      </c>
      <c r="B32" s="246" t="s">
        <v>344</v>
      </c>
      <c r="C32" s="246">
        <v>2018</v>
      </c>
      <c r="D32" s="106" t="s">
        <v>424</v>
      </c>
      <c r="E32" s="246" t="s">
        <v>213</v>
      </c>
      <c r="F32" s="246" t="s">
        <v>214</v>
      </c>
      <c r="G32" s="246" t="s">
        <v>36</v>
      </c>
      <c r="H32" s="246" t="s">
        <v>157</v>
      </c>
      <c r="I32" s="246" t="s">
        <v>155</v>
      </c>
      <c r="J32" s="246" t="s">
        <v>38</v>
      </c>
      <c r="K32" s="246" t="s">
        <v>156</v>
      </c>
      <c r="L32" s="246">
        <v>1</v>
      </c>
      <c r="M32" s="246"/>
      <c r="N32" s="246">
        <v>1</v>
      </c>
      <c r="O32" s="246">
        <v>0.75</v>
      </c>
      <c r="P32" s="246">
        <v>0.95</v>
      </c>
      <c r="Q32" s="107">
        <f t="shared" si="0"/>
        <v>0.85</v>
      </c>
      <c r="R32" s="246">
        <v>14.9</v>
      </c>
      <c r="S32" s="246">
        <v>138</v>
      </c>
      <c r="T32" s="108">
        <f t="shared" si="1"/>
        <v>22</v>
      </c>
      <c r="U32" s="246">
        <v>98</v>
      </c>
      <c r="V32" s="109">
        <f t="shared" si="2"/>
        <v>2156</v>
      </c>
      <c r="W32" s="246">
        <v>18</v>
      </c>
      <c r="X32" s="246" t="s">
        <v>46</v>
      </c>
      <c r="Y32" s="246" t="s">
        <v>69</v>
      </c>
      <c r="Z32" s="246" t="s">
        <v>55</v>
      </c>
      <c r="AA32" s="246" t="s">
        <v>97</v>
      </c>
      <c r="AB32" s="246" t="s">
        <v>346</v>
      </c>
    </row>
    <row r="33" spans="1:28" s="115" customFormat="1" x14ac:dyDescent="0.15">
      <c r="A33" s="246" t="s">
        <v>51</v>
      </c>
      <c r="B33" s="246" t="s">
        <v>344</v>
      </c>
      <c r="C33" s="246">
        <v>2018</v>
      </c>
      <c r="D33" s="106" t="s">
        <v>424</v>
      </c>
      <c r="E33" s="246" t="s">
        <v>213</v>
      </c>
      <c r="F33" s="246" t="s">
        <v>214</v>
      </c>
      <c r="G33" s="246" t="s">
        <v>36</v>
      </c>
      <c r="H33" s="246" t="s">
        <v>157</v>
      </c>
      <c r="I33" s="246" t="s">
        <v>155</v>
      </c>
      <c r="J33" s="246" t="s">
        <v>38</v>
      </c>
      <c r="K33" s="246" t="s">
        <v>156</v>
      </c>
      <c r="L33" s="246">
        <v>2</v>
      </c>
      <c r="M33" s="246"/>
      <c r="N33" s="246">
        <v>1</v>
      </c>
      <c r="O33" s="246">
        <v>0.8</v>
      </c>
      <c r="P33" s="246">
        <v>0.75</v>
      </c>
      <c r="Q33" s="107">
        <f t="shared" si="0"/>
        <v>0.77500000000000002</v>
      </c>
      <c r="R33" s="246">
        <v>14.5</v>
      </c>
      <c r="S33" s="246">
        <v>136</v>
      </c>
      <c r="T33" s="108">
        <f t="shared" si="1"/>
        <v>25</v>
      </c>
      <c r="U33" s="246">
        <v>98</v>
      </c>
      <c r="V33" s="109">
        <f t="shared" si="2"/>
        <v>2450</v>
      </c>
      <c r="W33" s="246">
        <v>18</v>
      </c>
      <c r="X33" s="246" t="s">
        <v>46</v>
      </c>
      <c r="Y33" s="246" t="s">
        <v>69</v>
      </c>
      <c r="Z33" s="246" t="s">
        <v>55</v>
      </c>
      <c r="AA33" s="246" t="s">
        <v>97</v>
      </c>
      <c r="AB33" s="246" t="s">
        <v>346</v>
      </c>
    </row>
    <row r="34" spans="1:28" s="115" customFormat="1" x14ac:dyDescent="0.15">
      <c r="A34" s="246" t="s">
        <v>51</v>
      </c>
      <c r="B34" s="246" t="s">
        <v>344</v>
      </c>
      <c r="C34" s="246">
        <v>2018</v>
      </c>
      <c r="D34" s="106" t="s">
        <v>424</v>
      </c>
      <c r="E34" s="246" t="s">
        <v>213</v>
      </c>
      <c r="F34" s="246" t="s">
        <v>214</v>
      </c>
      <c r="G34" s="246" t="s">
        <v>36</v>
      </c>
      <c r="H34" s="246" t="s">
        <v>157</v>
      </c>
      <c r="I34" s="246" t="s">
        <v>155</v>
      </c>
      <c r="J34" s="246" t="s">
        <v>38</v>
      </c>
      <c r="K34" s="246" t="s">
        <v>156</v>
      </c>
      <c r="L34" s="246">
        <v>3</v>
      </c>
      <c r="M34" s="246"/>
      <c r="N34" s="246">
        <v>1</v>
      </c>
      <c r="O34" s="246">
        <v>0.75</v>
      </c>
      <c r="P34" s="246">
        <v>0.8</v>
      </c>
      <c r="Q34" s="107">
        <f t="shared" si="0"/>
        <v>0.77500000000000002</v>
      </c>
      <c r="R34" s="246">
        <v>15.1</v>
      </c>
      <c r="S34" s="246">
        <v>144</v>
      </c>
      <c r="T34" s="108">
        <f t="shared" si="1"/>
        <v>22</v>
      </c>
      <c r="U34" s="246">
        <v>98</v>
      </c>
      <c r="V34" s="109">
        <f t="shared" si="2"/>
        <v>2156</v>
      </c>
      <c r="W34" s="246">
        <v>18</v>
      </c>
      <c r="X34" s="246" t="s">
        <v>46</v>
      </c>
      <c r="Y34" s="246" t="s">
        <v>69</v>
      </c>
      <c r="Z34" s="246" t="s">
        <v>55</v>
      </c>
      <c r="AA34" s="246" t="s">
        <v>97</v>
      </c>
      <c r="AB34" s="246" t="s">
        <v>346</v>
      </c>
    </row>
    <row r="35" spans="1:28" s="115" customFormat="1" x14ac:dyDescent="0.15">
      <c r="A35" s="246" t="s">
        <v>51</v>
      </c>
      <c r="B35" s="246" t="s">
        <v>344</v>
      </c>
      <c r="C35" s="246">
        <v>2018</v>
      </c>
      <c r="D35" s="106" t="s">
        <v>424</v>
      </c>
      <c r="E35" s="246" t="s">
        <v>213</v>
      </c>
      <c r="F35" s="246" t="s">
        <v>214</v>
      </c>
      <c r="G35" s="246" t="s">
        <v>36</v>
      </c>
      <c r="H35" s="246" t="s">
        <v>165</v>
      </c>
      <c r="I35" s="246" t="s">
        <v>155</v>
      </c>
      <c r="J35" s="246" t="s">
        <v>38</v>
      </c>
      <c r="K35" s="246" t="s">
        <v>156</v>
      </c>
      <c r="L35" s="246">
        <v>1</v>
      </c>
      <c r="M35" s="246"/>
      <c r="N35" s="246">
        <v>1</v>
      </c>
      <c r="O35" s="246">
        <v>0.6</v>
      </c>
      <c r="P35" s="246">
        <v>0.7</v>
      </c>
      <c r="Q35" s="107">
        <f t="shared" si="0"/>
        <v>0.64999999999999991</v>
      </c>
      <c r="R35" s="246">
        <v>15.8</v>
      </c>
      <c r="S35" s="246">
        <v>150</v>
      </c>
      <c r="T35" s="108">
        <f t="shared" si="1"/>
        <v>22</v>
      </c>
      <c r="U35" s="246">
        <v>98</v>
      </c>
      <c r="V35" s="109">
        <f t="shared" si="2"/>
        <v>2156</v>
      </c>
      <c r="W35" s="246">
        <v>18</v>
      </c>
      <c r="X35" s="246" t="s">
        <v>46</v>
      </c>
      <c r="Y35" s="246" t="s">
        <v>69</v>
      </c>
      <c r="Z35" s="246" t="s">
        <v>55</v>
      </c>
      <c r="AA35" s="246" t="s">
        <v>97</v>
      </c>
      <c r="AB35" s="246" t="s">
        <v>346</v>
      </c>
    </row>
    <row r="36" spans="1:28" s="115" customFormat="1" x14ac:dyDescent="0.15">
      <c r="A36" s="246" t="s">
        <v>51</v>
      </c>
      <c r="B36" s="246" t="s">
        <v>344</v>
      </c>
      <c r="C36" s="246">
        <v>2018</v>
      </c>
      <c r="D36" s="106" t="s">
        <v>424</v>
      </c>
      <c r="E36" s="246" t="s">
        <v>213</v>
      </c>
      <c r="F36" s="246" t="s">
        <v>214</v>
      </c>
      <c r="G36" s="246" t="s">
        <v>36</v>
      </c>
      <c r="H36" s="246" t="s">
        <v>165</v>
      </c>
      <c r="I36" s="246" t="s">
        <v>155</v>
      </c>
      <c r="J36" s="246" t="s">
        <v>38</v>
      </c>
      <c r="K36" s="246" t="s">
        <v>156</v>
      </c>
      <c r="L36" s="246">
        <v>2</v>
      </c>
      <c r="M36" s="246"/>
      <c r="N36" s="246">
        <v>1</v>
      </c>
      <c r="O36" s="246">
        <v>0.65</v>
      </c>
      <c r="P36" s="246">
        <v>0.55000000000000004</v>
      </c>
      <c r="Q36" s="107">
        <f t="shared" si="0"/>
        <v>0.60000000000000009</v>
      </c>
      <c r="R36" s="246">
        <v>15.2</v>
      </c>
      <c r="S36" s="246">
        <v>148</v>
      </c>
      <c r="T36" s="108">
        <f t="shared" si="1"/>
        <v>22</v>
      </c>
      <c r="U36" s="246">
        <v>98</v>
      </c>
      <c r="V36" s="109">
        <f t="shared" si="2"/>
        <v>2156</v>
      </c>
      <c r="W36" s="246">
        <v>18</v>
      </c>
      <c r="X36" s="246" t="s">
        <v>46</v>
      </c>
      <c r="Y36" s="246" t="s">
        <v>69</v>
      </c>
      <c r="Z36" s="246" t="s">
        <v>55</v>
      </c>
      <c r="AA36" s="246" t="s">
        <v>97</v>
      </c>
      <c r="AB36" s="246" t="s">
        <v>346</v>
      </c>
    </row>
    <row r="37" spans="1:28" s="115" customFormat="1" x14ac:dyDescent="0.15">
      <c r="A37" s="246" t="s">
        <v>51</v>
      </c>
      <c r="B37" s="246" t="s">
        <v>344</v>
      </c>
      <c r="C37" s="246">
        <v>2018</v>
      </c>
      <c r="D37" s="106" t="s">
        <v>424</v>
      </c>
      <c r="E37" s="246" t="s">
        <v>213</v>
      </c>
      <c r="F37" s="246" t="s">
        <v>214</v>
      </c>
      <c r="G37" s="246" t="s">
        <v>36</v>
      </c>
      <c r="H37" s="246" t="s">
        <v>165</v>
      </c>
      <c r="I37" s="246" t="s">
        <v>155</v>
      </c>
      <c r="J37" s="246" t="s">
        <v>38</v>
      </c>
      <c r="K37" s="246" t="s">
        <v>156</v>
      </c>
      <c r="L37" s="246">
        <v>3</v>
      </c>
      <c r="M37" s="246"/>
      <c r="N37" s="246">
        <v>1</v>
      </c>
      <c r="O37" s="246">
        <v>0.6</v>
      </c>
      <c r="P37" s="246">
        <v>0.65</v>
      </c>
      <c r="Q37" s="107">
        <f t="shared" si="0"/>
        <v>0.625</v>
      </c>
      <c r="R37" s="246">
        <v>14.3</v>
      </c>
      <c r="S37" s="246">
        <v>144</v>
      </c>
      <c r="T37" s="108">
        <f t="shared" si="1"/>
        <v>22</v>
      </c>
      <c r="U37" s="246">
        <v>98</v>
      </c>
      <c r="V37" s="109">
        <f t="shared" si="2"/>
        <v>2156</v>
      </c>
      <c r="W37" s="246">
        <v>18</v>
      </c>
      <c r="X37" s="246" t="s">
        <v>46</v>
      </c>
      <c r="Y37" s="246" t="s">
        <v>69</v>
      </c>
      <c r="Z37" s="246" t="s">
        <v>55</v>
      </c>
      <c r="AA37" s="246" t="s">
        <v>97</v>
      </c>
      <c r="AB37" s="246" t="s">
        <v>346</v>
      </c>
    </row>
    <row r="38" spans="1:28" s="115" customFormat="1" x14ac:dyDescent="0.15">
      <c r="A38" s="246" t="s">
        <v>51</v>
      </c>
      <c r="B38" s="246" t="s">
        <v>344</v>
      </c>
      <c r="C38" s="246">
        <v>2018</v>
      </c>
      <c r="D38" s="106" t="s">
        <v>424</v>
      </c>
      <c r="E38" s="246" t="s">
        <v>213</v>
      </c>
      <c r="F38" s="246" t="s">
        <v>214</v>
      </c>
      <c r="G38" s="246" t="s">
        <v>36</v>
      </c>
      <c r="H38" s="246" t="s">
        <v>165</v>
      </c>
      <c r="I38" s="246" t="s">
        <v>158</v>
      </c>
      <c r="J38" s="246" t="s">
        <v>38</v>
      </c>
      <c r="K38" s="246" t="s">
        <v>156</v>
      </c>
      <c r="L38" s="246">
        <v>1</v>
      </c>
      <c r="M38" s="246"/>
      <c r="N38" s="246">
        <v>1</v>
      </c>
      <c r="O38" s="246">
        <v>0.65</v>
      </c>
      <c r="P38" s="246">
        <v>0.7</v>
      </c>
      <c r="Q38" s="107">
        <f t="shared" si="0"/>
        <v>0.67500000000000004</v>
      </c>
      <c r="R38" s="246">
        <v>17.100000000000001</v>
      </c>
      <c r="S38" s="246">
        <v>142</v>
      </c>
      <c r="T38" s="108">
        <f t="shared" si="1"/>
        <v>22</v>
      </c>
      <c r="U38" s="246">
        <v>98</v>
      </c>
      <c r="V38" s="109">
        <f t="shared" si="2"/>
        <v>2156</v>
      </c>
      <c r="W38" s="246">
        <v>18</v>
      </c>
      <c r="X38" s="246" t="s">
        <v>46</v>
      </c>
      <c r="Y38" s="246" t="s">
        <v>69</v>
      </c>
      <c r="Z38" s="246" t="s">
        <v>55</v>
      </c>
      <c r="AA38" s="246" t="s">
        <v>97</v>
      </c>
      <c r="AB38" s="246" t="s">
        <v>346</v>
      </c>
    </row>
    <row r="39" spans="1:28" s="115" customFormat="1" x14ac:dyDescent="0.15">
      <c r="A39" s="246" t="s">
        <v>51</v>
      </c>
      <c r="B39" s="246" t="s">
        <v>344</v>
      </c>
      <c r="C39" s="246">
        <v>2018</v>
      </c>
      <c r="D39" s="106" t="s">
        <v>424</v>
      </c>
      <c r="E39" s="246" t="s">
        <v>213</v>
      </c>
      <c r="F39" s="246" t="s">
        <v>214</v>
      </c>
      <c r="G39" s="246" t="s">
        <v>36</v>
      </c>
      <c r="H39" s="246" t="s">
        <v>165</v>
      </c>
      <c r="I39" s="246" t="s">
        <v>158</v>
      </c>
      <c r="J39" s="246" t="s">
        <v>38</v>
      </c>
      <c r="K39" s="246" t="s">
        <v>156</v>
      </c>
      <c r="L39" s="246">
        <v>2</v>
      </c>
      <c r="M39" s="246"/>
      <c r="N39" s="246">
        <v>1</v>
      </c>
      <c r="O39" s="246">
        <v>0.6</v>
      </c>
      <c r="P39" s="246">
        <v>0.6</v>
      </c>
      <c r="Q39" s="107">
        <f t="shared" si="0"/>
        <v>0.6</v>
      </c>
      <c r="R39" s="246">
        <v>16.5</v>
      </c>
      <c r="S39" s="246">
        <v>136</v>
      </c>
      <c r="T39" s="108">
        <f t="shared" si="1"/>
        <v>25</v>
      </c>
      <c r="U39" s="246">
        <v>98</v>
      </c>
      <c r="V39" s="109">
        <f t="shared" si="2"/>
        <v>2450</v>
      </c>
      <c r="W39" s="246">
        <v>18</v>
      </c>
      <c r="X39" s="246" t="s">
        <v>46</v>
      </c>
      <c r="Y39" s="246" t="s">
        <v>69</v>
      </c>
      <c r="Z39" s="246" t="s">
        <v>55</v>
      </c>
      <c r="AA39" s="246" t="s">
        <v>97</v>
      </c>
      <c r="AB39" s="246" t="s">
        <v>346</v>
      </c>
    </row>
    <row r="40" spans="1:28" s="115" customFormat="1" x14ac:dyDescent="0.15">
      <c r="A40" s="246" t="s">
        <v>51</v>
      </c>
      <c r="B40" s="246" t="s">
        <v>344</v>
      </c>
      <c r="C40" s="246">
        <v>2018</v>
      </c>
      <c r="D40" s="106" t="s">
        <v>424</v>
      </c>
      <c r="E40" s="246" t="s">
        <v>213</v>
      </c>
      <c r="F40" s="246" t="s">
        <v>214</v>
      </c>
      <c r="G40" s="246" t="s">
        <v>36</v>
      </c>
      <c r="H40" s="246" t="s">
        <v>165</v>
      </c>
      <c r="I40" s="246" t="s">
        <v>158</v>
      </c>
      <c r="J40" s="246" t="s">
        <v>38</v>
      </c>
      <c r="K40" s="246" t="s">
        <v>156</v>
      </c>
      <c r="L40" s="246">
        <v>3</v>
      </c>
      <c r="M40" s="246"/>
      <c r="N40" s="246">
        <v>1</v>
      </c>
      <c r="O40" s="246">
        <v>0.7</v>
      </c>
      <c r="P40" s="246">
        <v>0.75</v>
      </c>
      <c r="Q40" s="107">
        <f t="shared" si="0"/>
        <v>0.72499999999999998</v>
      </c>
      <c r="R40" s="246">
        <v>17.3</v>
      </c>
      <c r="S40" s="246">
        <v>142</v>
      </c>
      <c r="T40" s="108">
        <f t="shared" si="1"/>
        <v>22</v>
      </c>
      <c r="U40" s="246">
        <v>98</v>
      </c>
      <c r="V40" s="109">
        <f t="shared" si="2"/>
        <v>2156</v>
      </c>
      <c r="W40" s="246">
        <v>18</v>
      </c>
      <c r="X40" s="246" t="s">
        <v>46</v>
      </c>
      <c r="Y40" s="246" t="s">
        <v>69</v>
      </c>
      <c r="Z40" s="246" t="s">
        <v>55</v>
      </c>
      <c r="AA40" s="246" t="s">
        <v>97</v>
      </c>
      <c r="AB40" s="246" t="s">
        <v>346</v>
      </c>
    </row>
    <row r="41" spans="1:28" s="115" customFormat="1" x14ac:dyDescent="0.15">
      <c r="A41" s="246" t="s">
        <v>51</v>
      </c>
      <c r="B41" s="246" t="s">
        <v>344</v>
      </c>
      <c r="C41" s="246">
        <v>2018</v>
      </c>
      <c r="D41" s="106" t="s">
        <v>424</v>
      </c>
      <c r="E41" s="246" t="s">
        <v>170</v>
      </c>
      <c r="F41" s="246" t="s">
        <v>200</v>
      </c>
      <c r="G41" s="246" t="s">
        <v>42</v>
      </c>
      <c r="H41" s="246" t="s">
        <v>157</v>
      </c>
      <c r="I41" s="246" t="s">
        <v>155</v>
      </c>
      <c r="J41" s="246" t="s">
        <v>38</v>
      </c>
      <c r="K41" s="246" t="s">
        <v>156</v>
      </c>
      <c r="L41" s="246">
        <v>1</v>
      </c>
      <c r="M41" s="246"/>
      <c r="N41" s="246">
        <v>3</v>
      </c>
      <c r="O41" s="246">
        <v>0.8</v>
      </c>
      <c r="P41" s="246">
        <v>1</v>
      </c>
      <c r="Q41" s="107">
        <f t="shared" si="0"/>
        <v>0.9</v>
      </c>
      <c r="R41" s="246">
        <v>13</v>
      </c>
      <c r="S41" s="246">
        <v>144</v>
      </c>
      <c r="T41" s="108">
        <f t="shared" si="1"/>
        <v>22</v>
      </c>
      <c r="U41" s="246">
        <v>330</v>
      </c>
      <c r="V41" s="109">
        <f t="shared" si="2"/>
        <v>2420</v>
      </c>
      <c r="W41" s="246">
        <v>18</v>
      </c>
      <c r="X41" s="246" t="s">
        <v>46</v>
      </c>
      <c r="Y41" s="246" t="s">
        <v>69</v>
      </c>
      <c r="Z41" s="246" t="s">
        <v>97</v>
      </c>
      <c r="AA41" s="246" t="s">
        <v>78</v>
      </c>
      <c r="AB41" s="246" t="s">
        <v>346</v>
      </c>
    </row>
    <row r="42" spans="1:28" s="115" customFormat="1" x14ac:dyDescent="0.15">
      <c r="A42" s="246" t="s">
        <v>51</v>
      </c>
      <c r="B42" s="246" t="s">
        <v>344</v>
      </c>
      <c r="C42" s="246">
        <v>2018</v>
      </c>
      <c r="D42" s="106" t="s">
        <v>424</v>
      </c>
      <c r="E42" s="246" t="s">
        <v>170</v>
      </c>
      <c r="F42" s="246" t="s">
        <v>200</v>
      </c>
      <c r="G42" s="246" t="s">
        <v>42</v>
      </c>
      <c r="H42" s="246" t="s">
        <v>157</v>
      </c>
      <c r="I42" s="246" t="s">
        <v>155</v>
      </c>
      <c r="J42" s="246" t="s">
        <v>38</v>
      </c>
      <c r="K42" s="246" t="s">
        <v>156</v>
      </c>
      <c r="L42" s="246">
        <v>2</v>
      </c>
      <c r="M42" s="246"/>
      <c r="N42" s="246">
        <v>3</v>
      </c>
      <c r="O42" s="246">
        <v>0.95</v>
      </c>
      <c r="P42" s="246">
        <v>0.85</v>
      </c>
      <c r="Q42" s="107">
        <f t="shared" si="0"/>
        <v>0.89999999999999991</v>
      </c>
      <c r="R42" s="246">
        <v>14.3</v>
      </c>
      <c r="S42" s="246">
        <v>140</v>
      </c>
      <c r="T42" s="108">
        <f t="shared" si="1"/>
        <v>22</v>
      </c>
      <c r="U42" s="246">
        <v>330</v>
      </c>
      <c r="V42" s="109">
        <f t="shared" si="2"/>
        <v>2420</v>
      </c>
      <c r="W42" s="246">
        <v>18</v>
      </c>
      <c r="X42" s="246" t="s">
        <v>46</v>
      </c>
      <c r="Y42" s="246" t="s">
        <v>69</v>
      </c>
      <c r="Z42" s="246" t="s">
        <v>97</v>
      </c>
      <c r="AA42" s="246" t="s">
        <v>78</v>
      </c>
      <c r="AB42" s="246" t="s">
        <v>346</v>
      </c>
    </row>
    <row r="43" spans="1:28" s="115" customFormat="1" x14ac:dyDescent="0.15">
      <c r="A43" s="246" t="s">
        <v>51</v>
      </c>
      <c r="B43" s="246" t="s">
        <v>344</v>
      </c>
      <c r="C43" s="246">
        <v>2018</v>
      </c>
      <c r="D43" s="106" t="s">
        <v>424</v>
      </c>
      <c r="E43" s="246" t="s">
        <v>170</v>
      </c>
      <c r="F43" s="246" t="s">
        <v>200</v>
      </c>
      <c r="G43" s="246" t="s">
        <v>42</v>
      </c>
      <c r="H43" s="246" t="s">
        <v>157</v>
      </c>
      <c r="I43" s="246" t="s">
        <v>155</v>
      </c>
      <c r="J43" s="246" t="s">
        <v>38</v>
      </c>
      <c r="K43" s="246" t="s">
        <v>156</v>
      </c>
      <c r="L43" s="246">
        <v>3</v>
      </c>
      <c r="M43" s="246"/>
      <c r="N43" s="246">
        <v>3</v>
      </c>
      <c r="O43" s="246">
        <v>0.8</v>
      </c>
      <c r="P43" s="246">
        <v>0.95</v>
      </c>
      <c r="Q43" s="107">
        <f t="shared" si="0"/>
        <v>0.875</v>
      </c>
      <c r="R43" s="246">
        <v>15.1</v>
      </c>
      <c r="S43" s="246">
        <v>150</v>
      </c>
      <c r="T43" s="108">
        <f t="shared" si="1"/>
        <v>22</v>
      </c>
      <c r="U43" s="246">
        <v>330</v>
      </c>
      <c r="V43" s="109">
        <f t="shared" si="2"/>
        <v>2420</v>
      </c>
      <c r="W43" s="246">
        <v>18</v>
      </c>
      <c r="X43" s="246" t="s">
        <v>46</v>
      </c>
      <c r="Y43" s="246" t="s">
        <v>69</v>
      </c>
      <c r="Z43" s="246" t="s">
        <v>97</v>
      </c>
      <c r="AA43" s="246" t="s">
        <v>78</v>
      </c>
      <c r="AB43" s="246" t="s">
        <v>346</v>
      </c>
    </row>
    <row r="44" spans="1:28" s="115" customFormat="1" x14ac:dyDescent="0.15">
      <c r="A44" s="246" t="s">
        <v>51</v>
      </c>
      <c r="B44" s="246" t="s">
        <v>344</v>
      </c>
      <c r="C44" s="246">
        <v>2018</v>
      </c>
      <c r="D44" s="106" t="s">
        <v>424</v>
      </c>
      <c r="E44" s="246" t="s">
        <v>170</v>
      </c>
      <c r="F44" s="246" t="s">
        <v>200</v>
      </c>
      <c r="G44" s="246" t="s">
        <v>42</v>
      </c>
      <c r="H44" s="246" t="s">
        <v>165</v>
      </c>
      <c r="I44" s="246" t="s">
        <v>155</v>
      </c>
      <c r="J44" s="246" t="s">
        <v>38</v>
      </c>
      <c r="K44" s="246" t="s">
        <v>156</v>
      </c>
      <c r="L44" s="246">
        <v>1</v>
      </c>
      <c r="M44" s="246"/>
      <c r="N44" s="246">
        <v>3</v>
      </c>
      <c r="O44" s="246">
        <v>0.85</v>
      </c>
      <c r="P44" s="246">
        <v>0.85</v>
      </c>
      <c r="Q44" s="107">
        <f t="shared" si="0"/>
        <v>0.85</v>
      </c>
      <c r="R44" s="246">
        <v>17</v>
      </c>
      <c r="S44" s="246">
        <v>170</v>
      </c>
      <c r="T44" s="108">
        <f t="shared" si="1"/>
        <v>18</v>
      </c>
      <c r="U44" s="246">
        <v>330</v>
      </c>
      <c r="V44" s="109">
        <f t="shared" si="2"/>
        <v>1980</v>
      </c>
      <c r="W44" s="246">
        <v>18</v>
      </c>
      <c r="X44" s="246" t="s">
        <v>46</v>
      </c>
      <c r="Y44" s="246" t="s">
        <v>69</v>
      </c>
      <c r="Z44" s="246" t="s">
        <v>97</v>
      </c>
      <c r="AA44" s="246" t="s">
        <v>78</v>
      </c>
      <c r="AB44" s="246" t="s">
        <v>346</v>
      </c>
    </row>
    <row r="45" spans="1:28" s="115" customFormat="1" x14ac:dyDescent="0.15">
      <c r="A45" s="246" t="s">
        <v>51</v>
      </c>
      <c r="B45" s="246" t="s">
        <v>344</v>
      </c>
      <c r="C45" s="246">
        <v>2018</v>
      </c>
      <c r="D45" s="106" t="s">
        <v>424</v>
      </c>
      <c r="E45" s="246" t="s">
        <v>170</v>
      </c>
      <c r="F45" s="246" t="s">
        <v>200</v>
      </c>
      <c r="G45" s="246" t="s">
        <v>42</v>
      </c>
      <c r="H45" s="246" t="s">
        <v>165</v>
      </c>
      <c r="I45" s="246" t="s">
        <v>155</v>
      </c>
      <c r="J45" s="246" t="s">
        <v>38</v>
      </c>
      <c r="K45" s="246" t="s">
        <v>156</v>
      </c>
      <c r="L45" s="246">
        <v>2</v>
      </c>
      <c r="M45" s="246"/>
      <c r="N45" s="246">
        <v>3</v>
      </c>
      <c r="O45" s="246">
        <v>0.85</v>
      </c>
      <c r="P45" s="246">
        <v>0.9</v>
      </c>
      <c r="Q45" s="107">
        <f t="shared" si="0"/>
        <v>0.875</v>
      </c>
      <c r="R45" s="246">
        <v>16.3</v>
      </c>
      <c r="S45" s="246">
        <v>152</v>
      </c>
      <c r="T45" s="108">
        <f t="shared" si="1"/>
        <v>18</v>
      </c>
      <c r="U45" s="246">
        <v>330</v>
      </c>
      <c r="V45" s="109">
        <f t="shared" si="2"/>
        <v>1980</v>
      </c>
      <c r="W45" s="246">
        <v>18</v>
      </c>
      <c r="X45" s="246" t="s">
        <v>46</v>
      </c>
      <c r="Y45" s="246" t="s">
        <v>69</v>
      </c>
      <c r="Z45" s="246" t="s">
        <v>97</v>
      </c>
      <c r="AA45" s="246" t="s">
        <v>78</v>
      </c>
      <c r="AB45" s="246" t="s">
        <v>346</v>
      </c>
    </row>
    <row r="46" spans="1:28" s="115" customFormat="1" x14ac:dyDescent="0.15">
      <c r="A46" s="246" t="s">
        <v>51</v>
      </c>
      <c r="B46" s="246" t="s">
        <v>344</v>
      </c>
      <c r="C46" s="246">
        <v>2018</v>
      </c>
      <c r="D46" s="106" t="s">
        <v>424</v>
      </c>
      <c r="E46" s="246" t="s">
        <v>170</v>
      </c>
      <c r="F46" s="246" t="s">
        <v>200</v>
      </c>
      <c r="G46" s="246" t="s">
        <v>42</v>
      </c>
      <c r="H46" s="246" t="s">
        <v>165</v>
      </c>
      <c r="I46" s="246" t="s">
        <v>155</v>
      </c>
      <c r="J46" s="246" t="s">
        <v>38</v>
      </c>
      <c r="K46" s="246" t="s">
        <v>156</v>
      </c>
      <c r="L46" s="246">
        <v>3</v>
      </c>
      <c r="M46" s="246"/>
      <c r="N46" s="246">
        <v>3</v>
      </c>
      <c r="O46" s="246">
        <v>0.95</v>
      </c>
      <c r="P46" s="246">
        <v>0.8</v>
      </c>
      <c r="Q46" s="107">
        <f t="shared" si="0"/>
        <v>0.875</v>
      </c>
      <c r="R46" s="246">
        <v>16.5</v>
      </c>
      <c r="S46" s="246">
        <v>154</v>
      </c>
      <c r="T46" s="108">
        <f t="shared" si="1"/>
        <v>18</v>
      </c>
      <c r="U46" s="246">
        <v>330</v>
      </c>
      <c r="V46" s="109">
        <f t="shared" si="2"/>
        <v>1980</v>
      </c>
      <c r="W46" s="246">
        <v>18</v>
      </c>
      <c r="X46" s="246" t="s">
        <v>46</v>
      </c>
      <c r="Y46" s="246" t="s">
        <v>69</v>
      </c>
      <c r="Z46" s="246" t="s">
        <v>97</v>
      </c>
      <c r="AA46" s="246" t="s">
        <v>78</v>
      </c>
      <c r="AB46" s="246" t="s">
        <v>346</v>
      </c>
    </row>
    <row r="47" spans="1:28" s="115" customFormat="1" x14ac:dyDescent="0.15">
      <c r="A47" s="246" t="s">
        <v>51</v>
      </c>
      <c r="B47" s="246" t="s">
        <v>344</v>
      </c>
      <c r="C47" s="246">
        <v>2018</v>
      </c>
      <c r="D47" s="106" t="s">
        <v>424</v>
      </c>
      <c r="E47" s="246" t="s">
        <v>216</v>
      </c>
      <c r="F47" s="246" t="s">
        <v>200</v>
      </c>
      <c r="G47" s="246" t="s">
        <v>42</v>
      </c>
      <c r="H47" s="246" t="s">
        <v>157</v>
      </c>
      <c r="I47" s="246" t="s">
        <v>155</v>
      </c>
      <c r="J47" s="246" t="s">
        <v>38</v>
      </c>
      <c r="K47" s="246" t="s">
        <v>156</v>
      </c>
      <c r="L47" s="246">
        <v>1</v>
      </c>
      <c r="M47" s="246"/>
      <c r="N47" s="246">
        <v>3</v>
      </c>
      <c r="O47" s="246">
        <v>0.85</v>
      </c>
      <c r="P47" s="246">
        <v>0.95</v>
      </c>
      <c r="Q47" s="107">
        <f t="shared" si="0"/>
        <v>0.89999999999999991</v>
      </c>
      <c r="R47" s="246">
        <v>15.8</v>
      </c>
      <c r="S47" s="246">
        <v>178</v>
      </c>
      <c r="T47" s="108">
        <f t="shared" si="1"/>
        <v>18</v>
      </c>
      <c r="U47" s="246">
        <v>398</v>
      </c>
      <c r="V47" s="109">
        <f t="shared" si="2"/>
        <v>2388</v>
      </c>
      <c r="W47" s="246">
        <v>25</v>
      </c>
      <c r="X47" s="246" t="s">
        <v>46</v>
      </c>
      <c r="Y47" s="246" t="s">
        <v>88</v>
      </c>
      <c r="Z47" s="246" t="s">
        <v>97</v>
      </c>
      <c r="AA47" s="246" t="s">
        <v>55</v>
      </c>
      <c r="AB47" s="246" t="s">
        <v>346</v>
      </c>
    </row>
    <row r="48" spans="1:28" s="115" customFormat="1" x14ac:dyDescent="0.15">
      <c r="A48" s="246" t="s">
        <v>51</v>
      </c>
      <c r="B48" s="246" t="s">
        <v>344</v>
      </c>
      <c r="C48" s="246">
        <v>2018</v>
      </c>
      <c r="D48" s="106" t="s">
        <v>424</v>
      </c>
      <c r="E48" s="246" t="s">
        <v>216</v>
      </c>
      <c r="F48" s="246" t="s">
        <v>200</v>
      </c>
      <c r="G48" s="246" t="s">
        <v>42</v>
      </c>
      <c r="H48" s="246" t="s">
        <v>157</v>
      </c>
      <c r="I48" s="246" t="s">
        <v>155</v>
      </c>
      <c r="J48" s="246" t="s">
        <v>38</v>
      </c>
      <c r="K48" s="246" t="s">
        <v>156</v>
      </c>
      <c r="L48" s="246">
        <v>2</v>
      </c>
      <c r="M48" s="246"/>
      <c r="N48" s="246">
        <v>3</v>
      </c>
      <c r="O48" s="246">
        <v>0.8</v>
      </c>
      <c r="P48" s="246">
        <v>0.75</v>
      </c>
      <c r="Q48" s="107">
        <f t="shared" si="0"/>
        <v>0.77500000000000002</v>
      </c>
      <c r="R48" s="246">
        <v>16.600000000000001</v>
      </c>
      <c r="S48" s="246">
        <v>206</v>
      </c>
      <c r="T48" s="108">
        <f t="shared" si="1"/>
        <v>16</v>
      </c>
      <c r="U48" s="246">
        <v>398</v>
      </c>
      <c r="V48" s="109">
        <f t="shared" si="2"/>
        <v>2122.6666666666665</v>
      </c>
      <c r="W48" s="246">
        <v>25</v>
      </c>
      <c r="X48" s="246" t="s">
        <v>46</v>
      </c>
      <c r="Y48" s="246" t="s">
        <v>88</v>
      </c>
      <c r="Z48" s="246" t="s">
        <v>97</v>
      </c>
      <c r="AA48" s="246" t="s">
        <v>55</v>
      </c>
      <c r="AB48" s="246" t="s">
        <v>346</v>
      </c>
    </row>
    <row r="49" spans="1:28" s="115" customFormat="1" x14ac:dyDescent="0.15">
      <c r="A49" s="246" t="s">
        <v>51</v>
      </c>
      <c r="B49" s="246" t="s">
        <v>344</v>
      </c>
      <c r="C49" s="246">
        <v>2018</v>
      </c>
      <c r="D49" s="106" t="s">
        <v>424</v>
      </c>
      <c r="E49" s="246" t="s">
        <v>216</v>
      </c>
      <c r="F49" s="246" t="s">
        <v>200</v>
      </c>
      <c r="G49" s="246" t="s">
        <v>42</v>
      </c>
      <c r="H49" s="246" t="s">
        <v>157</v>
      </c>
      <c r="I49" s="246" t="s">
        <v>155</v>
      </c>
      <c r="J49" s="246" t="s">
        <v>38</v>
      </c>
      <c r="K49" s="246" t="s">
        <v>156</v>
      </c>
      <c r="L49" s="246">
        <v>3</v>
      </c>
      <c r="M49" s="246"/>
      <c r="N49" s="246">
        <v>3</v>
      </c>
      <c r="O49" s="246">
        <v>0.85</v>
      </c>
      <c r="P49" s="246">
        <v>0.8</v>
      </c>
      <c r="Q49" s="107">
        <f t="shared" si="0"/>
        <v>0.82499999999999996</v>
      </c>
      <c r="R49" s="246">
        <v>16.3</v>
      </c>
      <c r="S49" s="246">
        <v>162</v>
      </c>
      <c r="T49" s="108">
        <f t="shared" si="1"/>
        <v>18</v>
      </c>
      <c r="U49" s="246">
        <v>398</v>
      </c>
      <c r="V49" s="109">
        <f t="shared" si="2"/>
        <v>2388</v>
      </c>
      <c r="W49" s="246">
        <v>25</v>
      </c>
      <c r="X49" s="246" t="s">
        <v>46</v>
      </c>
      <c r="Y49" s="246" t="s">
        <v>88</v>
      </c>
      <c r="Z49" s="246" t="s">
        <v>97</v>
      </c>
      <c r="AA49" s="246" t="s">
        <v>55</v>
      </c>
      <c r="AB49" s="246" t="s">
        <v>346</v>
      </c>
    </row>
    <row r="50" spans="1:28" s="115" customFormat="1" x14ac:dyDescent="0.15">
      <c r="A50" s="246" t="s">
        <v>51</v>
      </c>
      <c r="B50" s="246" t="s">
        <v>344</v>
      </c>
      <c r="C50" s="246">
        <v>2018</v>
      </c>
      <c r="D50" s="106" t="s">
        <v>424</v>
      </c>
      <c r="E50" s="246" t="s">
        <v>216</v>
      </c>
      <c r="F50" s="246" t="s">
        <v>200</v>
      </c>
      <c r="G50" s="246" t="s">
        <v>42</v>
      </c>
      <c r="H50" s="246" t="s">
        <v>165</v>
      </c>
      <c r="I50" s="246" t="s">
        <v>155</v>
      </c>
      <c r="J50" s="246" t="s">
        <v>38</v>
      </c>
      <c r="K50" s="246" t="s">
        <v>156</v>
      </c>
      <c r="L50" s="246">
        <v>1</v>
      </c>
      <c r="M50" s="246"/>
      <c r="N50" s="246">
        <v>3</v>
      </c>
      <c r="O50" s="246">
        <v>0.5</v>
      </c>
      <c r="P50" s="246">
        <v>0.6</v>
      </c>
      <c r="Q50" s="107">
        <f t="shared" si="0"/>
        <v>0.55000000000000004</v>
      </c>
      <c r="R50" s="246">
        <v>18.5</v>
      </c>
      <c r="S50" s="246">
        <v>152</v>
      </c>
      <c r="T50" s="108">
        <f t="shared" si="1"/>
        <v>18</v>
      </c>
      <c r="U50" s="246">
        <v>398</v>
      </c>
      <c r="V50" s="109">
        <f t="shared" si="2"/>
        <v>2388</v>
      </c>
      <c r="W50" s="246">
        <v>25</v>
      </c>
      <c r="X50" s="246" t="s">
        <v>46</v>
      </c>
      <c r="Y50" s="246" t="s">
        <v>88</v>
      </c>
      <c r="Z50" s="246" t="s">
        <v>97</v>
      </c>
      <c r="AA50" s="246" t="s">
        <v>55</v>
      </c>
      <c r="AB50" s="246" t="s">
        <v>346</v>
      </c>
    </row>
    <row r="51" spans="1:28" s="115" customFormat="1" x14ac:dyDescent="0.15">
      <c r="A51" s="246" t="s">
        <v>51</v>
      </c>
      <c r="B51" s="246" t="s">
        <v>344</v>
      </c>
      <c r="C51" s="246">
        <v>2018</v>
      </c>
      <c r="D51" s="106" t="s">
        <v>424</v>
      </c>
      <c r="E51" s="246" t="s">
        <v>216</v>
      </c>
      <c r="F51" s="246" t="s">
        <v>200</v>
      </c>
      <c r="G51" s="246" t="s">
        <v>42</v>
      </c>
      <c r="H51" s="246" t="s">
        <v>165</v>
      </c>
      <c r="I51" s="246" t="s">
        <v>155</v>
      </c>
      <c r="J51" s="246" t="s">
        <v>38</v>
      </c>
      <c r="K51" s="246" t="s">
        <v>156</v>
      </c>
      <c r="L51" s="246">
        <v>2</v>
      </c>
      <c r="M51" s="246"/>
      <c r="N51" s="246">
        <v>3</v>
      </c>
      <c r="O51" s="246">
        <v>0.55000000000000004</v>
      </c>
      <c r="P51" s="246">
        <v>0.55000000000000004</v>
      </c>
      <c r="Q51" s="107">
        <f t="shared" si="0"/>
        <v>0.55000000000000004</v>
      </c>
      <c r="R51" s="246">
        <v>19.2</v>
      </c>
      <c r="S51" s="246">
        <v>166</v>
      </c>
      <c r="T51" s="108">
        <f t="shared" si="1"/>
        <v>18</v>
      </c>
      <c r="U51" s="246">
        <v>398</v>
      </c>
      <c r="V51" s="109">
        <f t="shared" si="2"/>
        <v>2388</v>
      </c>
      <c r="W51" s="246">
        <v>25</v>
      </c>
      <c r="X51" s="246" t="s">
        <v>46</v>
      </c>
      <c r="Y51" s="246" t="s">
        <v>88</v>
      </c>
      <c r="Z51" s="246" t="s">
        <v>97</v>
      </c>
      <c r="AA51" s="246" t="s">
        <v>55</v>
      </c>
      <c r="AB51" s="246" t="s">
        <v>346</v>
      </c>
    </row>
    <row r="52" spans="1:28" s="115" customFormat="1" x14ac:dyDescent="0.15">
      <c r="A52" s="246" t="s">
        <v>51</v>
      </c>
      <c r="B52" s="246" t="s">
        <v>344</v>
      </c>
      <c r="C52" s="246">
        <v>2018</v>
      </c>
      <c r="D52" s="106" t="s">
        <v>424</v>
      </c>
      <c r="E52" s="246" t="s">
        <v>216</v>
      </c>
      <c r="F52" s="246" t="s">
        <v>200</v>
      </c>
      <c r="G52" s="246" t="s">
        <v>42</v>
      </c>
      <c r="H52" s="246" t="s">
        <v>165</v>
      </c>
      <c r="I52" s="246" t="s">
        <v>155</v>
      </c>
      <c r="J52" s="246" t="s">
        <v>38</v>
      </c>
      <c r="K52" s="246" t="s">
        <v>156</v>
      </c>
      <c r="L52" s="246">
        <v>3</v>
      </c>
      <c r="M52" s="246"/>
      <c r="N52" s="246">
        <v>3</v>
      </c>
      <c r="O52" s="246">
        <v>0.6</v>
      </c>
      <c r="P52" s="246">
        <v>0.65</v>
      </c>
      <c r="Q52" s="107">
        <f t="shared" si="0"/>
        <v>0.625</v>
      </c>
      <c r="R52" s="246">
        <v>17.8</v>
      </c>
      <c r="S52" s="246">
        <v>152</v>
      </c>
      <c r="T52" s="108">
        <f t="shared" si="1"/>
        <v>18</v>
      </c>
      <c r="U52" s="246">
        <v>398</v>
      </c>
      <c r="V52" s="109">
        <f t="shared" si="2"/>
        <v>2388</v>
      </c>
      <c r="W52" s="246">
        <v>25</v>
      </c>
      <c r="X52" s="246" t="s">
        <v>46</v>
      </c>
      <c r="Y52" s="246" t="s">
        <v>88</v>
      </c>
      <c r="Z52" s="246" t="s">
        <v>97</v>
      </c>
      <c r="AA52" s="246" t="s">
        <v>55</v>
      </c>
      <c r="AB52" s="246" t="s">
        <v>346</v>
      </c>
    </row>
    <row r="53" spans="1:28" s="115" customFormat="1" x14ac:dyDescent="0.15">
      <c r="A53" s="246" t="s">
        <v>51</v>
      </c>
      <c r="B53" s="246" t="s">
        <v>344</v>
      </c>
      <c r="C53" s="246">
        <v>2018</v>
      </c>
      <c r="D53" s="106" t="s">
        <v>424</v>
      </c>
      <c r="E53" s="246" t="s">
        <v>205</v>
      </c>
      <c r="F53" s="246" t="s">
        <v>206</v>
      </c>
      <c r="G53" s="246" t="s">
        <v>42</v>
      </c>
      <c r="H53" s="246" t="s">
        <v>157</v>
      </c>
      <c r="I53" s="246" t="s">
        <v>155</v>
      </c>
      <c r="J53" s="246" t="s">
        <v>38</v>
      </c>
      <c r="K53" s="246" t="s">
        <v>156</v>
      </c>
      <c r="L53" s="246">
        <v>1</v>
      </c>
      <c r="M53" s="246"/>
      <c r="N53" s="246">
        <v>1</v>
      </c>
      <c r="O53" s="246">
        <v>1.05</v>
      </c>
      <c r="P53" s="246">
        <v>0.95</v>
      </c>
      <c r="Q53" s="107">
        <f t="shared" si="0"/>
        <v>1</v>
      </c>
      <c r="R53" s="246">
        <v>15</v>
      </c>
      <c r="S53" s="246">
        <v>144</v>
      </c>
      <c r="T53" s="108">
        <f t="shared" si="1"/>
        <v>22</v>
      </c>
      <c r="U53" s="246">
        <v>138</v>
      </c>
      <c r="V53" s="109">
        <f t="shared" si="2"/>
        <v>3036</v>
      </c>
      <c r="W53" s="246">
        <v>5</v>
      </c>
      <c r="X53" s="246" t="s">
        <v>46</v>
      </c>
      <c r="Y53" s="246" t="s">
        <v>97</v>
      </c>
      <c r="Z53" s="246" t="s">
        <v>69</v>
      </c>
      <c r="AA53" s="246" t="s">
        <v>86</v>
      </c>
      <c r="AB53" s="246" t="s">
        <v>346</v>
      </c>
    </row>
    <row r="54" spans="1:28" s="115" customFormat="1" x14ac:dyDescent="0.15">
      <c r="A54" s="246" t="s">
        <v>51</v>
      </c>
      <c r="B54" s="246" t="s">
        <v>344</v>
      </c>
      <c r="C54" s="246">
        <v>2018</v>
      </c>
      <c r="D54" s="106" t="s">
        <v>424</v>
      </c>
      <c r="E54" s="246" t="s">
        <v>205</v>
      </c>
      <c r="F54" s="246" t="s">
        <v>206</v>
      </c>
      <c r="G54" s="246" t="s">
        <v>42</v>
      </c>
      <c r="H54" s="246" t="s">
        <v>157</v>
      </c>
      <c r="I54" s="246" t="s">
        <v>155</v>
      </c>
      <c r="J54" s="246" t="s">
        <v>38</v>
      </c>
      <c r="K54" s="246" t="s">
        <v>156</v>
      </c>
      <c r="L54" s="246">
        <v>2</v>
      </c>
      <c r="M54" s="246"/>
      <c r="N54" s="246">
        <v>1</v>
      </c>
      <c r="O54" s="246">
        <v>1</v>
      </c>
      <c r="P54" s="246">
        <v>1.1499999999999999</v>
      </c>
      <c r="Q54" s="107">
        <f t="shared" si="0"/>
        <v>1.075</v>
      </c>
      <c r="R54" s="246">
        <v>14.4</v>
      </c>
      <c r="S54" s="246">
        <v>138</v>
      </c>
      <c r="T54" s="108">
        <f t="shared" si="1"/>
        <v>22</v>
      </c>
      <c r="U54" s="246">
        <v>138</v>
      </c>
      <c r="V54" s="109">
        <f t="shared" si="2"/>
        <v>3036</v>
      </c>
      <c r="W54" s="246">
        <v>5</v>
      </c>
      <c r="X54" s="246" t="s">
        <v>46</v>
      </c>
      <c r="Y54" s="246" t="s">
        <v>97</v>
      </c>
      <c r="Z54" s="246" t="s">
        <v>69</v>
      </c>
      <c r="AA54" s="246" t="s">
        <v>86</v>
      </c>
      <c r="AB54" s="246" t="s">
        <v>346</v>
      </c>
    </row>
    <row r="55" spans="1:28" s="115" customFormat="1" x14ac:dyDescent="0.15">
      <c r="A55" s="246" t="s">
        <v>51</v>
      </c>
      <c r="B55" s="246" t="s">
        <v>344</v>
      </c>
      <c r="C55" s="246">
        <v>2018</v>
      </c>
      <c r="D55" s="106" t="s">
        <v>424</v>
      </c>
      <c r="E55" s="246" t="s">
        <v>205</v>
      </c>
      <c r="F55" s="246" t="s">
        <v>206</v>
      </c>
      <c r="G55" s="246" t="s">
        <v>42</v>
      </c>
      <c r="H55" s="246" t="s">
        <v>157</v>
      </c>
      <c r="I55" s="246" t="s">
        <v>155</v>
      </c>
      <c r="J55" s="246" t="s">
        <v>38</v>
      </c>
      <c r="K55" s="246" t="s">
        <v>156</v>
      </c>
      <c r="L55" s="246">
        <v>3</v>
      </c>
      <c r="M55" s="246"/>
      <c r="N55" s="246">
        <v>1</v>
      </c>
      <c r="O55" s="246">
        <v>1.05</v>
      </c>
      <c r="P55" s="246">
        <v>1</v>
      </c>
      <c r="Q55" s="107">
        <f t="shared" si="0"/>
        <v>1.0249999999999999</v>
      </c>
      <c r="R55" s="246">
        <v>14.2</v>
      </c>
      <c r="S55" s="246">
        <v>138</v>
      </c>
      <c r="T55" s="108">
        <f t="shared" si="1"/>
        <v>22</v>
      </c>
      <c r="U55" s="246">
        <v>138</v>
      </c>
      <c r="V55" s="109">
        <f t="shared" si="2"/>
        <v>3036</v>
      </c>
      <c r="W55" s="246">
        <v>5</v>
      </c>
      <c r="X55" s="246" t="s">
        <v>46</v>
      </c>
      <c r="Y55" s="246" t="s">
        <v>97</v>
      </c>
      <c r="Z55" s="246" t="s">
        <v>69</v>
      </c>
      <c r="AA55" s="246" t="s">
        <v>86</v>
      </c>
      <c r="AB55" s="246" t="s">
        <v>346</v>
      </c>
    </row>
    <row r="56" spans="1:28" s="115" customFormat="1" x14ac:dyDescent="0.15">
      <c r="A56" s="246" t="s">
        <v>51</v>
      </c>
      <c r="B56" s="246" t="s">
        <v>344</v>
      </c>
      <c r="C56" s="246">
        <v>2018</v>
      </c>
      <c r="D56" s="106" t="s">
        <v>424</v>
      </c>
      <c r="E56" s="246" t="s">
        <v>205</v>
      </c>
      <c r="F56" s="246" t="s">
        <v>206</v>
      </c>
      <c r="G56" s="246" t="s">
        <v>42</v>
      </c>
      <c r="H56" s="246" t="s">
        <v>165</v>
      </c>
      <c r="I56" s="246" t="s">
        <v>155</v>
      </c>
      <c r="J56" s="246" t="s">
        <v>38</v>
      </c>
      <c r="K56" s="246" t="s">
        <v>156</v>
      </c>
      <c r="L56" s="115">
        <v>1</v>
      </c>
      <c r="N56" s="246">
        <v>1</v>
      </c>
      <c r="O56" s="115">
        <v>0.65</v>
      </c>
      <c r="P56" s="115">
        <v>0.65</v>
      </c>
      <c r="Q56" s="107">
        <f t="shared" si="0"/>
        <v>0.65</v>
      </c>
      <c r="R56" s="115">
        <v>17.100000000000001</v>
      </c>
      <c r="S56" s="115">
        <v>140</v>
      </c>
      <c r="T56" s="108">
        <f t="shared" si="1"/>
        <v>22</v>
      </c>
      <c r="U56" s="246">
        <v>138</v>
      </c>
      <c r="V56" s="109">
        <f t="shared" si="2"/>
        <v>3036</v>
      </c>
      <c r="W56" s="246">
        <v>5</v>
      </c>
      <c r="X56" s="246" t="s">
        <v>46</v>
      </c>
      <c r="Y56" s="246" t="s">
        <v>97</v>
      </c>
      <c r="Z56" s="246" t="s">
        <v>69</v>
      </c>
      <c r="AA56" s="246" t="s">
        <v>86</v>
      </c>
      <c r="AB56" s="246" t="s">
        <v>346</v>
      </c>
    </row>
    <row r="57" spans="1:28" s="115" customFormat="1" x14ac:dyDescent="0.15">
      <c r="A57" s="246" t="s">
        <v>51</v>
      </c>
      <c r="B57" s="246" t="s">
        <v>344</v>
      </c>
      <c r="C57" s="246">
        <v>2018</v>
      </c>
      <c r="D57" s="106" t="s">
        <v>424</v>
      </c>
      <c r="E57" s="246" t="s">
        <v>205</v>
      </c>
      <c r="F57" s="246" t="s">
        <v>206</v>
      </c>
      <c r="G57" s="246" t="s">
        <v>42</v>
      </c>
      <c r="H57" s="246" t="s">
        <v>165</v>
      </c>
      <c r="I57" s="246" t="s">
        <v>155</v>
      </c>
      <c r="J57" s="246" t="s">
        <v>38</v>
      </c>
      <c r="K57" s="246" t="s">
        <v>156</v>
      </c>
      <c r="L57" s="115">
        <v>2</v>
      </c>
      <c r="N57" s="246">
        <v>1</v>
      </c>
      <c r="O57" s="115">
        <v>0.65</v>
      </c>
      <c r="P57" s="115">
        <v>0.6</v>
      </c>
      <c r="Q57" s="107">
        <f t="shared" si="0"/>
        <v>0.625</v>
      </c>
      <c r="R57" s="115">
        <v>16.2</v>
      </c>
      <c r="S57" s="115">
        <v>136</v>
      </c>
      <c r="T57" s="108">
        <f t="shared" si="1"/>
        <v>25</v>
      </c>
      <c r="U57" s="246">
        <v>138</v>
      </c>
      <c r="V57" s="109">
        <f t="shared" si="2"/>
        <v>3450</v>
      </c>
      <c r="W57" s="246">
        <v>5</v>
      </c>
      <c r="X57" s="246" t="s">
        <v>46</v>
      </c>
      <c r="Y57" s="246" t="s">
        <v>97</v>
      </c>
      <c r="Z57" s="246" t="s">
        <v>69</v>
      </c>
      <c r="AA57" s="246" t="s">
        <v>86</v>
      </c>
      <c r="AB57" s="246" t="s">
        <v>346</v>
      </c>
    </row>
    <row r="58" spans="1:28" s="115" customFormat="1" x14ac:dyDescent="0.15">
      <c r="A58" s="246" t="s">
        <v>51</v>
      </c>
      <c r="B58" s="246" t="s">
        <v>344</v>
      </c>
      <c r="C58" s="246">
        <v>2018</v>
      </c>
      <c r="D58" s="106" t="s">
        <v>424</v>
      </c>
      <c r="E58" s="246" t="s">
        <v>205</v>
      </c>
      <c r="F58" s="246" t="s">
        <v>206</v>
      </c>
      <c r="G58" s="246" t="s">
        <v>42</v>
      </c>
      <c r="H58" s="246" t="s">
        <v>165</v>
      </c>
      <c r="I58" s="246" t="s">
        <v>155</v>
      </c>
      <c r="J58" s="246" t="s">
        <v>38</v>
      </c>
      <c r="K58" s="246" t="s">
        <v>156</v>
      </c>
      <c r="L58" s="115">
        <v>3</v>
      </c>
      <c r="N58" s="246">
        <v>1</v>
      </c>
      <c r="O58" s="115">
        <v>0.7</v>
      </c>
      <c r="P58" s="115">
        <v>0.65</v>
      </c>
      <c r="Q58" s="107">
        <f t="shared" si="0"/>
        <v>0.67500000000000004</v>
      </c>
      <c r="R58" s="115">
        <v>16.5</v>
      </c>
      <c r="S58" s="115">
        <v>138</v>
      </c>
      <c r="T58" s="108">
        <f t="shared" si="1"/>
        <v>22</v>
      </c>
      <c r="U58" s="246">
        <v>138</v>
      </c>
      <c r="V58" s="109">
        <f t="shared" si="2"/>
        <v>3036</v>
      </c>
      <c r="W58" s="246">
        <v>5</v>
      </c>
      <c r="X58" s="246" t="s">
        <v>46</v>
      </c>
      <c r="Y58" s="246" t="s">
        <v>97</v>
      </c>
      <c r="Z58" s="246" t="s">
        <v>69</v>
      </c>
      <c r="AA58" s="246" t="s">
        <v>86</v>
      </c>
      <c r="AB58" s="246" t="s">
        <v>346</v>
      </c>
    </row>
    <row r="59" spans="1:28" s="115" customFormat="1" x14ac:dyDescent="0.15">
      <c r="A59" s="246" t="s">
        <v>51</v>
      </c>
      <c r="B59" s="246" t="s">
        <v>344</v>
      </c>
      <c r="C59" s="246">
        <v>2018</v>
      </c>
      <c r="D59" s="106" t="s">
        <v>424</v>
      </c>
      <c r="E59" s="246" t="s">
        <v>211</v>
      </c>
      <c r="F59" s="246" t="s">
        <v>199</v>
      </c>
      <c r="G59" s="246" t="s">
        <v>36</v>
      </c>
      <c r="H59" s="246" t="s">
        <v>157</v>
      </c>
      <c r="I59" s="246" t="s">
        <v>155</v>
      </c>
      <c r="J59" s="246" t="s">
        <v>38</v>
      </c>
      <c r="K59" s="246" t="s">
        <v>156</v>
      </c>
      <c r="L59" s="115">
        <v>1</v>
      </c>
      <c r="N59" s="246">
        <v>3</v>
      </c>
      <c r="O59" s="115">
        <v>0.8</v>
      </c>
      <c r="P59" s="115">
        <v>0.7</v>
      </c>
      <c r="Q59" s="107">
        <f t="shared" si="0"/>
        <v>0.75</v>
      </c>
      <c r="R59" s="115">
        <v>16.7</v>
      </c>
      <c r="S59" s="115">
        <v>172</v>
      </c>
      <c r="T59" s="108">
        <f t="shared" si="1"/>
        <v>18</v>
      </c>
      <c r="U59" s="246">
        <v>498</v>
      </c>
      <c r="V59" s="109">
        <f t="shared" si="2"/>
        <v>2988</v>
      </c>
      <c r="W59" s="246">
        <v>5</v>
      </c>
      <c r="X59" s="246" t="s">
        <v>46</v>
      </c>
      <c r="Y59" s="246" t="s">
        <v>69</v>
      </c>
      <c r="Z59" s="246" t="s">
        <v>88</v>
      </c>
      <c r="AA59" s="130" t="s">
        <v>97</v>
      </c>
      <c r="AB59" s="246" t="s">
        <v>346</v>
      </c>
    </row>
    <row r="60" spans="1:28" s="115" customFormat="1" x14ac:dyDescent="0.15">
      <c r="A60" s="246" t="s">
        <v>51</v>
      </c>
      <c r="B60" s="246" t="s">
        <v>344</v>
      </c>
      <c r="C60" s="246">
        <v>2018</v>
      </c>
      <c r="D60" s="106" t="s">
        <v>424</v>
      </c>
      <c r="E60" s="246" t="s">
        <v>211</v>
      </c>
      <c r="F60" s="246" t="s">
        <v>199</v>
      </c>
      <c r="G60" s="246" t="s">
        <v>36</v>
      </c>
      <c r="H60" s="246" t="s">
        <v>157</v>
      </c>
      <c r="I60" s="246" t="s">
        <v>155</v>
      </c>
      <c r="J60" s="246" t="s">
        <v>38</v>
      </c>
      <c r="K60" s="246" t="s">
        <v>156</v>
      </c>
      <c r="L60" s="115">
        <v>2</v>
      </c>
      <c r="N60" s="246">
        <v>3</v>
      </c>
      <c r="O60" s="115">
        <v>0.75</v>
      </c>
      <c r="P60" s="115">
        <v>0.75</v>
      </c>
      <c r="Q60" s="107">
        <f t="shared" si="0"/>
        <v>0.75</v>
      </c>
      <c r="R60" s="115">
        <v>15.3</v>
      </c>
      <c r="S60" s="115">
        <v>158</v>
      </c>
      <c r="T60" s="108">
        <f t="shared" si="1"/>
        <v>18</v>
      </c>
      <c r="U60" s="246">
        <v>498</v>
      </c>
      <c r="V60" s="109">
        <f t="shared" si="2"/>
        <v>2988</v>
      </c>
      <c r="W60" s="246">
        <v>5</v>
      </c>
      <c r="X60" s="246" t="s">
        <v>46</v>
      </c>
      <c r="Y60" s="246" t="s">
        <v>69</v>
      </c>
      <c r="Z60" s="246" t="s">
        <v>88</v>
      </c>
      <c r="AA60" s="130" t="s">
        <v>97</v>
      </c>
      <c r="AB60" s="246" t="s">
        <v>346</v>
      </c>
    </row>
    <row r="61" spans="1:28" s="115" customFormat="1" x14ac:dyDescent="0.15">
      <c r="A61" s="246" t="s">
        <v>51</v>
      </c>
      <c r="B61" s="246" t="s">
        <v>344</v>
      </c>
      <c r="C61" s="246">
        <v>2018</v>
      </c>
      <c r="D61" s="106" t="s">
        <v>424</v>
      </c>
      <c r="E61" s="246" t="s">
        <v>211</v>
      </c>
      <c r="F61" s="246" t="s">
        <v>199</v>
      </c>
      <c r="G61" s="246" t="s">
        <v>36</v>
      </c>
      <c r="H61" s="246" t="s">
        <v>157</v>
      </c>
      <c r="I61" s="246" t="s">
        <v>155</v>
      </c>
      <c r="J61" s="246" t="s">
        <v>38</v>
      </c>
      <c r="K61" s="246" t="s">
        <v>156</v>
      </c>
      <c r="L61" s="115">
        <v>3</v>
      </c>
      <c r="N61" s="246">
        <v>3</v>
      </c>
      <c r="O61" s="115">
        <v>0.65</v>
      </c>
      <c r="P61" s="115">
        <v>0.75</v>
      </c>
      <c r="Q61" s="107">
        <f t="shared" si="0"/>
        <v>0.7</v>
      </c>
      <c r="R61" s="115">
        <v>15.5</v>
      </c>
      <c r="S61" s="115">
        <v>160</v>
      </c>
      <c r="T61" s="108">
        <f t="shared" si="1"/>
        <v>18</v>
      </c>
      <c r="U61" s="246">
        <v>498</v>
      </c>
      <c r="V61" s="109">
        <f t="shared" si="2"/>
        <v>2988</v>
      </c>
      <c r="W61" s="246">
        <v>5</v>
      </c>
      <c r="X61" s="246" t="s">
        <v>46</v>
      </c>
      <c r="Y61" s="246" t="s">
        <v>69</v>
      </c>
      <c r="Z61" s="246" t="s">
        <v>88</v>
      </c>
      <c r="AA61" s="130" t="s">
        <v>97</v>
      </c>
      <c r="AB61" s="246" t="s">
        <v>346</v>
      </c>
    </row>
    <row r="62" spans="1:28" s="115" customFormat="1" x14ac:dyDescent="0.15">
      <c r="A62" s="246" t="s">
        <v>51</v>
      </c>
      <c r="B62" s="246" t="s">
        <v>344</v>
      </c>
      <c r="C62" s="246">
        <v>2018</v>
      </c>
      <c r="D62" s="106" t="s">
        <v>424</v>
      </c>
      <c r="E62" s="246" t="s">
        <v>211</v>
      </c>
      <c r="F62" s="246" t="s">
        <v>199</v>
      </c>
      <c r="G62" s="246" t="s">
        <v>36</v>
      </c>
      <c r="H62" s="246" t="s">
        <v>157</v>
      </c>
      <c r="I62" s="246" t="s">
        <v>158</v>
      </c>
      <c r="J62" s="246" t="s">
        <v>38</v>
      </c>
      <c r="K62" s="246" t="s">
        <v>156</v>
      </c>
      <c r="L62" s="115">
        <v>1</v>
      </c>
      <c r="N62" s="246">
        <v>2</v>
      </c>
      <c r="O62" s="115">
        <v>0.8</v>
      </c>
      <c r="P62" s="115">
        <v>0.8</v>
      </c>
      <c r="Q62" s="108">
        <f t="shared" si="0"/>
        <v>0.8</v>
      </c>
      <c r="R62" s="115">
        <v>14.9</v>
      </c>
      <c r="S62" s="115">
        <v>138</v>
      </c>
      <c r="T62" s="108">
        <f t="shared" si="1"/>
        <v>22</v>
      </c>
      <c r="U62" s="246">
        <v>398</v>
      </c>
      <c r="V62" s="108">
        <f t="shared" si="2"/>
        <v>4378</v>
      </c>
      <c r="W62" s="246">
        <v>5</v>
      </c>
      <c r="X62" s="246" t="s">
        <v>46</v>
      </c>
      <c r="Y62" s="246" t="s">
        <v>69</v>
      </c>
      <c r="Z62" s="246" t="s">
        <v>88</v>
      </c>
      <c r="AA62" s="130" t="s">
        <v>97</v>
      </c>
      <c r="AB62" s="246" t="s">
        <v>346</v>
      </c>
    </row>
    <row r="63" spans="1:28" x14ac:dyDescent="0.15">
      <c r="A63" s="246" t="s">
        <v>51</v>
      </c>
      <c r="B63" s="246" t="s">
        <v>344</v>
      </c>
      <c r="C63" s="246">
        <v>2018</v>
      </c>
      <c r="D63" s="106" t="s">
        <v>424</v>
      </c>
      <c r="E63" s="246" t="s">
        <v>211</v>
      </c>
      <c r="F63" s="246" t="s">
        <v>199</v>
      </c>
      <c r="G63" s="246" t="s">
        <v>36</v>
      </c>
      <c r="H63" s="246" t="s">
        <v>157</v>
      </c>
      <c r="I63" s="246" t="s">
        <v>158</v>
      </c>
      <c r="J63" s="246" t="s">
        <v>38</v>
      </c>
      <c r="K63" s="246" t="s">
        <v>156</v>
      </c>
      <c r="L63" s="98">
        <v>2</v>
      </c>
      <c r="N63" s="130">
        <v>2</v>
      </c>
      <c r="O63" s="98">
        <v>0.7</v>
      </c>
      <c r="P63" s="98">
        <v>0.85</v>
      </c>
      <c r="Q63" s="132">
        <f t="shared" si="0"/>
        <v>0.77499999999999991</v>
      </c>
      <c r="R63" s="98">
        <v>15.6</v>
      </c>
      <c r="S63" s="98">
        <v>144</v>
      </c>
      <c r="T63" s="132">
        <f t="shared" si="1"/>
        <v>22</v>
      </c>
      <c r="U63" s="246">
        <v>398</v>
      </c>
      <c r="V63" s="132">
        <f t="shared" si="2"/>
        <v>4378</v>
      </c>
      <c r="W63" s="246">
        <v>5</v>
      </c>
      <c r="X63" s="246" t="s">
        <v>46</v>
      </c>
      <c r="Y63" s="246" t="s">
        <v>69</v>
      </c>
      <c r="Z63" s="246" t="s">
        <v>88</v>
      </c>
      <c r="AA63" s="130" t="s">
        <v>97</v>
      </c>
      <c r="AB63" s="246" t="s">
        <v>346</v>
      </c>
    </row>
    <row r="64" spans="1:28" x14ac:dyDescent="0.15">
      <c r="A64" s="246" t="s">
        <v>51</v>
      </c>
      <c r="B64" s="246" t="s">
        <v>344</v>
      </c>
      <c r="C64" s="246">
        <v>2018</v>
      </c>
      <c r="D64" s="106" t="s">
        <v>424</v>
      </c>
      <c r="E64" s="246" t="s">
        <v>211</v>
      </c>
      <c r="F64" s="246" t="s">
        <v>199</v>
      </c>
      <c r="G64" s="246" t="s">
        <v>36</v>
      </c>
      <c r="H64" s="246" t="s">
        <v>157</v>
      </c>
      <c r="I64" s="246" t="s">
        <v>158</v>
      </c>
      <c r="J64" s="246" t="s">
        <v>38</v>
      </c>
      <c r="K64" s="246" t="s">
        <v>156</v>
      </c>
      <c r="L64" s="98">
        <v>3</v>
      </c>
      <c r="N64" s="130">
        <v>2</v>
      </c>
      <c r="O64" s="115">
        <v>0.75</v>
      </c>
      <c r="P64" s="98">
        <v>0.7</v>
      </c>
      <c r="Q64" s="132">
        <f t="shared" si="0"/>
        <v>0.72499999999999998</v>
      </c>
      <c r="R64" s="98">
        <v>15.3</v>
      </c>
      <c r="S64" s="98">
        <v>138</v>
      </c>
      <c r="T64" s="132">
        <f t="shared" si="1"/>
        <v>22</v>
      </c>
      <c r="U64" s="246">
        <v>398</v>
      </c>
      <c r="V64" s="132">
        <f t="shared" si="2"/>
        <v>4378</v>
      </c>
      <c r="W64" s="246">
        <v>5</v>
      </c>
      <c r="X64" s="246" t="s">
        <v>46</v>
      </c>
      <c r="Y64" s="246" t="s">
        <v>69</v>
      </c>
      <c r="Z64" s="246" t="s">
        <v>88</v>
      </c>
      <c r="AA64" s="130" t="s">
        <v>97</v>
      </c>
      <c r="AB64" s="246" t="s">
        <v>346</v>
      </c>
    </row>
    <row r="65" spans="1:28" x14ac:dyDescent="0.15">
      <c r="A65" s="246" t="s">
        <v>51</v>
      </c>
      <c r="B65" s="246" t="s">
        <v>344</v>
      </c>
      <c r="C65" s="246">
        <v>2018</v>
      </c>
      <c r="D65" s="106" t="s">
        <v>424</v>
      </c>
      <c r="E65" s="246" t="s">
        <v>211</v>
      </c>
      <c r="F65" s="246" t="s">
        <v>199</v>
      </c>
      <c r="G65" s="246" t="s">
        <v>36</v>
      </c>
      <c r="H65" s="246" t="s">
        <v>217</v>
      </c>
      <c r="I65" s="246" t="s">
        <v>155</v>
      </c>
      <c r="J65" s="246" t="s">
        <v>38</v>
      </c>
      <c r="K65" s="246" t="s">
        <v>156</v>
      </c>
      <c r="L65" s="98">
        <v>1</v>
      </c>
      <c r="N65" s="130">
        <v>5</v>
      </c>
      <c r="O65" s="98">
        <v>0.7</v>
      </c>
      <c r="P65" s="98">
        <v>0.65</v>
      </c>
      <c r="Q65" s="132">
        <f t="shared" si="0"/>
        <v>0.67500000000000004</v>
      </c>
      <c r="R65" s="98">
        <v>17.8</v>
      </c>
      <c r="S65" s="98">
        <v>91</v>
      </c>
      <c r="T65" s="132">
        <f t="shared" si="1"/>
        <v>36</v>
      </c>
      <c r="U65" s="246">
        <v>398</v>
      </c>
      <c r="V65" s="132">
        <f t="shared" si="2"/>
        <v>2865.6</v>
      </c>
      <c r="W65" s="246">
        <v>5</v>
      </c>
      <c r="X65" s="246" t="s">
        <v>46</v>
      </c>
      <c r="Y65" s="246" t="s">
        <v>69</v>
      </c>
      <c r="Z65" s="246" t="s">
        <v>88</v>
      </c>
      <c r="AA65" s="130" t="s">
        <v>97</v>
      </c>
      <c r="AB65" s="246" t="s">
        <v>346</v>
      </c>
    </row>
    <row r="66" spans="1:28" x14ac:dyDescent="0.15">
      <c r="A66" s="246" t="s">
        <v>51</v>
      </c>
      <c r="B66" s="246" t="s">
        <v>344</v>
      </c>
      <c r="C66" s="246">
        <v>2018</v>
      </c>
      <c r="D66" s="106" t="s">
        <v>424</v>
      </c>
      <c r="E66" s="246" t="s">
        <v>211</v>
      </c>
      <c r="F66" s="246" t="s">
        <v>199</v>
      </c>
      <c r="G66" s="246" t="s">
        <v>36</v>
      </c>
      <c r="H66" s="246" t="s">
        <v>217</v>
      </c>
      <c r="I66" s="246" t="s">
        <v>155</v>
      </c>
      <c r="J66" s="246" t="s">
        <v>38</v>
      </c>
      <c r="K66" s="246" t="s">
        <v>156</v>
      </c>
      <c r="L66" s="98">
        <v>2</v>
      </c>
      <c r="N66" s="130">
        <v>5</v>
      </c>
      <c r="O66" s="115">
        <v>0.65</v>
      </c>
      <c r="P66" s="98">
        <v>0.75</v>
      </c>
      <c r="Q66" s="132">
        <f t="shared" ref="Q66:Q88" si="3">IF(OR(O66="",P66=""),"",AVERAGE(O66,P66))</f>
        <v>0.7</v>
      </c>
      <c r="R66" s="98">
        <v>18</v>
      </c>
      <c r="S66" s="98">
        <v>82</v>
      </c>
      <c r="T66" s="132">
        <f t="shared" ref="T66:T88" si="4">IF(H66="","",IF(OR(H66="GREEN",H66="GK"),IF(S66&gt;=$AX$2,VLOOKUP(S66,$AX$2:$AY$12,2,1),""),IF(S66&gt;=$AZ$2,VLOOKUP(S66,$AZ$2:$BA$12,2,1),"")))</f>
        <v>39</v>
      </c>
      <c r="U66" s="246">
        <v>398</v>
      </c>
      <c r="V66" s="132">
        <f t="shared" ref="V66:V88" si="5">IF(OR(N66="",U66="",T66=""),"",U66/N66*T66)</f>
        <v>3104.3999999999996</v>
      </c>
      <c r="W66" s="246">
        <v>5</v>
      </c>
      <c r="X66" s="246" t="s">
        <v>46</v>
      </c>
      <c r="Y66" s="246" t="s">
        <v>69</v>
      </c>
      <c r="Z66" s="246" t="s">
        <v>88</v>
      </c>
      <c r="AA66" s="130" t="s">
        <v>97</v>
      </c>
      <c r="AB66" s="246" t="s">
        <v>346</v>
      </c>
    </row>
    <row r="67" spans="1:28" x14ac:dyDescent="0.15">
      <c r="A67" s="246" t="s">
        <v>51</v>
      </c>
      <c r="B67" s="246" t="s">
        <v>344</v>
      </c>
      <c r="C67" s="246">
        <v>2018</v>
      </c>
      <c r="D67" s="106" t="s">
        <v>424</v>
      </c>
      <c r="E67" s="246" t="s">
        <v>211</v>
      </c>
      <c r="F67" s="246" t="s">
        <v>199</v>
      </c>
      <c r="G67" s="246" t="s">
        <v>36</v>
      </c>
      <c r="H67" s="246" t="s">
        <v>217</v>
      </c>
      <c r="I67" s="246" t="s">
        <v>155</v>
      </c>
      <c r="J67" s="246" t="s">
        <v>38</v>
      </c>
      <c r="K67" s="246" t="s">
        <v>156</v>
      </c>
      <c r="L67" s="98">
        <v>3</v>
      </c>
      <c r="N67" s="130">
        <v>5</v>
      </c>
      <c r="O67" s="98">
        <v>0.7</v>
      </c>
      <c r="P67" s="98">
        <v>0.7</v>
      </c>
      <c r="Q67" s="132">
        <f t="shared" si="3"/>
        <v>0.7</v>
      </c>
      <c r="R67" s="98">
        <v>16.899999999999999</v>
      </c>
      <c r="S67" s="98">
        <v>89</v>
      </c>
      <c r="T67" s="132">
        <f t="shared" si="4"/>
        <v>36</v>
      </c>
      <c r="U67" s="246">
        <v>398</v>
      </c>
      <c r="V67" s="132">
        <f t="shared" si="5"/>
        <v>2865.6</v>
      </c>
      <c r="W67" s="246">
        <v>5</v>
      </c>
      <c r="X67" s="246" t="s">
        <v>46</v>
      </c>
      <c r="Y67" s="246" t="s">
        <v>69</v>
      </c>
      <c r="Z67" s="246" t="s">
        <v>88</v>
      </c>
      <c r="AA67" s="130" t="s">
        <v>97</v>
      </c>
      <c r="AB67" s="246" t="s">
        <v>346</v>
      </c>
    </row>
    <row r="68" spans="1:28" x14ac:dyDescent="0.15">
      <c r="A68" s="246" t="s">
        <v>51</v>
      </c>
      <c r="B68" s="246" t="s">
        <v>344</v>
      </c>
      <c r="C68" s="246">
        <v>2018</v>
      </c>
      <c r="D68" s="106" t="s">
        <v>424</v>
      </c>
      <c r="E68" s="246" t="s">
        <v>211</v>
      </c>
      <c r="F68" s="246" t="s">
        <v>199</v>
      </c>
      <c r="G68" s="246" t="s">
        <v>36</v>
      </c>
      <c r="H68" s="246" t="s">
        <v>165</v>
      </c>
      <c r="I68" s="246" t="s">
        <v>155</v>
      </c>
      <c r="J68" s="246" t="s">
        <v>38</v>
      </c>
      <c r="K68" s="246" t="s">
        <v>156</v>
      </c>
      <c r="L68" s="98">
        <v>1</v>
      </c>
      <c r="N68" s="130">
        <v>3</v>
      </c>
      <c r="O68" s="98">
        <v>0.9</v>
      </c>
      <c r="P68" s="98">
        <v>0.8</v>
      </c>
      <c r="Q68" s="132">
        <f t="shared" si="3"/>
        <v>0.85000000000000009</v>
      </c>
      <c r="R68" s="98">
        <v>15.2</v>
      </c>
      <c r="S68" s="98">
        <v>160</v>
      </c>
      <c r="T68" s="132">
        <f t="shared" si="4"/>
        <v>18</v>
      </c>
      <c r="U68" s="246">
        <v>498</v>
      </c>
      <c r="V68" s="132">
        <f t="shared" si="5"/>
        <v>2988</v>
      </c>
      <c r="W68" s="246">
        <v>5</v>
      </c>
      <c r="X68" s="246" t="s">
        <v>46</v>
      </c>
      <c r="Y68" s="246" t="s">
        <v>69</v>
      </c>
      <c r="Z68" s="246" t="s">
        <v>88</v>
      </c>
      <c r="AA68" s="130" t="s">
        <v>97</v>
      </c>
      <c r="AB68" s="246" t="s">
        <v>346</v>
      </c>
    </row>
    <row r="69" spans="1:28" x14ac:dyDescent="0.15">
      <c r="A69" s="246" t="s">
        <v>51</v>
      </c>
      <c r="B69" s="246" t="s">
        <v>344</v>
      </c>
      <c r="C69" s="246">
        <v>2018</v>
      </c>
      <c r="D69" s="106" t="s">
        <v>424</v>
      </c>
      <c r="E69" s="246" t="s">
        <v>211</v>
      </c>
      <c r="F69" s="246" t="s">
        <v>199</v>
      </c>
      <c r="G69" s="246" t="s">
        <v>36</v>
      </c>
      <c r="H69" s="246" t="s">
        <v>165</v>
      </c>
      <c r="I69" s="246" t="s">
        <v>155</v>
      </c>
      <c r="J69" s="246" t="s">
        <v>38</v>
      </c>
      <c r="K69" s="246" t="s">
        <v>156</v>
      </c>
      <c r="L69" s="98">
        <v>2</v>
      </c>
      <c r="N69" s="130">
        <v>3</v>
      </c>
      <c r="O69" s="98">
        <v>0.8</v>
      </c>
      <c r="P69" s="98">
        <v>0.75</v>
      </c>
      <c r="Q69" s="132">
        <f t="shared" si="3"/>
        <v>0.77500000000000002</v>
      </c>
      <c r="R69" s="98">
        <v>16.399999999999999</v>
      </c>
      <c r="S69" s="98">
        <v>174</v>
      </c>
      <c r="T69" s="132">
        <f t="shared" si="4"/>
        <v>18</v>
      </c>
      <c r="U69" s="246">
        <v>498</v>
      </c>
      <c r="V69" s="132">
        <f t="shared" si="5"/>
        <v>2988</v>
      </c>
      <c r="W69" s="246">
        <v>5</v>
      </c>
      <c r="X69" s="246" t="s">
        <v>46</v>
      </c>
      <c r="Y69" s="246" t="s">
        <v>69</v>
      </c>
      <c r="Z69" s="246" t="s">
        <v>88</v>
      </c>
      <c r="AA69" s="130" t="s">
        <v>97</v>
      </c>
      <c r="AB69" s="246" t="s">
        <v>346</v>
      </c>
    </row>
    <row r="70" spans="1:28" x14ac:dyDescent="0.15">
      <c r="A70" s="246" t="s">
        <v>51</v>
      </c>
      <c r="B70" s="246" t="s">
        <v>344</v>
      </c>
      <c r="C70" s="246">
        <v>2018</v>
      </c>
      <c r="D70" s="106" t="s">
        <v>424</v>
      </c>
      <c r="E70" s="246" t="s">
        <v>211</v>
      </c>
      <c r="F70" s="246" t="s">
        <v>199</v>
      </c>
      <c r="G70" s="246" t="s">
        <v>36</v>
      </c>
      <c r="H70" s="246" t="s">
        <v>165</v>
      </c>
      <c r="I70" s="246" t="s">
        <v>155</v>
      </c>
      <c r="J70" s="246" t="s">
        <v>38</v>
      </c>
      <c r="K70" s="246" t="s">
        <v>156</v>
      </c>
      <c r="L70" s="98">
        <v>3</v>
      </c>
      <c r="N70" s="130">
        <v>3</v>
      </c>
      <c r="O70" s="98">
        <v>0.85</v>
      </c>
      <c r="P70" s="115">
        <v>0.85</v>
      </c>
      <c r="Q70" s="132">
        <f t="shared" si="3"/>
        <v>0.85</v>
      </c>
      <c r="R70" s="98">
        <v>13.8</v>
      </c>
      <c r="S70" s="98">
        <v>148</v>
      </c>
      <c r="T70" s="132">
        <f t="shared" si="4"/>
        <v>22</v>
      </c>
      <c r="U70" s="246">
        <v>498</v>
      </c>
      <c r="V70" s="132">
        <f t="shared" si="5"/>
        <v>3652</v>
      </c>
      <c r="W70" s="246">
        <v>5</v>
      </c>
      <c r="X70" s="246" t="s">
        <v>46</v>
      </c>
      <c r="Y70" s="246" t="s">
        <v>69</v>
      </c>
      <c r="Z70" s="246" t="s">
        <v>88</v>
      </c>
      <c r="AA70" s="130" t="s">
        <v>97</v>
      </c>
      <c r="AB70" s="246" t="s">
        <v>346</v>
      </c>
    </row>
    <row r="71" spans="1:28" x14ac:dyDescent="0.15">
      <c r="A71" s="246" t="s">
        <v>51</v>
      </c>
      <c r="B71" s="246" t="s">
        <v>344</v>
      </c>
      <c r="C71" s="246">
        <v>2018</v>
      </c>
      <c r="D71" s="106" t="s">
        <v>424</v>
      </c>
      <c r="E71" s="246" t="s">
        <v>219</v>
      </c>
      <c r="F71" s="246" t="s">
        <v>220</v>
      </c>
      <c r="G71" s="246" t="s">
        <v>36</v>
      </c>
      <c r="H71" s="246" t="s">
        <v>157</v>
      </c>
      <c r="I71" s="246" t="s">
        <v>155</v>
      </c>
      <c r="J71" s="246" t="s">
        <v>38</v>
      </c>
      <c r="K71" s="246" t="s">
        <v>156</v>
      </c>
      <c r="L71" s="98">
        <v>1</v>
      </c>
      <c r="N71" s="130">
        <v>1</v>
      </c>
      <c r="O71" s="98">
        <v>0.85</v>
      </c>
      <c r="P71" s="98">
        <v>0.8</v>
      </c>
      <c r="Q71" s="132">
        <f t="shared" si="3"/>
        <v>0.82499999999999996</v>
      </c>
      <c r="R71" s="98">
        <v>15.2</v>
      </c>
      <c r="S71" s="98">
        <v>166</v>
      </c>
      <c r="T71" s="132">
        <f t="shared" si="4"/>
        <v>18</v>
      </c>
      <c r="U71" s="246">
        <v>128</v>
      </c>
      <c r="V71" s="132">
        <f t="shared" si="5"/>
        <v>2304</v>
      </c>
      <c r="W71" s="130">
        <v>12</v>
      </c>
      <c r="X71" s="246" t="s">
        <v>46</v>
      </c>
      <c r="Y71" s="246" t="s">
        <v>69</v>
      </c>
      <c r="Z71" s="246" t="s">
        <v>97</v>
      </c>
      <c r="AA71" s="130" t="s">
        <v>55</v>
      </c>
      <c r="AB71" s="246" t="s">
        <v>346</v>
      </c>
    </row>
    <row r="72" spans="1:28" x14ac:dyDescent="0.15">
      <c r="A72" s="246" t="s">
        <v>51</v>
      </c>
      <c r="B72" s="246" t="s">
        <v>344</v>
      </c>
      <c r="C72" s="246">
        <v>2018</v>
      </c>
      <c r="D72" s="106" t="s">
        <v>424</v>
      </c>
      <c r="E72" s="246" t="s">
        <v>219</v>
      </c>
      <c r="F72" s="246" t="s">
        <v>220</v>
      </c>
      <c r="G72" s="246" t="s">
        <v>36</v>
      </c>
      <c r="H72" s="246" t="s">
        <v>157</v>
      </c>
      <c r="I72" s="246" t="s">
        <v>155</v>
      </c>
      <c r="J72" s="246" t="s">
        <v>38</v>
      </c>
      <c r="K72" s="246" t="s">
        <v>156</v>
      </c>
      <c r="L72" s="98">
        <v>2</v>
      </c>
      <c r="N72" s="130">
        <v>1</v>
      </c>
      <c r="O72" s="98">
        <v>0.75</v>
      </c>
      <c r="P72" s="98">
        <v>0.8</v>
      </c>
      <c r="Q72" s="132">
        <f t="shared" si="3"/>
        <v>0.77500000000000002</v>
      </c>
      <c r="R72" s="98">
        <v>14.7</v>
      </c>
      <c r="S72" s="98">
        <v>152</v>
      </c>
      <c r="T72" s="132">
        <f t="shared" si="4"/>
        <v>18</v>
      </c>
      <c r="U72" s="246">
        <v>128</v>
      </c>
      <c r="V72" s="132">
        <f t="shared" si="5"/>
        <v>2304</v>
      </c>
      <c r="W72" s="130">
        <v>12</v>
      </c>
      <c r="X72" s="246" t="s">
        <v>46</v>
      </c>
      <c r="Y72" s="246" t="s">
        <v>69</v>
      </c>
      <c r="Z72" s="246" t="s">
        <v>97</v>
      </c>
      <c r="AA72" s="130" t="s">
        <v>55</v>
      </c>
      <c r="AB72" s="246" t="s">
        <v>346</v>
      </c>
    </row>
    <row r="73" spans="1:28" x14ac:dyDescent="0.15">
      <c r="A73" s="246" t="s">
        <v>51</v>
      </c>
      <c r="B73" s="246" t="s">
        <v>344</v>
      </c>
      <c r="C73" s="246">
        <v>2018</v>
      </c>
      <c r="D73" s="106" t="s">
        <v>424</v>
      </c>
      <c r="E73" s="246" t="s">
        <v>219</v>
      </c>
      <c r="F73" s="246" t="s">
        <v>220</v>
      </c>
      <c r="G73" s="246" t="s">
        <v>36</v>
      </c>
      <c r="H73" s="246" t="s">
        <v>157</v>
      </c>
      <c r="I73" s="246" t="s">
        <v>155</v>
      </c>
      <c r="J73" s="246" t="s">
        <v>38</v>
      </c>
      <c r="K73" s="246" t="s">
        <v>156</v>
      </c>
      <c r="L73" s="98">
        <v>3</v>
      </c>
      <c r="N73" s="130">
        <v>1</v>
      </c>
      <c r="O73" s="98">
        <v>0.8</v>
      </c>
      <c r="P73" s="98">
        <v>0.8</v>
      </c>
      <c r="Q73" s="132">
        <f t="shared" si="3"/>
        <v>0.8</v>
      </c>
      <c r="R73" s="98">
        <v>15.9</v>
      </c>
      <c r="S73" s="98">
        <v>174</v>
      </c>
      <c r="T73" s="132">
        <f t="shared" si="4"/>
        <v>18</v>
      </c>
      <c r="U73" s="246">
        <v>128</v>
      </c>
      <c r="V73" s="132">
        <f t="shared" si="5"/>
        <v>2304</v>
      </c>
      <c r="W73" s="130">
        <v>12</v>
      </c>
      <c r="X73" s="246" t="s">
        <v>46</v>
      </c>
      <c r="Y73" s="246" t="s">
        <v>69</v>
      </c>
      <c r="Z73" s="246" t="s">
        <v>97</v>
      </c>
      <c r="AA73" s="130" t="s">
        <v>55</v>
      </c>
      <c r="AB73" s="246" t="s">
        <v>346</v>
      </c>
    </row>
    <row r="74" spans="1:28" x14ac:dyDescent="0.15">
      <c r="A74" s="246" t="s">
        <v>51</v>
      </c>
      <c r="B74" s="246" t="s">
        <v>344</v>
      </c>
      <c r="C74" s="246">
        <v>2018</v>
      </c>
      <c r="D74" s="106" t="s">
        <v>424</v>
      </c>
      <c r="E74" s="246" t="s">
        <v>219</v>
      </c>
      <c r="F74" s="246" t="s">
        <v>220</v>
      </c>
      <c r="G74" s="246" t="s">
        <v>36</v>
      </c>
      <c r="H74" s="246" t="s">
        <v>157</v>
      </c>
      <c r="I74" s="246" t="s">
        <v>158</v>
      </c>
      <c r="J74" s="246" t="s">
        <v>38</v>
      </c>
      <c r="K74" s="246" t="s">
        <v>156</v>
      </c>
      <c r="L74" s="98">
        <v>1</v>
      </c>
      <c r="N74" s="130">
        <v>4</v>
      </c>
      <c r="O74" s="98">
        <v>0.6</v>
      </c>
      <c r="P74" s="98">
        <v>0.65</v>
      </c>
      <c r="Q74" s="132">
        <f t="shared" si="3"/>
        <v>0.625</v>
      </c>
      <c r="R74" s="98">
        <v>15.6</v>
      </c>
      <c r="S74" s="98">
        <v>100</v>
      </c>
      <c r="T74" s="132">
        <f t="shared" si="4"/>
        <v>33</v>
      </c>
      <c r="U74" s="246">
        <v>398</v>
      </c>
      <c r="V74" s="132">
        <f t="shared" si="5"/>
        <v>3283.5</v>
      </c>
      <c r="W74" s="130">
        <v>12</v>
      </c>
      <c r="X74" s="246" t="s">
        <v>46</v>
      </c>
      <c r="Y74" s="246" t="s">
        <v>69</v>
      </c>
      <c r="Z74" s="246" t="s">
        <v>97</v>
      </c>
      <c r="AA74" s="130" t="s">
        <v>55</v>
      </c>
      <c r="AB74" s="246" t="s">
        <v>346</v>
      </c>
    </row>
    <row r="75" spans="1:28" x14ac:dyDescent="0.15">
      <c r="A75" s="246" t="s">
        <v>51</v>
      </c>
      <c r="B75" s="246" t="s">
        <v>344</v>
      </c>
      <c r="C75" s="246">
        <v>2018</v>
      </c>
      <c r="D75" s="106" t="s">
        <v>424</v>
      </c>
      <c r="E75" s="246" t="s">
        <v>219</v>
      </c>
      <c r="F75" s="246" t="s">
        <v>220</v>
      </c>
      <c r="G75" s="246" t="s">
        <v>36</v>
      </c>
      <c r="H75" s="246" t="s">
        <v>157</v>
      </c>
      <c r="I75" s="246" t="s">
        <v>158</v>
      </c>
      <c r="J75" s="246" t="s">
        <v>38</v>
      </c>
      <c r="K75" s="246" t="s">
        <v>156</v>
      </c>
      <c r="L75" s="98">
        <v>2</v>
      </c>
      <c r="N75" s="130">
        <v>4</v>
      </c>
      <c r="O75" s="98">
        <v>0.65</v>
      </c>
      <c r="P75" s="98">
        <v>0.7</v>
      </c>
      <c r="Q75" s="132">
        <f t="shared" si="3"/>
        <v>0.67500000000000004</v>
      </c>
      <c r="R75" s="98">
        <v>12.8</v>
      </c>
      <c r="S75" s="98">
        <v>95</v>
      </c>
      <c r="T75" s="132">
        <f t="shared" si="4"/>
        <v>36</v>
      </c>
      <c r="U75" s="246">
        <v>398</v>
      </c>
      <c r="V75" s="132">
        <f t="shared" si="5"/>
        <v>3582</v>
      </c>
      <c r="W75" s="130">
        <v>12</v>
      </c>
      <c r="X75" s="246" t="s">
        <v>46</v>
      </c>
      <c r="Y75" s="246" t="s">
        <v>69</v>
      </c>
      <c r="Z75" s="246" t="s">
        <v>97</v>
      </c>
      <c r="AA75" s="130" t="s">
        <v>55</v>
      </c>
      <c r="AB75" s="246" t="s">
        <v>346</v>
      </c>
    </row>
    <row r="76" spans="1:28" x14ac:dyDescent="0.15">
      <c r="A76" s="246" t="s">
        <v>51</v>
      </c>
      <c r="B76" s="246" t="s">
        <v>344</v>
      </c>
      <c r="C76" s="246">
        <v>2018</v>
      </c>
      <c r="D76" s="106" t="s">
        <v>424</v>
      </c>
      <c r="E76" s="246" t="s">
        <v>219</v>
      </c>
      <c r="F76" s="246" t="s">
        <v>220</v>
      </c>
      <c r="G76" s="246" t="s">
        <v>36</v>
      </c>
      <c r="H76" s="246" t="s">
        <v>157</v>
      </c>
      <c r="I76" s="246" t="s">
        <v>158</v>
      </c>
      <c r="J76" s="246" t="s">
        <v>38</v>
      </c>
      <c r="K76" s="246" t="s">
        <v>156</v>
      </c>
      <c r="L76" s="98">
        <v>3</v>
      </c>
      <c r="N76" s="130">
        <v>4</v>
      </c>
      <c r="O76" s="98">
        <v>0.7</v>
      </c>
      <c r="P76" s="98">
        <v>0.6</v>
      </c>
      <c r="Q76" s="132">
        <f t="shared" si="3"/>
        <v>0.64999999999999991</v>
      </c>
      <c r="R76" s="115">
        <v>13.3</v>
      </c>
      <c r="S76" s="98">
        <v>99</v>
      </c>
      <c r="T76" s="132">
        <f t="shared" si="4"/>
        <v>33</v>
      </c>
      <c r="U76" s="246">
        <v>398</v>
      </c>
      <c r="V76" s="132">
        <f t="shared" si="5"/>
        <v>3283.5</v>
      </c>
      <c r="W76" s="130">
        <v>12</v>
      </c>
      <c r="X76" s="246" t="s">
        <v>46</v>
      </c>
      <c r="Y76" s="246" t="s">
        <v>69</v>
      </c>
      <c r="Z76" s="246" t="s">
        <v>97</v>
      </c>
      <c r="AA76" s="130" t="s">
        <v>55</v>
      </c>
      <c r="AB76" s="246" t="s">
        <v>346</v>
      </c>
    </row>
    <row r="77" spans="1:28" x14ac:dyDescent="0.15">
      <c r="A77" s="246" t="s">
        <v>51</v>
      </c>
      <c r="B77" s="246" t="s">
        <v>344</v>
      </c>
      <c r="C77" s="246">
        <v>2018</v>
      </c>
      <c r="D77" s="106" t="s">
        <v>424</v>
      </c>
      <c r="E77" s="246" t="s">
        <v>219</v>
      </c>
      <c r="F77" s="246" t="s">
        <v>220</v>
      </c>
      <c r="G77" s="246" t="s">
        <v>36</v>
      </c>
      <c r="H77" s="246" t="s">
        <v>165</v>
      </c>
      <c r="I77" s="246" t="s">
        <v>155</v>
      </c>
      <c r="J77" s="246" t="s">
        <v>38</v>
      </c>
      <c r="K77" s="246" t="s">
        <v>156</v>
      </c>
      <c r="L77" s="98">
        <v>1</v>
      </c>
      <c r="N77" s="130">
        <v>1</v>
      </c>
      <c r="O77" s="98">
        <v>0.85</v>
      </c>
      <c r="P77" s="98">
        <v>0.75</v>
      </c>
      <c r="Q77" s="132">
        <f t="shared" si="3"/>
        <v>0.8</v>
      </c>
      <c r="R77" s="98">
        <v>16.600000000000001</v>
      </c>
      <c r="S77" s="98">
        <v>172</v>
      </c>
      <c r="T77" s="132">
        <f t="shared" si="4"/>
        <v>18</v>
      </c>
      <c r="U77" s="98">
        <v>128</v>
      </c>
      <c r="V77" s="132">
        <f t="shared" si="5"/>
        <v>2304</v>
      </c>
      <c r="W77" s="130">
        <v>12</v>
      </c>
      <c r="X77" s="246" t="s">
        <v>46</v>
      </c>
      <c r="Y77" s="246" t="s">
        <v>69</v>
      </c>
      <c r="Z77" s="246" t="s">
        <v>97</v>
      </c>
      <c r="AA77" s="130" t="s">
        <v>55</v>
      </c>
      <c r="AB77" s="246" t="s">
        <v>346</v>
      </c>
    </row>
    <row r="78" spans="1:28" x14ac:dyDescent="0.15">
      <c r="A78" s="246" t="s">
        <v>51</v>
      </c>
      <c r="B78" s="246" t="s">
        <v>344</v>
      </c>
      <c r="C78" s="246">
        <v>2018</v>
      </c>
      <c r="D78" s="106" t="s">
        <v>424</v>
      </c>
      <c r="E78" s="246" t="s">
        <v>219</v>
      </c>
      <c r="F78" s="246" t="s">
        <v>220</v>
      </c>
      <c r="G78" s="246" t="s">
        <v>36</v>
      </c>
      <c r="H78" s="246" t="s">
        <v>165</v>
      </c>
      <c r="I78" s="246" t="s">
        <v>155</v>
      </c>
      <c r="J78" s="246" t="s">
        <v>38</v>
      </c>
      <c r="K78" s="246" t="s">
        <v>156</v>
      </c>
      <c r="L78" s="98">
        <v>2</v>
      </c>
      <c r="N78" s="130">
        <v>1</v>
      </c>
      <c r="O78" s="98">
        <v>0.75</v>
      </c>
      <c r="P78" s="98">
        <v>0.8</v>
      </c>
      <c r="Q78" s="132">
        <f t="shared" si="3"/>
        <v>0.77500000000000002</v>
      </c>
      <c r="R78" s="98">
        <v>15.2</v>
      </c>
      <c r="S78" s="98">
        <v>156</v>
      </c>
      <c r="T78" s="132">
        <f t="shared" si="4"/>
        <v>18</v>
      </c>
      <c r="U78" s="98">
        <v>128</v>
      </c>
      <c r="V78" s="132">
        <f t="shared" si="5"/>
        <v>2304</v>
      </c>
      <c r="W78" s="130">
        <v>12</v>
      </c>
      <c r="X78" s="246" t="s">
        <v>46</v>
      </c>
      <c r="Y78" s="246" t="s">
        <v>69</v>
      </c>
      <c r="Z78" s="246" t="s">
        <v>97</v>
      </c>
      <c r="AA78" s="130" t="s">
        <v>55</v>
      </c>
      <c r="AB78" s="246" t="s">
        <v>346</v>
      </c>
    </row>
    <row r="79" spans="1:28" x14ac:dyDescent="0.15">
      <c r="A79" s="246" t="s">
        <v>51</v>
      </c>
      <c r="B79" s="246" t="s">
        <v>344</v>
      </c>
      <c r="C79" s="246">
        <v>2018</v>
      </c>
      <c r="D79" s="106" t="s">
        <v>424</v>
      </c>
      <c r="E79" s="246" t="s">
        <v>219</v>
      </c>
      <c r="F79" s="246" t="s">
        <v>220</v>
      </c>
      <c r="G79" s="246" t="s">
        <v>36</v>
      </c>
      <c r="H79" s="246" t="s">
        <v>165</v>
      </c>
      <c r="I79" s="246" t="s">
        <v>155</v>
      </c>
      <c r="J79" s="246" t="s">
        <v>38</v>
      </c>
      <c r="K79" s="246" t="s">
        <v>156</v>
      </c>
      <c r="L79" s="98">
        <v>3</v>
      </c>
      <c r="N79" s="130">
        <v>1</v>
      </c>
      <c r="O79" s="98">
        <v>0.8</v>
      </c>
      <c r="P79" s="98">
        <v>0.7</v>
      </c>
      <c r="Q79" s="132">
        <f t="shared" si="3"/>
        <v>0.75</v>
      </c>
      <c r="R79" s="98">
        <v>15.7</v>
      </c>
      <c r="S79" s="98">
        <v>164</v>
      </c>
      <c r="T79" s="132">
        <f t="shared" si="4"/>
        <v>18</v>
      </c>
      <c r="U79" s="98">
        <v>128</v>
      </c>
      <c r="V79" s="132">
        <f t="shared" si="5"/>
        <v>2304</v>
      </c>
      <c r="W79" s="130">
        <v>12</v>
      </c>
      <c r="X79" s="246" t="s">
        <v>46</v>
      </c>
      <c r="Y79" s="246" t="s">
        <v>69</v>
      </c>
      <c r="Z79" s="246" t="s">
        <v>97</v>
      </c>
      <c r="AA79" s="130" t="s">
        <v>55</v>
      </c>
      <c r="AB79" s="246" t="s">
        <v>346</v>
      </c>
    </row>
    <row r="80" spans="1:28" x14ac:dyDescent="0.15">
      <c r="A80" s="246" t="s">
        <v>51</v>
      </c>
      <c r="B80" s="246" t="s">
        <v>344</v>
      </c>
      <c r="C80" s="246">
        <v>2018</v>
      </c>
      <c r="D80" s="106" t="s">
        <v>424</v>
      </c>
      <c r="E80" s="246" t="s">
        <v>222</v>
      </c>
      <c r="F80" s="246" t="s">
        <v>199</v>
      </c>
      <c r="G80" s="246" t="s">
        <v>42</v>
      </c>
      <c r="H80" s="246" t="s">
        <v>157</v>
      </c>
      <c r="I80" s="246" t="s">
        <v>155</v>
      </c>
      <c r="J80" s="246" t="s">
        <v>38</v>
      </c>
      <c r="K80" s="246" t="s">
        <v>156</v>
      </c>
      <c r="L80" s="98">
        <v>1</v>
      </c>
      <c r="N80" s="130">
        <v>1</v>
      </c>
      <c r="O80" s="98">
        <v>0.8</v>
      </c>
      <c r="P80" s="98">
        <v>0.8</v>
      </c>
      <c r="Q80" s="132">
        <f t="shared" si="3"/>
        <v>0.8</v>
      </c>
      <c r="R80" s="98">
        <v>15.1</v>
      </c>
      <c r="S80" s="98">
        <v>150</v>
      </c>
      <c r="T80" s="132">
        <f t="shared" si="4"/>
        <v>22</v>
      </c>
      <c r="U80" s="98">
        <v>98</v>
      </c>
      <c r="V80" s="132">
        <f t="shared" si="5"/>
        <v>2156</v>
      </c>
      <c r="W80" s="130">
        <v>6</v>
      </c>
      <c r="X80" s="246" t="s">
        <v>46</v>
      </c>
      <c r="Y80" s="246" t="s">
        <v>69</v>
      </c>
      <c r="Z80" s="246" t="s">
        <v>97</v>
      </c>
      <c r="AA80" s="130" t="s">
        <v>47</v>
      </c>
      <c r="AB80" s="246" t="s">
        <v>346</v>
      </c>
    </row>
    <row r="81" spans="1:28" x14ac:dyDescent="0.15">
      <c r="A81" s="246" t="s">
        <v>51</v>
      </c>
      <c r="B81" s="246" t="s">
        <v>344</v>
      </c>
      <c r="C81" s="246">
        <v>2018</v>
      </c>
      <c r="D81" s="106" t="s">
        <v>424</v>
      </c>
      <c r="E81" s="246" t="s">
        <v>222</v>
      </c>
      <c r="F81" s="246" t="s">
        <v>199</v>
      </c>
      <c r="G81" s="246" t="s">
        <v>42</v>
      </c>
      <c r="H81" s="246" t="s">
        <v>157</v>
      </c>
      <c r="I81" s="246" t="s">
        <v>155</v>
      </c>
      <c r="J81" s="246" t="s">
        <v>38</v>
      </c>
      <c r="K81" s="246" t="s">
        <v>156</v>
      </c>
      <c r="L81" s="98">
        <v>2</v>
      </c>
      <c r="N81" s="130">
        <v>1</v>
      </c>
      <c r="O81" s="98">
        <v>0.9</v>
      </c>
      <c r="P81" s="98">
        <v>0.85</v>
      </c>
      <c r="Q81" s="132">
        <f t="shared" si="3"/>
        <v>0.875</v>
      </c>
      <c r="R81" s="98">
        <v>14.8</v>
      </c>
      <c r="S81" s="98">
        <v>144</v>
      </c>
      <c r="T81" s="132">
        <f t="shared" si="4"/>
        <v>22</v>
      </c>
      <c r="U81" s="98">
        <v>98</v>
      </c>
      <c r="V81" s="132">
        <f t="shared" si="5"/>
        <v>2156</v>
      </c>
      <c r="W81" s="130">
        <v>6</v>
      </c>
      <c r="X81" s="246" t="s">
        <v>46</v>
      </c>
      <c r="Y81" s="246" t="s">
        <v>69</v>
      </c>
      <c r="Z81" s="246" t="s">
        <v>97</v>
      </c>
      <c r="AA81" s="130" t="s">
        <v>47</v>
      </c>
      <c r="AB81" s="246" t="s">
        <v>346</v>
      </c>
    </row>
    <row r="82" spans="1:28" x14ac:dyDescent="0.15">
      <c r="A82" s="246" t="s">
        <v>51</v>
      </c>
      <c r="B82" s="246" t="s">
        <v>344</v>
      </c>
      <c r="C82" s="246">
        <v>2018</v>
      </c>
      <c r="D82" s="106" t="s">
        <v>424</v>
      </c>
      <c r="E82" s="246" t="s">
        <v>222</v>
      </c>
      <c r="F82" s="246" t="s">
        <v>199</v>
      </c>
      <c r="G82" s="246" t="s">
        <v>42</v>
      </c>
      <c r="H82" s="246" t="s">
        <v>157</v>
      </c>
      <c r="I82" s="246" t="s">
        <v>155</v>
      </c>
      <c r="J82" s="246" t="s">
        <v>38</v>
      </c>
      <c r="K82" s="246" t="s">
        <v>156</v>
      </c>
      <c r="L82" s="98">
        <v>3</v>
      </c>
      <c r="N82" s="130">
        <v>1</v>
      </c>
      <c r="O82" s="98">
        <v>0.8</v>
      </c>
      <c r="P82" s="98">
        <v>0.85</v>
      </c>
      <c r="Q82" s="132">
        <f t="shared" si="3"/>
        <v>0.82499999999999996</v>
      </c>
      <c r="R82" s="98">
        <v>14.3</v>
      </c>
      <c r="S82" s="98">
        <v>142</v>
      </c>
      <c r="T82" s="132">
        <f t="shared" si="4"/>
        <v>22</v>
      </c>
      <c r="U82" s="98">
        <v>98</v>
      </c>
      <c r="V82" s="132">
        <f t="shared" si="5"/>
        <v>2156</v>
      </c>
      <c r="W82" s="130">
        <v>6</v>
      </c>
      <c r="X82" s="246" t="s">
        <v>46</v>
      </c>
      <c r="Y82" s="246" t="s">
        <v>69</v>
      </c>
      <c r="Z82" s="246" t="s">
        <v>97</v>
      </c>
      <c r="AA82" s="130" t="s">
        <v>47</v>
      </c>
      <c r="AB82" s="246" t="s">
        <v>346</v>
      </c>
    </row>
    <row r="83" spans="1:28" x14ac:dyDescent="0.15">
      <c r="A83" s="246" t="s">
        <v>51</v>
      </c>
      <c r="B83" s="246" t="s">
        <v>344</v>
      </c>
      <c r="C83" s="246">
        <v>2018</v>
      </c>
      <c r="D83" s="106" t="s">
        <v>424</v>
      </c>
      <c r="E83" s="246" t="s">
        <v>222</v>
      </c>
      <c r="F83" s="246" t="s">
        <v>199</v>
      </c>
      <c r="G83" s="246" t="s">
        <v>42</v>
      </c>
      <c r="H83" s="246" t="s">
        <v>165</v>
      </c>
      <c r="I83" s="246" t="s">
        <v>155</v>
      </c>
      <c r="J83" s="246" t="s">
        <v>38</v>
      </c>
      <c r="K83" s="246" t="s">
        <v>156</v>
      </c>
      <c r="L83" s="98">
        <v>1</v>
      </c>
      <c r="N83" s="130">
        <v>1</v>
      </c>
      <c r="O83" s="98">
        <v>1.05</v>
      </c>
      <c r="P83" s="98">
        <v>1.1000000000000001</v>
      </c>
      <c r="Q83" s="132">
        <f t="shared" si="3"/>
        <v>1.0750000000000002</v>
      </c>
      <c r="R83" s="98">
        <v>14.5</v>
      </c>
      <c r="S83" s="98">
        <v>146</v>
      </c>
      <c r="T83" s="132">
        <f t="shared" si="4"/>
        <v>22</v>
      </c>
      <c r="U83" s="98">
        <v>128</v>
      </c>
      <c r="V83" s="132">
        <f t="shared" si="5"/>
        <v>2816</v>
      </c>
      <c r="W83" s="130">
        <v>6</v>
      </c>
      <c r="X83" s="246" t="s">
        <v>46</v>
      </c>
      <c r="Y83" s="246" t="s">
        <v>69</v>
      </c>
      <c r="Z83" s="246" t="s">
        <v>97</v>
      </c>
      <c r="AA83" s="130" t="s">
        <v>47</v>
      </c>
      <c r="AB83" s="246" t="s">
        <v>346</v>
      </c>
    </row>
    <row r="84" spans="1:28" x14ac:dyDescent="0.15">
      <c r="A84" s="246" t="s">
        <v>51</v>
      </c>
      <c r="B84" s="246" t="s">
        <v>344</v>
      </c>
      <c r="C84" s="246">
        <v>2018</v>
      </c>
      <c r="D84" s="106" t="s">
        <v>424</v>
      </c>
      <c r="E84" s="246" t="s">
        <v>222</v>
      </c>
      <c r="F84" s="246" t="s">
        <v>199</v>
      </c>
      <c r="G84" s="246" t="s">
        <v>42</v>
      </c>
      <c r="H84" s="246" t="s">
        <v>165</v>
      </c>
      <c r="I84" s="246" t="s">
        <v>155</v>
      </c>
      <c r="J84" s="246" t="s">
        <v>38</v>
      </c>
      <c r="K84" s="246" t="s">
        <v>156</v>
      </c>
      <c r="L84" s="98">
        <v>2</v>
      </c>
      <c r="N84" s="130">
        <v>1</v>
      </c>
      <c r="O84" s="98">
        <v>1.1000000000000001</v>
      </c>
      <c r="P84" s="98">
        <v>1.1499999999999999</v>
      </c>
      <c r="Q84" s="132">
        <f t="shared" si="3"/>
        <v>1.125</v>
      </c>
      <c r="R84" s="98">
        <v>14.6</v>
      </c>
      <c r="S84" s="98">
        <v>142</v>
      </c>
      <c r="T84" s="132">
        <f t="shared" si="4"/>
        <v>22</v>
      </c>
      <c r="U84" s="98">
        <v>128</v>
      </c>
      <c r="V84" s="132">
        <f t="shared" si="5"/>
        <v>2816</v>
      </c>
      <c r="W84" s="130">
        <v>6</v>
      </c>
      <c r="X84" s="246" t="s">
        <v>46</v>
      </c>
      <c r="Y84" s="246" t="s">
        <v>69</v>
      </c>
      <c r="Z84" s="246" t="s">
        <v>97</v>
      </c>
      <c r="AA84" s="130" t="s">
        <v>47</v>
      </c>
      <c r="AB84" s="246" t="s">
        <v>346</v>
      </c>
    </row>
    <row r="85" spans="1:28" x14ac:dyDescent="0.15">
      <c r="A85" s="246" t="s">
        <v>51</v>
      </c>
      <c r="B85" s="246" t="s">
        <v>344</v>
      </c>
      <c r="C85" s="246">
        <v>2018</v>
      </c>
      <c r="D85" s="106" t="s">
        <v>424</v>
      </c>
      <c r="E85" s="246" t="s">
        <v>222</v>
      </c>
      <c r="F85" s="246" t="s">
        <v>199</v>
      </c>
      <c r="G85" s="246" t="s">
        <v>42</v>
      </c>
      <c r="H85" s="246" t="s">
        <v>165</v>
      </c>
      <c r="I85" s="246" t="s">
        <v>155</v>
      </c>
      <c r="J85" s="246" t="s">
        <v>38</v>
      </c>
      <c r="K85" s="246" t="s">
        <v>156</v>
      </c>
      <c r="L85" s="98">
        <v>3</v>
      </c>
      <c r="N85" s="130">
        <v>1</v>
      </c>
      <c r="O85" s="98">
        <v>1</v>
      </c>
      <c r="P85" s="98">
        <v>1</v>
      </c>
      <c r="Q85" s="132">
        <f t="shared" si="3"/>
        <v>1</v>
      </c>
      <c r="R85" s="98">
        <v>15.2</v>
      </c>
      <c r="S85" s="98">
        <v>150</v>
      </c>
      <c r="T85" s="132">
        <f t="shared" si="4"/>
        <v>22</v>
      </c>
      <c r="U85" s="98">
        <v>128</v>
      </c>
      <c r="V85" s="132">
        <f t="shared" si="5"/>
        <v>2816</v>
      </c>
      <c r="W85" s="130">
        <v>6</v>
      </c>
      <c r="X85" s="246" t="s">
        <v>46</v>
      </c>
      <c r="Y85" s="246" t="s">
        <v>69</v>
      </c>
      <c r="Z85" s="246" t="s">
        <v>97</v>
      </c>
      <c r="AA85" s="130" t="s">
        <v>47</v>
      </c>
      <c r="AB85" s="246" t="s">
        <v>346</v>
      </c>
    </row>
    <row r="86" spans="1:28" x14ac:dyDescent="0.15">
      <c r="A86" s="246"/>
      <c r="B86" s="246"/>
      <c r="C86" s="130"/>
      <c r="D86" s="131"/>
      <c r="E86" s="246"/>
      <c r="F86" s="246"/>
      <c r="G86" s="130"/>
      <c r="H86" s="130"/>
      <c r="I86" s="130"/>
      <c r="J86" s="130"/>
      <c r="K86" s="246"/>
      <c r="N86" s="130"/>
      <c r="W86" s="130"/>
      <c r="X86" s="130"/>
      <c r="Y86" s="130"/>
      <c r="Z86" s="130"/>
      <c r="AA86" s="130"/>
      <c r="AB86" s="246"/>
    </row>
    <row r="87" spans="1:28" x14ac:dyDescent="0.15">
      <c r="A87" s="246"/>
      <c r="B87" s="246"/>
      <c r="C87" s="130"/>
      <c r="D87" s="131"/>
      <c r="E87" s="246"/>
      <c r="F87" s="246"/>
      <c r="G87" s="130"/>
      <c r="H87" s="130"/>
      <c r="I87" s="130"/>
      <c r="J87" s="130"/>
      <c r="K87" s="130"/>
      <c r="N87" s="130"/>
      <c r="W87" s="130"/>
      <c r="X87" s="130"/>
      <c r="Y87" s="130"/>
      <c r="Z87" s="130"/>
      <c r="AA87" s="130"/>
      <c r="AB87" s="246"/>
    </row>
    <row r="88" spans="1:28" x14ac:dyDescent="0.15">
      <c r="A88" s="246"/>
      <c r="B88" s="246"/>
      <c r="C88" s="130"/>
      <c r="D88" s="131"/>
      <c r="E88" s="246"/>
      <c r="F88" s="246"/>
      <c r="G88" s="130"/>
      <c r="H88" s="130"/>
      <c r="I88" s="130"/>
      <c r="J88" s="130"/>
      <c r="K88" s="130"/>
      <c r="N88" s="130"/>
      <c r="W88" s="130"/>
      <c r="X88" s="130"/>
      <c r="Y88" s="130"/>
      <c r="Z88" s="130"/>
      <c r="AA88" s="130"/>
      <c r="AB88" s="246"/>
    </row>
    <row r="89" spans="1:28" x14ac:dyDescent="0.15">
      <c r="E89" s="246"/>
      <c r="F89" s="246"/>
    </row>
    <row r="90" spans="1:28" x14ac:dyDescent="0.15">
      <c r="E90" s="246"/>
      <c r="F90" s="246"/>
    </row>
    <row r="91" spans="1:28" x14ac:dyDescent="0.15">
      <c r="E91" s="246"/>
      <c r="F91" s="246"/>
    </row>
    <row r="92" spans="1:28" x14ac:dyDescent="0.15">
      <c r="E92" s="246"/>
      <c r="F92" s="246"/>
    </row>
    <row r="93" spans="1:28" x14ac:dyDescent="0.15">
      <c r="E93" s="246"/>
      <c r="F93" s="246"/>
    </row>
    <row r="94" spans="1:28" x14ac:dyDescent="0.15">
      <c r="E94" s="246"/>
      <c r="F94" s="246"/>
    </row>
    <row r="95" spans="1:28" x14ac:dyDescent="0.15">
      <c r="E95" s="246"/>
      <c r="F95" s="246"/>
    </row>
    <row r="96" spans="1:28" x14ac:dyDescent="0.15">
      <c r="E96" s="246"/>
      <c r="F96" s="246"/>
    </row>
    <row r="97" spans="5:6" x14ac:dyDescent="0.15">
      <c r="E97" s="246"/>
      <c r="F97" s="246"/>
    </row>
    <row r="98" spans="5:6" x14ac:dyDescent="0.15">
      <c r="E98" s="246"/>
      <c r="F98" s="246"/>
    </row>
    <row r="99" spans="5:6" x14ac:dyDescent="0.15">
      <c r="E99" s="246"/>
      <c r="F99" s="246"/>
    </row>
    <row r="100" spans="5:6" x14ac:dyDescent="0.15">
      <c r="E100" s="246"/>
      <c r="F100" s="246"/>
    </row>
    <row r="101" spans="5:6" x14ac:dyDescent="0.15">
      <c r="E101" s="246"/>
      <c r="F101" s="246"/>
    </row>
    <row r="102" spans="5:6" x14ac:dyDescent="0.15">
      <c r="E102" s="246"/>
      <c r="F102" s="246"/>
    </row>
    <row r="103" spans="5:6" x14ac:dyDescent="0.15">
      <c r="E103" s="246"/>
      <c r="F103" s="246"/>
    </row>
    <row r="104" spans="5:6" x14ac:dyDescent="0.15">
      <c r="E104" s="246"/>
      <c r="F104" s="246"/>
    </row>
    <row r="105" spans="5:6" x14ac:dyDescent="0.15">
      <c r="E105" s="246"/>
      <c r="F105" s="246"/>
    </row>
    <row r="106" spans="5:6" x14ac:dyDescent="0.15">
      <c r="E106" s="246"/>
      <c r="F106" s="246"/>
    </row>
    <row r="107" spans="5:6" x14ac:dyDescent="0.15">
      <c r="E107" s="246"/>
      <c r="F107" s="246"/>
    </row>
    <row r="108" spans="5:6" x14ac:dyDescent="0.15">
      <c r="E108" s="246"/>
      <c r="F108" s="246"/>
    </row>
    <row r="109" spans="5:6" x14ac:dyDescent="0.15">
      <c r="E109" s="246"/>
      <c r="F109" s="246"/>
    </row>
    <row r="110" spans="5:6" x14ac:dyDescent="0.15">
      <c r="E110" s="246"/>
      <c r="F110" s="246"/>
    </row>
    <row r="111" spans="5:6" x14ac:dyDescent="0.15">
      <c r="E111" s="246"/>
      <c r="F111" s="246"/>
    </row>
    <row r="112" spans="5:6" x14ac:dyDescent="0.15">
      <c r="E112" s="246"/>
      <c r="F112" s="246"/>
    </row>
    <row r="113" spans="5:6" x14ac:dyDescent="0.15">
      <c r="E113" s="246"/>
      <c r="F113" s="246"/>
    </row>
    <row r="114" spans="5:6" x14ac:dyDescent="0.15">
      <c r="E114" s="246"/>
      <c r="F114" s="246"/>
    </row>
    <row r="115" spans="5:6" x14ac:dyDescent="0.15">
      <c r="E115" s="246"/>
      <c r="F115" s="246"/>
    </row>
    <row r="116" spans="5:6" x14ac:dyDescent="0.15">
      <c r="E116" s="246"/>
      <c r="F116" s="246"/>
    </row>
    <row r="117" spans="5:6" x14ac:dyDescent="0.15">
      <c r="E117" s="246"/>
      <c r="F117" s="246"/>
    </row>
    <row r="118" spans="5:6" x14ac:dyDescent="0.15">
      <c r="E118" s="246"/>
      <c r="F118" s="246"/>
    </row>
    <row r="119" spans="5:6" x14ac:dyDescent="0.15">
      <c r="E119" s="246"/>
      <c r="F119" s="246"/>
    </row>
    <row r="120" spans="5:6" x14ac:dyDescent="0.15">
      <c r="E120" s="246"/>
      <c r="F120" s="246"/>
    </row>
    <row r="121" spans="5:6" x14ac:dyDescent="0.15">
      <c r="E121" s="246"/>
      <c r="F121" s="246"/>
    </row>
    <row r="122" spans="5:6" x14ac:dyDescent="0.15">
      <c r="E122" s="246"/>
      <c r="F122" s="246"/>
    </row>
    <row r="123" spans="5:6" x14ac:dyDescent="0.15">
      <c r="E123" s="246"/>
      <c r="F123" s="246"/>
    </row>
    <row r="124" spans="5:6" x14ac:dyDescent="0.15">
      <c r="E124" s="246"/>
      <c r="F124" s="246"/>
    </row>
    <row r="125" spans="5:6" x14ac:dyDescent="0.15">
      <c r="E125" s="246"/>
      <c r="F125" s="246"/>
    </row>
    <row r="126" spans="5:6" x14ac:dyDescent="0.15">
      <c r="E126" s="246"/>
      <c r="F126" s="246"/>
    </row>
    <row r="127" spans="5:6" x14ac:dyDescent="0.15">
      <c r="E127" s="246"/>
      <c r="F127" s="246"/>
    </row>
    <row r="128" spans="5:6" x14ac:dyDescent="0.15">
      <c r="E128" s="246"/>
      <c r="F128" s="246"/>
    </row>
    <row r="129" spans="5:6" x14ac:dyDescent="0.15">
      <c r="E129" s="246"/>
      <c r="F129" s="246"/>
    </row>
    <row r="130" spans="5:6" x14ac:dyDescent="0.15">
      <c r="E130" s="246"/>
      <c r="F130" s="246"/>
    </row>
    <row r="131" spans="5:6" x14ac:dyDescent="0.15">
      <c r="E131" s="246"/>
      <c r="F131" s="246"/>
    </row>
    <row r="132" spans="5:6" x14ac:dyDescent="0.15">
      <c r="E132" s="246"/>
      <c r="F132" s="246"/>
    </row>
    <row r="133" spans="5:6" x14ac:dyDescent="0.15">
      <c r="E133" s="246"/>
      <c r="F133" s="246"/>
    </row>
    <row r="134" spans="5:6" x14ac:dyDescent="0.15">
      <c r="E134" s="246"/>
      <c r="F134" s="246"/>
    </row>
    <row r="135" spans="5:6" x14ac:dyDescent="0.15">
      <c r="E135" s="246"/>
      <c r="F135" s="246"/>
    </row>
    <row r="136" spans="5:6" x14ac:dyDescent="0.15">
      <c r="E136" s="246"/>
      <c r="F136" s="246"/>
    </row>
    <row r="137" spans="5:6" x14ac:dyDescent="0.15">
      <c r="E137" s="246"/>
      <c r="F137" s="246"/>
    </row>
    <row r="138" spans="5:6" x14ac:dyDescent="0.15">
      <c r="E138" s="246"/>
      <c r="F138" s="246"/>
    </row>
    <row r="139" spans="5:6" x14ac:dyDescent="0.15">
      <c r="E139" s="246"/>
      <c r="F139" s="246"/>
    </row>
    <row r="140" spans="5:6" x14ac:dyDescent="0.15">
      <c r="E140" s="246"/>
      <c r="F140" s="246"/>
    </row>
    <row r="141" spans="5:6" x14ac:dyDescent="0.15">
      <c r="E141" s="246"/>
      <c r="F141" s="246"/>
    </row>
    <row r="142" spans="5:6" x14ac:dyDescent="0.15">
      <c r="E142" s="246"/>
      <c r="F142" s="246"/>
    </row>
    <row r="143" spans="5:6" x14ac:dyDescent="0.15">
      <c r="E143" s="246"/>
      <c r="F143" s="246"/>
    </row>
    <row r="144" spans="5:6" x14ac:dyDescent="0.15">
      <c r="E144" s="246"/>
      <c r="F144" s="246"/>
    </row>
    <row r="145" spans="5:6" x14ac:dyDescent="0.15">
      <c r="E145" s="246"/>
      <c r="F145" s="246"/>
    </row>
    <row r="146" spans="5:6" x14ac:dyDescent="0.15">
      <c r="E146" s="246"/>
      <c r="F146" s="246"/>
    </row>
    <row r="147" spans="5:6" x14ac:dyDescent="0.15">
      <c r="E147" s="246"/>
      <c r="F147" s="246"/>
    </row>
    <row r="148" spans="5:6" x14ac:dyDescent="0.15">
      <c r="E148" s="246"/>
      <c r="F148" s="246"/>
    </row>
    <row r="149" spans="5:6" x14ac:dyDescent="0.15">
      <c r="E149" s="246"/>
      <c r="F149" s="246"/>
    </row>
    <row r="150" spans="5:6" x14ac:dyDescent="0.15">
      <c r="E150" s="246"/>
      <c r="F150" s="246"/>
    </row>
    <row r="151" spans="5:6" x14ac:dyDescent="0.15">
      <c r="E151" s="246"/>
      <c r="F151" s="246"/>
    </row>
    <row r="152" spans="5:6" x14ac:dyDescent="0.15">
      <c r="E152" s="246"/>
      <c r="F152" s="246"/>
    </row>
    <row r="153" spans="5:6" x14ac:dyDescent="0.15">
      <c r="E153" s="246"/>
      <c r="F153" s="246"/>
    </row>
    <row r="154" spans="5:6" x14ac:dyDescent="0.15">
      <c r="E154" s="246"/>
      <c r="F154" s="246"/>
    </row>
    <row r="155" spans="5:6" x14ac:dyDescent="0.15">
      <c r="E155" s="246"/>
      <c r="F155" s="246"/>
    </row>
    <row r="156" spans="5:6" x14ac:dyDescent="0.15">
      <c r="E156" s="246"/>
      <c r="F156" s="246"/>
    </row>
    <row r="157" spans="5:6" x14ac:dyDescent="0.15">
      <c r="E157" s="246"/>
      <c r="F157" s="246"/>
    </row>
    <row r="158" spans="5:6" x14ac:dyDescent="0.15">
      <c r="E158" s="246"/>
      <c r="F158" s="246"/>
    </row>
    <row r="159" spans="5:6" x14ac:dyDescent="0.15">
      <c r="E159" s="246"/>
      <c r="F159" s="246"/>
    </row>
    <row r="160" spans="5:6" x14ac:dyDescent="0.15">
      <c r="E160" s="246"/>
      <c r="F160" s="246"/>
    </row>
    <row r="161" spans="5:6" x14ac:dyDescent="0.15">
      <c r="E161" s="246"/>
      <c r="F161" s="246"/>
    </row>
    <row r="162" spans="5:6" x14ac:dyDescent="0.15">
      <c r="E162" s="246"/>
      <c r="F162" s="246"/>
    </row>
    <row r="163" spans="5:6" x14ac:dyDescent="0.15">
      <c r="E163" s="246"/>
      <c r="F163" s="246"/>
    </row>
    <row r="164" spans="5:6" x14ac:dyDescent="0.15">
      <c r="E164" s="246"/>
      <c r="F164" s="246"/>
    </row>
    <row r="165" spans="5:6" x14ac:dyDescent="0.15">
      <c r="E165" s="246"/>
      <c r="F165" s="246"/>
    </row>
    <row r="166" spans="5:6" x14ac:dyDescent="0.15">
      <c r="E166" s="246"/>
      <c r="F166" s="246"/>
    </row>
    <row r="167" spans="5:6" x14ac:dyDescent="0.15">
      <c r="E167" s="246"/>
      <c r="F167" s="246"/>
    </row>
    <row r="168" spans="5:6" x14ac:dyDescent="0.15">
      <c r="E168" s="246"/>
      <c r="F168" s="246"/>
    </row>
    <row r="169" spans="5:6" x14ac:dyDescent="0.15">
      <c r="E169" s="246"/>
      <c r="F169" s="246"/>
    </row>
    <row r="170" spans="5:6" x14ac:dyDescent="0.15">
      <c r="E170" s="246"/>
      <c r="F170" s="246"/>
    </row>
    <row r="171" spans="5:6" x14ac:dyDescent="0.15">
      <c r="E171" s="246"/>
      <c r="F171" s="246"/>
    </row>
    <row r="172" spans="5:6" x14ac:dyDescent="0.15">
      <c r="E172" s="246"/>
      <c r="F172" s="246"/>
    </row>
    <row r="173" spans="5:6" x14ac:dyDescent="0.15">
      <c r="E173" s="246"/>
      <c r="F173" s="246"/>
    </row>
    <row r="174" spans="5:6" x14ac:dyDescent="0.15">
      <c r="E174" s="246"/>
      <c r="F174" s="246"/>
    </row>
    <row r="175" spans="5:6" x14ac:dyDescent="0.15">
      <c r="E175" s="246"/>
      <c r="F175" s="246"/>
    </row>
    <row r="176" spans="5:6" x14ac:dyDescent="0.15">
      <c r="E176" s="246"/>
      <c r="F176" s="246"/>
    </row>
    <row r="177" spans="5:6" x14ac:dyDescent="0.15">
      <c r="E177" s="246"/>
      <c r="F177" s="246"/>
    </row>
    <row r="178" spans="5:6" x14ac:dyDescent="0.15">
      <c r="E178" s="246"/>
      <c r="F178" s="246"/>
    </row>
    <row r="179" spans="5:6" x14ac:dyDescent="0.15">
      <c r="E179" s="246"/>
      <c r="F179" s="246"/>
    </row>
    <row r="180" spans="5:6" x14ac:dyDescent="0.15">
      <c r="E180" s="246"/>
      <c r="F180" s="246"/>
    </row>
    <row r="181" spans="5:6" x14ac:dyDescent="0.15">
      <c r="E181" s="246"/>
      <c r="F181" s="246"/>
    </row>
    <row r="182" spans="5:6" x14ac:dyDescent="0.15">
      <c r="E182" s="246"/>
      <c r="F182" s="246"/>
    </row>
    <row r="183" spans="5:6" x14ac:dyDescent="0.15">
      <c r="E183" s="246"/>
      <c r="F183" s="246"/>
    </row>
    <row r="184" spans="5:6" x14ac:dyDescent="0.15">
      <c r="E184" s="246"/>
      <c r="F184" s="246"/>
    </row>
    <row r="185" spans="5:6" x14ac:dyDescent="0.15">
      <c r="E185" s="246"/>
      <c r="F185" s="246"/>
    </row>
    <row r="186" spans="5:6" x14ac:dyDescent="0.15">
      <c r="E186" s="246"/>
      <c r="F186" s="246"/>
    </row>
    <row r="187" spans="5:6" x14ac:dyDescent="0.15">
      <c r="E187" s="246"/>
      <c r="F187" s="246"/>
    </row>
    <row r="188" spans="5:6" x14ac:dyDescent="0.15">
      <c r="E188" s="246"/>
      <c r="F188" s="246"/>
    </row>
    <row r="189" spans="5:6" x14ac:dyDescent="0.15">
      <c r="E189" s="246"/>
      <c r="F189" s="246"/>
    </row>
    <row r="190" spans="5:6" x14ac:dyDescent="0.15">
      <c r="E190" s="246"/>
      <c r="F190" s="246"/>
    </row>
    <row r="191" spans="5:6" x14ac:dyDescent="0.15">
      <c r="E191" s="246"/>
      <c r="F191" s="246"/>
    </row>
    <row r="192" spans="5:6" x14ac:dyDescent="0.15">
      <c r="E192" s="246"/>
      <c r="F192" s="246"/>
    </row>
    <row r="193" spans="5:6" x14ac:dyDescent="0.15">
      <c r="E193" s="246"/>
      <c r="F193" s="246"/>
    </row>
    <row r="194" spans="5:6" x14ac:dyDescent="0.15">
      <c r="E194" s="246"/>
      <c r="F194" s="246"/>
    </row>
    <row r="195" spans="5:6" x14ac:dyDescent="0.15">
      <c r="E195" s="246"/>
      <c r="F195" s="246"/>
    </row>
    <row r="196" spans="5:6" x14ac:dyDescent="0.15">
      <c r="E196" s="246"/>
      <c r="F196" s="246"/>
    </row>
    <row r="197" spans="5:6" x14ac:dyDescent="0.15">
      <c r="E197" s="246"/>
      <c r="F197" s="246"/>
    </row>
    <row r="198" spans="5:6" x14ac:dyDescent="0.15">
      <c r="E198" s="246"/>
      <c r="F198" s="246"/>
    </row>
    <row r="199" spans="5:6" x14ac:dyDescent="0.15">
      <c r="E199" s="246"/>
      <c r="F199" s="246"/>
    </row>
    <row r="200" spans="5:6" x14ac:dyDescent="0.15">
      <c r="E200" s="246"/>
      <c r="F200" s="246"/>
    </row>
    <row r="201" spans="5:6" x14ac:dyDescent="0.15">
      <c r="E201" s="246"/>
      <c r="F201" s="246"/>
    </row>
    <row r="202" spans="5:6" x14ac:dyDescent="0.15">
      <c r="E202" s="246"/>
      <c r="F202" s="246"/>
    </row>
    <row r="203" spans="5:6" x14ac:dyDescent="0.15">
      <c r="E203" s="246"/>
      <c r="F203" s="246"/>
    </row>
    <row r="204" spans="5:6" x14ac:dyDescent="0.15">
      <c r="E204" s="246"/>
      <c r="F204" s="246"/>
    </row>
    <row r="205" spans="5:6" x14ac:dyDescent="0.15">
      <c r="E205" s="246"/>
      <c r="F205" s="246"/>
    </row>
    <row r="206" spans="5:6" x14ac:dyDescent="0.15">
      <c r="E206" s="246"/>
      <c r="F206" s="246"/>
    </row>
    <row r="207" spans="5:6" x14ac:dyDescent="0.15">
      <c r="E207" s="246"/>
      <c r="F207" s="246"/>
    </row>
    <row r="208" spans="5:6" x14ac:dyDescent="0.15">
      <c r="E208" s="246"/>
      <c r="F208" s="246"/>
    </row>
    <row r="209" spans="5:6" x14ac:dyDescent="0.15">
      <c r="E209" s="246"/>
      <c r="F209" s="246"/>
    </row>
    <row r="210" spans="5:6" x14ac:dyDescent="0.15">
      <c r="E210" s="246"/>
      <c r="F210" s="246"/>
    </row>
    <row r="211" spans="5:6" x14ac:dyDescent="0.15">
      <c r="E211" s="246"/>
      <c r="F211" s="246"/>
    </row>
    <row r="212" spans="5:6" x14ac:dyDescent="0.15">
      <c r="E212" s="246"/>
      <c r="F212" s="246"/>
    </row>
    <row r="213" spans="5:6" x14ac:dyDescent="0.15">
      <c r="E213" s="246"/>
      <c r="F213" s="246"/>
    </row>
    <row r="214" spans="5:6" x14ac:dyDescent="0.15">
      <c r="E214" s="246"/>
      <c r="F214" s="246"/>
    </row>
    <row r="215" spans="5:6" x14ac:dyDescent="0.15">
      <c r="E215" s="246"/>
      <c r="F215" s="246"/>
    </row>
    <row r="216" spans="5:6" x14ac:dyDescent="0.15">
      <c r="E216" s="246"/>
      <c r="F216" s="246"/>
    </row>
    <row r="217" spans="5:6" x14ac:dyDescent="0.15">
      <c r="E217" s="246"/>
      <c r="F217" s="246"/>
    </row>
    <row r="218" spans="5:6" x14ac:dyDescent="0.15">
      <c r="E218" s="246"/>
      <c r="F218" s="246"/>
    </row>
    <row r="219" spans="5:6" x14ac:dyDescent="0.15">
      <c r="E219" s="246"/>
      <c r="F219" s="246"/>
    </row>
    <row r="220" spans="5:6" x14ac:dyDescent="0.15">
      <c r="E220" s="246"/>
      <c r="F220" s="246"/>
    </row>
    <row r="221" spans="5:6" x14ac:dyDescent="0.15">
      <c r="E221" s="246"/>
      <c r="F221" s="246"/>
    </row>
    <row r="222" spans="5:6" x14ac:dyDescent="0.15">
      <c r="E222" s="246"/>
      <c r="F222" s="246"/>
    </row>
    <row r="223" spans="5:6" x14ac:dyDescent="0.15">
      <c r="E223" s="246"/>
      <c r="F223" s="246"/>
    </row>
    <row r="224" spans="5:6" x14ac:dyDescent="0.15">
      <c r="E224" s="246"/>
      <c r="F224" s="246"/>
    </row>
    <row r="225" spans="5:6" x14ac:dyDescent="0.15">
      <c r="E225" s="246"/>
      <c r="F225" s="246"/>
    </row>
    <row r="226" spans="5:6" x14ac:dyDescent="0.15">
      <c r="E226" s="246"/>
      <c r="F226" s="246"/>
    </row>
    <row r="227" spans="5:6" x14ac:dyDescent="0.15">
      <c r="E227" s="246"/>
      <c r="F227" s="246"/>
    </row>
    <row r="228" spans="5:6" x14ac:dyDescent="0.15">
      <c r="E228" s="246"/>
      <c r="F228" s="246"/>
    </row>
    <row r="229" spans="5:6" x14ac:dyDescent="0.15">
      <c r="E229" s="246"/>
      <c r="F229" s="246"/>
    </row>
    <row r="230" spans="5:6" x14ac:dyDescent="0.15">
      <c r="E230" s="246"/>
      <c r="F230" s="246"/>
    </row>
    <row r="231" spans="5:6" x14ac:dyDescent="0.15">
      <c r="E231" s="246"/>
      <c r="F231" s="246"/>
    </row>
    <row r="232" spans="5:6" x14ac:dyDescent="0.15">
      <c r="E232" s="246"/>
      <c r="F232" s="246"/>
    </row>
    <row r="233" spans="5:6" x14ac:dyDescent="0.15">
      <c r="E233" s="246"/>
      <c r="F233" s="246"/>
    </row>
    <row r="234" spans="5:6" x14ac:dyDescent="0.15">
      <c r="E234" s="246"/>
      <c r="F234" s="246"/>
    </row>
    <row r="235" spans="5:6" x14ac:dyDescent="0.15">
      <c r="E235" s="246"/>
      <c r="F235" s="246"/>
    </row>
    <row r="236" spans="5:6" x14ac:dyDescent="0.15">
      <c r="E236" s="246"/>
      <c r="F236" s="246"/>
    </row>
    <row r="237" spans="5:6" x14ac:dyDescent="0.15">
      <c r="E237" s="246"/>
      <c r="F237" s="246"/>
    </row>
    <row r="238" spans="5:6" x14ac:dyDescent="0.15">
      <c r="E238" s="246"/>
      <c r="F238" s="246"/>
    </row>
    <row r="239" spans="5:6" x14ac:dyDescent="0.15">
      <c r="E239" s="246"/>
      <c r="F239" s="246"/>
    </row>
    <row r="240" spans="5:6" x14ac:dyDescent="0.15">
      <c r="E240" s="246"/>
      <c r="F240" s="246"/>
    </row>
    <row r="241" spans="5:6" x14ac:dyDescent="0.15">
      <c r="E241" s="246"/>
      <c r="F241" s="246"/>
    </row>
    <row r="242" spans="5:6" x14ac:dyDescent="0.15">
      <c r="E242" s="246"/>
      <c r="F242" s="246"/>
    </row>
    <row r="243" spans="5:6" x14ac:dyDescent="0.15">
      <c r="E243" s="246"/>
      <c r="F243" s="246"/>
    </row>
    <row r="244" spans="5:6" x14ac:dyDescent="0.15">
      <c r="E244" s="246"/>
      <c r="F244" s="246"/>
    </row>
    <row r="245" spans="5:6" x14ac:dyDescent="0.15">
      <c r="E245" s="246"/>
      <c r="F245" s="246"/>
    </row>
    <row r="246" spans="5:6" x14ac:dyDescent="0.15">
      <c r="E246" s="246"/>
      <c r="F246" s="246"/>
    </row>
    <row r="247" spans="5:6" x14ac:dyDescent="0.15">
      <c r="E247" s="246"/>
      <c r="F247" s="246"/>
    </row>
    <row r="248" spans="5:6" x14ac:dyDescent="0.15">
      <c r="E248" s="246"/>
      <c r="F248" s="246"/>
    </row>
    <row r="249" spans="5:6" x14ac:dyDescent="0.15">
      <c r="E249" s="246"/>
      <c r="F249" s="246"/>
    </row>
    <row r="250" spans="5:6" x14ac:dyDescent="0.15">
      <c r="E250" s="246"/>
      <c r="F250" s="246"/>
    </row>
    <row r="251" spans="5:6" x14ac:dyDescent="0.15">
      <c r="E251" s="246"/>
      <c r="F251" s="246"/>
    </row>
    <row r="252" spans="5:6" x14ac:dyDescent="0.15">
      <c r="E252" s="246"/>
      <c r="F252" s="246"/>
    </row>
    <row r="253" spans="5:6" x14ac:dyDescent="0.15">
      <c r="E253" s="246"/>
      <c r="F253" s="246"/>
    </row>
    <row r="254" spans="5:6" x14ac:dyDescent="0.15">
      <c r="E254" s="246"/>
      <c r="F254" s="246"/>
    </row>
    <row r="255" spans="5:6" x14ac:dyDescent="0.15">
      <c r="E255" s="246"/>
      <c r="F255" s="246"/>
    </row>
    <row r="256" spans="5:6" x14ac:dyDescent="0.15">
      <c r="E256" s="246"/>
      <c r="F256" s="246"/>
    </row>
    <row r="257" spans="5:6" x14ac:dyDescent="0.15">
      <c r="E257" s="246"/>
      <c r="F257" s="246"/>
    </row>
    <row r="258" spans="5:6" x14ac:dyDescent="0.15">
      <c r="E258" s="246"/>
      <c r="F258" s="246"/>
    </row>
    <row r="259" spans="5:6" x14ac:dyDescent="0.15">
      <c r="E259" s="246"/>
      <c r="F259" s="246"/>
    </row>
    <row r="260" spans="5:6" x14ac:dyDescent="0.15">
      <c r="E260" s="246"/>
      <c r="F260" s="246"/>
    </row>
    <row r="261" spans="5:6" x14ac:dyDescent="0.15">
      <c r="E261" s="246"/>
      <c r="F261" s="246"/>
    </row>
    <row r="262" spans="5:6" x14ac:dyDescent="0.15">
      <c r="E262" s="246"/>
      <c r="F262" s="246"/>
    </row>
    <row r="263" spans="5:6" x14ac:dyDescent="0.15">
      <c r="E263" s="246"/>
      <c r="F263" s="246"/>
    </row>
    <row r="264" spans="5:6" x14ac:dyDescent="0.15">
      <c r="E264" s="246"/>
      <c r="F264" s="246"/>
    </row>
    <row r="265" spans="5:6" x14ac:dyDescent="0.15">
      <c r="E265" s="246"/>
      <c r="F265" s="246"/>
    </row>
    <row r="266" spans="5:6" x14ac:dyDescent="0.15">
      <c r="E266" s="246"/>
      <c r="F266" s="246"/>
    </row>
    <row r="267" spans="5:6" x14ac:dyDescent="0.15">
      <c r="E267" s="246"/>
      <c r="F267" s="246"/>
    </row>
    <row r="268" spans="5:6" x14ac:dyDescent="0.15">
      <c r="E268" s="246"/>
      <c r="F268" s="246"/>
    </row>
    <row r="269" spans="5:6" x14ac:dyDescent="0.15">
      <c r="E269" s="246"/>
      <c r="F269" s="246"/>
    </row>
    <row r="270" spans="5:6" x14ac:dyDescent="0.15">
      <c r="E270" s="246"/>
      <c r="F270" s="246"/>
    </row>
    <row r="271" spans="5:6" x14ac:dyDescent="0.15">
      <c r="E271" s="246"/>
      <c r="F271" s="246"/>
    </row>
    <row r="272" spans="5:6" x14ac:dyDescent="0.15">
      <c r="E272" s="246"/>
      <c r="F272" s="246"/>
    </row>
    <row r="273" spans="5:6" x14ac:dyDescent="0.15">
      <c r="E273" s="246"/>
      <c r="F273" s="246"/>
    </row>
    <row r="274" spans="5:6" x14ac:dyDescent="0.15">
      <c r="E274" s="246"/>
      <c r="F274" s="246"/>
    </row>
    <row r="275" spans="5:6" x14ac:dyDescent="0.15">
      <c r="E275" s="246"/>
      <c r="F275" s="246"/>
    </row>
    <row r="276" spans="5:6" x14ac:dyDescent="0.15">
      <c r="E276" s="246"/>
      <c r="F276" s="246"/>
    </row>
    <row r="277" spans="5:6" x14ac:dyDescent="0.15">
      <c r="E277" s="246"/>
      <c r="F277" s="246"/>
    </row>
    <row r="278" spans="5:6" x14ac:dyDescent="0.15">
      <c r="E278" s="246"/>
      <c r="F278" s="246"/>
    </row>
    <row r="279" spans="5:6" x14ac:dyDescent="0.15">
      <c r="E279" s="246"/>
      <c r="F279" s="246"/>
    </row>
    <row r="280" spans="5:6" x14ac:dyDescent="0.15">
      <c r="E280" s="246"/>
      <c r="F280" s="246"/>
    </row>
    <row r="281" spans="5:6" x14ac:dyDescent="0.15">
      <c r="E281" s="246"/>
      <c r="F281" s="246"/>
    </row>
    <row r="282" spans="5:6" x14ac:dyDescent="0.15">
      <c r="E282" s="246"/>
      <c r="F282" s="246"/>
    </row>
    <row r="283" spans="5:6" x14ac:dyDescent="0.15">
      <c r="E283" s="246"/>
      <c r="F283" s="246"/>
    </row>
    <row r="284" spans="5:6" x14ac:dyDescent="0.15">
      <c r="E284" s="246"/>
      <c r="F284" s="246"/>
    </row>
    <row r="285" spans="5:6" x14ac:dyDescent="0.15">
      <c r="E285" s="246"/>
      <c r="F285" s="246"/>
    </row>
    <row r="286" spans="5:6" x14ac:dyDescent="0.15">
      <c r="E286" s="246"/>
      <c r="F286" s="246"/>
    </row>
    <row r="287" spans="5:6" x14ac:dyDescent="0.15">
      <c r="E287" s="246"/>
      <c r="F287" s="246"/>
    </row>
    <row r="288" spans="5:6" x14ac:dyDescent="0.15">
      <c r="E288" s="246"/>
      <c r="F288" s="246"/>
    </row>
    <row r="289" spans="5:6" x14ac:dyDescent="0.15">
      <c r="E289" s="246"/>
      <c r="F289" s="246"/>
    </row>
    <row r="290" spans="5:6" x14ac:dyDescent="0.15">
      <c r="E290" s="246"/>
      <c r="F290" s="246"/>
    </row>
    <row r="291" spans="5:6" x14ac:dyDescent="0.15">
      <c r="E291" s="246"/>
      <c r="F291" s="246"/>
    </row>
    <row r="292" spans="5:6" x14ac:dyDescent="0.15">
      <c r="E292" s="246"/>
      <c r="F292" s="246"/>
    </row>
    <row r="293" spans="5:6" x14ac:dyDescent="0.15">
      <c r="E293" s="246"/>
      <c r="F293" s="246"/>
    </row>
    <row r="294" spans="5:6" x14ac:dyDescent="0.15">
      <c r="E294" s="246"/>
      <c r="F294" s="246"/>
    </row>
    <row r="295" spans="5:6" x14ac:dyDescent="0.15">
      <c r="E295" s="246"/>
      <c r="F295" s="246"/>
    </row>
    <row r="296" spans="5:6" x14ac:dyDescent="0.15">
      <c r="E296" s="246"/>
      <c r="F296" s="246"/>
    </row>
    <row r="297" spans="5:6" x14ac:dyDescent="0.15">
      <c r="E297" s="246"/>
      <c r="F297" s="246"/>
    </row>
    <row r="298" spans="5:6" x14ac:dyDescent="0.15">
      <c r="E298" s="246"/>
      <c r="F298" s="246"/>
    </row>
    <row r="299" spans="5:6" x14ac:dyDescent="0.15">
      <c r="E299" s="246"/>
      <c r="F299" s="246"/>
    </row>
    <row r="300" spans="5:6" x14ac:dyDescent="0.15">
      <c r="E300" s="246"/>
      <c r="F300" s="246"/>
    </row>
    <row r="301" spans="5:6" x14ac:dyDescent="0.15">
      <c r="E301" s="246"/>
      <c r="F301" s="246"/>
    </row>
    <row r="302" spans="5:6" x14ac:dyDescent="0.15">
      <c r="E302" s="246"/>
      <c r="F302" s="246"/>
    </row>
    <row r="303" spans="5:6" x14ac:dyDescent="0.15">
      <c r="E303" s="246"/>
      <c r="F303" s="246"/>
    </row>
    <row r="304" spans="5:6" x14ac:dyDescent="0.15">
      <c r="E304" s="246"/>
      <c r="F304" s="246"/>
    </row>
    <row r="305" spans="5:6" x14ac:dyDescent="0.15">
      <c r="E305" s="246"/>
      <c r="F305" s="246"/>
    </row>
    <row r="306" spans="5:6" x14ac:dyDescent="0.15">
      <c r="E306" s="246"/>
      <c r="F306" s="246"/>
    </row>
    <row r="307" spans="5:6" x14ac:dyDescent="0.15">
      <c r="E307" s="246"/>
      <c r="F307" s="246"/>
    </row>
    <row r="308" spans="5:6" x14ac:dyDescent="0.15">
      <c r="E308" s="246"/>
      <c r="F308" s="246"/>
    </row>
    <row r="309" spans="5:6" x14ac:dyDescent="0.15">
      <c r="E309" s="246"/>
      <c r="F309" s="246"/>
    </row>
    <row r="310" spans="5:6" x14ac:dyDescent="0.15">
      <c r="E310" s="246"/>
      <c r="F310" s="246"/>
    </row>
    <row r="311" spans="5:6" x14ac:dyDescent="0.15">
      <c r="E311" s="246"/>
      <c r="F311" s="246"/>
    </row>
    <row r="312" spans="5:6" x14ac:dyDescent="0.15">
      <c r="E312" s="246"/>
      <c r="F312" s="246"/>
    </row>
    <row r="313" spans="5:6" x14ac:dyDescent="0.15">
      <c r="E313" s="246"/>
      <c r="F313" s="246"/>
    </row>
    <row r="314" spans="5:6" x14ac:dyDescent="0.15">
      <c r="E314" s="246"/>
      <c r="F314" s="246"/>
    </row>
    <row r="315" spans="5:6" x14ac:dyDescent="0.15">
      <c r="E315" s="246"/>
      <c r="F315" s="246"/>
    </row>
    <row r="316" spans="5:6" x14ac:dyDescent="0.15">
      <c r="E316" s="246"/>
      <c r="F316" s="246"/>
    </row>
    <row r="317" spans="5:6" x14ac:dyDescent="0.15">
      <c r="E317" s="246"/>
      <c r="F317" s="246"/>
    </row>
    <row r="318" spans="5:6" x14ac:dyDescent="0.15">
      <c r="E318" s="246"/>
      <c r="F318" s="246"/>
    </row>
    <row r="319" spans="5:6" x14ac:dyDescent="0.15">
      <c r="E319" s="246"/>
      <c r="F319" s="246"/>
    </row>
    <row r="320" spans="5:6" x14ac:dyDescent="0.15">
      <c r="E320" s="246"/>
      <c r="F320" s="246"/>
    </row>
    <row r="321" spans="5:6" x14ac:dyDescent="0.15">
      <c r="E321" s="246"/>
      <c r="F321" s="246"/>
    </row>
    <row r="322" spans="5:6" x14ac:dyDescent="0.15">
      <c r="E322" s="246"/>
      <c r="F322" s="246"/>
    </row>
    <row r="323" spans="5:6" x14ac:dyDescent="0.15">
      <c r="E323" s="246"/>
      <c r="F323" s="246"/>
    </row>
    <row r="324" spans="5:6" x14ac:dyDescent="0.15">
      <c r="E324" s="246"/>
      <c r="F324" s="246"/>
    </row>
    <row r="325" spans="5:6" x14ac:dyDescent="0.15">
      <c r="E325" s="246"/>
      <c r="F325" s="246"/>
    </row>
    <row r="326" spans="5:6" x14ac:dyDescent="0.15">
      <c r="E326" s="246"/>
      <c r="F326" s="246"/>
    </row>
    <row r="327" spans="5:6" x14ac:dyDescent="0.15">
      <c r="E327" s="246"/>
      <c r="F327" s="246"/>
    </row>
    <row r="328" spans="5:6" x14ac:dyDescent="0.15">
      <c r="E328" s="246"/>
      <c r="F328" s="246"/>
    </row>
    <row r="329" spans="5:6" x14ac:dyDescent="0.15">
      <c r="E329" s="246"/>
      <c r="F329" s="246"/>
    </row>
    <row r="330" spans="5:6" x14ac:dyDescent="0.15">
      <c r="E330" s="246"/>
      <c r="F330" s="246"/>
    </row>
    <row r="331" spans="5:6" x14ac:dyDescent="0.15">
      <c r="E331" s="246"/>
      <c r="F331" s="246"/>
    </row>
    <row r="332" spans="5:6" x14ac:dyDescent="0.15">
      <c r="E332" s="246"/>
      <c r="F332" s="246"/>
    </row>
    <row r="333" spans="5:6" x14ac:dyDescent="0.15">
      <c r="E333" s="246"/>
      <c r="F333" s="246"/>
    </row>
    <row r="334" spans="5:6" x14ac:dyDescent="0.15">
      <c r="E334" s="246"/>
      <c r="F334" s="246"/>
    </row>
    <row r="335" spans="5:6" x14ac:dyDescent="0.15">
      <c r="E335" s="246"/>
      <c r="F335" s="246"/>
    </row>
    <row r="336" spans="5:6" x14ac:dyDescent="0.15">
      <c r="E336" s="246"/>
      <c r="F336" s="246"/>
    </row>
    <row r="337" spans="5:6" x14ac:dyDescent="0.15">
      <c r="E337" s="246"/>
      <c r="F337" s="246"/>
    </row>
    <row r="338" spans="5:6" x14ac:dyDescent="0.15">
      <c r="E338" s="246"/>
      <c r="F338" s="246"/>
    </row>
    <row r="339" spans="5:6" x14ac:dyDescent="0.15">
      <c r="E339" s="246"/>
      <c r="F339" s="246"/>
    </row>
    <row r="340" spans="5:6" x14ac:dyDescent="0.15">
      <c r="E340" s="246"/>
      <c r="F340" s="246"/>
    </row>
    <row r="341" spans="5:6" x14ac:dyDescent="0.15">
      <c r="E341" s="246"/>
      <c r="F341" s="246"/>
    </row>
    <row r="342" spans="5:6" x14ac:dyDescent="0.15">
      <c r="E342" s="246"/>
      <c r="F342" s="246"/>
    </row>
    <row r="343" spans="5:6" x14ac:dyDescent="0.15">
      <c r="E343" s="246"/>
      <c r="F343" s="246"/>
    </row>
    <row r="344" spans="5:6" x14ac:dyDescent="0.15">
      <c r="E344" s="246"/>
      <c r="F344" s="246"/>
    </row>
    <row r="345" spans="5:6" x14ac:dyDescent="0.15">
      <c r="E345" s="246"/>
      <c r="F345" s="246"/>
    </row>
    <row r="346" spans="5:6" x14ac:dyDescent="0.15">
      <c r="E346" s="246"/>
      <c r="F346" s="246"/>
    </row>
    <row r="347" spans="5:6" x14ac:dyDescent="0.15">
      <c r="E347" s="246"/>
      <c r="F347" s="246"/>
    </row>
    <row r="348" spans="5:6" x14ac:dyDescent="0.15">
      <c r="E348" s="246"/>
      <c r="F348" s="246"/>
    </row>
    <row r="349" spans="5:6" x14ac:dyDescent="0.15">
      <c r="E349" s="246"/>
      <c r="F349" s="246"/>
    </row>
    <row r="350" spans="5:6" x14ac:dyDescent="0.15">
      <c r="E350" s="246"/>
      <c r="F350" s="246"/>
    </row>
    <row r="351" spans="5:6" x14ac:dyDescent="0.15">
      <c r="E351" s="246"/>
      <c r="F351" s="246"/>
    </row>
    <row r="352" spans="5:6" x14ac:dyDescent="0.15">
      <c r="E352" s="246"/>
      <c r="F352" s="246"/>
    </row>
    <row r="353" spans="5:6" x14ac:dyDescent="0.15">
      <c r="E353" s="246"/>
      <c r="F353" s="246"/>
    </row>
    <row r="354" spans="5:6" x14ac:dyDescent="0.15">
      <c r="E354" s="246"/>
      <c r="F354" s="246"/>
    </row>
    <row r="355" spans="5:6" x14ac:dyDescent="0.15">
      <c r="E355" s="246"/>
      <c r="F355" s="246"/>
    </row>
    <row r="356" spans="5:6" x14ac:dyDescent="0.15">
      <c r="E356" s="246"/>
      <c r="F356" s="246"/>
    </row>
    <row r="357" spans="5:6" x14ac:dyDescent="0.15">
      <c r="E357" s="246"/>
      <c r="F357" s="246"/>
    </row>
    <row r="358" spans="5:6" x14ac:dyDescent="0.15">
      <c r="E358" s="246"/>
      <c r="F358" s="246"/>
    </row>
    <row r="359" spans="5:6" x14ac:dyDescent="0.15">
      <c r="E359" s="246"/>
      <c r="F359" s="246"/>
    </row>
    <row r="360" spans="5:6" x14ac:dyDescent="0.15">
      <c r="E360" s="246"/>
      <c r="F360" s="246"/>
    </row>
    <row r="361" spans="5:6" x14ac:dyDescent="0.15">
      <c r="E361" s="246"/>
      <c r="F361" s="246"/>
    </row>
    <row r="362" spans="5:6" x14ac:dyDescent="0.15">
      <c r="E362" s="246"/>
      <c r="F362" s="246"/>
    </row>
    <row r="363" spans="5:6" x14ac:dyDescent="0.15">
      <c r="E363" s="246"/>
      <c r="F363" s="246"/>
    </row>
    <row r="364" spans="5:6" x14ac:dyDescent="0.15">
      <c r="E364" s="246"/>
      <c r="F364" s="246"/>
    </row>
    <row r="365" spans="5:6" x14ac:dyDescent="0.15">
      <c r="E365" s="246"/>
      <c r="F365" s="246"/>
    </row>
    <row r="366" spans="5:6" x14ac:dyDescent="0.15">
      <c r="E366" s="246"/>
      <c r="F366" s="246"/>
    </row>
    <row r="367" spans="5:6" x14ac:dyDescent="0.15">
      <c r="E367" s="246"/>
      <c r="F367" s="246"/>
    </row>
    <row r="368" spans="5:6" x14ac:dyDescent="0.15">
      <c r="E368" s="246"/>
      <c r="F368" s="246"/>
    </row>
    <row r="369" spans="5:6" x14ac:dyDescent="0.15">
      <c r="E369" s="246"/>
      <c r="F369" s="246"/>
    </row>
    <row r="370" spans="5:6" x14ac:dyDescent="0.15">
      <c r="E370" s="246"/>
      <c r="F370" s="246"/>
    </row>
    <row r="371" spans="5:6" x14ac:dyDescent="0.15">
      <c r="E371" s="246"/>
      <c r="F371" s="246"/>
    </row>
    <row r="372" spans="5:6" x14ac:dyDescent="0.15">
      <c r="E372" s="246"/>
      <c r="F372" s="246"/>
    </row>
    <row r="373" spans="5:6" x14ac:dyDescent="0.15">
      <c r="E373" s="246"/>
      <c r="F373" s="246"/>
    </row>
    <row r="374" spans="5:6" x14ac:dyDescent="0.15">
      <c r="E374" s="246"/>
      <c r="F374" s="246"/>
    </row>
    <row r="375" spans="5:6" x14ac:dyDescent="0.15">
      <c r="E375" s="246"/>
      <c r="F375" s="246"/>
    </row>
    <row r="376" spans="5:6" x14ac:dyDescent="0.15">
      <c r="E376" s="246"/>
      <c r="F376" s="246"/>
    </row>
    <row r="377" spans="5:6" x14ac:dyDescent="0.15">
      <c r="E377" s="246"/>
      <c r="F377" s="246"/>
    </row>
    <row r="378" spans="5:6" x14ac:dyDescent="0.15">
      <c r="E378" s="246"/>
      <c r="F378" s="246"/>
    </row>
    <row r="379" spans="5:6" x14ac:dyDescent="0.15">
      <c r="E379" s="246"/>
      <c r="F379" s="246"/>
    </row>
    <row r="380" spans="5:6" x14ac:dyDescent="0.15">
      <c r="E380" s="246"/>
      <c r="F380" s="246"/>
    </row>
    <row r="381" spans="5:6" x14ac:dyDescent="0.15">
      <c r="E381" s="246"/>
      <c r="F381" s="246"/>
    </row>
    <row r="382" spans="5:6" x14ac:dyDescent="0.15">
      <c r="E382" s="246"/>
      <c r="F382" s="246"/>
    </row>
    <row r="383" spans="5:6" x14ac:dyDescent="0.15">
      <c r="E383" s="246"/>
      <c r="F383" s="246"/>
    </row>
    <row r="384" spans="5:6" x14ac:dyDescent="0.15">
      <c r="E384" s="246"/>
      <c r="F384" s="246"/>
    </row>
    <row r="385" spans="5:6" x14ac:dyDescent="0.15">
      <c r="E385" s="246"/>
      <c r="F385" s="246"/>
    </row>
    <row r="386" spans="5:6" x14ac:dyDescent="0.15">
      <c r="E386" s="246"/>
      <c r="F386" s="246"/>
    </row>
    <row r="387" spans="5:6" x14ac:dyDescent="0.15">
      <c r="E387" s="246"/>
      <c r="F387" s="246"/>
    </row>
    <row r="388" spans="5:6" x14ac:dyDescent="0.15">
      <c r="E388" s="246"/>
      <c r="F388" s="246"/>
    </row>
    <row r="389" spans="5:6" x14ac:dyDescent="0.15">
      <c r="E389" s="246"/>
      <c r="F389" s="246"/>
    </row>
    <row r="390" spans="5:6" x14ac:dyDescent="0.15">
      <c r="E390" s="246"/>
      <c r="F390" s="246"/>
    </row>
    <row r="391" spans="5:6" x14ac:dyDescent="0.15">
      <c r="E391" s="246"/>
      <c r="F391" s="246"/>
    </row>
    <row r="392" spans="5:6" x14ac:dyDescent="0.15">
      <c r="E392" s="246"/>
      <c r="F392" s="246"/>
    </row>
    <row r="393" spans="5:6" x14ac:dyDescent="0.15">
      <c r="E393" s="246"/>
      <c r="F393" s="246"/>
    </row>
    <row r="394" spans="5:6" x14ac:dyDescent="0.15">
      <c r="E394" s="246"/>
      <c r="F394" s="246"/>
    </row>
    <row r="395" spans="5:6" x14ac:dyDescent="0.15">
      <c r="E395" s="246"/>
      <c r="F395" s="246"/>
    </row>
    <row r="396" spans="5:6" x14ac:dyDescent="0.15">
      <c r="E396" s="246"/>
      <c r="F396" s="246"/>
    </row>
    <row r="397" spans="5:6" x14ac:dyDescent="0.15">
      <c r="E397" s="246"/>
      <c r="F397" s="246"/>
    </row>
    <row r="398" spans="5:6" x14ac:dyDescent="0.15">
      <c r="E398" s="246"/>
      <c r="F398" s="246"/>
    </row>
    <row r="399" spans="5:6" x14ac:dyDescent="0.15">
      <c r="E399" s="246"/>
      <c r="F399" s="246"/>
    </row>
    <row r="400" spans="5:6" x14ac:dyDescent="0.15">
      <c r="E400" s="246"/>
      <c r="F400" s="246"/>
    </row>
    <row r="401" spans="5:6" x14ac:dyDescent="0.15">
      <c r="E401" s="246"/>
      <c r="F401" s="246"/>
    </row>
    <row r="402" spans="5:6" x14ac:dyDescent="0.15">
      <c r="E402" s="246"/>
      <c r="F402" s="246"/>
    </row>
    <row r="403" spans="5:6" x14ac:dyDescent="0.15">
      <c r="E403" s="246"/>
      <c r="F403" s="246"/>
    </row>
    <row r="404" spans="5:6" x14ac:dyDescent="0.15">
      <c r="E404" s="246"/>
      <c r="F404" s="246"/>
    </row>
    <row r="405" spans="5:6" x14ac:dyDescent="0.15">
      <c r="E405" s="246"/>
      <c r="F405" s="246"/>
    </row>
    <row r="406" spans="5:6" x14ac:dyDescent="0.15">
      <c r="E406" s="246"/>
      <c r="F406" s="246"/>
    </row>
    <row r="407" spans="5:6" x14ac:dyDescent="0.15">
      <c r="E407" s="246"/>
      <c r="F407" s="246"/>
    </row>
    <row r="408" spans="5:6" x14ac:dyDescent="0.15">
      <c r="E408" s="246"/>
      <c r="F408" s="246"/>
    </row>
    <row r="409" spans="5:6" x14ac:dyDescent="0.15">
      <c r="E409" s="246"/>
      <c r="F409" s="246"/>
    </row>
    <row r="410" spans="5:6" x14ac:dyDescent="0.15">
      <c r="E410" s="246"/>
      <c r="F410" s="246"/>
    </row>
    <row r="411" spans="5:6" x14ac:dyDescent="0.15">
      <c r="E411" s="246"/>
      <c r="F411" s="246"/>
    </row>
    <row r="412" spans="5:6" x14ac:dyDescent="0.15">
      <c r="E412" s="246"/>
      <c r="F412" s="246"/>
    </row>
    <row r="413" spans="5:6" x14ac:dyDescent="0.15">
      <c r="E413" s="246"/>
      <c r="F413" s="246"/>
    </row>
    <row r="414" spans="5:6" x14ac:dyDescent="0.15">
      <c r="E414" s="246"/>
      <c r="F414" s="246"/>
    </row>
    <row r="415" spans="5:6" x14ac:dyDescent="0.15">
      <c r="E415" s="246"/>
      <c r="F415" s="246"/>
    </row>
    <row r="416" spans="5:6" x14ac:dyDescent="0.15">
      <c r="E416" s="246"/>
      <c r="F416" s="246"/>
    </row>
    <row r="417" spans="5:6" x14ac:dyDescent="0.15">
      <c r="E417" s="246"/>
      <c r="F417" s="246"/>
    </row>
    <row r="418" spans="5:6" x14ac:dyDescent="0.15">
      <c r="E418" s="246"/>
      <c r="F418" s="246"/>
    </row>
    <row r="419" spans="5:6" x14ac:dyDescent="0.15">
      <c r="E419" s="246"/>
      <c r="F419" s="246"/>
    </row>
    <row r="420" spans="5:6" x14ac:dyDescent="0.15">
      <c r="E420" s="246"/>
      <c r="F420" s="246"/>
    </row>
    <row r="421" spans="5:6" x14ac:dyDescent="0.15">
      <c r="E421" s="246"/>
      <c r="F421" s="246"/>
    </row>
    <row r="422" spans="5:6" x14ac:dyDescent="0.15">
      <c r="E422" s="246"/>
      <c r="F422" s="246"/>
    </row>
    <row r="423" spans="5:6" x14ac:dyDescent="0.15">
      <c r="E423" s="246"/>
      <c r="F423" s="246"/>
    </row>
    <row r="424" spans="5:6" x14ac:dyDescent="0.15">
      <c r="E424" s="246"/>
      <c r="F424" s="246"/>
    </row>
    <row r="425" spans="5:6" x14ac:dyDescent="0.15">
      <c r="E425" s="246"/>
      <c r="F425" s="246"/>
    </row>
    <row r="426" spans="5:6" x14ac:dyDescent="0.15">
      <c r="E426" s="246"/>
      <c r="F426" s="246"/>
    </row>
    <row r="427" spans="5:6" x14ac:dyDescent="0.15">
      <c r="E427" s="246"/>
      <c r="F427" s="246"/>
    </row>
    <row r="428" spans="5:6" x14ac:dyDescent="0.15">
      <c r="E428" s="246"/>
      <c r="F428" s="246"/>
    </row>
    <row r="429" spans="5:6" x14ac:dyDescent="0.15">
      <c r="E429" s="246"/>
      <c r="F429" s="246"/>
    </row>
    <row r="430" spans="5:6" x14ac:dyDescent="0.15">
      <c r="E430" s="246"/>
      <c r="F430" s="246"/>
    </row>
    <row r="431" spans="5:6" x14ac:dyDescent="0.15">
      <c r="E431" s="246"/>
      <c r="F431" s="246"/>
    </row>
    <row r="432" spans="5:6" x14ac:dyDescent="0.15">
      <c r="E432" s="246"/>
      <c r="F432" s="246"/>
    </row>
    <row r="433" spans="5:6" x14ac:dyDescent="0.15">
      <c r="E433" s="246"/>
      <c r="F433" s="246"/>
    </row>
    <row r="434" spans="5:6" x14ac:dyDescent="0.15">
      <c r="E434" s="246"/>
      <c r="F434" s="246"/>
    </row>
    <row r="435" spans="5:6" x14ac:dyDescent="0.15">
      <c r="E435" s="246"/>
      <c r="F435" s="246"/>
    </row>
    <row r="436" spans="5:6" x14ac:dyDescent="0.15">
      <c r="E436" s="246"/>
      <c r="F436" s="246"/>
    </row>
    <row r="437" spans="5:6" x14ac:dyDescent="0.15">
      <c r="E437" s="246"/>
      <c r="F437" s="246"/>
    </row>
    <row r="438" spans="5:6" x14ac:dyDescent="0.15">
      <c r="E438" s="246"/>
      <c r="F438" s="246"/>
    </row>
    <row r="439" spans="5:6" x14ac:dyDescent="0.15">
      <c r="E439" s="246"/>
      <c r="F439" s="246"/>
    </row>
    <row r="440" spans="5:6" x14ac:dyDescent="0.15">
      <c r="E440" s="246"/>
      <c r="F440" s="246"/>
    </row>
    <row r="441" spans="5:6" x14ac:dyDescent="0.15">
      <c r="E441" s="246"/>
      <c r="F441" s="246"/>
    </row>
    <row r="442" spans="5:6" x14ac:dyDescent="0.15">
      <c r="E442" s="246"/>
      <c r="F442" s="246"/>
    </row>
    <row r="443" spans="5:6" x14ac:dyDescent="0.15">
      <c r="E443" s="246"/>
      <c r="F443" s="246"/>
    </row>
    <row r="444" spans="5:6" x14ac:dyDescent="0.15">
      <c r="E444" s="246"/>
      <c r="F444" s="246"/>
    </row>
    <row r="445" spans="5:6" x14ac:dyDescent="0.15">
      <c r="E445" s="246"/>
      <c r="F445" s="246"/>
    </row>
    <row r="446" spans="5:6" x14ac:dyDescent="0.15">
      <c r="E446" s="246"/>
      <c r="F446" s="246"/>
    </row>
    <row r="447" spans="5:6" x14ac:dyDescent="0.15">
      <c r="E447" s="246"/>
      <c r="F447" s="246"/>
    </row>
    <row r="448" spans="5:6" x14ac:dyDescent="0.15">
      <c r="E448" s="246"/>
      <c r="F448" s="246"/>
    </row>
    <row r="449" spans="5:6" x14ac:dyDescent="0.15">
      <c r="E449" s="246"/>
      <c r="F449" s="246"/>
    </row>
    <row r="450" spans="5:6" x14ac:dyDescent="0.15">
      <c r="E450" s="246"/>
      <c r="F450" s="246"/>
    </row>
    <row r="451" spans="5:6" x14ac:dyDescent="0.15">
      <c r="E451" s="246"/>
      <c r="F451" s="246"/>
    </row>
    <row r="452" spans="5:6" x14ac:dyDescent="0.15">
      <c r="E452" s="246"/>
      <c r="F452" s="246"/>
    </row>
    <row r="453" spans="5:6" x14ac:dyDescent="0.15">
      <c r="E453" s="246"/>
      <c r="F453" s="246"/>
    </row>
    <row r="454" spans="5:6" x14ac:dyDescent="0.15">
      <c r="E454" s="246"/>
      <c r="F454" s="246"/>
    </row>
    <row r="455" spans="5:6" x14ac:dyDescent="0.15">
      <c r="E455" s="246"/>
      <c r="F455" s="246"/>
    </row>
    <row r="456" spans="5:6" x14ac:dyDescent="0.15">
      <c r="E456" s="246"/>
      <c r="F456" s="246"/>
    </row>
    <row r="457" spans="5:6" x14ac:dyDescent="0.15">
      <c r="E457" s="246"/>
      <c r="F457" s="246"/>
    </row>
    <row r="458" spans="5:6" x14ac:dyDescent="0.15">
      <c r="E458" s="246"/>
      <c r="F458" s="246"/>
    </row>
    <row r="459" spans="5:6" x14ac:dyDescent="0.15">
      <c r="E459" s="246"/>
      <c r="F459" s="246"/>
    </row>
    <row r="460" spans="5:6" x14ac:dyDescent="0.15">
      <c r="E460" s="246"/>
      <c r="F460" s="246"/>
    </row>
    <row r="461" spans="5:6" x14ac:dyDescent="0.15">
      <c r="E461" s="246"/>
      <c r="F461" s="246"/>
    </row>
    <row r="462" spans="5:6" x14ac:dyDescent="0.15">
      <c r="E462" s="246"/>
      <c r="F462" s="246"/>
    </row>
    <row r="463" spans="5:6" x14ac:dyDescent="0.15">
      <c r="E463" s="246"/>
      <c r="F463" s="246"/>
    </row>
    <row r="464" spans="5:6" x14ac:dyDescent="0.15">
      <c r="E464" s="246"/>
      <c r="F464" s="246"/>
    </row>
    <row r="465" spans="5:6" x14ac:dyDescent="0.15">
      <c r="E465" s="246"/>
      <c r="F465" s="246"/>
    </row>
    <row r="466" spans="5:6" x14ac:dyDescent="0.15">
      <c r="E466" s="246"/>
      <c r="F466" s="246"/>
    </row>
    <row r="467" spans="5:6" x14ac:dyDescent="0.15">
      <c r="E467" s="246"/>
      <c r="F467" s="246"/>
    </row>
    <row r="468" spans="5:6" x14ac:dyDescent="0.15">
      <c r="E468" s="246"/>
      <c r="F468" s="246"/>
    </row>
    <row r="469" spans="5:6" x14ac:dyDescent="0.15">
      <c r="E469" s="246"/>
      <c r="F469" s="246"/>
    </row>
    <row r="470" spans="5:6" x14ac:dyDescent="0.15">
      <c r="E470" s="246"/>
      <c r="F470" s="246"/>
    </row>
    <row r="471" spans="5:6" x14ac:dyDescent="0.15">
      <c r="E471" s="246"/>
      <c r="F471" s="246"/>
    </row>
    <row r="472" spans="5:6" x14ac:dyDescent="0.15">
      <c r="E472" s="246"/>
      <c r="F472" s="246"/>
    </row>
    <row r="473" spans="5:6" x14ac:dyDescent="0.15">
      <c r="E473" s="246"/>
      <c r="F473" s="246"/>
    </row>
    <row r="474" spans="5:6" x14ac:dyDescent="0.15">
      <c r="E474" s="246"/>
      <c r="F474" s="246"/>
    </row>
    <row r="475" spans="5:6" x14ac:dyDescent="0.15">
      <c r="E475" s="246"/>
      <c r="F475" s="246"/>
    </row>
    <row r="476" spans="5:6" x14ac:dyDescent="0.15">
      <c r="E476" s="246"/>
      <c r="F476" s="246"/>
    </row>
    <row r="477" spans="5:6" x14ac:dyDescent="0.15">
      <c r="E477" s="246"/>
      <c r="F477" s="246"/>
    </row>
    <row r="478" spans="5:6" x14ac:dyDescent="0.15">
      <c r="E478" s="246"/>
      <c r="F478" s="246"/>
    </row>
    <row r="479" spans="5:6" x14ac:dyDescent="0.15">
      <c r="E479" s="246"/>
      <c r="F479" s="246"/>
    </row>
    <row r="480" spans="5:6" x14ac:dyDescent="0.15">
      <c r="E480" s="246"/>
      <c r="F480" s="246"/>
    </row>
    <row r="481" spans="5:6" x14ac:dyDescent="0.15">
      <c r="E481" s="246"/>
      <c r="F481" s="246"/>
    </row>
    <row r="482" spans="5:6" x14ac:dyDescent="0.15">
      <c r="E482" s="246"/>
      <c r="F482" s="246"/>
    </row>
    <row r="483" spans="5:6" x14ac:dyDescent="0.15">
      <c r="E483" s="246"/>
      <c r="F483" s="246"/>
    </row>
    <row r="484" spans="5:6" x14ac:dyDescent="0.15">
      <c r="E484" s="246"/>
      <c r="F484" s="246"/>
    </row>
    <row r="485" spans="5:6" x14ac:dyDescent="0.15">
      <c r="E485" s="246"/>
      <c r="F485" s="246"/>
    </row>
    <row r="486" spans="5:6" x14ac:dyDescent="0.15">
      <c r="E486" s="246"/>
      <c r="F486" s="246"/>
    </row>
    <row r="487" spans="5:6" x14ac:dyDescent="0.15">
      <c r="E487" s="246"/>
      <c r="F487" s="246"/>
    </row>
    <row r="488" spans="5:6" x14ac:dyDescent="0.15">
      <c r="E488" s="246"/>
      <c r="F488" s="246"/>
    </row>
    <row r="489" spans="5:6" x14ac:dyDescent="0.15">
      <c r="E489" s="246"/>
      <c r="F489" s="246"/>
    </row>
    <row r="490" spans="5:6" x14ac:dyDescent="0.15">
      <c r="E490" s="246"/>
      <c r="F490" s="246"/>
    </row>
    <row r="491" spans="5:6" x14ac:dyDescent="0.15">
      <c r="E491" s="246"/>
      <c r="F491" s="246"/>
    </row>
    <row r="492" spans="5:6" x14ac:dyDescent="0.15">
      <c r="E492" s="246"/>
      <c r="F492" s="246"/>
    </row>
    <row r="493" spans="5:6" x14ac:dyDescent="0.15">
      <c r="E493" s="246"/>
      <c r="F493" s="246"/>
    </row>
    <row r="494" spans="5:6" x14ac:dyDescent="0.15">
      <c r="E494" s="246"/>
      <c r="F494" s="246"/>
    </row>
    <row r="495" spans="5:6" x14ac:dyDescent="0.15">
      <c r="E495" s="246"/>
      <c r="F495" s="246"/>
    </row>
    <row r="496" spans="5:6" x14ac:dyDescent="0.15">
      <c r="E496" s="246"/>
      <c r="F496" s="246"/>
    </row>
    <row r="497" spans="5:6" x14ac:dyDescent="0.15">
      <c r="E497" s="246"/>
      <c r="F497" s="246"/>
    </row>
    <row r="498" spans="5:6" x14ac:dyDescent="0.15">
      <c r="E498" s="246"/>
      <c r="F498" s="246"/>
    </row>
    <row r="499" spans="5:6" x14ac:dyDescent="0.15">
      <c r="E499" s="246"/>
      <c r="F499" s="246"/>
    </row>
    <row r="500" spans="5:6" x14ac:dyDescent="0.15">
      <c r="E500" s="246"/>
      <c r="F500" s="246"/>
    </row>
    <row r="501" spans="5:6" x14ac:dyDescent="0.15">
      <c r="E501" s="246"/>
      <c r="F501" s="246"/>
    </row>
    <row r="502" spans="5:6" x14ac:dyDescent="0.15">
      <c r="E502" s="246"/>
      <c r="F502" s="246"/>
    </row>
    <row r="503" spans="5:6" x14ac:dyDescent="0.15">
      <c r="E503" s="246"/>
      <c r="F503" s="246"/>
    </row>
    <row r="504" spans="5:6" x14ac:dyDescent="0.15">
      <c r="E504" s="246"/>
      <c r="F504" s="246"/>
    </row>
    <row r="505" spans="5:6" x14ac:dyDescent="0.15">
      <c r="E505" s="246"/>
      <c r="F505" s="246"/>
    </row>
    <row r="506" spans="5:6" x14ac:dyDescent="0.15">
      <c r="E506" s="246"/>
      <c r="F506" s="246"/>
    </row>
    <row r="507" spans="5:6" x14ac:dyDescent="0.15">
      <c r="E507" s="246"/>
      <c r="F507" s="246"/>
    </row>
    <row r="508" spans="5:6" x14ac:dyDescent="0.15">
      <c r="E508" s="246"/>
      <c r="F508" s="246"/>
    </row>
    <row r="509" spans="5:6" x14ac:dyDescent="0.15">
      <c r="E509" s="246"/>
      <c r="F509" s="246"/>
    </row>
    <row r="510" spans="5:6" x14ac:dyDescent="0.15">
      <c r="E510" s="246"/>
      <c r="F510" s="246"/>
    </row>
    <row r="511" spans="5:6" x14ac:dyDescent="0.15">
      <c r="E511" s="246"/>
      <c r="F511" s="246"/>
    </row>
    <row r="512" spans="5:6" x14ac:dyDescent="0.15">
      <c r="E512" s="246"/>
      <c r="F512" s="246"/>
    </row>
    <row r="513" spans="5:6" x14ac:dyDescent="0.15">
      <c r="E513" s="246"/>
      <c r="F513" s="246"/>
    </row>
    <row r="514" spans="5:6" x14ac:dyDescent="0.15">
      <c r="E514" s="246"/>
      <c r="F514" s="246"/>
    </row>
    <row r="515" spans="5:6" x14ac:dyDescent="0.15">
      <c r="E515" s="246"/>
      <c r="F515" s="246"/>
    </row>
    <row r="516" spans="5:6" x14ac:dyDescent="0.15">
      <c r="E516" s="246"/>
      <c r="F516" s="246"/>
    </row>
    <row r="517" spans="5:6" x14ac:dyDescent="0.15">
      <c r="E517" s="246"/>
      <c r="F517" s="246"/>
    </row>
    <row r="518" spans="5:6" x14ac:dyDescent="0.15">
      <c r="E518" s="246"/>
      <c r="F518" s="246"/>
    </row>
    <row r="519" spans="5:6" x14ac:dyDescent="0.15">
      <c r="E519" s="246"/>
      <c r="F519" s="246"/>
    </row>
    <row r="520" spans="5:6" x14ac:dyDescent="0.15">
      <c r="E520" s="246"/>
      <c r="F520" s="246"/>
    </row>
    <row r="521" spans="5:6" x14ac:dyDescent="0.15">
      <c r="E521" s="246"/>
      <c r="F521" s="246"/>
    </row>
    <row r="522" spans="5:6" x14ac:dyDescent="0.15">
      <c r="E522" s="246"/>
      <c r="F522" s="246"/>
    </row>
    <row r="523" spans="5:6" x14ac:dyDescent="0.15">
      <c r="E523" s="246"/>
      <c r="F523" s="246"/>
    </row>
    <row r="524" spans="5:6" x14ac:dyDescent="0.15">
      <c r="E524" s="246"/>
      <c r="F524" s="246"/>
    </row>
    <row r="525" spans="5:6" x14ac:dyDescent="0.15">
      <c r="E525" s="246"/>
      <c r="F525" s="246"/>
    </row>
    <row r="526" spans="5:6" x14ac:dyDescent="0.15">
      <c r="E526" s="246"/>
      <c r="F526" s="246"/>
    </row>
    <row r="527" spans="5:6" x14ac:dyDescent="0.15">
      <c r="E527" s="246"/>
      <c r="F527" s="246"/>
    </row>
    <row r="528" spans="5:6" x14ac:dyDescent="0.15">
      <c r="E528" s="246"/>
      <c r="F528" s="246"/>
    </row>
    <row r="529" spans="5:6" x14ac:dyDescent="0.15">
      <c r="E529" s="246"/>
      <c r="F529" s="246"/>
    </row>
    <row r="530" spans="5:6" x14ac:dyDescent="0.15">
      <c r="E530" s="246"/>
      <c r="F530" s="246"/>
    </row>
    <row r="531" spans="5:6" x14ac:dyDescent="0.15">
      <c r="E531" s="246"/>
      <c r="F531" s="246"/>
    </row>
    <row r="532" spans="5:6" x14ac:dyDescent="0.15">
      <c r="E532" s="246"/>
      <c r="F532" s="246"/>
    </row>
    <row r="533" spans="5:6" x14ac:dyDescent="0.15">
      <c r="E533" s="246"/>
      <c r="F533" s="246"/>
    </row>
    <row r="534" spans="5:6" x14ac:dyDescent="0.15">
      <c r="E534" s="246"/>
      <c r="F534" s="246"/>
    </row>
    <row r="535" spans="5:6" x14ac:dyDescent="0.15">
      <c r="E535" s="246"/>
      <c r="F535" s="246"/>
    </row>
    <row r="536" spans="5:6" x14ac:dyDescent="0.15">
      <c r="E536" s="246"/>
      <c r="F536" s="246"/>
    </row>
    <row r="537" spans="5:6" x14ac:dyDescent="0.15">
      <c r="E537" s="246"/>
      <c r="F537" s="246"/>
    </row>
    <row r="538" spans="5:6" x14ac:dyDescent="0.15">
      <c r="E538" s="246"/>
      <c r="F538" s="246"/>
    </row>
    <row r="539" spans="5:6" x14ac:dyDescent="0.15">
      <c r="E539" s="246"/>
      <c r="F539" s="246"/>
    </row>
    <row r="540" spans="5:6" x14ac:dyDescent="0.15">
      <c r="E540" s="246"/>
      <c r="F540" s="246"/>
    </row>
    <row r="541" spans="5:6" x14ac:dyDescent="0.15">
      <c r="E541" s="246"/>
      <c r="F541" s="246"/>
    </row>
    <row r="542" spans="5:6" x14ac:dyDescent="0.15">
      <c r="E542" s="246"/>
      <c r="F542" s="246"/>
    </row>
    <row r="543" spans="5:6" x14ac:dyDescent="0.15">
      <c r="E543" s="246"/>
      <c r="F543" s="246"/>
    </row>
    <row r="544" spans="5:6" x14ac:dyDescent="0.15">
      <c r="E544" s="246"/>
      <c r="F544" s="246"/>
    </row>
    <row r="545" spans="5:6" x14ac:dyDescent="0.15">
      <c r="E545" s="246"/>
      <c r="F545" s="246"/>
    </row>
    <row r="546" spans="5:6" x14ac:dyDescent="0.15">
      <c r="E546" s="246"/>
      <c r="F546" s="246"/>
    </row>
    <row r="547" spans="5:6" x14ac:dyDescent="0.15">
      <c r="E547" s="246"/>
      <c r="F547" s="246"/>
    </row>
    <row r="548" spans="5:6" x14ac:dyDescent="0.15">
      <c r="E548" s="246"/>
      <c r="F548" s="246"/>
    </row>
    <row r="549" spans="5:6" x14ac:dyDescent="0.15">
      <c r="E549" s="246"/>
      <c r="F549" s="246"/>
    </row>
    <row r="550" spans="5:6" x14ac:dyDescent="0.15">
      <c r="E550" s="246"/>
      <c r="F550" s="246"/>
    </row>
    <row r="551" spans="5:6" x14ac:dyDescent="0.15">
      <c r="E551" s="246"/>
      <c r="F551" s="246"/>
    </row>
    <row r="552" spans="5:6" x14ac:dyDescent="0.15">
      <c r="E552" s="246"/>
      <c r="F552" s="246"/>
    </row>
    <row r="553" spans="5:6" x14ac:dyDescent="0.15">
      <c r="E553" s="246"/>
      <c r="F553" s="246"/>
    </row>
    <row r="554" spans="5:6" x14ac:dyDescent="0.15">
      <c r="E554" s="246"/>
      <c r="F554" s="246"/>
    </row>
    <row r="555" spans="5:6" x14ac:dyDescent="0.15">
      <c r="E555" s="246"/>
      <c r="F555" s="246"/>
    </row>
    <row r="556" spans="5:6" x14ac:dyDescent="0.15">
      <c r="E556" s="246"/>
      <c r="F556" s="246"/>
    </row>
    <row r="557" spans="5:6" x14ac:dyDescent="0.15">
      <c r="E557" s="246"/>
      <c r="F557" s="246"/>
    </row>
    <row r="558" spans="5:6" x14ac:dyDescent="0.15">
      <c r="E558" s="246"/>
      <c r="F558" s="246"/>
    </row>
    <row r="559" spans="5:6" x14ac:dyDescent="0.15">
      <c r="E559" s="246"/>
      <c r="F559" s="246"/>
    </row>
    <row r="560" spans="5:6" x14ac:dyDescent="0.15">
      <c r="E560" s="246"/>
      <c r="F560" s="246"/>
    </row>
    <row r="561" spans="5:6" x14ac:dyDescent="0.15">
      <c r="E561" s="246"/>
      <c r="F561" s="246"/>
    </row>
    <row r="562" spans="5:6" x14ac:dyDescent="0.15">
      <c r="E562" s="246"/>
      <c r="F562" s="246"/>
    </row>
    <row r="563" spans="5:6" x14ac:dyDescent="0.15">
      <c r="E563" s="246"/>
      <c r="F563" s="246"/>
    </row>
    <row r="564" spans="5:6" x14ac:dyDescent="0.15">
      <c r="E564" s="246"/>
      <c r="F564" s="246"/>
    </row>
    <row r="565" spans="5:6" x14ac:dyDescent="0.15">
      <c r="E565" s="246"/>
      <c r="F565" s="246"/>
    </row>
    <row r="566" spans="5:6" x14ac:dyDescent="0.15">
      <c r="E566" s="246"/>
      <c r="F566" s="246"/>
    </row>
    <row r="567" spans="5:6" x14ac:dyDescent="0.15">
      <c r="E567" s="246"/>
      <c r="F567" s="246"/>
    </row>
    <row r="568" spans="5:6" x14ac:dyDescent="0.15">
      <c r="E568" s="246"/>
      <c r="F568" s="246"/>
    </row>
    <row r="569" spans="5:6" x14ac:dyDescent="0.15">
      <c r="E569" s="246"/>
      <c r="F569" s="246"/>
    </row>
    <row r="570" spans="5:6" x14ac:dyDescent="0.15">
      <c r="E570" s="246"/>
      <c r="F570" s="246"/>
    </row>
    <row r="571" spans="5:6" x14ac:dyDescent="0.15">
      <c r="E571" s="246"/>
      <c r="F571" s="246"/>
    </row>
    <row r="572" spans="5:6" x14ac:dyDescent="0.15">
      <c r="E572" s="246"/>
      <c r="F572" s="246"/>
    </row>
    <row r="573" spans="5:6" x14ac:dyDescent="0.15">
      <c r="E573" s="246"/>
      <c r="F573" s="246"/>
    </row>
    <row r="574" spans="5:6" x14ac:dyDescent="0.15">
      <c r="E574" s="246"/>
      <c r="F574" s="246"/>
    </row>
    <row r="575" spans="5:6" x14ac:dyDescent="0.15">
      <c r="E575" s="246"/>
      <c r="F575" s="246"/>
    </row>
    <row r="576" spans="5:6" x14ac:dyDescent="0.15">
      <c r="E576" s="246"/>
      <c r="F576" s="246"/>
    </row>
    <row r="577" spans="5:6" x14ac:dyDescent="0.15">
      <c r="E577" s="246"/>
      <c r="F577" s="246"/>
    </row>
    <row r="578" spans="5:6" x14ac:dyDescent="0.15">
      <c r="E578" s="246"/>
      <c r="F578" s="246"/>
    </row>
    <row r="579" spans="5:6" x14ac:dyDescent="0.15">
      <c r="E579" s="246"/>
      <c r="F579" s="246"/>
    </row>
    <row r="580" spans="5:6" x14ac:dyDescent="0.15">
      <c r="E580" s="246"/>
      <c r="F580" s="246"/>
    </row>
    <row r="581" spans="5:6" x14ac:dyDescent="0.15">
      <c r="E581" s="246"/>
      <c r="F581" s="246"/>
    </row>
    <row r="582" spans="5:6" x14ac:dyDescent="0.15">
      <c r="E582" s="246"/>
      <c r="F582" s="246"/>
    </row>
    <row r="583" spans="5:6" x14ac:dyDescent="0.15">
      <c r="E583" s="246"/>
      <c r="F583" s="246"/>
    </row>
    <row r="584" spans="5:6" x14ac:dyDescent="0.15">
      <c r="E584" s="246"/>
      <c r="F584" s="246"/>
    </row>
    <row r="585" spans="5:6" x14ac:dyDescent="0.15">
      <c r="E585" s="246"/>
      <c r="F585" s="246"/>
    </row>
    <row r="586" spans="5:6" x14ac:dyDescent="0.15">
      <c r="E586" s="246"/>
      <c r="F586" s="246"/>
    </row>
    <row r="587" spans="5:6" x14ac:dyDescent="0.15">
      <c r="E587" s="246"/>
      <c r="F587" s="246"/>
    </row>
    <row r="588" spans="5:6" x14ac:dyDescent="0.15">
      <c r="E588" s="246"/>
      <c r="F588" s="246"/>
    </row>
    <row r="589" spans="5:6" x14ac:dyDescent="0.15">
      <c r="E589" s="246"/>
      <c r="F589" s="246"/>
    </row>
    <row r="590" spans="5:6" x14ac:dyDescent="0.15">
      <c r="E590" s="246"/>
      <c r="F590" s="246"/>
    </row>
    <row r="591" spans="5:6" x14ac:dyDescent="0.15">
      <c r="E591" s="246"/>
      <c r="F591" s="246"/>
    </row>
    <row r="592" spans="5:6" x14ac:dyDescent="0.15">
      <c r="E592" s="246"/>
      <c r="F592" s="246"/>
    </row>
    <row r="593" spans="5:6" x14ac:dyDescent="0.15">
      <c r="E593" s="246"/>
      <c r="F593" s="246"/>
    </row>
    <row r="594" spans="5:6" x14ac:dyDescent="0.15">
      <c r="E594" s="246"/>
      <c r="F594" s="246"/>
    </row>
    <row r="595" spans="5:6" x14ac:dyDescent="0.15">
      <c r="E595" s="246"/>
      <c r="F595" s="246"/>
    </row>
    <row r="596" spans="5:6" x14ac:dyDescent="0.15">
      <c r="E596" s="246"/>
      <c r="F596" s="246"/>
    </row>
    <row r="597" spans="5:6" x14ac:dyDescent="0.15">
      <c r="E597" s="246"/>
      <c r="F597" s="246"/>
    </row>
    <row r="598" spans="5:6" x14ac:dyDescent="0.15">
      <c r="E598" s="246"/>
      <c r="F598" s="246"/>
    </row>
    <row r="599" spans="5:6" x14ac:dyDescent="0.15">
      <c r="E599" s="246"/>
      <c r="F599" s="246"/>
    </row>
    <row r="600" spans="5:6" x14ac:dyDescent="0.15">
      <c r="E600" s="246"/>
      <c r="F600" s="246"/>
    </row>
    <row r="601" spans="5:6" x14ac:dyDescent="0.15">
      <c r="E601" s="246"/>
      <c r="F601" s="246"/>
    </row>
    <row r="602" spans="5:6" x14ac:dyDescent="0.15">
      <c r="E602" s="246"/>
      <c r="F602" s="246"/>
    </row>
    <row r="603" spans="5:6" x14ac:dyDescent="0.15">
      <c r="E603" s="246"/>
      <c r="F603" s="246"/>
    </row>
    <row r="604" spans="5:6" x14ac:dyDescent="0.15">
      <c r="E604" s="246"/>
      <c r="F604" s="246"/>
    </row>
    <row r="605" spans="5:6" x14ac:dyDescent="0.15">
      <c r="E605" s="246"/>
      <c r="F605" s="246"/>
    </row>
    <row r="606" spans="5:6" x14ac:dyDescent="0.15">
      <c r="E606" s="246"/>
      <c r="F606" s="246"/>
    </row>
    <row r="607" spans="5:6" x14ac:dyDescent="0.15">
      <c r="E607" s="246"/>
      <c r="F607" s="246"/>
    </row>
    <row r="608" spans="5:6" x14ac:dyDescent="0.15">
      <c r="E608" s="246"/>
      <c r="F608" s="246"/>
    </row>
    <row r="609" spans="5:6" x14ac:dyDescent="0.15">
      <c r="E609" s="246"/>
      <c r="F609" s="246"/>
    </row>
    <row r="610" spans="5:6" x14ac:dyDescent="0.15">
      <c r="E610" s="246"/>
      <c r="F610" s="246"/>
    </row>
    <row r="611" spans="5:6" x14ac:dyDescent="0.15">
      <c r="E611" s="246"/>
      <c r="F611" s="246"/>
    </row>
    <row r="612" spans="5:6" x14ac:dyDescent="0.15">
      <c r="E612" s="246"/>
      <c r="F612" s="246"/>
    </row>
    <row r="613" spans="5:6" x14ac:dyDescent="0.15">
      <c r="E613" s="246"/>
      <c r="F613" s="246"/>
    </row>
    <row r="614" spans="5:6" x14ac:dyDescent="0.15">
      <c r="E614" s="246"/>
      <c r="F614" s="246"/>
    </row>
    <row r="615" spans="5:6" x14ac:dyDescent="0.15">
      <c r="E615" s="246"/>
      <c r="F615" s="246"/>
    </row>
    <row r="616" spans="5:6" x14ac:dyDescent="0.15">
      <c r="E616" s="246"/>
      <c r="F616" s="246"/>
    </row>
    <row r="617" spans="5:6" x14ac:dyDescent="0.15">
      <c r="E617" s="246"/>
      <c r="F617" s="246"/>
    </row>
    <row r="618" spans="5:6" x14ac:dyDescent="0.15">
      <c r="E618" s="246"/>
      <c r="F618" s="246"/>
    </row>
    <row r="619" spans="5:6" x14ac:dyDescent="0.15">
      <c r="E619" s="246"/>
      <c r="F619" s="246"/>
    </row>
    <row r="620" spans="5:6" x14ac:dyDescent="0.15">
      <c r="E620" s="246"/>
      <c r="F620" s="246"/>
    </row>
    <row r="621" spans="5:6" x14ac:dyDescent="0.15">
      <c r="E621" s="246"/>
      <c r="F621" s="246"/>
    </row>
    <row r="622" spans="5:6" x14ac:dyDescent="0.15">
      <c r="E622" s="246"/>
      <c r="F622" s="246"/>
    </row>
    <row r="623" spans="5:6" x14ac:dyDescent="0.15">
      <c r="E623" s="246"/>
      <c r="F623" s="246"/>
    </row>
    <row r="624" spans="5:6" x14ac:dyDescent="0.15">
      <c r="E624" s="246"/>
      <c r="F624" s="246"/>
    </row>
    <row r="625" spans="5:6" x14ac:dyDescent="0.15">
      <c r="E625" s="246"/>
      <c r="F625" s="246"/>
    </row>
    <row r="626" spans="5:6" x14ac:dyDescent="0.15">
      <c r="E626" s="246"/>
      <c r="F626" s="246"/>
    </row>
    <row r="627" spans="5:6" x14ac:dyDescent="0.15">
      <c r="E627" s="246"/>
      <c r="F627" s="246"/>
    </row>
    <row r="628" spans="5:6" x14ac:dyDescent="0.15">
      <c r="E628" s="246"/>
      <c r="F628" s="246"/>
    </row>
    <row r="629" spans="5:6" x14ac:dyDescent="0.15">
      <c r="E629" s="246"/>
      <c r="F629" s="246"/>
    </row>
    <row r="630" spans="5:6" x14ac:dyDescent="0.15">
      <c r="E630" s="246"/>
      <c r="F630" s="246"/>
    </row>
    <row r="631" spans="5:6" x14ac:dyDescent="0.15">
      <c r="E631" s="246"/>
      <c r="F631" s="246"/>
    </row>
    <row r="632" spans="5:6" x14ac:dyDescent="0.15">
      <c r="E632" s="246"/>
      <c r="F632" s="246"/>
    </row>
    <row r="633" spans="5:6" x14ac:dyDescent="0.15">
      <c r="E633" s="246"/>
      <c r="F633" s="246"/>
    </row>
    <row r="634" spans="5:6" x14ac:dyDescent="0.15">
      <c r="E634" s="246"/>
      <c r="F634" s="246"/>
    </row>
    <row r="635" spans="5:6" x14ac:dyDescent="0.15">
      <c r="E635" s="246"/>
      <c r="F635" s="246"/>
    </row>
    <row r="636" spans="5:6" x14ac:dyDescent="0.15">
      <c r="E636" s="246"/>
      <c r="F636" s="246"/>
    </row>
    <row r="637" spans="5:6" x14ac:dyDescent="0.15">
      <c r="E637" s="246"/>
      <c r="F637" s="246"/>
    </row>
    <row r="638" spans="5:6" x14ac:dyDescent="0.15">
      <c r="E638" s="246"/>
      <c r="F638" s="246"/>
    </row>
    <row r="639" spans="5:6" x14ac:dyDescent="0.15">
      <c r="E639" s="246"/>
      <c r="F639" s="246"/>
    </row>
    <row r="640" spans="5:6" x14ac:dyDescent="0.15">
      <c r="E640" s="246"/>
      <c r="F640" s="246"/>
    </row>
    <row r="641" spans="5:6" x14ac:dyDescent="0.15">
      <c r="E641" s="246"/>
      <c r="F641" s="246"/>
    </row>
    <row r="642" spans="5:6" x14ac:dyDescent="0.15">
      <c r="E642" s="246"/>
      <c r="F642" s="246"/>
    </row>
    <row r="643" spans="5:6" x14ac:dyDescent="0.15">
      <c r="E643" s="246"/>
      <c r="F643" s="246"/>
    </row>
    <row r="644" spans="5:6" x14ac:dyDescent="0.15">
      <c r="E644" s="246"/>
      <c r="F644" s="246"/>
    </row>
    <row r="645" spans="5:6" x14ac:dyDescent="0.15">
      <c r="E645" s="246"/>
      <c r="F645" s="246"/>
    </row>
    <row r="646" spans="5:6" x14ac:dyDescent="0.15">
      <c r="E646" s="246"/>
      <c r="F646" s="246"/>
    </row>
    <row r="647" spans="5:6" x14ac:dyDescent="0.15">
      <c r="E647" s="246"/>
      <c r="F647" s="246"/>
    </row>
    <row r="648" spans="5:6" x14ac:dyDescent="0.15">
      <c r="E648" s="246"/>
      <c r="F648" s="246"/>
    </row>
    <row r="649" spans="5:6" x14ac:dyDescent="0.15">
      <c r="E649" s="246"/>
      <c r="F649" s="246"/>
    </row>
    <row r="650" spans="5:6" x14ac:dyDescent="0.15">
      <c r="E650" s="246"/>
      <c r="F650" s="246"/>
    </row>
    <row r="651" spans="5:6" x14ac:dyDescent="0.15">
      <c r="E651" s="246"/>
      <c r="F651" s="246"/>
    </row>
    <row r="652" spans="5:6" x14ac:dyDescent="0.15">
      <c r="E652" s="246"/>
      <c r="F652" s="246"/>
    </row>
    <row r="653" spans="5:6" x14ac:dyDescent="0.15">
      <c r="E653" s="246"/>
      <c r="F653" s="246"/>
    </row>
    <row r="654" spans="5:6" x14ac:dyDescent="0.15">
      <c r="E654" s="246"/>
      <c r="F654" s="246"/>
    </row>
    <row r="655" spans="5:6" x14ac:dyDescent="0.15">
      <c r="E655" s="246"/>
      <c r="F655" s="246"/>
    </row>
    <row r="656" spans="5:6" x14ac:dyDescent="0.15">
      <c r="E656" s="246"/>
      <c r="F656" s="246"/>
    </row>
    <row r="657" spans="5:6" x14ac:dyDescent="0.15">
      <c r="E657" s="246"/>
      <c r="F657" s="246"/>
    </row>
    <row r="658" spans="5:6" x14ac:dyDescent="0.15">
      <c r="E658" s="246"/>
      <c r="F658" s="246"/>
    </row>
    <row r="659" spans="5:6" x14ac:dyDescent="0.15">
      <c r="E659" s="246"/>
      <c r="F659" s="246"/>
    </row>
    <row r="660" spans="5:6" x14ac:dyDescent="0.15">
      <c r="E660" s="246"/>
      <c r="F660" s="246"/>
    </row>
    <row r="661" spans="5:6" x14ac:dyDescent="0.15">
      <c r="E661" s="246"/>
      <c r="F661" s="246"/>
    </row>
    <row r="662" spans="5:6" x14ac:dyDescent="0.15">
      <c r="E662" s="246"/>
      <c r="F662" s="246"/>
    </row>
    <row r="663" spans="5:6" x14ac:dyDescent="0.15">
      <c r="E663" s="246"/>
      <c r="F663" s="246"/>
    </row>
    <row r="664" spans="5:6" x14ac:dyDescent="0.15">
      <c r="E664" s="246"/>
      <c r="F664" s="246"/>
    </row>
    <row r="665" spans="5:6" x14ac:dyDescent="0.15">
      <c r="E665" s="246"/>
      <c r="F665" s="246"/>
    </row>
    <row r="666" spans="5:6" x14ac:dyDescent="0.15">
      <c r="E666" s="246"/>
      <c r="F666" s="246"/>
    </row>
    <row r="667" spans="5:6" x14ac:dyDescent="0.15">
      <c r="E667" s="246"/>
      <c r="F667" s="246"/>
    </row>
    <row r="668" spans="5:6" x14ac:dyDescent="0.15">
      <c r="E668" s="246"/>
      <c r="F668" s="246"/>
    </row>
    <row r="669" spans="5:6" x14ac:dyDescent="0.15">
      <c r="E669" s="246"/>
      <c r="F669" s="246"/>
    </row>
    <row r="670" spans="5:6" x14ac:dyDescent="0.15">
      <c r="E670" s="246"/>
      <c r="F670" s="246"/>
    </row>
    <row r="671" spans="5:6" x14ac:dyDescent="0.15">
      <c r="E671" s="246"/>
      <c r="F671" s="246"/>
    </row>
    <row r="672" spans="5:6" x14ac:dyDescent="0.15">
      <c r="E672" s="246"/>
      <c r="F672" s="246"/>
    </row>
    <row r="673" spans="5:6" x14ac:dyDescent="0.15">
      <c r="E673" s="246"/>
      <c r="F673" s="246"/>
    </row>
    <row r="674" spans="5:6" x14ac:dyDescent="0.15">
      <c r="E674" s="246"/>
      <c r="F674" s="246"/>
    </row>
    <row r="675" spans="5:6" x14ac:dyDescent="0.15">
      <c r="E675" s="246"/>
      <c r="F675" s="246"/>
    </row>
    <row r="676" spans="5:6" x14ac:dyDescent="0.15">
      <c r="E676" s="246"/>
      <c r="F676" s="246"/>
    </row>
    <row r="677" spans="5:6" x14ac:dyDescent="0.15">
      <c r="E677" s="246"/>
      <c r="F677" s="246"/>
    </row>
    <row r="678" spans="5:6" x14ac:dyDescent="0.15">
      <c r="E678" s="246"/>
      <c r="F678" s="246"/>
    </row>
    <row r="679" spans="5:6" x14ac:dyDescent="0.15">
      <c r="E679" s="246"/>
      <c r="F679" s="246"/>
    </row>
    <row r="680" spans="5:6" x14ac:dyDescent="0.15">
      <c r="E680" s="246"/>
      <c r="F680" s="246"/>
    </row>
    <row r="681" spans="5:6" x14ac:dyDescent="0.15">
      <c r="E681" s="246"/>
      <c r="F681" s="246"/>
    </row>
    <row r="682" spans="5:6" x14ac:dyDescent="0.15">
      <c r="E682" s="246"/>
      <c r="F682" s="246"/>
    </row>
    <row r="683" spans="5:6" x14ac:dyDescent="0.15">
      <c r="E683" s="246"/>
      <c r="F683" s="246"/>
    </row>
    <row r="684" spans="5:6" x14ac:dyDescent="0.15">
      <c r="E684" s="246"/>
      <c r="F684" s="246"/>
    </row>
    <row r="685" spans="5:6" x14ac:dyDescent="0.15">
      <c r="E685" s="246"/>
      <c r="F685" s="246"/>
    </row>
    <row r="686" spans="5:6" x14ac:dyDescent="0.15">
      <c r="E686" s="246"/>
      <c r="F686" s="246"/>
    </row>
    <row r="687" spans="5:6" x14ac:dyDescent="0.15">
      <c r="E687" s="246"/>
      <c r="F687" s="246"/>
    </row>
    <row r="688" spans="5:6" x14ac:dyDescent="0.15">
      <c r="E688" s="246"/>
      <c r="F688" s="246"/>
    </row>
    <row r="689" spans="5:6" x14ac:dyDescent="0.15">
      <c r="E689" s="246"/>
      <c r="F689" s="246"/>
    </row>
    <row r="690" spans="5:6" x14ac:dyDescent="0.15">
      <c r="E690" s="246"/>
      <c r="F690" s="246"/>
    </row>
    <row r="691" spans="5:6" x14ac:dyDescent="0.15">
      <c r="E691" s="246"/>
      <c r="F691" s="246"/>
    </row>
    <row r="692" spans="5:6" x14ac:dyDescent="0.15">
      <c r="E692" s="246"/>
      <c r="F692" s="246"/>
    </row>
    <row r="693" spans="5:6" x14ac:dyDescent="0.15">
      <c r="E693" s="246"/>
      <c r="F693" s="246"/>
    </row>
    <row r="694" spans="5:6" x14ac:dyDescent="0.15">
      <c r="E694" s="246"/>
      <c r="F694" s="246"/>
    </row>
    <row r="695" spans="5:6" x14ac:dyDescent="0.15">
      <c r="E695" s="246"/>
      <c r="F695" s="246"/>
    </row>
    <row r="696" spans="5:6" x14ac:dyDescent="0.15">
      <c r="E696" s="246"/>
      <c r="F696" s="246"/>
    </row>
    <row r="697" spans="5:6" x14ac:dyDescent="0.15">
      <c r="E697" s="246"/>
      <c r="F697" s="246"/>
    </row>
    <row r="698" spans="5:6" x14ac:dyDescent="0.15">
      <c r="E698" s="246"/>
      <c r="F698" s="246"/>
    </row>
    <row r="699" spans="5:6" x14ac:dyDescent="0.15">
      <c r="E699" s="246"/>
      <c r="F699" s="246"/>
    </row>
    <row r="700" spans="5:6" x14ac:dyDescent="0.15">
      <c r="E700" s="246"/>
      <c r="F700" s="246"/>
    </row>
    <row r="701" spans="5:6" x14ac:dyDescent="0.15">
      <c r="E701" s="246"/>
      <c r="F701" s="246"/>
    </row>
    <row r="702" spans="5:6" x14ac:dyDescent="0.15">
      <c r="E702" s="246"/>
      <c r="F702" s="246"/>
    </row>
    <row r="703" spans="5:6" x14ac:dyDescent="0.15">
      <c r="E703" s="246"/>
      <c r="F703" s="246"/>
    </row>
    <row r="704" spans="5:6" x14ac:dyDescent="0.15">
      <c r="E704" s="246"/>
      <c r="F704" s="246"/>
    </row>
    <row r="705" spans="5:6" x14ac:dyDescent="0.15">
      <c r="E705" s="246"/>
      <c r="F705" s="246"/>
    </row>
    <row r="706" spans="5:6" x14ac:dyDescent="0.15">
      <c r="E706" s="246"/>
      <c r="F706" s="246"/>
    </row>
    <row r="707" spans="5:6" x14ac:dyDescent="0.15">
      <c r="E707" s="246"/>
      <c r="F707" s="246"/>
    </row>
    <row r="708" spans="5:6" x14ac:dyDescent="0.15">
      <c r="E708" s="246"/>
      <c r="F708" s="246"/>
    </row>
    <row r="709" spans="5:6" x14ac:dyDescent="0.15">
      <c r="E709" s="246"/>
      <c r="F709" s="246"/>
    </row>
    <row r="710" spans="5:6" x14ac:dyDescent="0.15">
      <c r="E710" s="246"/>
      <c r="F710" s="246"/>
    </row>
    <row r="711" spans="5:6" x14ac:dyDescent="0.15">
      <c r="E711" s="246"/>
      <c r="F711" s="246"/>
    </row>
    <row r="712" spans="5:6" x14ac:dyDescent="0.15">
      <c r="E712" s="246"/>
      <c r="F712" s="246"/>
    </row>
    <row r="713" spans="5:6" x14ac:dyDescent="0.15">
      <c r="E713" s="246"/>
      <c r="F713" s="246"/>
    </row>
    <row r="714" spans="5:6" x14ac:dyDescent="0.15">
      <c r="E714" s="246"/>
      <c r="F714" s="246"/>
    </row>
    <row r="715" spans="5:6" x14ac:dyDescent="0.15">
      <c r="E715" s="246"/>
      <c r="F715" s="246"/>
    </row>
    <row r="716" spans="5:6" x14ac:dyDescent="0.15">
      <c r="E716" s="246"/>
      <c r="F716" s="246"/>
    </row>
    <row r="717" spans="5:6" x14ac:dyDescent="0.15">
      <c r="E717" s="246"/>
      <c r="F717" s="246"/>
    </row>
    <row r="718" spans="5:6" x14ac:dyDescent="0.15">
      <c r="E718" s="246"/>
      <c r="F718" s="246"/>
    </row>
    <row r="719" spans="5:6" x14ac:dyDescent="0.15">
      <c r="E719" s="246"/>
      <c r="F719" s="246"/>
    </row>
    <row r="720" spans="5:6" x14ac:dyDescent="0.15">
      <c r="E720" s="246"/>
      <c r="F720" s="246"/>
    </row>
    <row r="721" spans="5:6" x14ac:dyDescent="0.15">
      <c r="E721" s="246"/>
      <c r="F721" s="246"/>
    </row>
    <row r="722" spans="5:6" x14ac:dyDescent="0.15">
      <c r="E722" s="246"/>
      <c r="F722" s="246"/>
    </row>
    <row r="723" spans="5:6" x14ac:dyDescent="0.15">
      <c r="E723" s="246"/>
      <c r="F723" s="246"/>
    </row>
    <row r="724" spans="5:6" x14ac:dyDescent="0.15">
      <c r="E724" s="246"/>
      <c r="F724" s="246"/>
    </row>
    <row r="725" spans="5:6" x14ac:dyDescent="0.15">
      <c r="E725" s="246"/>
      <c r="F725" s="246"/>
    </row>
    <row r="726" spans="5:6" x14ac:dyDescent="0.15">
      <c r="E726" s="246"/>
      <c r="F726" s="246"/>
    </row>
    <row r="727" spans="5:6" x14ac:dyDescent="0.15">
      <c r="E727" s="246"/>
      <c r="F727" s="246"/>
    </row>
    <row r="728" spans="5:6" x14ac:dyDescent="0.15">
      <c r="E728" s="246"/>
      <c r="F728" s="246"/>
    </row>
    <row r="729" spans="5:6" x14ac:dyDescent="0.15">
      <c r="E729" s="246"/>
    </row>
  </sheetData>
  <autoFilter ref="A1:BA85"/>
  <phoneticPr fontId="3"/>
  <dataValidations count="15">
    <dataValidation type="decimal" allowBlank="1" showInputMessage="1" showErrorMessage="1" error="硬度を正しく入力して下さい。" sqref="O2:P497">
      <formula1>0</formula1>
      <formula2>7</formula2>
    </dataValidation>
    <dataValidation type="list" allowBlank="1" showInputMessage="1" showErrorMessage="1" sqref="JU2:JW76 ANI2:ANK76 BQW2:BQY76 CUK2:CUM76 DXY2:DYA76 FBM2:FBO76 GFA2:GFC76 HIO2:HIQ76 IMC2:IME76 JPQ2:JPS76 KTE2:KTG76 LWS2:LWU76 NAG2:NAI76 ODU2:ODW76 PHI2:PHK76 QKW2:QKY76 ROK2:ROM76 SRY2:SSA76 TVM2:TVO76 UZA2:UZC76 WCO2:WCQ76 TQ2:TS76 AXE2:AXG76 CAS2:CAU76 DEG2:DEI76 EHU2:EHW76 FLI2:FLK76 GOW2:GOY76 HSK2:HSM76 IVY2:IWA76 JZM2:JZO76 LDA2:LDC76 MGO2:MGQ76 NKC2:NKE76 ONQ2:ONS76 PRE2:PRG76 QUS2:QUU76 RYG2:RYI76 TBU2:TBW76 UFI2:UFK76 VIW2:VIY76 WMK2:WMM76 ADM2:ADO76 BHA2:BHC76 CKO2:CKQ76 DOC2:DOE76 ERQ2:ERS76 FVE2:FVG76 GYS2:GYU76 ICG2:ICI76 JFU2:JFW76 KJI2:KJK76 LMW2:LMY76 MQK2:MQM76 NTY2:NUA76 OXM2:OXO76 QBA2:QBC76 REO2:REQ76 SIC2:SIE76 TLQ2:TLS76 UPE2:UPG76 VSS2:VSU76 WWG2:WWI76 Y983039:AA983116 ADM983039:ADO983116 BHA983039:BHC983116 CKO983039:CKQ983116 DOC983039:DOE983116 ERQ983039:ERS983116 FVE983039:FVG983116 GYS983039:GYU983116 ICG983039:ICI983116 JFU983039:JFW983116 KJI983039:KJK983116 LMW983039:LMY983116 MQK983039:MQM983116 NTY983039:NUA983116 OXM983039:OXO983116 QBA983039:QBC983116 REO983039:REQ983116 SIC983039:SIE983116 TLQ983039:TLS983116 UPE983039:UPG983116 VSS983039:VSU983116 WWG983039:WWI983116 Y65535:AA65612 ADM65535:ADO65612 BHA65535:BHC65612 CKO65535:CKQ65612 DOC65535:DOE65612 ERQ65535:ERS65612 FVE65535:FVG65612 GYS65535:GYU65612 ICG65535:ICI65612 JFU65535:JFW65612 KJI65535:KJK65612 LMW65535:LMY65612 MQK65535:MQM65612 NTY65535:NUA65612 OXM65535:OXO65612 QBA65535:QBC65612 REO65535:REQ65612 SIC65535:SIE65612 TLQ65535:TLS65612 UPE65535:UPG65612 VSS65535:VSU65612 WWG65535:WWI65612 JU65535:JW65612 ANI65535:ANK65612 BQW65535:BQY65612 CUK65535:CUM65612 DXY65535:DYA65612 FBM65535:FBO65612 GFA65535:GFC65612 HIO65535:HIQ65612 IMC65535:IME65612 JPQ65535:JPS65612 KTE65535:KTG65612 LWS65535:LWU65612 NAG65535:NAI65612 ODU65535:ODW65612 PHI65535:PHK65612 QKW65535:QKY65612 ROK65535:ROM65612 SRY65535:SSA65612 TVM65535:TVO65612 UZA65535:UZC65612 WCO65535:WCQ65612 TQ65535:TS65612 AXE65535:AXG65612 CAS65535:CAU65612 DEG65535:DEI65612 EHU65535:EHW65612 FLI65535:FLK65612 GOW65535:GOY65612 HSK65535:HSM65612 IVY65535:IWA65612 JZM65535:JZO65612 LDA65535:LDC65612 MGO65535:MGQ65612 NKC65535:NKE65612 ONQ65535:ONS65612 PRE65535:PRG65612 QUS65535:QUU65612 RYG65535:RYI65612 TBU65535:TBW65612 UFI65535:UFK65612 VIW65535:VIY65612 WMK65535:WMM65612 Y131071:AA131148 ADM131071:ADO131148 BHA131071:BHC131148 CKO131071:CKQ131148 DOC131071:DOE131148 ERQ131071:ERS131148 FVE131071:FVG131148 GYS131071:GYU131148 ICG131071:ICI131148 JFU131071:JFW131148 KJI131071:KJK131148 LMW131071:LMY131148 MQK131071:MQM131148 NTY131071:NUA131148 OXM131071:OXO131148 QBA131071:QBC131148 REO131071:REQ131148 SIC131071:SIE131148 TLQ131071:TLS131148 UPE131071:UPG131148 VSS131071:VSU131148 WWG131071:WWI131148 JU131071:JW131148 ANI131071:ANK131148 BQW131071:BQY131148 CUK131071:CUM131148 DXY131071:DYA131148 FBM131071:FBO131148 GFA131071:GFC131148 HIO131071:HIQ131148 IMC131071:IME131148 JPQ131071:JPS131148 KTE131071:KTG131148 LWS131071:LWU131148 NAG131071:NAI131148 ODU131071:ODW131148 PHI131071:PHK131148 QKW131071:QKY131148 ROK131071:ROM131148 SRY131071:SSA131148 TVM131071:TVO131148 UZA131071:UZC131148 WCO131071:WCQ131148 TQ131071:TS131148 AXE131071:AXG131148 CAS131071:CAU131148 DEG131071:DEI131148 EHU131071:EHW131148 FLI131071:FLK131148 GOW131071:GOY131148 HSK131071:HSM131148 IVY131071:IWA131148 JZM131071:JZO131148 LDA131071:LDC131148 MGO131071:MGQ131148 NKC131071:NKE131148 ONQ131071:ONS131148 PRE131071:PRG131148 QUS131071:QUU131148 RYG131071:RYI131148 TBU131071:TBW131148 UFI131071:UFK131148 VIW131071:VIY131148 WMK131071:WMM131148 Y196607:AA196684 ADM196607:ADO196684 BHA196607:BHC196684 CKO196607:CKQ196684 DOC196607:DOE196684 ERQ196607:ERS196684 FVE196607:FVG196684 GYS196607:GYU196684 ICG196607:ICI196684 JFU196607:JFW196684 KJI196607:KJK196684 LMW196607:LMY196684 MQK196607:MQM196684 NTY196607:NUA196684 OXM196607:OXO196684 QBA196607:QBC196684 REO196607:REQ196684 SIC196607:SIE196684 TLQ196607:TLS196684 UPE196607:UPG196684 VSS196607:VSU196684 WWG196607:WWI196684 JU196607:JW196684 ANI196607:ANK196684 BQW196607:BQY196684 CUK196607:CUM196684 DXY196607:DYA196684 FBM196607:FBO196684 GFA196607:GFC196684 HIO196607:HIQ196684 IMC196607:IME196684 JPQ196607:JPS196684 KTE196607:KTG196684 LWS196607:LWU196684 NAG196607:NAI196684 ODU196607:ODW196684 PHI196607:PHK196684 QKW196607:QKY196684 ROK196607:ROM196684 SRY196607:SSA196684 TVM196607:TVO196684 UZA196607:UZC196684 WCO196607:WCQ196684 TQ196607:TS196684 AXE196607:AXG196684 CAS196607:CAU196684 DEG196607:DEI196684 EHU196607:EHW196684 FLI196607:FLK196684 GOW196607:GOY196684 HSK196607:HSM196684 IVY196607:IWA196684 JZM196607:JZO196684 LDA196607:LDC196684 MGO196607:MGQ196684 NKC196607:NKE196684 ONQ196607:ONS196684 PRE196607:PRG196684 QUS196607:QUU196684 RYG196607:RYI196684 TBU196607:TBW196684 UFI196607:UFK196684 VIW196607:VIY196684 WMK196607:WMM196684 Y262143:AA262220 ADM262143:ADO262220 BHA262143:BHC262220 CKO262143:CKQ262220 DOC262143:DOE262220 ERQ262143:ERS262220 FVE262143:FVG262220 GYS262143:GYU262220 ICG262143:ICI262220 JFU262143:JFW262220 KJI262143:KJK262220 LMW262143:LMY262220 MQK262143:MQM262220 NTY262143:NUA262220 OXM262143:OXO262220 QBA262143:QBC262220 REO262143:REQ262220 SIC262143:SIE262220 TLQ262143:TLS262220 UPE262143:UPG262220 VSS262143:VSU262220 WWG262143:WWI262220 JU262143:JW262220 ANI262143:ANK262220 BQW262143:BQY262220 CUK262143:CUM262220 DXY262143:DYA262220 FBM262143:FBO262220 GFA262143:GFC262220 HIO262143:HIQ262220 IMC262143:IME262220 JPQ262143:JPS262220 KTE262143:KTG262220 LWS262143:LWU262220 NAG262143:NAI262220 ODU262143:ODW262220 PHI262143:PHK262220 QKW262143:QKY262220 ROK262143:ROM262220 SRY262143:SSA262220 TVM262143:TVO262220 UZA262143:UZC262220 WCO262143:WCQ262220 TQ262143:TS262220 AXE262143:AXG262220 CAS262143:CAU262220 DEG262143:DEI262220 EHU262143:EHW262220 FLI262143:FLK262220 GOW262143:GOY262220 HSK262143:HSM262220 IVY262143:IWA262220 JZM262143:JZO262220 LDA262143:LDC262220 MGO262143:MGQ262220 NKC262143:NKE262220 ONQ262143:ONS262220 PRE262143:PRG262220 QUS262143:QUU262220 RYG262143:RYI262220 TBU262143:TBW262220 UFI262143:UFK262220 VIW262143:VIY262220 WMK262143:WMM262220 Y327679:AA327756 ADM327679:ADO327756 BHA327679:BHC327756 CKO327679:CKQ327756 DOC327679:DOE327756 ERQ327679:ERS327756 FVE327679:FVG327756 GYS327679:GYU327756 ICG327679:ICI327756 JFU327679:JFW327756 KJI327679:KJK327756 LMW327679:LMY327756 MQK327679:MQM327756 NTY327679:NUA327756 OXM327679:OXO327756 QBA327679:QBC327756 REO327679:REQ327756 SIC327679:SIE327756 TLQ327679:TLS327756 UPE327679:UPG327756 VSS327679:VSU327756 WWG327679:WWI327756 JU327679:JW327756 ANI327679:ANK327756 BQW327679:BQY327756 CUK327679:CUM327756 DXY327679:DYA327756 FBM327679:FBO327756 GFA327679:GFC327756 HIO327679:HIQ327756 IMC327679:IME327756 JPQ327679:JPS327756 KTE327679:KTG327756 LWS327679:LWU327756 NAG327679:NAI327756 ODU327679:ODW327756 PHI327679:PHK327756 QKW327679:QKY327756 ROK327679:ROM327756 SRY327679:SSA327756 TVM327679:TVO327756 UZA327679:UZC327756 WCO327679:WCQ327756 TQ327679:TS327756 AXE327679:AXG327756 CAS327679:CAU327756 DEG327679:DEI327756 EHU327679:EHW327756 FLI327679:FLK327756 GOW327679:GOY327756 HSK327679:HSM327756 IVY327679:IWA327756 JZM327679:JZO327756 LDA327679:LDC327756 MGO327679:MGQ327756 NKC327679:NKE327756 ONQ327679:ONS327756 PRE327679:PRG327756 QUS327679:QUU327756 RYG327679:RYI327756 TBU327679:TBW327756 UFI327679:UFK327756 VIW327679:VIY327756 WMK327679:WMM327756 Y393215:AA393292 ADM393215:ADO393292 BHA393215:BHC393292 CKO393215:CKQ393292 DOC393215:DOE393292 ERQ393215:ERS393292 FVE393215:FVG393292 GYS393215:GYU393292 ICG393215:ICI393292 JFU393215:JFW393292 KJI393215:KJK393292 LMW393215:LMY393292 MQK393215:MQM393292 NTY393215:NUA393292 OXM393215:OXO393292 QBA393215:QBC393292 REO393215:REQ393292 SIC393215:SIE393292 TLQ393215:TLS393292 UPE393215:UPG393292 VSS393215:VSU393292 WWG393215:WWI393292 JU393215:JW393292 ANI393215:ANK393292 BQW393215:BQY393292 CUK393215:CUM393292 DXY393215:DYA393292 FBM393215:FBO393292 GFA393215:GFC393292 HIO393215:HIQ393292 IMC393215:IME393292 JPQ393215:JPS393292 KTE393215:KTG393292 LWS393215:LWU393292 NAG393215:NAI393292 ODU393215:ODW393292 PHI393215:PHK393292 QKW393215:QKY393292 ROK393215:ROM393292 SRY393215:SSA393292 TVM393215:TVO393292 UZA393215:UZC393292 WCO393215:WCQ393292 TQ393215:TS393292 AXE393215:AXG393292 CAS393215:CAU393292 DEG393215:DEI393292 EHU393215:EHW393292 FLI393215:FLK393292 GOW393215:GOY393292 HSK393215:HSM393292 IVY393215:IWA393292 JZM393215:JZO393292 LDA393215:LDC393292 MGO393215:MGQ393292 NKC393215:NKE393292 ONQ393215:ONS393292 PRE393215:PRG393292 QUS393215:QUU393292 RYG393215:RYI393292 TBU393215:TBW393292 UFI393215:UFK393292 VIW393215:VIY393292 WMK393215:WMM393292 Y458751:AA458828 ADM458751:ADO458828 BHA458751:BHC458828 CKO458751:CKQ458828 DOC458751:DOE458828 ERQ458751:ERS458828 FVE458751:FVG458828 GYS458751:GYU458828 ICG458751:ICI458828 JFU458751:JFW458828 KJI458751:KJK458828 LMW458751:LMY458828 MQK458751:MQM458828 NTY458751:NUA458828 OXM458751:OXO458828 QBA458751:QBC458828 REO458751:REQ458828 SIC458751:SIE458828 TLQ458751:TLS458828 UPE458751:UPG458828 VSS458751:VSU458828 WWG458751:WWI458828 JU458751:JW458828 ANI458751:ANK458828 BQW458751:BQY458828 CUK458751:CUM458828 DXY458751:DYA458828 FBM458751:FBO458828 GFA458751:GFC458828 HIO458751:HIQ458828 IMC458751:IME458828 JPQ458751:JPS458828 KTE458751:KTG458828 LWS458751:LWU458828 NAG458751:NAI458828 ODU458751:ODW458828 PHI458751:PHK458828 QKW458751:QKY458828 ROK458751:ROM458828 SRY458751:SSA458828 TVM458751:TVO458828 UZA458751:UZC458828 WCO458751:WCQ458828 TQ458751:TS458828 AXE458751:AXG458828 CAS458751:CAU458828 DEG458751:DEI458828 EHU458751:EHW458828 FLI458751:FLK458828 GOW458751:GOY458828 HSK458751:HSM458828 IVY458751:IWA458828 JZM458751:JZO458828 LDA458751:LDC458828 MGO458751:MGQ458828 NKC458751:NKE458828 ONQ458751:ONS458828 PRE458751:PRG458828 QUS458751:QUU458828 RYG458751:RYI458828 TBU458751:TBW458828 UFI458751:UFK458828 VIW458751:VIY458828 WMK458751:WMM458828 Y524287:AA524364 ADM524287:ADO524364 BHA524287:BHC524364 CKO524287:CKQ524364 DOC524287:DOE524364 ERQ524287:ERS524364 FVE524287:FVG524364 GYS524287:GYU524364 ICG524287:ICI524364 JFU524287:JFW524364 KJI524287:KJK524364 LMW524287:LMY524364 MQK524287:MQM524364 NTY524287:NUA524364 OXM524287:OXO524364 QBA524287:QBC524364 REO524287:REQ524364 SIC524287:SIE524364 TLQ524287:TLS524364 UPE524287:UPG524364 VSS524287:VSU524364 WWG524287:WWI524364 JU524287:JW524364 ANI524287:ANK524364 BQW524287:BQY524364 CUK524287:CUM524364 DXY524287:DYA524364 FBM524287:FBO524364 GFA524287:GFC524364 HIO524287:HIQ524364 IMC524287:IME524364 JPQ524287:JPS524364 KTE524287:KTG524364 LWS524287:LWU524364 NAG524287:NAI524364 ODU524287:ODW524364 PHI524287:PHK524364 QKW524287:QKY524364 ROK524287:ROM524364 SRY524287:SSA524364 TVM524287:TVO524364 UZA524287:UZC524364 WCO524287:WCQ524364 TQ524287:TS524364 AXE524287:AXG524364 CAS524287:CAU524364 DEG524287:DEI524364 EHU524287:EHW524364 FLI524287:FLK524364 GOW524287:GOY524364 HSK524287:HSM524364 IVY524287:IWA524364 JZM524287:JZO524364 LDA524287:LDC524364 MGO524287:MGQ524364 NKC524287:NKE524364 ONQ524287:ONS524364 PRE524287:PRG524364 QUS524287:QUU524364 RYG524287:RYI524364 TBU524287:TBW524364 UFI524287:UFK524364 VIW524287:VIY524364 WMK524287:WMM524364 Y589823:AA589900 ADM589823:ADO589900 BHA589823:BHC589900 CKO589823:CKQ589900 DOC589823:DOE589900 ERQ589823:ERS589900 FVE589823:FVG589900 GYS589823:GYU589900 ICG589823:ICI589900 JFU589823:JFW589900 KJI589823:KJK589900 LMW589823:LMY589900 MQK589823:MQM589900 NTY589823:NUA589900 OXM589823:OXO589900 QBA589823:QBC589900 REO589823:REQ589900 SIC589823:SIE589900 TLQ589823:TLS589900 UPE589823:UPG589900 VSS589823:VSU589900 WWG589823:WWI589900 JU589823:JW589900 ANI589823:ANK589900 BQW589823:BQY589900 CUK589823:CUM589900 DXY589823:DYA589900 FBM589823:FBO589900 GFA589823:GFC589900 HIO589823:HIQ589900 IMC589823:IME589900 JPQ589823:JPS589900 KTE589823:KTG589900 LWS589823:LWU589900 NAG589823:NAI589900 ODU589823:ODW589900 PHI589823:PHK589900 QKW589823:QKY589900 ROK589823:ROM589900 SRY589823:SSA589900 TVM589823:TVO589900 UZA589823:UZC589900 WCO589823:WCQ589900 TQ589823:TS589900 AXE589823:AXG589900 CAS589823:CAU589900 DEG589823:DEI589900 EHU589823:EHW589900 FLI589823:FLK589900 GOW589823:GOY589900 HSK589823:HSM589900 IVY589823:IWA589900 JZM589823:JZO589900 LDA589823:LDC589900 MGO589823:MGQ589900 NKC589823:NKE589900 ONQ589823:ONS589900 PRE589823:PRG589900 QUS589823:QUU589900 RYG589823:RYI589900 TBU589823:TBW589900 UFI589823:UFK589900 VIW589823:VIY589900 WMK589823:WMM589900 Y655359:AA655436 ADM655359:ADO655436 BHA655359:BHC655436 CKO655359:CKQ655436 DOC655359:DOE655436 ERQ655359:ERS655436 FVE655359:FVG655436 GYS655359:GYU655436 ICG655359:ICI655436 JFU655359:JFW655436 KJI655359:KJK655436 LMW655359:LMY655436 MQK655359:MQM655436 NTY655359:NUA655436 OXM655359:OXO655436 QBA655359:QBC655436 REO655359:REQ655436 SIC655359:SIE655436 TLQ655359:TLS655436 UPE655359:UPG655436 VSS655359:VSU655436 WWG655359:WWI655436 JU655359:JW655436 ANI655359:ANK655436 BQW655359:BQY655436 CUK655359:CUM655436 DXY655359:DYA655436 FBM655359:FBO655436 GFA655359:GFC655436 HIO655359:HIQ655436 IMC655359:IME655436 JPQ655359:JPS655436 KTE655359:KTG655436 LWS655359:LWU655436 NAG655359:NAI655436 ODU655359:ODW655436 PHI655359:PHK655436 QKW655359:QKY655436 ROK655359:ROM655436 SRY655359:SSA655436 TVM655359:TVO655436 UZA655359:UZC655436 WCO655359:WCQ655436 TQ655359:TS655436 AXE655359:AXG655436 CAS655359:CAU655436 DEG655359:DEI655436 EHU655359:EHW655436 FLI655359:FLK655436 GOW655359:GOY655436 HSK655359:HSM655436 IVY655359:IWA655436 JZM655359:JZO655436 LDA655359:LDC655436 MGO655359:MGQ655436 NKC655359:NKE655436 ONQ655359:ONS655436 PRE655359:PRG655436 QUS655359:QUU655436 RYG655359:RYI655436 TBU655359:TBW655436 UFI655359:UFK655436 VIW655359:VIY655436 WMK655359:WMM655436 Y720895:AA720972 ADM720895:ADO720972 BHA720895:BHC720972 CKO720895:CKQ720972 DOC720895:DOE720972 ERQ720895:ERS720972 FVE720895:FVG720972 GYS720895:GYU720972 ICG720895:ICI720972 JFU720895:JFW720972 KJI720895:KJK720972 LMW720895:LMY720972 MQK720895:MQM720972 NTY720895:NUA720972 OXM720895:OXO720972 QBA720895:QBC720972 REO720895:REQ720972 SIC720895:SIE720972 TLQ720895:TLS720972 UPE720895:UPG720972 VSS720895:VSU720972 WWG720895:WWI720972 JU720895:JW720972 ANI720895:ANK720972 BQW720895:BQY720972 CUK720895:CUM720972 DXY720895:DYA720972 FBM720895:FBO720972 GFA720895:GFC720972 HIO720895:HIQ720972 IMC720895:IME720972 JPQ720895:JPS720972 KTE720895:KTG720972 LWS720895:LWU720972 NAG720895:NAI720972 ODU720895:ODW720972 PHI720895:PHK720972 QKW720895:QKY720972 ROK720895:ROM720972 SRY720895:SSA720972 TVM720895:TVO720972 UZA720895:UZC720972 WCO720895:WCQ720972 TQ720895:TS720972 AXE720895:AXG720972 CAS720895:CAU720972 DEG720895:DEI720972 EHU720895:EHW720972 FLI720895:FLK720972 GOW720895:GOY720972 HSK720895:HSM720972 IVY720895:IWA720972 JZM720895:JZO720972 LDA720895:LDC720972 MGO720895:MGQ720972 NKC720895:NKE720972 ONQ720895:ONS720972 PRE720895:PRG720972 QUS720895:QUU720972 RYG720895:RYI720972 TBU720895:TBW720972 UFI720895:UFK720972 VIW720895:VIY720972 WMK720895:WMM720972 Y786431:AA786508 ADM786431:ADO786508 BHA786431:BHC786508 CKO786431:CKQ786508 DOC786431:DOE786508 ERQ786431:ERS786508 FVE786431:FVG786508 GYS786431:GYU786508 ICG786431:ICI786508 JFU786431:JFW786508 KJI786431:KJK786508 LMW786431:LMY786508 MQK786431:MQM786508 NTY786431:NUA786508 OXM786431:OXO786508 QBA786431:QBC786508 REO786431:REQ786508 SIC786431:SIE786508 TLQ786431:TLS786508 UPE786431:UPG786508 VSS786431:VSU786508 WWG786431:WWI786508 JU786431:JW786508 ANI786431:ANK786508 BQW786431:BQY786508 CUK786431:CUM786508 DXY786431:DYA786508 FBM786431:FBO786508 GFA786431:GFC786508 HIO786431:HIQ786508 IMC786431:IME786508 JPQ786431:JPS786508 KTE786431:KTG786508 LWS786431:LWU786508 NAG786431:NAI786508 ODU786431:ODW786508 PHI786431:PHK786508 QKW786431:QKY786508 ROK786431:ROM786508 SRY786431:SSA786508 TVM786431:TVO786508 UZA786431:UZC786508 WCO786431:WCQ786508 TQ786431:TS786508 AXE786431:AXG786508 CAS786431:CAU786508 DEG786431:DEI786508 EHU786431:EHW786508 FLI786431:FLK786508 GOW786431:GOY786508 HSK786431:HSM786508 IVY786431:IWA786508 JZM786431:JZO786508 LDA786431:LDC786508 MGO786431:MGQ786508 NKC786431:NKE786508 ONQ786431:ONS786508 PRE786431:PRG786508 QUS786431:QUU786508 RYG786431:RYI786508 TBU786431:TBW786508 UFI786431:UFK786508 VIW786431:VIY786508 WMK786431:WMM786508 Y851967:AA852044 ADM851967:ADO852044 BHA851967:BHC852044 CKO851967:CKQ852044 DOC851967:DOE852044 ERQ851967:ERS852044 FVE851967:FVG852044 GYS851967:GYU852044 ICG851967:ICI852044 JFU851967:JFW852044 KJI851967:KJK852044 LMW851967:LMY852044 MQK851967:MQM852044 NTY851967:NUA852044 OXM851967:OXO852044 QBA851967:QBC852044 REO851967:REQ852044 SIC851967:SIE852044 TLQ851967:TLS852044 UPE851967:UPG852044 VSS851967:VSU852044 WWG851967:WWI852044 JU851967:JW852044 ANI851967:ANK852044 BQW851967:BQY852044 CUK851967:CUM852044 DXY851967:DYA852044 FBM851967:FBO852044 GFA851967:GFC852044 HIO851967:HIQ852044 IMC851967:IME852044 JPQ851967:JPS852044 KTE851967:KTG852044 LWS851967:LWU852044 NAG851967:NAI852044 ODU851967:ODW852044 PHI851967:PHK852044 QKW851967:QKY852044 ROK851967:ROM852044 SRY851967:SSA852044 TVM851967:TVO852044 UZA851967:UZC852044 WCO851967:WCQ852044 TQ851967:TS852044 AXE851967:AXG852044 CAS851967:CAU852044 DEG851967:DEI852044 EHU851967:EHW852044 FLI851967:FLK852044 GOW851967:GOY852044 HSK851967:HSM852044 IVY851967:IWA852044 JZM851967:JZO852044 LDA851967:LDC852044 MGO851967:MGQ852044 NKC851967:NKE852044 ONQ851967:ONS852044 PRE851967:PRG852044 QUS851967:QUU852044 RYG851967:RYI852044 TBU851967:TBW852044 UFI851967:UFK852044 VIW851967:VIY852044 WMK851967:WMM852044 Y917503:AA917580 ADM917503:ADO917580 BHA917503:BHC917580 CKO917503:CKQ917580 DOC917503:DOE917580 ERQ917503:ERS917580 FVE917503:FVG917580 GYS917503:GYU917580 ICG917503:ICI917580 JFU917503:JFW917580 KJI917503:KJK917580 LMW917503:LMY917580 MQK917503:MQM917580 NTY917503:NUA917580 OXM917503:OXO917580 QBA917503:QBC917580 REO917503:REQ917580 SIC917503:SIE917580 TLQ917503:TLS917580 UPE917503:UPG917580 VSS917503:VSU917580 WWG917503:WWI917580 JU917503:JW917580 ANI917503:ANK917580 BQW917503:BQY917580 CUK917503:CUM917580 DXY917503:DYA917580 FBM917503:FBO917580 GFA917503:GFC917580 HIO917503:HIQ917580 IMC917503:IME917580 JPQ917503:JPS917580 KTE917503:KTG917580 LWS917503:LWU917580 NAG917503:NAI917580 ODU917503:ODW917580 PHI917503:PHK917580 QKW917503:QKY917580 ROK917503:ROM917580 SRY917503:SSA917580 TVM917503:TVO917580 UZA917503:UZC917580 WCO917503:WCQ917580 TQ917503:TS917580 AXE917503:AXG917580 CAS917503:CAU917580 DEG917503:DEI917580 EHU917503:EHW917580 FLI917503:FLK917580 GOW917503:GOY917580 HSK917503:HSM917580 IVY917503:IWA917580 JZM917503:JZO917580 LDA917503:LDC917580 MGO917503:MGQ917580 NKC917503:NKE917580 ONQ917503:ONS917580 PRE917503:PRG917580 QUS917503:QUU917580 RYG917503:RYI917580 TBU917503:TBW917580 UFI917503:UFK917580 VIW917503:VIY917580 WMK917503:WMM917580 JU983039:JW983116 ANI983039:ANK983116 BQW983039:BQY983116 CUK983039:CUM983116 DXY983039:DYA983116 FBM983039:FBO983116 GFA983039:GFC983116 HIO983039:HIQ983116 IMC983039:IME983116 JPQ983039:JPS983116 KTE983039:KTG983116 LWS983039:LWU983116 NAG983039:NAI983116 ODU983039:ODW983116 PHI983039:PHK983116 QKW983039:QKY983116 ROK983039:ROM983116 SRY983039:SSA983116 TVM983039:TVO983116 UZA983039:UZC983116 WCO983039:WCQ983116 TQ983039:TS983116 AXE983039:AXG983116 CAS983039:CAU983116 DEG983039:DEI983116 EHU983039:EHW983116 FLI983039:FLK983116 GOW983039:GOY983116 HSK983039:HSM983116 IVY983039:IWA983116 JZM983039:JZO983116 LDA983039:LDC983116 MGO983039:MGQ983116 NKC983039:NKE983116 ONQ983039:ONS983116 PRE983039:PRG983116 QUS983039:QUU983116 RYG983039:RYI983116 TBU983039:TBW983116 UFI983039:UFK983116 VIW983039:VIY983116 WMK983039:WMM983116">
      <formula1>$AV$2:$AV$20</formula1>
    </dataValidation>
    <dataValidation type="list" allowBlank="1" showInputMessage="1" showErrorMessage="1" sqref="X2:X497 X65535:X65612 X131071:X131148 X196607:X196684 X262143:X262220 X327679:X327756 X393215:X393292 X458751:X458828 X524287:X524364 X589823:X589900 X655359:X655436 X720895:X720972 X786431:X786508 X851967:X852044 X917503:X917580 X983039:X983116 JT2:JT76 JT65535:JT65612 JT131071:JT131148 JT196607:JT196684 JT262143:JT262220 JT327679:JT327756 JT393215:JT393292 JT458751:JT458828 JT524287:JT524364 JT589823:JT589900 JT655359:JT655436 JT720895:JT720972 JT786431:JT786508 JT851967:JT852044 JT917503:JT917580 JT983039:JT983116 TP2:TP76 TP65535:TP65612 TP131071:TP131148 TP196607:TP196684 TP262143:TP262220 TP327679:TP327756 TP393215:TP393292 TP458751:TP458828 TP524287:TP524364 TP589823:TP589900 TP655359:TP655436 TP720895:TP720972 TP786431:TP786508 TP851967:TP852044 TP917503:TP917580 TP983039:TP983116 ADL2:ADL76 ADL65535:ADL65612 ADL131071:ADL131148 ADL196607:ADL196684 ADL262143:ADL262220 ADL327679:ADL327756 ADL393215:ADL393292 ADL458751:ADL458828 ADL524287:ADL524364 ADL589823:ADL589900 ADL655359:ADL655436 ADL720895:ADL720972 ADL786431:ADL786508 ADL851967:ADL852044 ADL917503:ADL917580 ADL983039:ADL983116 ANH2:ANH76 ANH65535:ANH65612 ANH131071:ANH131148 ANH196607:ANH196684 ANH262143:ANH262220 ANH327679:ANH327756 ANH393215:ANH393292 ANH458751:ANH458828 ANH524287:ANH524364 ANH589823:ANH589900 ANH655359:ANH655436 ANH720895:ANH720972 ANH786431:ANH786508 ANH851967:ANH852044 ANH917503:ANH917580 ANH983039:ANH983116 AXD2:AXD76 AXD65535:AXD65612 AXD131071:AXD131148 AXD196607:AXD196684 AXD262143:AXD262220 AXD327679:AXD327756 AXD393215:AXD393292 AXD458751:AXD458828 AXD524287:AXD524364 AXD589823:AXD589900 AXD655359:AXD655436 AXD720895:AXD720972 AXD786431:AXD786508 AXD851967:AXD852044 AXD917503:AXD917580 AXD983039:AXD983116 BGZ2:BGZ76 BGZ65535:BGZ65612 BGZ131071:BGZ131148 BGZ196607:BGZ196684 BGZ262143:BGZ262220 BGZ327679:BGZ327756 BGZ393215:BGZ393292 BGZ458751:BGZ458828 BGZ524287:BGZ524364 BGZ589823:BGZ589900 BGZ655359:BGZ655436 BGZ720895:BGZ720972 BGZ786431:BGZ786508 BGZ851967:BGZ852044 BGZ917503:BGZ917580 BGZ983039:BGZ983116 BQV2:BQV76 BQV65535:BQV65612 BQV131071:BQV131148 BQV196607:BQV196684 BQV262143:BQV262220 BQV327679:BQV327756 BQV393215:BQV393292 BQV458751:BQV458828 BQV524287:BQV524364 BQV589823:BQV589900 BQV655359:BQV655436 BQV720895:BQV720972 BQV786431:BQV786508 BQV851967:BQV852044 BQV917503:BQV917580 BQV983039:BQV983116 CAR2:CAR76 CAR65535:CAR65612 CAR131071:CAR131148 CAR196607:CAR196684 CAR262143:CAR262220 CAR327679:CAR327756 CAR393215:CAR393292 CAR458751:CAR458828 CAR524287:CAR524364 CAR589823:CAR589900 CAR655359:CAR655436 CAR720895:CAR720972 CAR786431:CAR786508 CAR851967:CAR852044 CAR917503:CAR917580 CAR983039:CAR983116 CKN2:CKN76 CKN65535:CKN65612 CKN131071:CKN131148 CKN196607:CKN196684 CKN262143:CKN262220 CKN327679:CKN327756 CKN393215:CKN393292 CKN458751:CKN458828 CKN524287:CKN524364 CKN589823:CKN589900 CKN655359:CKN655436 CKN720895:CKN720972 CKN786431:CKN786508 CKN851967:CKN852044 CKN917503:CKN917580 CKN983039:CKN983116 CUJ2:CUJ76 CUJ65535:CUJ65612 CUJ131071:CUJ131148 CUJ196607:CUJ196684 CUJ262143:CUJ262220 CUJ327679:CUJ327756 CUJ393215:CUJ393292 CUJ458751:CUJ458828 CUJ524287:CUJ524364 CUJ589823:CUJ589900 CUJ655359:CUJ655436 CUJ720895:CUJ720972 CUJ786431:CUJ786508 CUJ851967:CUJ852044 CUJ917503:CUJ917580 CUJ983039:CUJ983116 DEF2:DEF76 DEF65535:DEF65612 DEF131071:DEF131148 DEF196607:DEF196684 DEF262143:DEF262220 DEF327679:DEF327756 DEF393215:DEF393292 DEF458751:DEF458828 DEF524287:DEF524364 DEF589823:DEF589900 DEF655359:DEF655436 DEF720895:DEF720972 DEF786431:DEF786508 DEF851967:DEF852044 DEF917503:DEF917580 DEF983039:DEF983116 DOB2:DOB76 DOB65535:DOB65612 DOB131071:DOB131148 DOB196607:DOB196684 DOB262143:DOB262220 DOB327679:DOB327756 DOB393215:DOB393292 DOB458751:DOB458828 DOB524287:DOB524364 DOB589823:DOB589900 DOB655359:DOB655436 DOB720895:DOB720972 DOB786431:DOB786508 DOB851967:DOB852044 DOB917503:DOB917580 DOB983039:DOB983116 DXX2:DXX76 DXX65535:DXX65612 DXX131071:DXX131148 DXX196607:DXX196684 DXX262143:DXX262220 DXX327679:DXX327756 DXX393215:DXX393292 DXX458751:DXX458828 DXX524287:DXX524364 DXX589823:DXX589900 DXX655359:DXX655436 DXX720895:DXX720972 DXX786431:DXX786508 DXX851967:DXX852044 DXX917503:DXX917580 DXX983039:DXX983116 EHT2:EHT76 EHT65535:EHT65612 EHT131071:EHT131148 EHT196607:EHT196684 EHT262143:EHT262220 EHT327679:EHT327756 EHT393215:EHT393292 EHT458751:EHT458828 EHT524287:EHT524364 EHT589823:EHT589900 EHT655359:EHT655436 EHT720895:EHT720972 EHT786431:EHT786508 EHT851967:EHT852044 EHT917503:EHT917580 EHT983039:EHT983116 ERP2:ERP76 ERP65535:ERP65612 ERP131071:ERP131148 ERP196607:ERP196684 ERP262143:ERP262220 ERP327679:ERP327756 ERP393215:ERP393292 ERP458751:ERP458828 ERP524287:ERP524364 ERP589823:ERP589900 ERP655359:ERP655436 ERP720895:ERP720972 ERP786431:ERP786508 ERP851967:ERP852044 ERP917503:ERP917580 ERP983039:ERP983116 FBL2:FBL76 FBL65535:FBL65612 FBL131071:FBL131148 FBL196607:FBL196684 FBL262143:FBL262220 FBL327679:FBL327756 FBL393215:FBL393292 FBL458751:FBL458828 FBL524287:FBL524364 FBL589823:FBL589900 FBL655359:FBL655436 FBL720895:FBL720972 FBL786431:FBL786508 FBL851967:FBL852044 FBL917503:FBL917580 FBL983039:FBL983116 FLH2:FLH76 FLH65535:FLH65612 FLH131071:FLH131148 FLH196607:FLH196684 FLH262143:FLH262220 FLH327679:FLH327756 FLH393215:FLH393292 FLH458751:FLH458828 FLH524287:FLH524364 FLH589823:FLH589900 FLH655359:FLH655436 FLH720895:FLH720972 FLH786431:FLH786508 FLH851967:FLH852044 FLH917503:FLH917580 FLH983039:FLH983116 FVD2:FVD76 FVD65535:FVD65612 FVD131071:FVD131148 FVD196607:FVD196684 FVD262143:FVD262220 FVD327679:FVD327756 FVD393215:FVD393292 FVD458751:FVD458828 FVD524287:FVD524364 FVD589823:FVD589900 FVD655359:FVD655436 FVD720895:FVD720972 FVD786431:FVD786508 FVD851967:FVD852044 FVD917503:FVD917580 FVD983039:FVD983116 GEZ2:GEZ76 GEZ65535:GEZ65612 GEZ131071:GEZ131148 GEZ196607:GEZ196684 GEZ262143:GEZ262220 GEZ327679:GEZ327756 GEZ393215:GEZ393292 GEZ458751:GEZ458828 GEZ524287:GEZ524364 GEZ589823:GEZ589900 GEZ655359:GEZ655436 GEZ720895:GEZ720972 GEZ786431:GEZ786508 GEZ851967:GEZ852044 GEZ917503:GEZ917580 GEZ983039:GEZ983116 GOV2:GOV76 GOV65535:GOV65612 GOV131071:GOV131148 GOV196607:GOV196684 GOV262143:GOV262220 GOV327679:GOV327756 GOV393215:GOV393292 GOV458751:GOV458828 GOV524287:GOV524364 GOV589823:GOV589900 GOV655359:GOV655436 GOV720895:GOV720972 GOV786431:GOV786508 GOV851967:GOV852044 GOV917503:GOV917580 GOV983039:GOV983116 GYR2:GYR76 GYR65535:GYR65612 GYR131071:GYR131148 GYR196607:GYR196684 GYR262143:GYR262220 GYR327679:GYR327756 GYR393215:GYR393292 GYR458751:GYR458828 GYR524287:GYR524364 GYR589823:GYR589900 GYR655359:GYR655436 GYR720895:GYR720972 GYR786431:GYR786508 GYR851967:GYR852044 GYR917503:GYR917580 GYR983039:GYR983116 HIN2:HIN76 HIN65535:HIN65612 HIN131071:HIN131148 HIN196607:HIN196684 HIN262143:HIN262220 HIN327679:HIN327756 HIN393215:HIN393292 HIN458751:HIN458828 HIN524287:HIN524364 HIN589823:HIN589900 HIN655359:HIN655436 HIN720895:HIN720972 HIN786431:HIN786508 HIN851967:HIN852044 HIN917503:HIN917580 HIN983039:HIN983116 HSJ2:HSJ76 HSJ65535:HSJ65612 HSJ131071:HSJ131148 HSJ196607:HSJ196684 HSJ262143:HSJ262220 HSJ327679:HSJ327756 HSJ393215:HSJ393292 HSJ458751:HSJ458828 HSJ524287:HSJ524364 HSJ589823:HSJ589900 HSJ655359:HSJ655436 HSJ720895:HSJ720972 HSJ786431:HSJ786508 HSJ851967:HSJ852044 HSJ917503:HSJ917580 HSJ983039:HSJ983116 ICF2:ICF76 ICF65535:ICF65612 ICF131071:ICF131148 ICF196607:ICF196684 ICF262143:ICF262220 ICF327679:ICF327756 ICF393215:ICF393292 ICF458751:ICF458828 ICF524287:ICF524364 ICF589823:ICF589900 ICF655359:ICF655436 ICF720895:ICF720972 ICF786431:ICF786508 ICF851967:ICF852044 ICF917503:ICF917580 ICF983039:ICF983116 IMB2:IMB76 IMB65535:IMB65612 IMB131071:IMB131148 IMB196607:IMB196684 IMB262143:IMB262220 IMB327679:IMB327756 IMB393215:IMB393292 IMB458751:IMB458828 IMB524287:IMB524364 IMB589823:IMB589900 IMB655359:IMB655436 IMB720895:IMB720972 IMB786431:IMB786508 IMB851967:IMB852044 IMB917503:IMB917580 IMB983039:IMB983116 IVX2:IVX76 IVX65535:IVX65612 IVX131071:IVX131148 IVX196607:IVX196684 IVX262143:IVX262220 IVX327679:IVX327756 IVX393215:IVX393292 IVX458751:IVX458828 IVX524287:IVX524364 IVX589823:IVX589900 IVX655359:IVX655436 IVX720895:IVX720972 IVX786431:IVX786508 IVX851967:IVX852044 IVX917503:IVX917580 IVX983039:IVX983116 JFT2:JFT76 JFT65535:JFT65612 JFT131071:JFT131148 JFT196607:JFT196684 JFT262143:JFT262220 JFT327679:JFT327756 JFT393215:JFT393292 JFT458751:JFT458828 JFT524287:JFT524364 JFT589823:JFT589900 JFT655359:JFT655436 JFT720895:JFT720972 JFT786431:JFT786508 JFT851967:JFT852044 JFT917503:JFT917580 JFT983039:JFT983116 JPP2:JPP76 JPP65535:JPP65612 JPP131071:JPP131148 JPP196607:JPP196684 JPP262143:JPP262220 JPP327679:JPP327756 JPP393215:JPP393292 JPP458751:JPP458828 JPP524287:JPP524364 JPP589823:JPP589900 JPP655359:JPP655436 JPP720895:JPP720972 JPP786431:JPP786508 JPP851967:JPP852044 JPP917503:JPP917580 JPP983039:JPP983116 JZL2:JZL76 JZL65535:JZL65612 JZL131071:JZL131148 JZL196607:JZL196684 JZL262143:JZL262220 JZL327679:JZL327756 JZL393215:JZL393292 JZL458751:JZL458828 JZL524287:JZL524364 JZL589823:JZL589900 JZL655359:JZL655436 JZL720895:JZL720972 JZL786431:JZL786508 JZL851967:JZL852044 JZL917503:JZL917580 JZL983039:JZL983116 KJH2:KJH76 KJH65535:KJH65612 KJH131071:KJH131148 KJH196607:KJH196684 KJH262143:KJH262220 KJH327679:KJH327756 KJH393215:KJH393292 KJH458751:KJH458828 KJH524287:KJH524364 KJH589823:KJH589900 KJH655359:KJH655436 KJH720895:KJH720972 KJH786431:KJH786508 KJH851967:KJH852044 KJH917503:KJH917580 KJH983039:KJH983116 KTD2:KTD76 KTD65535:KTD65612 KTD131071:KTD131148 KTD196607:KTD196684 KTD262143:KTD262220 KTD327679:KTD327756 KTD393215:KTD393292 KTD458751:KTD458828 KTD524287:KTD524364 KTD589823:KTD589900 KTD655359:KTD655436 KTD720895:KTD720972 KTD786431:KTD786508 KTD851967:KTD852044 KTD917503:KTD917580 KTD983039:KTD983116 LCZ2:LCZ76 LCZ65535:LCZ65612 LCZ131071:LCZ131148 LCZ196607:LCZ196684 LCZ262143:LCZ262220 LCZ327679:LCZ327756 LCZ393215:LCZ393292 LCZ458751:LCZ458828 LCZ524287:LCZ524364 LCZ589823:LCZ589900 LCZ655359:LCZ655436 LCZ720895:LCZ720972 LCZ786431:LCZ786508 LCZ851967:LCZ852044 LCZ917503:LCZ917580 LCZ983039:LCZ983116 LMV2:LMV76 LMV65535:LMV65612 LMV131071:LMV131148 LMV196607:LMV196684 LMV262143:LMV262220 LMV327679:LMV327756 LMV393215:LMV393292 LMV458751:LMV458828 LMV524287:LMV524364 LMV589823:LMV589900 LMV655359:LMV655436 LMV720895:LMV720972 LMV786431:LMV786508 LMV851967:LMV852044 LMV917503:LMV917580 LMV983039:LMV983116 LWR2:LWR76 LWR65535:LWR65612 LWR131071:LWR131148 LWR196607:LWR196684 LWR262143:LWR262220 LWR327679:LWR327756 LWR393215:LWR393292 LWR458751:LWR458828 LWR524287:LWR524364 LWR589823:LWR589900 LWR655359:LWR655436 LWR720895:LWR720972 LWR786431:LWR786508 LWR851967:LWR852044 LWR917503:LWR917580 LWR983039:LWR983116 MGN2:MGN76 MGN65535:MGN65612 MGN131071:MGN131148 MGN196607:MGN196684 MGN262143:MGN262220 MGN327679:MGN327756 MGN393215:MGN393292 MGN458751:MGN458828 MGN524287:MGN524364 MGN589823:MGN589900 MGN655359:MGN655436 MGN720895:MGN720972 MGN786431:MGN786508 MGN851967:MGN852044 MGN917503:MGN917580 MGN983039:MGN983116 MQJ2:MQJ76 MQJ65535:MQJ65612 MQJ131071:MQJ131148 MQJ196607:MQJ196684 MQJ262143:MQJ262220 MQJ327679:MQJ327756 MQJ393215:MQJ393292 MQJ458751:MQJ458828 MQJ524287:MQJ524364 MQJ589823:MQJ589900 MQJ655359:MQJ655436 MQJ720895:MQJ720972 MQJ786431:MQJ786508 MQJ851967:MQJ852044 MQJ917503:MQJ917580 MQJ983039:MQJ983116 NAF2:NAF76 NAF65535:NAF65612 NAF131071:NAF131148 NAF196607:NAF196684 NAF262143:NAF262220 NAF327679:NAF327756 NAF393215:NAF393292 NAF458751:NAF458828 NAF524287:NAF524364 NAF589823:NAF589900 NAF655359:NAF655436 NAF720895:NAF720972 NAF786431:NAF786508 NAF851967:NAF852044 NAF917503:NAF917580 NAF983039:NAF983116 NKB2:NKB76 NKB65535:NKB65612 NKB131071:NKB131148 NKB196607:NKB196684 NKB262143:NKB262220 NKB327679:NKB327756 NKB393215:NKB393292 NKB458751:NKB458828 NKB524287:NKB524364 NKB589823:NKB589900 NKB655359:NKB655436 NKB720895:NKB720972 NKB786431:NKB786508 NKB851967:NKB852044 NKB917503:NKB917580 NKB983039:NKB983116 NTX2:NTX76 NTX65535:NTX65612 NTX131071:NTX131148 NTX196607:NTX196684 NTX262143:NTX262220 NTX327679:NTX327756 NTX393215:NTX393292 NTX458751:NTX458828 NTX524287:NTX524364 NTX589823:NTX589900 NTX655359:NTX655436 NTX720895:NTX720972 NTX786431:NTX786508 NTX851967:NTX852044 NTX917503:NTX917580 NTX983039:NTX983116 ODT2:ODT76 ODT65535:ODT65612 ODT131071:ODT131148 ODT196607:ODT196684 ODT262143:ODT262220 ODT327679:ODT327756 ODT393215:ODT393292 ODT458751:ODT458828 ODT524287:ODT524364 ODT589823:ODT589900 ODT655359:ODT655436 ODT720895:ODT720972 ODT786431:ODT786508 ODT851967:ODT852044 ODT917503:ODT917580 ODT983039:ODT983116 ONP2:ONP76 ONP65535:ONP65612 ONP131071:ONP131148 ONP196607:ONP196684 ONP262143:ONP262220 ONP327679:ONP327756 ONP393215:ONP393292 ONP458751:ONP458828 ONP524287:ONP524364 ONP589823:ONP589900 ONP655359:ONP655436 ONP720895:ONP720972 ONP786431:ONP786508 ONP851967:ONP852044 ONP917503:ONP917580 ONP983039:ONP983116 OXL2:OXL76 OXL65535:OXL65612 OXL131071:OXL131148 OXL196607:OXL196684 OXL262143:OXL262220 OXL327679:OXL327756 OXL393215:OXL393292 OXL458751:OXL458828 OXL524287:OXL524364 OXL589823:OXL589900 OXL655359:OXL655436 OXL720895:OXL720972 OXL786431:OXL786508 OXL851967:OXL852044 OXL917503:OXL917580 OXL983039:OXL983116 PHH2:PHH76 PHH65535:PHH65612 PHH131071:PHH131148 PHH196607:PHH196684 PHH262143:PHH262220 PHH327679:PHH327756 PHH393215:PHH393292 PHH458751:PHH458828 PHH524287:PHH524364 PHH589823:PHH589900 PHH655359:PHH655436 PHH720895:PHH720972 PHH786431:PHH786508 PHH851967:PHH852044 PHH917503:PHH917580 PHH983039:PHH983116 PRD2:PRD76 PRD65535:PRD65612 PRD131071:PRD131148 PRD196607:PRD196684 PRD262143:PRD262220 PRD327679:PRD327756 PRD393215:PRD393292 PRD458751:PRD458828 PRD524287:PRD524364 PRD589823:PRD589900 PRD655359:PRD655436 PRD720895:PRD720972 PRD786431:PRD786508 PRD851967:PRD852044 PRD917503:PRD917580 PRD983039:PRD983116 QAZ2:QAZ76 QAZ65535:QAZ65612 QAZ131071:QAZ131148 QAZ196607:QAZ196684 QAZ262143:QAZ262220 QAZ327679:QAZ327756 QAZ393215:QAZ393292 QAZ458751:QAZ458828 QAZ524287:QAZ524364 QAZ589823:QAZ589900 QAZ655359:QAZ655436 QAZ720895:QAZ720972 QAZ786431:QAZ786508 QAZ851967:QAZ852044 QAZ917503:QAZ917580 QAZ983039:QAZ983116 QKV2:QKV76 QKV65535:QKV65612 QKV131071:QKV131148 QKV196607:QKV196684 QKV262143:QKV262220 QKV327679:QKV327756 QKV393215:QKV393292 QKV458751:QKV458828 QKV524287:QKV524364 QKV589823:QKV589900 QKV655359:QKV655436 QKV720895:QKV720972 QKV786431:QKV786508 QKV851967:QKV852044 QKV917503:QKV917580 QKV983039:QKV983116 QUR2:QUR76 QUR65535:QUR65612 QUR131071:QUR131148 QUR196607:QUR196684 QUR262143:QUR262220 QUR327679:QUR327756 QUR393215:QUR393292 QUR458751:QUR458828 QUR524287:QUR524364 QUR589823:QUR589900 QUR655359:QUR655436 QUR720895:QUR720972 QUR786431:QUR786508 QUR851967:QUR852044 QUR917503:QUR917580 QUR983039:QUR983116 REN2:REN76 REN65535:REN65612 REN131071:REN131148 REN196607:REN196684 REN262143:REN262220 REN327679:REN327756 REN393215:REN393292 REN458751:REN458828 REN524287:REN524364 REN589823:REN589900 REN655359:REN655436 REN720895:REN720972 REN786431:REN786508 REN851967:REN852044 REN917503:REN917580 REN983039:REN983116 ROJ2:ROJ76 ROJ65535:ROJ65612 ROJ131071:ROJ131148 ROJ196607:ROJ196684 ROJ262143:ROJ262220 ROJ327679:ROJ327756 ROJ393215:ROJ393292 ROJ458751:ROJ458828 ROJ524287:ROJ524364 ROJ589823:ROJ589900 ROJ655359:ROJ655436 ROJ720895:ROJ720972 ROJ786431:ROJ786508 ROJ851967:ROJ852044 ROJ917503:ROJ917580 ROJ983039:ROJ983116 RYF2:RYF76 RYF65535:RYF65612 RYF131071:RYF131148 RYF196607:RYF196684 RYF262143:RYF262220 RYF327679:RYF327756 RYF393215:RYF393292 RYF458751:RYF458828 RYF524287:RYF524364 RYF589823:RYF589900 RYF655359:RYF655436 RYF720895:RYF720972 RYF786431:RYF786508 RYF851967:RYF852044 RYF917503:RYF917580 RYF983039:RYF983116 SIB2:SIB76 SIB65535:SIB65612 SIB131071:SIB131148 SIB196607:SIB196684 SIB262143:SIB262220 SIB327679:SIB327756 SIB393215:SIB393292 SIB458751:SIB458828 SIB524287:SIB524364 SIB589823:SIB589900 SIB655359:SIB655436 SIB720895:SIB720972 SIB786431:SIB786508 SIB851967:SIB852044 SIB917503:SIB917580 SIB983039:SIB983116 SRX2:SRX76 SRX65535:SRX65612 SRX131071:SRX131148 SRX196607:SRX196684 SRX262143:SRX262220 SRX327679:SRX327756 SRX393215:SRX393292 SRX458751:SRX458828 SRX524287:SRX524364 SRX589823:SRX589900 SRX655359:SRX655436 SRX720895:SRX720972 SRX786431:SRX786508 SRX851967:SRX852044 SRX917503:SRX917580 SRX983039:SRX983116 TBT2:TBT76 TBT65535:TBT65612 TBT131071:TBT131148 TBT196607:TBT196684 TBT262143:TBT262220 TBT327679:TBT327756 TBT393215:TBT393292 TBT458751:TBT458828 TBT524287:TBT524364 TBT589823:TBT589900 TBT655359:TBT655436 TBT720895:TBT720972 TBT786431:TBT786508 TBT851967:TBT852044 TBT917503:TBT917580 TBT983039:TBT983116 TLP2:TLP76 TLP65535:TLP65612 TLP131071:TLP131148 TLP196607:TLP196684 TLP262143:TLP262220 TLP327679:TLP327756 TLP393215:TLP393292 TLP458751:TLP458828 TLP524287:TLP524364 TLP589823:TLP589900 TLP655359:TLP655436 TLP720895:TLP720972 TLP786431:TLP786508 TLP851967:TLP852044 TLP917503:TLP917580 TLP983039:TLP983116 TVL2:TVL76 TVL65535:TVL65612 TVL131071:TVL131148 TVL196607:TVL196684 TVL262143:TVL262220 TVL327679:TVL327756 TVL393215:TVL393292 TVL458751:TVL458828 TVL524287:TVL524364 TVL589823:TVL589900 TVL655359:TVL655436 TVL720895:TVL720972 TVL786431:TVL786508 TVL851967:TVL852044 TVL917503:TVL917580 TVL983039:TVL983116 UFH2:UFH76 UFH65535:UFH65612 UFH131071:UFH131148 UFH196607:UFH196684 UFH262143:UFH262220 UFH327679:UFH327756 UFH393215:UFH393292 UFH458751:UFH458828 UFH524287:UFH524364 UFH589823:UFH589900 UFH655359:UFH655436 UFH720895:UFH720972 UFH786431:UFH786508 UFH851967:UFH852044 UFH917503:UFH917580 UFH983039:UFH983116 UPD2:UPD76 UPD65535:UPD65612 UPD131071:UPD131148 UPD196607:UPD196684 UPD262143:UPD262220 UPD327679:UPD327756 UPD393215:UPD393292 UPD458751:UPD458828 UPD524287:UPD524364 UPD589823:UPD589900 UPD655359:UPD655436 UPD720895:UPD720972 UPD786431:UPD786508 UPD851967:UPD852044 UPD917503:UPD917580 UPD983039:UPD983116 UYZ2:UYZ76 UYZ65535:UYZ65612 UYZ131071:UYZ131148 UYZ196607:UYZ196684 UYZ262143:UYZ262220 UYZ327679:UYZ327756 UYZ393215:UYZ393292 UYZ458751:UYZ458828 UYZ524287:UYZ524364 UYZ589823:UYZ589900 UYZ655359:UYZ655436 UYZ720895:UYZ720972 UYZ786431:UYZ786508 UYZ851967:UYZ852044 UYZ917503:UYZ917580 UYZ983039:UYZ983116 VIV2:VIV76 VIV65535:VIV65612 VIV131071:VIV131148 VIV196607:VIV196684 VIV262143:VIV262220 VIV327679:VIV327756 VIV393215:VIV393292 VIV458751:VIV458828 VIV524287:VIV524364 VIV589823:VIV589900 VIV655359:VIV655436 VIV720895:VIV720972 VIV786431:VIV786508 VIV851967:VIV852044 VIV917503:VIV917580 VIV983039:VIV983116 VSR2:VSR76 VSR65535:VSR65612 VSR131071:VSR131148 VSR196607:VSR196684 VSR262143:VSR262220 VSR327679:VSR327756 VSR393215:VSR393292 VSR458751:VSR458828 VSR524287:VSR524364 VSR589823:VSR589900 VSR655359:VSR655436 VSR720895:VSR720972 VSR786431:VSR786508 VSR851967:VSR852044 VSR917503:VSR917580 VSR983039:VSR983116 WCN2:WCN76 WCN65535:WCN65612 WCN131071:WCN131148 WCN196607:WCN196684 WCN262143:WCN262220 WCN327679:WCN327756 WCN393215:WCN393292 WCN458751:WCN458828 WCN524287:WCN524364 WCN589823:WCN589900 WCN655359:WCN655436 WCN720895:WCN720972 WCN786431:WCN786508 WCN851967:WCN852044 WCN917503:WCN917580 WCN983039:WCN983116 WMJ2:WMJ76 WMJ65535:WMJ65612 WMJ131071:WMJ131148 WMJ196607:WMJ196684 WMJ262143:WMJ262220 WMJ327679:WMJ327756 WMJ393215:WMJ393292 WMJ458751:WMJ458828 WMJ524287:WMJ524364 WMJ589823:WMJ589900 WMJ655359:WMJ655436 WMJ720895:WMJ720972 WMJ786431:WMJ786508 WMJ851967:WMJ852044 WMJ917503:WMJ917580 WMJ983039:WMJ983116 WWF2:WWF76 WWF65535:WWF65612 WWF131071:WWF131148 WWF196607:WWF196684 WWF262143:WWF262220 WWF327679:WWF327756 WWF393215:WWF393292 WWF458751:WWF458828 WWF524287:WWF524364 WWF589823:WWF589900 WWF655359:WWF655436 WWF720895:WWF720972 WWF786431:WWF786508 WWF851967:WWF852044 WWF917503:WWF917580 WWF983039:WWF983116">
      <formula1>$AT$2:$AT$3</formula1>
    </dataValidation>
    <dataValidation type="list" allowBlank="1" showInputMessage="1" showErrorMessage="1" sqref="H65535:H65612 H131071:H131148 H196607:H196684 H262143:H262220 H327679:H327756 H393215:H393292 H458751:H458828 H524287:H524364 H589823:H589900 H655359:H655436 H720895:H720972 H786431:H786508 H851967:H852044 H917503:H917580 H983039:H983116 JD2:JD76 JD65535:JD65612 JD131071:JD131148 JD196607:JD196684 JD262143:JD262220 JD327679:JD327756 JD393215:JD393292 JD458751:JD458828 JD524287:JD524364 JD589823:JD589900 JD655359:JD655436 JD720895:JD720972 JD786431:JD786508 JD851967:JD852044 JD917503:JD917580 JD983039:JD983116 SZ2:SZ76 SZ65535:SZ65612 SZ131071:SZ131148 SZ196607:SZ196684 SZ262143:SZ262220 SZ327679:SZ327756 SZ393215:SZ393292 SZ458751:SZ458828 SZ524287:SZ524364 SZ589823:SZ589900 SZ655359:SZ655436 SZ720895:SZ720972 SZ786431:SZ786508 SZ851967:SZ852044 SZ917503:SZ917580 SZ983039:SZ983116 ACV2:ACV76 ACV65535:ACV65612 ACV131071:ACV131148 ACV196607:ACV196684 ACV262143:ACV262220 ACV327679:ACV327756 ACV393215:ACV393292 ACV458751:ACV458828 ACV524287:ACV524364 ACV589823:ACV589900 ACV655359:ACV655436 ACV720895:ACV720972 ACV786431:ACV786508 ACV851967:ACV852044 ACV917503:ACV917580 ACV983039:ACV983116 AMR2:AMR76 AMR65535:AMR65612 AMR131071:AMR131148 AMR196607:AMR196684 AMR262143:AMR262220 AMR327679:AMR327756 AMR393215:AMR393292 AMR458751:AMR458828 AMR524287:AMR524364 AMR589823:AMR589900 AMR655359:AMR655436 AMR720895:AMR720972 AMR786431:AMR786508 AMR851967:AMR852044 AMR917503:AMR917580 AMR983039:AMR983116 AWN2:AWN76 AWN65535:AWN65612 AWN131071:AWN131148 AWN196607:AWN196684 AWN262143:AWN262220 AWN327679:AWN327756 AWN393215:AWN393292 AWN458751:AWN458828 AWN524287:AWN524364 AWN589823:AWN589900 AWN655359:AWN655436 AWN720895:AWN720972 AWN786431:AWN786508 AWN851967:AWN852044 AWN917503:AWN917580 AWN983039:AWN983116 BGJ2:BGJ76 BGJ65535:BGJ65612 BGJ131071:BGJ131148 BGJ196607:BGJ196684 BGJ262143:BGJ262220 BGJ327679:BGJ327756 BGJ393215:BGJ393292 BGJ458751:BGJ458828 BGJ524287:BGJ524364 BGJ589823:BGJ589900 BGJ655359:BGJ655436 BGJ720895:BGJ720972 BGJ786431:BGJ786508 BGJ851967:BGJ852044 BGJ917503:BGJ917580 BGJ983039:BGJ983116 BQF2:BQF76 BQF65535:BQF65612 BQF131071:BQF131148 BQF196607:BQF196684 BQF262143:BQF262220 BQF327679:BQF327756 BQF393215:BQF393292 BQF458751:BQF458828 BQF524287:BQF524364 BQF589823:BQF589900 BQF655359:BQF655436 BQF720895:BQF720972 BQF786431:BQF786508 BQF851967:BQF852044 BQF917503:BQF917580 BQF983039:BQF983116 CAB2:CAB76 CAB65535:CAB65612 CAB131071:CAB131148 CAB196607:CAB196684 CAB262143:CAB262220 CAB327679:CAB327756 CAB393215:CAB393292 CAB458751:CAB458828 CAB524287:CAB524364 CAB589823:CAB589900 CAB655359:CAB655436 CAB720895:CAB720972 CAB786431:CAB786508 CAB851967:CAB852044 CAB917503:CAB917580 CAB983039:CAB983116 CJX2:CJX76 CJX65535:CJX65612 CJX131071:CJX131148 CJX196607:CJX196684 CJX262143:CJX262220 CJX327679:CJX327756 CJX393215:CJX393292 CJX458751:CJX458828 CJX524287:CJX524364 CJX589823:CJX589900 CJX655359:CJX655436 CJX720895:CJX720972 CJX786431:CJX786508 CJX851967:CJX852044 CJX917503:CJX917580 CJX983039:CJX983116 CTT2:CTT76 CTT65535:CTT65612 CTT131071:CTT131148 CTT196607:CTT196684 CTT262143:CTT262220 CTT327679:CTT327756 CTT393215:CTT393292 CTT458751:CTT458828 CTT524287:CTT524364 CTT589823:CTT589900 CTT655359:CTT655436 CTT720895:CTT720972 CTT786431:CTT786508 CTT851967:CTT852044 CTT917503:CTT917580 CTT983039:CTT983116 DDP2:DDP76 DDP65535:DDP65612 DDP131071:DDP131148 DDP196607:DDP196684 DDP262143:DDP262220 DDP327679:DDP327756 DDP393215:DDP393292 DDP458751:DDP458828 DDP524287:DDP524364 DDP589823:DDP589900 DDP655359:DDP655436 DDP720895:DDP720972 DDP786431:DDP786508 DDP851967:DDP852044 DDP917503:DDP917580 DDP983039:DDP983116 DNL2:DNL76 DNL65535:DNL65612 DNL131071:DNL131148 DNL196607:DNL196684 DNL262143:DNL262220 DNL327679:DNL327756 DNL393215:DNL393292 DNL458751:DNL458828 DNL524287:DNL524364 DNL589823:DNL589900 DNL655359:DNL655436 DNL720895:DNL720972 DNL786431:DNL786508 DNL851967:DNL852044 DNL917503:DNL917580 DNL983039:DNL983116 DXH2:DXH76 DXH65535:DXH65612 DXH131071:DXH131148 DXH196607:DXH196684 DXH262143:DXH262220 DXH327679:DXH327756 DXH393215:DXH393292 DXH458751:DXH458828 DXH524287:DXH524364 DXH589823:DXH589900 DXH655359:DXH655436 DXH720895:DXH720972 DXH786431:DXH786508 DXH851967:DXH852044 DXH917503:DXH917580 DXH983039:DXH983116 EHD2:EHD76 EHD65535:EHD65612 EHD131071:EHD131148 EHD196607:EHD196684 EHD262143:EHD262220 EHD327679:EHD327756 EHD393215:EHD393292 EHD458751:EHD458828 EHD524287:EHD524364 EHD589823:EHD589900 EHD655359:EHD655436 EHD720895:EHD720972 EHD786431:EHD786508 EHD851967:EHD852044 EHD917503:EHD917580 EHD983039:EHD983116 EQZ2:EQZ76 EQZ65535:EQZ65612 EQZ131071:EQZ131148 EQZ196607:EQZ196684 EQZ262143:EQZ262220 EQZ327679:EQZ327756 EQZ393215:EQZ393292 EQZ458751:EQZ458828 EQZ524287:EQZ524364 EQZ589823:EQZ589900 EQZ655359:EQZ655436 EQZ720895:EQZ720972 EQZ786431:EQZ786508 EQZ851967:EQZ852044 EQZ917503:EQZ917580 EQZ983039:EQZ983116 FAV2:FAV76 FAV65535:FAV65612 FAV131071:FAV131148 FAV196607:FAV196684 FAV262143:FAV262220 FAV327679:FAV327756 FAV393215:FAV393292 FAV458751:FAV458828 FAV524287:FAV524364 FAV589823:FAV589900 FAV655359:FAV655436 FAV720895:FAV720972 FAV786431:FAV786508 FAV851967:FAV852044 FAV917503:FAV917580 FAV983039:FAV983116 FKR2:FKR76 FKR65535:FKR65612 FKR131071:FKR131148 FKR196607:FKR196684 FKR262143:FKR262220 FKR327679:FKR327756 FKR393215:FKR393292 FKR458751:FKR458828 FKR524287:FKR524364 FKR589823:FKR589900 FKR655359:FKR655436 FKR720895:FKR720972 FKR786431:FKR786508 FKR851967:FKR852044 FKR917503:FKR917580 FKR983039:FKR983116 FUN2:FUN76 FUN65535:FUN65612 FUN131071:FUN131148 FUN196607:FUN196684 FUN262143:FUN262220 FUN327679:FUN327756 FUN393215:FUN393292 FUN458751:FUN458828 FUN524287:FUN524364 FUN589823:FUN589900 FUN655359:FUN655436 FUN720895:FUN720972 FUN786431:FUN786508 FUN851967:FUN852044 FUN917503:FUN917580 FUN983039:FUN983116 GEJ2:GEJ76 GEJ65535:GEJ65612 GEJ131071:GEJ131148 GEJ196607:GEJ196684 GEJ262143:GEJ262220 GEJ327679:GEJ327756 GEJ393215:GEJ393292 GEJ458751:GEJ458828 GEJ524287:GEJ524364 GEJ589823:GEJ589900 GEJ655359:GEJ655436 GEJ720895:GEJ720972 GEJ786431:GEJ786508 GEJ851967:GEJ852044 GEJ917503:GEJ917580 GEJ983039:GEJ983116 GOF2:GOF76 GOF65535:GOF65612 GOF131071:GOF131148 GOF196607:GOF196684 GOF262143:GOF262220 GOF327679:GOF327756 GOF393215:GOF393292 GOF458751:GOF458828 GOF524287:GOF524364 GOF589823:GOF589900 GOF655359:GOF655436 GOF720895:GOF720972 GOF786431:GOF786508 GOF851967:GOF852044 GOF917503:GOF917580 GOF983039:GOF983116 GYB2:GYB76 GYB65535:GYB65612 GYB131071:GYB131148 GYB196607:GYB196684 GYB262143:GYB262220 GYB327679:GYB327756 GYB393215:GYB393292 GYB458751:GYB458828 GYB524287:GYB524364 GYB589823:GYB589900 GYB655359:GYB655436 GYB720895:GYB720972 GYB786431:GYB786508 GYB851967:GYB852044 GYB917503:GYB917580 GYB983039:GYB983116 HHX2:HHX76 HHX65535:HHX65612 HHX131071:HHX131148 HHX196607:HHX196684 HHX262143:HHX262220 HHX327679:HHX327756 HHX393215:HHX393292 HHX458751:HHX458828 HHX524287:HHX524364 HHX589823:HHX589900 HHX655359:HHX655436 HHX720895:HHX720972 HHX786431:HHX786508 HHX851967:HHX852044 HHX917503:HHX917580 HHX983039:HHX983116 HRT2:HRT76 HRT65535:HRT65612 HRT131071:HRT131148 HRT196607:HRT196684 HRT262143:HRT262220 HRT327679:HRT327756 HRT393215:HRT393292 HRT458751:HRT458828 HRT524287:HRT524364 HRT589823:HRT589900 HRT655359:HRT655436 HRT720895:HRT720972 HRT786431:HRT786508 HRT851967:HRT852044 HRT917503:HRT917580 HRT983039:HRT983116 IBP2:IBP76 IBP65535:IBP65612 IBP131071:IBP131148 IBP196607:IBP196684 IBP262143:IBP262220 IBP327679:IBP327756 IBP393215:IBP393292 IBP458751:IBP458828 IBP524287:IBP524364 IBP589823:IBP589900 IBP655359:IBP655436 IBP720895:IBP720972 IBP786431:IBP786508 IBP851967:IBP852044 IBP917503:IBP917580 IBP983039:IBP983116 ILL2:ILL76 ILL65535:ILL65612 ILL131071:ILL131148 ILL196607:ILL196684 ILL262143:ILL262220 ILL327679:ILL327756 ILL393215:ILL393292 ILL458751:ILL458828 ILL524287:ILL524364 ILL589823:ILL589900 ILL655359:ILL655436 ILL720895:ILL720972 ILL786431:ILL786508 ILL851967:ILL852044 ILL917503:ILL917580 ILL983039:ILL983116 IVH2:IVH76 IVH65535:IVH65612 IVH131071:IVH131148 IVH196607:IVH196684 IVH262143:IVH262220 IVH327679:IVH327756 IVH393215:IVH393292 IVH458751:IVH458828 IVH524287:IVH524364 IVH589823:IVH589900 IVH655359:IVH655436 IVH720895:IVH720972 IVH786431:IVH786508 IVH851967:IVH852044 IVH917503:IVH917580 IVH983039:IVH983116 JFD2:JFD76 JFD65535:JFD65612 JFD131071:JFD131148 JFD196607:JFD196684 JFD262143:JFD262220 JFD327679:JFD327756 JFD393215:JFD393292 JFD458751:JFD458828 JFD524287:JFD524364 JFD589823:JFD589900 JFD655359:JFD655436 JFD720895:JFD720972 JFD786431:JFD786508 JFD851967:JFD852044 JFD917503:JFD917580 JFD983039:JFD983116 JOZ2:JOZ76 JOZ65535:JOZ65612 JOZ131071:JOZ131148 JOZ196607:JOZ196684 JOZ262143:JOZ262220 JOZ327679:JOZ327756 JOZ393215:JOZ393292 JOZ458751:JOZ458828 JOZ524287:JOZ524364 JOZ589823:JOZ589900 JOZ655359:JOZ655436 JOZ720895:JOZ720972 JOZ786431:JOZ786508 JOZ851967:JOZ852044 JOZ917503:JOZ917580 JOZ983039:JOZ983116 JYV2:JYV76 JYV65535:JYV65612 JYV131071:JYV131148 JYV196607:JYV196684 JYV262143:JYV262220 JYV327679:JYV327756 JYV393215:JYV393292 JYV458751:JYV458828 JYV524287:JYV524364 JYV589823:JYV589900 JYV655359:JYV655436 JYV720895:JYV720972 JYV786431:JYV786508 JYV851967:JYV852044 JYV917503:JYV917580 JYV983039:JYV983116 KIR2:KIR76 KIR65535:KIR65612 KIR131071:KIR131148 KIR196607:KIR196684 KIR262143:KIR262220 KIR327679:KIR327756 KIR393215:KIR393292 KIR458751:KIR458828 KIR524287:KIR524364 KIR589823:KIR589900 KIR655359:KIR655436 KIR720895:KIR720972 KIR786431:KIR786508 KIR851967:KIR852044 KIR917503:KIR917580 KIR983039:KIR983116 KSN2:KSN76 KSN65535:KSN65612 KSN131071:KSN131148 KSN196607:KSN196684 KSN262143:KSN262220 KSN327679:KSN327756 KSN393215:KSN393292 KSN458751:KSN458828 KSN524287:KSN524364 KSN589823:KSN589900 KSN655359:KSN655436 KSN720895:KSN720972 KSN786431:KSN786508 KSN851967:KSN852044 KSN917503:KSN917580 KSN983039:KSN983116 LCJ2:LCJ76 LCJ65535:LCJ65612 LCJ131071:LCJ131148 LCJ196607:LCJ196684 LCJ262143:LCJ262220 LCJ327679:LCJ327756 LCJ393215:LCJ393292 LCJ458751:LCJ458828 LCJ524287:LCJ524364 LCJ589823:LCJ589900 LCJ655359:LCJ655436 LCJ720895:LCJ720972 LCJ786431:LCJ786508 LCJ851967:LCJ852044 LCJ917503:LCJ917580 LCJ983039:LCJ983116 LMF2:LMF76 LMF65535:LMF65612 LMF131071:LMF131148 LMF196607:LMF196684 LMF262143:LMF262220 LMF327679:LMF327756 LMF393215:LMF393292 LMF458751:LMF458828 LMF524287:LMF524364 LMF589823:LMF589900 LMF655359:LMF655436 LMF720895:LMF720972 LMF786431:LMF786508 LMF851967:LMF852044 LMF917503:LMF917580 LMF983039:LMF983116 LWB2:LWB76 LWB65535:LWB65612 LWB131071:LWB131148 LWB196607:LWB196684 LWB262143:LWB262220 LWB327679:LWB327756 LWB393215:LWB393292 LWB458751:LWB458828 LWB524287:LWB524364 LWB589823:LWB589900 LWB655359:LWB655436 LWB720895:LWB720972 LWB786431:LWB786508 LWB851967:LWB852044 LWB917503:LWB917580 LWB983039:LWB983116 MFX2:MFX76 MFX65535:MFX65612 MFX131071:MFX131148 MFX196607:MFX196684 MFX262143:MFX262220 MFX327679:MFX327756 MFX393215:MFX393292 MFX458751:MFX458828 MFX524287:MFX524364 MFX589823:MFX589900 MFX655359:MFX655436 MFX720895:MFX720972 MFX786431:MFX786508 MFX851967:MFX852044 MFX917503:MFX917580 MFX983039:MFX983116 MPT2:MPT76 MPT65535:MPT65612 MPT131071:MPT131148 MPT196607:MPT196684 MPT262143:MPT262220 MPT327679:MPT327756 MPT393215:MPT393292 MPT458751:MPT458828 MPT524287:MPT524364 MPT589823:MPT589900 MPT655359:MPT655436 MPT720895:MPT720972 MPT786431:MPT786508 MPT851967:MPT852044 MPT917503:MPT917580 MPT983039:MPT983116 MZP2:MZP76 MZP65535:MZP65612 MZP131071:MZP131148 MZP196607:MZP196684 MZP262143:MZP262220 MZP327679:MZP327756 MZP393215:MZP393292 MZP458751:MZP458828 MZP524287:MZP524364 MZP589823:MZP589900 MZP655359:MZP655436 MZP720895:MZP720972 MZP786431:MZP786508 MZP851967:MZP852044 MZP917503:MZP917580 MZP983039:MZP983116 NJL2:NJL76 NJL65535:NJL65612 NJL131071:NJL131148 NJL196607:NJL196684 NJL262143:NJL262220 NJL327679:NJL327756 NJL393215:NJL393292 NJL458751:NJL458828 NJL524287:NJL524364 NJL589823:NJL589900 NJL655359:NJL655436 NJL720895:NJL720972 NJL786431:NJL786508 NJL851967:NJL852044 NJL917503:NJL917580 NJL983039:NJL983116 NTH2:NTH76 NTH65535:NTH65612 NTH131071:NTH131148 NTH196607:NTH196684 NTH262143:NTH262220 NTH327679:NTH327756 NTH393215:NTH393292 NTH458751:NTH458828 NTH524287:NTH524364 NTH589823:NTH589900 NTH655359:NTH655436 NTH720895:NTH720972 NTH786431:NTH786508 NTH851967:NTH852044 NTH917503:NTH917580 NTH983039:NTH983116 ODD2:ODD76 ODD65535:ODD65612 ODD131071:ODD131148 ODD196607:ODD196684 ODD262143:ODD262220 ODD327679:ODD327756 ODD393215:ODD393292 ODD458751:ODD458828 ODD524287:ODD524364 ODD589823:ODD589900 ODD655359:ODD655436 ODD720895:ODD720972 ODD786431:ODD786508 ODD851967:ODD852044 ODD917503:ODD917580 ODD983039:ODD983116 OMZ2:OMZ76 OMZ65535:OMZ65612 OMZ131071:OMZ131148 OMZ196607:OMZ196684 OMZ262143:OMZ262220 OMZ327679:OMZ327756 OMZ393215:OMZ393292 OMZ458751:OMZ458828 OMZ524287:OMZ524364 OMZ589823:OMZ589900 OMZ655359:OMZ655436 OMZ720895:OMZ720972 OMZ786431:OMZ786508 OMZ851967:OMZ852044 OMZ917503:OMZ917580 OMZ983039:OMZ983116 OWV2:OWV76 OWV65535:OWV65612 OWV131071:OWV131148 OWV196607:OWV196684 OWV262143:OWV262220 OWV327679:OWV327756 OWV393215:OWV393292 OWV458751:OWV458828 OWV524287:OWV524364 OWV589823:OWV589900 OWV655359:OWV655436 OWV720895:OWV720972 OWV786431:OWV786508 OWV851967:OWV852044 OWV917503:OWV917580 OWV983039:OWV983116 PGR2:PGR76 PGR65535:PGR65612 PGR131071:PGR131148 PGR196607:PGR196684 PGR262143:PGR262220 PGR327679:PGR327756 PGR393215:PGR393292 PGR458751:PGR458828 PGR524287:PGR524364 PGR589823:PGR589900 PGR655359:PGR655436 PGR720895:PGR720972 PGR786431:PGR786508 PGR851967:PGR852044 PGR917503:PGR917580 PGR983039:PGR983116 PQN2:PQN76 PQN65535:PQN65612 PQN131071:PQN131148 PQN196607:PQN196684 PQN262143:PQN262220 PQN327679:PQN327756 PQN393215:PQN393292 PQN458751:PQN458828 PQN524287:PQN524364 PQN589823:PQN589900 PQN655359:PQN655436 PQN720895:PQN720972 PQN786431:PQN786508 PQN851967:PQN852044 PQN917503:PQN917580 PQN983039:PQN983116 QAJ2:QAJ76 QAJ65535:QAJ65612 QAJ131071:QAJ131148 QAJ196607:QAJ196684 QAJ262143:QAJ262220 QAJ327679:QAJ327756 QAJ393215:QAJ393292 QAJ458751:QAJ458828 QAJ524287:QAJ524364 QAJ589823:QAJ589900 QAJ655359:QAJ655436 QAJ720895:QAJ720972 QAJ786431:QAJ786508 QAJ851967:QAJ852044 QAJ917503:QAJ917580 QAJ983039:QAJ983116 QKF2:QKF76 QKF65535:QKF65612 QKF131071:QKF131148 QKF196607:QKF196684 QKF262143:QKF262220 QKF327679:QKF327756 QKF393215:QKF393292 QKF458751:QKF458828 QKF524287:QKF524364 QKF589823:QKF589900 QKF655359:QKF655436 QKF720895:QKF720972 QKF786431:QKF786508 QKF851967:QKF852044 QKF917503:QKF917580 QKF983039:QKF983116 QUB2:QUB76 QUB65535:QUB65612 QUB131071:QUB131148 QUB196607:QUB196684 QUB262143:QUB262220 QUB327679:QUB327756 QUB393215:QUB393292 QUB458751:QUB458828 QUB524287:QUB524364 QUB589823:QUB589900 QUB655359:QUB655436 QUB720895:QUB720972 QUB786431:QUB786508 QUB851967:QUB852044 QUB917503:QUB917580 QUB983039:QUB983116 RDX2:RDX76 RDX65535:RDX65612 RDX131071:RDX131148 RDX196607:RDX196684 RDX262143:RDX262220 RDX327679:RDX327756 RDX393215:RDX393292 RDX458751:RDX458828 RDX524287:RDX524364 RDX589823:RDX589900 RDX655359:RDX655436 RDX720895:RDX720972 RDX786431:RDX786508 RDX851967:RDX852044 RDX917503:RDX917580 RDX983039:RDX983116 RNT2:RNT76 RNT65535:RNT65612 RNT131071:RNT131148 RNT196607:RNT196684 RNT262143:RNT262220 RNT327679:RNT327756 RNT393215:RNT393292 RNT458751:RNT458828 RNT524287:RNT524364 RNT589823:RNT589900 RNT655359:RNT655436 RNT720895:RNT720972 RNT786431:RNT786508 RNT851967:RNT852044 RNT917503:RNT917580 RNT983039:RNT983116 RXP2:RXP76 RXP65535:RXP65612 RXP131071:RXP131148 RXP196607:RXP196684 RXP262143:RXP262220 RXP327679:RXP327756 RXP393215:RXP393292 RXP458751:RXP458828 RXP524287:RXP524364 RXP589823:RXP589900 RXP655359:RXP655436 RXP720895:RXP720972 RXP786431:RXP786508 RXP851967:RXP852044 RXP917503:RXP917580 RXP983039:RXP983116 SHL2:SHL76 SHL65535:SHL65612 SHL131071:SHL131148 SHL196607:SHL196684 SHL262143:SHL262220 SHL327679:SHL327756 SHL393215:SHL393292 SHL458751:SHL458828 SHL524287:SHL524364 SHL589823:SHL589900 SHL655359:SHL655436 SHL720895:SHL720972 SHL786431:SHL786508 SHL851967:SHL852044 SHL917503:SHL917580 SHL983039:SHL983116 SRH2:SRH76 SRH65535:SRH65612 SRH131071:SRH131148 SRH196607:SRH196684 SRH262143:SRH262220 SRH327679:SRH327756 SRH393215:SRH393292 SRH458751:SRH458828 SRH524287:SRH524364 SRH589823:SRH589900 SRH655359:SRH655436 SRH720895:SRH720972 SRH786431:SRH786508 SRH851967:SRH852044 SRH917503:SRH917580 SRH983039:SRH983116 TBD2:TBD76 TBD65535:TBD65612 TBD131071:TBD131148 TBD196607:TBD196684 TBD262143:TBD262220 TBD327679:TBD327756 TBD393215:TBD393292 TBD458751:TBD458828 TBD524287:TBD524364 TBD589823:TBD589900 TBD655359:TBD655436 TBD720895:TBD720972 TBD786431:TBD786508 TBD851967:TBD852044 TBD917503:TBD917580 TBD983039:TBD983116 TKZ2:TKZ76 TKZ65535:TKZ65612 TKZ131071:TKZ131148 TKZ196607:TKZ196684 TKZ262143:TKZ262220 TKZ327679:TKZ327756 TKZ393215:TKZ393292 TKZ458751:TKZ458828 TKZ524287:TKZ524364 TKZ589823:TKZ589900 TKZ655359:TKZ655436 TKZ720895:TKZ720972 TKZ786431:TKZ786508 TKZ851967:TKZ852044 TKZ917503:TKZ917580 TKZ983039:TKZ983116 TUV2:TUV76 TUV65535:TUV65612 TUV131071:TUV131148 TUV196607:TUV196684 TUV262143:TUV262220 TUV327679:TUV327756 TUV393215:TUV393292 TUV458751:TUV458828 TUV524287:TUV524364 TUV589823:TUV589900 TUV655359:TUV655436 TUV720895:TUV720972 TUV786431:TUV786508 TUV851967:TUV852044 TUV917503:TUV917580 TUV983039:TUV983116 UER2:UER76 UER65535:UER65612 UER131071:UER131148 UER196607:UER196684 UER262143:UER262220 UER327679:UER327756 UER393215:UER393292 UER458751:UER458828 UER524287:UER524364 UER589823:UER589900 UER655359:UER655436 UER720895:UER720972 UER786431:UER786508 UER851967:UER852044 UER917503:UER917580 UER983039:UER983116 UON2:UON76 UON65535:UON65612 UON131071:UON131148 UON196607:UON196684 UON262143:UON262220 UON327679:UON327756 UON393215:UON393292 UON458751:UON458828 UON524287:UON524364 UON589823:UON589900 UON655359:UON655436 UON720895:UON720972 UON786431:UON786508 UON851967:UON852044 UON917503:UON917580 UON983039:UON983116 UYJ2:UYJ76 UYJ65535:UYJ65612 UYJ131071:UYJ131148 UYJ196607:UYJ196684 UYJ262143:UYJ262220 UYJ327679:UYJ327756 UYJ393215:UYJ393292 UYJ458751:UYJ458828 UYJ524287:UYJ524364 UYJ589823:UYJ589900 UYJ655359:UYJ655436 UYJ720895:UYJ720972 UYJ786431:UYJ786508 UYJ851967:UYJ852044 UYJ917503:UYJ917580 UYJ983039:UYJ983116 VIF2:VIF76 VIF65535:VIF65612 VIF131071:VIF131148 VIF196607:VIF196684 VIF262143:VIF262220 VIF327679:VIF327756 VIF393215:VIF393292 VIF458751:VIF458828 VIF524287:VIF524364 VIF589823:VIF589900 VIF655359:VIF655436 VIF720895:VIF720972 VIF786431:VIF786508 VIF851967:VIF852044 VIF917503:VIF917580 VIF983039:VIF983116 VSB2:VSB76 VSB65535:VSB65612 VSB131071:VSB131148 VSB196607:VSB196684 VSB262143:VSB262220 VSB327679:VSB327756 VSB393215:VSB393292 VSB458751:VSB458828 VSB524287:VSB524364 VSB589823:VSB589900 VSB655359:VSB655436 VSB720895:VSB720972 VSB786431:VSB786508 VSB851967:VSB852044 VSB917503:VSB917580 VSB983039:VSB983116 WBX2:WBX76 WBX65535:WBX65612 WBX131071:WBX131148 WBX196607:WBX196684 WBX262143:WBX262220 WBX327679:WBX327756 WBX393215:WBX393292 WBX458751:WBX458828 WBX524287:WBX524364 WBX589823:WBX589900 WBX655359:WBX655436 WBX720895:WBX720972 WBX786431:WBX786508 WBX851967:WBX852044 WBX917503:WBX917580 WBX983039:WBX983116 WLT2:WLT76 WLT65535:WLT65612 WLT131071:WLT131148 WLT196607:WLT196684 WLT262143:WLT262220 WLT327679:WLT327756 WLT393215:WLT393292 WLT458751:WLT458828 WLT524287:WLT524364 WLT589823:WLT589900 WLT655359:WLT655436 WLT720895:WLT720972 WLT786431:WLT786508 WLT851967:WLT852044 WLT917503:WLT917580 WLT983039:WLT983116 WVP2:WVP76 WVP65535:WVP65612 WVP131071:WVP131148 WVP196607:WVP196684 WVP262143:WVP262220 WVP327679:WVP327756 WVP393215:WVP393292 WVP458751:WVP458828 WVP524287:WVP524364 WVP589823:WVP589900 WVP655359:WVP655436 WVP720895:WVP720972 WVP786431:WVP786508 WVP851967:WVP852044 WVP917503:WVP917580 WVP983039:WVP983116">
      <formula1>$AL$4:$AL$12</formula1>
    </dataValidation>
    <dataValidation type="list" allowBlank="1" showInputMessage="1" showErrorMessage="1" sqref="K2:K86">
      <formula1>$AR$2:$AR$26</formula1>
    </dataValidation>
    <dataValidation type="list" allowBlank="1" showInputMessage="1" showErrorMessage="1" sqref="K87:K497 K65535:K65612 K131071:K131148 K196607:K196684 K262143:K262220 K327679:K327756 K393215:K393292 K458751:K458828 K524287:K524364 K589823:K589900 K655359:K655436 K720895:K720972 K786431:K786508 K851967:K852044 K917503:K917580 K983039:K983116 JG2:JG76 JG65535:JG65612 JG131071:JG131148 JG196607:JG196684 JG262143:JG262220 JG327679:JG327756 JG393215:JG393292 JG458751:JG458828 JG524287:JG524364 JG589823:JG589900 JG655359:JG655436 JG720895:JG720972 JG786431:JG786508 JG851967:JG852044 JG917503:JG917580 JG983039:JG983116 TC2:TC76 TC65535:TC65612 TC131071:TC131148 TC196607:TC196684 TC262143:TC262220 TC327679:TC327756 TC393215:TC393292 TC458751:TC458828 TC524287:TC524364 TC589823:TC589900 TC655359:TC655436 TC720895:TC720972 TC786431:TC786508 TC851967:TC852044 TC917503:TC917580 TC983039:TC983116 ACY2:ACY76 ACY65535:ACY65612 ACY131071:ACY131148 ACY196607:ACY196684 ACY262143:ACY262220 ACY327679:ACY327756 ACY393215:ACY393292 ACY458751:ACY458828 ACY524287:ACY524364 ACY589823:ACY589900 ACY655359:ACY655436 ACY720895:ACY720972 ACY786431:ACY786508 ACY851967:ACY852044 ACY917503:ACY917580 ACY983039:ACY983116 AMU2:AMU76 AMU65535:AMU65612 AMU131071:AMU131148 AMU196607:AMU196684 AMU262143:AMU262220 AMU327679:AMU327756 AMU393215:AMU393292 AMU458751:AMU458828 AMU524287:AMU524364 AMU589823:AMU589900 AMU655359:AMU655436 AMU720895:AMU720972 AMU786431:AMU786508 AMU851967:AMU852044 AMU917503:AMU917580 AMU983039:AMU983116 AWQ2:AWQ76 AWQ65535:AWQ65612 AWQ131071:AWQ131148 AWQ196607:AWQ196684 AWQ262143:AWQ262220 AWQ327679:AWQ327756 AWQ393215:AWQ393292 AWQ458751:AWQ458828 AWQ524287:AWQ524364 AWQ589823:AWQ589900 AWQ655359:AWQ655436 AWQ720895:AWQ720972 AWQ786431:AWQ786508 AWQ851967:AWQ852044 AWQ917503:AWQ917580 AWQ983039:AWQ983116 BGM2:BGM76 BGM65535:BGM65612 BGM131071:BGM131148 BGM196607:BGM196684 BGM262143:BGM262220 BGM327679:BGM327756 BGM393215:BGM393292 BGM458751:BGM458828 BGM524287:BGM524364 BGM589823:BGM589900 BGM655359:BGM655436 BGM720895:BGM720972 BGM786431:BGM786508 BGM851967:BGM852044 BGM917503:BGM917580 BGM983039:BGM983116 BQI2:BQI76 BQI65535:BQI65612 BQI131071:BQI131148 BQI196607:BQI196684 BQI262143:BQI262220 BQI327679:BQI327756 BQI393215:BQI393292 BQI458751:BQI458828 BQI524287:BQI524364 BQI589823:BQI589900 BQI655359:BQI655436 BQI720895:BQI720972 BQI786431:BQI786508 BQI851967:BQI852044 BQI917503:BQI917580 BQI983039:BQI983116 CAE2:CAE76 CAE65535:CAE65612 CAE131071:CAE131148 CAE196607:CAE196684 CAE262143:CAE262220 CAE327679:CAE327756 CAE393215:CAE393292 CAE458751:CAE458828 CAE524287:CAE524364 CAE589823:CAE589900 CAE655359:CAE655436 CAE720895:CAE720972 CAE786431:CAE786508 CAE851967:CAE852044 CAE917503:CAE917580 CAE983039:CAE983116 CKA2:CKA76 CKA65535:CKA65612 CKA131071:CKA131148 CKA196607:CKA196684 CKA262143:CKA262220 CKA327679:CKA327756 CKA393215:CKA393292 CKA458751:CKA458828 CKA524287:CKA524364 CKA589823:CKA589900 CKA655359:CKA655436 CKA720895:CKA720972 CKA786431:CKA786508 CKA851967:CKA852044 CKA917503:CKA917580 CKA983039:CKA983116 CTW2:CTW76 CTW65535:CTW65612 CTW131071:CTW131148 CTW196607:CTW196684 CTW262143:CTW262220 CTW327679:CTW327756 CTW393215:CTW393292 CTW458751:CTW458828 CTW524287:CTW524364 CTW589823:CTW589900 CTW655359:CTW655436 CTW720895:CTW720972 CTW786431:CTW786508 CTW851967:CTW852044 CTW917503:CTW917580 CTW983039:CTW983116 DDS2:DDS76 DDS65535:DDS65612 DDS131071:DDS131148 DDS196607:DDS196684 DDS262143:DDS262220 DDS327679:DDS327756 DDS393215:DDS393292 DDS458751:DDS458828 DDS524287:DDS524364 DDS589823:DDS589900 DDS655359:DDS655436 DDS720895:DDS720972 DDS786431:DDS786508 DDS851967:DDS852044 DDS917503:DDS917580 DDS983039:DDS983116 DNO2:DNO76 DNO65535:DNO65612 DNO131071:DNO131148 DNO196607:DNO196684 DNO262143:DNO262220 DNO327679:DNO327756 DNO393215:DNO393292 DNO458751:DNO458828 DNO524287:DNO524364 DNO589823:DNO589900 DNO655359:DNO655436 DNO720895:DNO720972 DNO786431:DNO786508 DNO851967:DNO852044 DNO917503:DNO917580 DNO983039:DNO983116 DXK2:DXK76 DXK65535:DXK65612 DXK131071:DXK131148 DXK196607:DXK196684 DXK262143:DXK262220 DXK327679:DXK327756 DXK393215:DXK393292 DXK458751:DXK458828 DXK524287:DXK524364 DXK589823:DXK589900 DXK655359:DXK655436 DXK720895:DXK720972 DXK786431:DXK786508 DXK851967:DXK852044 DXK917503:DXK917580 DXK983039:DXK983116 EHG2:EHG76 EHG65535:EHG65612 EHG131071:EHG131148 EHG196607:EHG196684 EHG262143:EHG262220 EHG327679:EHG327756 EHG393215:EHG393292 EHG458751:EHG458828 EHG524287:EHG524364 EHG589823:EHG589900 EHG655359:EHG655436 EHG720895:EHG720972 EHG786431:EHG786508 EHG851967:EHG852044 EHG917503:EHG917580 EHG983039:EHG983116 ERC2:ERC76 ERC65535:ERC65612 ERC131071:ERC131148 ERC196607:ERC196684 ERC262143:ERC262220 ERC327679:ERC327756 ERC393215:ERC393292 ERC458751:ERC458828 ERC524287:ERC524364 ERC589823:ERC589900 ERC655359:ERC655436 ERC720895:ERC720972 ERC786431:ERC786508 ERC851967:ERC852044 ERC917503:ERC917580 ERC983039:ERC983116 FAY2:FAY76 FAY65535:FAY65612 FAY131071:FAY131148 FAY196607:FAY196684 FAY262143:FAY262220 FAY327679:FAY327756 FAY393215:FAY393292 FAY458751:FAY458828 FAY524287:FAY524364 FAY589823:FAY589900 FAY655359:FAY655436 FAY720895:FAY720972 FAY786431:FAY786508 FAY851967:FAY852044 FAY917503:FAY917580 FAY983039:FAY983116 FKU2:FKU76 FKU65535:FKU65612 FKU131071:FKU131148 FKU196607:FKU196684 FKU262143:FKU262220 FKU327679:FKU327756 FKU393215:FKU393292 FKU458751:FKU458828 FKU524287:FKU524364 FKU589823:FKU589900 FKU655359:FKU655436 FKU720895:FKU720972 FKU786431:FKU786508 FKU851967:FKU852044 FKU917503:FKU917580 FKU983039:FKU983116 FUQ2:FUQ76 FUQ65535:FUQ65612 FUQ131071:FUQ131148 FUQ196607:FUQ196684 FUQ262143:FUQ262220 FUQ327679:FUQ327756 FUQ393215:FUQ393292 FUQ458751:FUQ458828 FUQ524287:FUQ524364 FUQ589823:FUQ589900 FUQ655359:FUQ655436 FUQ720895:FUQ720972 FUQ786431:FUQ786508 FUQ851967:FUQ852044 FUQ917503:FUQ917580 FUQ983039:FUQ983116 GEM2:GEM76 GEM65535:GEM65612 GEM131071:GEM131148 GEM196607:GEM196684 GEM262143:GEM262220 GEM327679:GEM327756 GEM393215:GEM393292 GEM458751:GEM458828 GEM524287:GEM524364 GEM589823:GEM589900 GEM655359:GEM655436 GEM720895:GEM720972 GEM786431:GEM786508 GEM851967:GEM852044 GEM917503:GEM917580 GEM983039:GEM983116 GOI2:GOI76 GOI65535:GOI65612 GOI131071:GOI131148 GOI196607:GOI196684 GOI262143:GOI262220 GOI327679:GOI327756 GOI393215:GOI393292 GOI458751:GOI458828 GOI524287:GOI524364 GOI589823:GOI589900 GOI655359:GOI655436 GOI720895:GOI720972 GOI786431:GOI786508 GOI851967:GOI852044 GOI917503:GOI917580 GOI983039:GOI983116 GYE2:GYE76 GYE65535:GYE65612 GYE131071:GYE131148 GYE196607:GYE196684 GYE262143:GYE262220 GYE327679:GYE327756 GYE393215:GYE393292 GYE458751:GYE458828 GYE524287:GYE524364 GYE589823:GYE589900 GYE655359:GYE655436 GYE720895:GYE720972 GYE786431:GYE786508 GYE851967:GYE852044 GYE917503:GYE917580 GYE983039:GYE983116 HIA2:HIA76 HIA65535:HIA65612 HIA131071:HIA131148 HIA196607:HIA196684 HIA262143:HIA262220 HIA327679:HIA327756 HIA393215:HIA393292 HIA458751:HIA458828 HIA524287:HIA524364 HIA589823:HIA589900 HIA655359:HIA655436 HIA720895:HIA720972 HIA786431:HIA786508 HIA851967:HIA852044 HIA917503:HIA917580 HIA983039:HIA983116 HRW2:HRW76 HRW65535:HRW65612 HRW131071:HRW131148 HRW196607:HRW196684 HRW262143:HRW262220 HRW327679:HRW327756 HRW393215:HRW393292 HRW458751:HRW458828 HRW524287:HRW524364 HRW589823:HRW589900 HRW655359:HRW655436 HRW720895:HRW720972 HRW786431:HRW786508 HRW851967:HRW852044 HRW917503:HRW917580 HRW983039:HRW983116 IBS2:IBS76 IBS65535:IBS65612 IBS131071:IBS131148 IBS196607:IBS196684 IBS262143:IBS262220 IBS327679:IBS327756 IBS393215:IBS393292 IBS458751:IBS458828 IBS524287:IBS524364 IBS589823:IBS589900 IBS655359:IBS655436 IBS720895:IBS720972 IBS786431:IBS786508 IBS851967:IBS852044 IBS917503:IBS917580 IBS983039:IBS983116 ILO2:ILO76 ILO65535:ILO65612 ILO131071:ILO131148 ILO196607:ILO196684 ILO262143:ILO262220 ILO327679:ILO327756 ILO393215:ILO393292 ILO458751:ILO458828 ILO524287:ILO524364 ILO589823:ILO589900 ILO655359:ILO655436 ILO720895:ILO720972 ILO786431:ILO786508 ILO851967:ILO852044 ILO917503:ILO917580 ILO983039:ILO983116 IVK2:IVK76 IVK65535:IVK65612 IVK131071:IVK131148 IVK196607:IVK196684 IVK262143:IVK262220 IVK327679:IVK327756 IVK393215:IVK393292 IVK458751:IVK458828 IVK524287:IVK524364 IVK589823:IVK589900 IVK655359:IVK655436 IVK720895:IVK720972 IVK786431:IVK786508 IVK851967:IVK852044 IVK917503:IVK917580 IVK983039:IVK983116 JFG2:JFG76 JFG65535:JFG65612 JFG131071:JFG131148 JFG196607:JFG196684 JFG262143:JFG262220 JFG327679:JFG327756 JFG393215:JFG393292 JFG458751:JFG458828 JFG524287:JFG524364 JFG589823:JFG589900 JFG655359:JFG655436 JFG720895:JFG720972 JFG786431:JFG786508 JFG851967:JFG852044 JFG917503:JFG917580 JFG983039:JFG983116 JPC2:JPC76 JPC65535:JPC65612 JPC131071:JPC131148 JPC196607:JPC196684 JPC262143:JPC262220 JPC327679:JPC327756 JPC393215:JPC393292 JPC458751:JPC458828 JPC524287:JPC524364 JPC589823:JPC589900 JPC655359:JPC655436 JPC720895:JPC720972 JPC786431:JPC786508 JPC851967:JPC852044 JPC917503:JPC917580 JPC983039:JPC983116 JYY2:JYY76 JYY65535:JYY65612 JYY131071:JYY131148 JYY196607:JYY196684 JYY262143:JYY262220 JYY327679:JYY327756 JYY393215:JYY393292 JYY458751:JYY458828 JYY524287:JYY524364 JYY589823:JYY589900 JYY655359:JYY655436 JYY720895:JYY720972 JYY786431:JYY786508 JYY851967:JYY852044 JYY917503:JYY917580 JYY983039:JYY983116 KIU2:KIU76 KIU65535:KIU65612 KIU131071:KIU131148 KIU196607:KIU196684 KIU262143:KIU262220 KIU327679:KIU327756 KIU393215:KIU393292 KIU458751:KIU458828 KIU524287:KIU524364 KIU589823:KIU589900 KIU655359:KIU655436 KIU720895:KIU720972 KIU786431:KIU786508 KIU851967:KIU852044 KIU917503:KIU917580 KIU983039:KIU983116 KSQ2:KSQ76 KSQ65535:KSQ65612 KSQ131071:KSQ131148 KSQ196607:KSQ196684 KSQ262143:KSQ262220 KSQ327679:KSQ327756 KSQ393215:KSQ393292 KSQ458751:KSQ458828 KSQ524287:KSQ524364 KSQ589823:KSQ589900 KSQ655359:KSQ655436 KSQ720895:KSQ720972 KSQ786431:KSQ786508 KSQ851967:KSQ852044 KSQ917503:KSQ917580 KSQ983039:KSQ983116 LCM2:LCM76 LCM65535:LCM65612 LCM131071:LCM131148 LCM196607:LCM196684 LCM262143:LCM262220 LCM327679:LCM327756 LCM393215:LCM393292 LCM458751:LCM458828 LCM524287:LCM524364 LCM589823:LCM589900 LCM655359:LCM655436 LCM720895:LCM720972 LCM786431:LCM786508 LCM851967:LCM852044 LCM917503:LCM917580 LCM983039:LCM983116 LMI2:LMI76 LMI65535:LMI65612 LMI131071:LMI131148 LMI196607:LMI196684 LMI262143:LMI262220 LMI327679:LMI327756 LMI393215:LMI393292 LMI458751:LMI458828 LMI524287:LMI524364 LMI589823:LMI589900 LMI655359:LMI655436 LMI720895:LMI720972 LMI786431:LMI786508 LMI851967:LMI852044 LMI917503:LMI917580 LMI983039:LMI983116 LWE2:LWE76 LWE65535:LWE65612 LWE131071:LWE131148 LWE196607:LWE196684 LWE262143:LWE262220 LWE327679:LWE327756 LWE393215:LWE393292 LWE458751:LWE458828 LWE524287:LWE524364 LWE589823:LWE589900 LWE655359:LWE655436 LWE720895:LWE720972 LWE786431:LWE786508 LWE851967:LWE852044 LWE917503:LWE917580 LWE983039:LWE983116 MGA2:MGA76 MGA65535:MGA65612 MGA131071:MGA131148 MGA196607:MGA196684 MGA262143:MGA262220 MGA327679:MGA327756 MGA393215:MGA393292 MGA458751:MGA458828 MGA524287:MGA524364 MGA589823:MGA589900 MGA655359:MGA655436 MGA720895:MGA720972 MGA786431:MGA786508 MGA851967:MGA852044 MGA917503:MGA917580 MGA983039:MGA983116 MPW2:MPW76 MPW65535:MPW65612 MPW131071:MPW131148 MPW196607:MPW196684 MPW262143:MPW262220 MPW327679:MPW327756 MPW393215:MPW393292 MPW458751:MPW458828 MPW524287:MPW524364 MPW589823:MPW589900 MPW655359:MPW655436 MPW720895:MPW720972 MPW786431:MPW786508 MPW851967:MPW852044 MPW917503:MPW917580 MPW983039:MPW983116 MZS2:MZS76 MZS65535:MZS65612 MZS131071:MZS131148 MZS196607:MZS196684 MZS262143:MZS262220 MZS327679:MZS327756 MZS393215:MZS393292 MZS458751:MZS458828 MZS524287:MZS524364 MZS589823:MZS589900 MZS655359:MZS655436 MZS720895:MZS720972 MZS786431:MZS786508 MZS851967:MZS852044 MZS917503:MZS917580 MZS983039:MZS983116 NJO2:NJO76 NJO65535:NJO65612 NJO131071:NJO131148 NJO196607:NJO196684 NJO262143:NJO262220 NJO327679:NJO327756 NJO393215:NJO393292 NJO458751:NJO458828 NJO524287:NJO524364 NJO589823:NJO589900 NJO655359:NJO655436 NJO720895:NJO720972 NJO786431:NJO786508 NJO851967:NJO852044 NJO917503:NJO917580 NJO983039:NJO983116 NTK2:NTK76 NTK65535:NTK65612 NTK131071:NTK131148 NTK196607:NTK196684 NTK262143:NTK262220 NTK327679:NTK327756 NTK393215:NTK393292 NTK458751:NTK458828 NTK524287:NTK524364 NTK589823:NTK589900 NTK655359:NTK655436 NTK720895:NTK720972 NTK786431:NTK786508 NTK851967:NTK852044 NTK917503:NTK917580 NTK983039:NTK983116 ODG2:ODG76 ODG65535:ODG65612 ODG131071:ODG131148 ODG196607:ODG196684 ODG262143:ODG262220 ODG327679:ODG327756 ODG393215:ODG393292 ODG458751:ODG458828 ODG524287:ODG524364 ODG589823:ODG589900 ODG655359:ODG655436 ODG720895:ODG720972 ODG786431:ODG786508 ODG851967:ODG852044 ODG917503:ODG917580 ODG983039:ODG983116 ONC2:ONC76 ONC65535:ONC65612 ONC131071:ONC131148 ONC196607:ONC196684 ONC262143:ONC262220 ONC327679:ONC327756 ONC393215:ONC393292 ONC458751:ONC458828 ONC524287:ONC524364 ONC589823:ONC589900 ONC655359:ONC655436 ONC720895:ONC720972 ONC786431:ONC786508 ONC851967:ONC852044 ONC917503:ONC917580 ONC983039:ONC983116 OWY2:OWY76 OWY65535:OWY65612 OWY131071:OWY131148 OWY196607:OWY196684 OWY262143:OWY262220 OWY327679:OWY327756 OWY393215:OWY393292 OWY458751:OWY458828 OWY524287:OWY524364 OWY589823:OWY589900 OWY655359:OWY655436 OWY720895:OWY720972 OWY786431:OWY786508 OWY851967:OWY852044 OWY917503:OWY917580 OWY983039:OWY983116 PGU2:PGU76 PGU65535:PGU65612 PGU131071:PGU131148 PGU196607:PGU196684 PGU262143:PGU262220 PGU327679:PGU327756 PGU393215:PGU393292 PGU458751:PGU458828 PGU524287:PGU524364 PGU589823:PGU589900 PGU655359:PGU655436 PGU720895:PGU720972 PGU786431:PGU786508 PGU851967:PGU852044 PGU917503:PGU917580 PGU983039:PGU983116 PQQ2:PQQ76 PQQ65535:PQQ65612 PQQ131071:PQQ131148 PQQ196607:PQQ196684 PQQ262143:PQQ262220 PQQ327679:PQQ327756 PQQ393215:PQQ393292 PQQ458751:PQQ458828 PQQ524287:PQQ524364 PQQ589823:PQQ589900 PQQ655359:PQQ655436 PQQ720895:PQQ720972 PQQ786431:PQQ786508 PQQ851967:PQQ852044 PQQ917503:PQQ917580 PQQ983039:PQQ983116 QAM2:QAM76 QAM65535:QAM65612 QAM131071:QAM131148 QAM196607:QAM196684 QAM262143:QAM262220 QAM327679:QAM327756 QAM393215:QAM393292 QAM458751:QAM458828 QAM524287:QAM524364 QAM589823:QAM589900 QAM655359:QAM655436 QAM720895:QAM720972 QAM786431:QAM786508 QAM851967:QAM852044 QAM917503:QAM917580 QAM983039:QAM983116 QKI2:QKI76 QKI65535:QKI65612 QKI131071:QKI131148 QKI196607:QKI196684 QKI262143:QKI262220 QKI327679:QKI327756 QKI393215:QKI393292 QKI458751:QKI458828 QKI524287:QKI524364 QKI589823:QKI589900 QKI655359:QKI655436 QKI720895:QKI720972 QKI786431:QKI786508 QKI851967:QKI852044 QKI917503:QKI917580 QKI983039:QKI983116 QUE2:QUE76 QUE65535:QUE65612 QUE131071:QUE131148 QUE196607:QUE196684 QUE262143:QUE262220 QUE327679:QUE327756 QUE393215:QUE393292 QUE458751:QUE458828 QUE524287:QUE524364 QUE589823:QUE589900 QUE655359:QUE655436 QUE720895:QUE720972 QUE786431:QUE786508 QUE851967:QUE852044 QUE917503:QUE917580 QUE983039:QUE983116 REA2:REA76 REA65535:REA65612 REA131071:REA131148 REA196607:REA196684 REA262143:REA262220 REA327679:REA327756 REA393215:REA393292 REA458751:REA458828 REA524287:REA524364 REA589823:REA589900 REA655359:REA655436 REA720895:REA720972 REA786431:REA786508 REA851967:REA852044 REA917503:REA917580 REA983039:REA983116 RNW2:RNW76 RNW65535:RNW65612 RNW131071:RNW131148 RNW196607:RNW196684 RNW262143:RNW262220 RNW327679:RNW327756 RNW393215:RNW393292 RNW458751:RNW458828 RNW524287:RNW524364 RNW589823:RNW589900 RNW655359:RNW655436 RNW720895:RNW720972 RNW786431:RNW786508 RNW851967:RNW852044 RNW917503:RNW917580 RNW983039:RNW983116 RXS2:RXS76 RXS65535:RXS65612 RXS131071:RXS131148 RXS196607:RXS196684 RXS262143:RXS262220 RXS327679:RXS327756 RXS393215:RXS393292 RXS458751:RXS458828 RXS524287:RXS524364 RXS589823:RXS589900 RXS655359:RXS655436 RXS720895:RXS720972 RXS786431:RXS786508 RXS851967:RXS852044 RXS917503:RXS917580 RXS983039:RXS983116 SHO2:SHO76 SHO65535:SHO65612 SHO131071:SHO131148 SHO196607:SHO196684 SHO262143:SHO262220 SHO327679:SHO327756 SHO393215:SHO393292 SHO458751:SHO458828 SHO524287:SHO524364 SHO589823:SHO589900 SHO655359:SHO655436 SHO720895:SHO720972 SHO786431:SHO786508 SHO851967:SHO852044 SHO917503:SHO917580 SHO983039:SHO983116 SRK2:SRK76 SRK65535:SRK65612 SRK131071:SRK131148 SRK196607:SRK196684 SRK262143:SRK262220 SRK327679:SRK327756 SRK393215:SRK393292 SRK458751:SRK458828 SRK524287:SRK524364 SRK589823:SRK589900 SRK655359:SRK655436 SRK720895:SRK720972 SRK786431:SRK786508 SRK851967:SRK852044 SRK917503:SRK917580 SRK983039:SRK983116 TBG2:TBG76 TBG65535:TBG65612 TBG131071:TBG131148 TBG196607:TBG196684 TBG262143:TBG262220 TBG327679:TBG327756 TBG393215:TBG393292 TBG458751:TBG458828 TBG524287:TBG524364 TBG589823:TBG589900 TBG655359:TBG655436 TBG720895:TBG720972 TBG786431:TBG786508 TBG851967:TBG852044 TBG917503:TBG917580 TBG983039:TBG983116 TLC2:TLC76 TLC65535:TLC65612 TLC131071:TLC131148 TLC196607:TLC196684 TLC262143:TLC262220 TLC327679:TLC327756 TLC393215:TLC393292 TLC458751:TLC458828 TLC524287:TLC524364 TLC589823:TLC589900 TLC655359:TLC655436 TLC720895:TLC720972 TLC786431:TLC786508 TLC851967:TLC852044 TLC917503:TLC917580 TLC983039:TLC983116 TUY2:TUY76 TUY65535:TUY65612 TUY131071:TUY131148 TUY196607:TUY196684 TUY262143:TUY262220 TUY327679:TUY327756 TUY393215:TUY393292 TUY458751:TUY458828 TUY524287:TUY524364 TUY589823:TUY589900 TUY655359:TUY655436 TUY720895:TUY720972 TUY786431:TUY786508 TUY851967:TUY852044 TUY917503:TUY917580 TUY983039:TUY983116 UEU2:UEU76 UEU65535:UEU65612 UEU131071:UEU131148 UEU196607:UEU196684 UEU262143:UEU262220 UEU327679:UEU327756 UEU393215:UEU393292 UEU458751:UEU458828 UEU524287:UEU524364 UEU589823:UEU589900 UEU655359:UEU655436 UEU720895:UEU720972 UEU786431:UEU786508 UEU851967:UEU852044 UEU917503:UEU917580 UEU983039:UEU983116 UOQ2:UOQ76 UOQ65535:UOQ65612 UOQ131071:UOQ131148 UOQ196607:UOQ196684 UOQ262143:UOQ262220 UOQ327679:UOQ327756 UOQ393215:UOQ393292 UOQ458751:UOQ458828 UOQ524287:UOQ524364 UOQ589823:UOQ589900 UOQ655359:UOQ655436 UOQ720895:UOQ720972 UOQ786431:UOQ786508 UOQ851967:UOQ852044 UOQ917503:UOQ917580 UOQ983039:UOQ983116 UYM2:UYM76 UYM65535:UYM65612 UYM131071:UYM131148 UYM196607:UYM196684 UYM262143:UYM262220 UYM327679:UYM327756 UYM393215:UYM393292 UYM458751:UYM458828 UYM524287:UYM524364 UYM589823:UYM589900 UYM655359:UYM655436 UYM720895:UYM720972 UYM786431:UYM786508 UYM851967:UYM852044 UYM917503:UYM917580 UYM983039:UYM983116 VII2:VII76 VII65535:VII65612 VII131071:VII131148 VII196607:VII196684 VII262143:VII262220 VII327679:VII327756 VII393215:VII393292 VII458751:VII458828 VII524287:VII524364 VII589823:VII589900 VII655359:VII655436 VII720895:VII720972 VII786431:VII786508 VII851967:VII852044 VII917503:VII917580 VII983039:VII983116 VSE2:VSE76 VSE65535:VSE65612 VSE131071:VSE131148 VSE196607:VSE196684 VSE262143:VSE262220 VSE327679:VSE327756 VSE393215:VSE393292 VSE458751:VSE458828 VSE524287:VSE524364 VSE589823:VSE589900 VSE655359:VSE655436 VSE720895:VSE720972 VSE786431:VSE786508 VSE851967:VSE852044 VSE917503:VSE917580 VSE983039:VSE983116 WCA2:WCA76 WCA65535:WCA65612 WCA131071:WCA131148 WCA196607:WCA196684 WCA262143:WCA262220 WCA327679:WCA327756 WCA393215:WCA393292 WCA458751:WCA458828 WCA524287:WCA524364 WCA589823:WCA589900 WCA655359:WCA655436 WCA720895:WCA720972 WCA786431:WCA786508 WCA851967:WCA852044 WCA917503:WCA917580 WCA983039:WCA983116 WLW2:WLW76 WLW65535:WLW65612 WLW131071:WLW131148 WLW196607:WLW196684 WLW262143:WLW262220 WLW327679:WLW327756 WLW393215:WLW393292 WLW458751:WLW458828 WLW524287:WLW524364 WLW589823:WLW589900 WLW655359:WLW655436 WLW720895:WLW720972 WLW786431:WLW786508 WLW851967:WLW852044 WLW917503:WLW917580 WLW983039:WLW983116 WVS2:WVS76 WVS65535:WVS65612 WVS131071:WVS131148 WVS196607:WVS196684 WVS262143:WVS262220 WVS327679:WVS327756 WVS393215:WVS393292 WVS458751:WVS458828 WVS524287:WVS524364 WVS589823:WVS589900 WVS655359:WVS655436 WVS720895:WVS720972 WVS786431:WVS786508 WVS851967:WVS852044 WVS917503:WVS917580 WVS983039:WVS983116">
      <formula1>$AR$2:$AR$25</formula1>
    </dataValidation>
    <dataValidation type="list" allowBlank="1" showInputMessage="1" showErrorMessage="1" sqref="Z2:AA2 AA3:AA85 Y2:Y33 Z3:Z33 Y34:Z85 Y86:AA497">
      <formula1>$AV$2:$AV$21</formula1>
    </dataValidation>
    <dataValidation type="list" allowBlank="1" showInputMessage="1" showErrorMessage="1" sqref="H2:H497">
      <formula1>$AL$2:$AL$8</formula1>
    </dataValidation>
    <dataValidation type="list" allowBlank="1" showInputMessage="1" showErrorMessage="1" sqref="J2:J497 J65535:J65612 J131071:J131148 J196607:J196684 J262143:J262220 J327679:J327756 J393215:J393292 J458751:J458828 J524287:J524364 J589823:J589900 J655359:J655436 J720895:J720972 J786431:J786508 J851967:J852044 J917503:J917580 J983039:J983116 JF2:JF76 JF65535:JF65612 JF131071:JF131148 JF196607:JF196684 JF262143:JF262220 JF327679:JF327756 JF393215:JF393292 JF458751:JF458828 JF524287:JF524364 JF589823:JF589900 JF655359:JF655436 JF720895:JF720972 JF786431:JF786508 JF851967:JF852044 JF917503:JF917580 JF983039:JF983116 TB2:TB76 TB65535:TB65612 TB131071:TB131148 TB196607:TB196684 TB262143:TB262220 TB327679:TB327756 TB393215:TB393292 TB458751:TB458828 TB524287:TB524364 TB589823:TB589900 TB655359:TB655436 TB720895:TB720972 TB786431:TB786508 TB851967:TB852044 TB917503:TB917580 TB983039:TB983116 ACX2:ACX76 ACX65535:ACX65612 ACX131071:ACX131148 ACX196607:ACX196684 ACX262143:ACX262220 ACX327679:ACX327756 ACX393215:ACX393292 ACX458751:ACX458828 ACX524287:ACX524364 ACX589823:ACX589900 ACX655359:ACX655436 ACX720895:ACX720972 ACX786431:ACX786508 ACX851967:ACX852044 ACX917503:ACX917580 ACX983039:ACX983116 AMT2:AMT76 AMT65535:AMT65612 AMT131071:AMT131148 AMT196607:AMT196684 AMT262143:AMT262220 AMT327679:AMT327756 AMT393215:AMT393292 AMT458751:AMT458828 AMT524287:AMT524364 AMT589823:AMT589900 AMT655359:AMT655436 AMT720895:AMT720972 AMT786431:AMT786508 AMT851967:AMT852044 AMT917503:AMT917580 AMT983039:AMT983116 AWP2:AWP76 AWP65535:AWP65612 AWP131071:AWP131148 AWP196607:AWP196684 AWP262143:AWP262220 AWP327679:AWP327756 AWP393215:AWP393292 AWP458751:AWP458828 AWP524287:AWP524364 AWP589823:AWP589900 AWP655359:AWP655436 AWP720895:AWP720972 AWP786431:AWP786508 AWP851967:AWP852044 AWP917503:AWP917580 AWP983039:AWP983116 BGL2:BGL76 BGL65535:BGL65612 BGL131071:BGL131148 BGL196607:BGL196684 BGL262143:BGL262220 BGL327679:BGL327756 BGL393215:BGL393292 BGL458751:BGL458828 BGL524287:BGL524364 BGL589823:BGL589900 BGL655359:BGL655436 BGL720895:BGL720972 BGL786431:BGL786508 BGL851967:BGL852044 BGL917503:BGL917580 BGL983039:BGL983116 BQH2:BQH76 BQH65535:BQH65612 BQH131071:BQH131148 BQH196607:BQH196684 BQH262143:BQH262220 BQH327679:BQH327756 BQH393215:BQH393292 BQH458751:BQH458828 BQH524287:BQH524364 BQH589823:BQH589900 BQH655359:BQH655436 BQH720895:BQH720972 BQH786431:BQH786508 BQH851967:BQH852044 BQH917503:BQH917580 BQH983039:BQH983116 CAD2:CAD76 CAD65535:CAD65612 CAD131071:CAD131148 CAD196607:CAD196684 CAD262143:CAD262220 CAD327679:CAD327756 CAD393215:CAD393292 CAD458751:CAD458828 CAD524287:CAD524364 CAD589823:CAD589900 CAD655359:CAD655436 CAD720895:CAD720972 CAD786431:CAD786508 CAD851967:CAD852044 CAD917503:CAD917580 CAD983039:CAD983116 CJZ2:CJZ76 CJZ65535:CJZ65612 CJZ131071:CJZ131148 CJZ196607:CJZ196684 CJZ262143:CJZ262220 CJZ327679:CJZ327756 CJZ393215:CJZ393292 CJZ458751:CJZ458828 CJZ524287:CJZ524364 CJZ589823:CJZ589900 CJZ655359:CJZ655436 CJZ720895:CJZ720972 CJZ786431:CJZ786508 CJZ851967:CJZ852044 CJZ917503:CJZ917580 CJZ983039:CJZ983116 CTV2:CTV76 CTV65535:CTV65612 CTV131071:CTV131148 CTV196607:CTV196684 CTV262143:CTV262220 CTV327679:CTV327756 CTV393215:CTV393292 CTV458751:CTV458828 CTV524287:CTV524364 CTV589823:CTV589900 CTV655359:CTV655436 CTV720895:CTV720972 CTV786431:CTV786508 CTV851967:CTV852044 CTV917503:CTV917580 CTV983039:CTV983116 DDR2:DDR76 DDR65535:DDR65612 DDR131071:DDR131148 DDR196607:DDR196684 DDR262143:DDR262220 DDR327679:DDR327756 DDR393215:DDR393292 DDR458751:DDR458828 DDR524287:DDR524364 DDR589823:DDR589900 DDR655359:DDR655436 DDR720895:DDR720972 DDR786431:DDR786508 DDR851967:DDR852044 DDR917503:DDR917580 DDR983039:DDR983116 DNN2:DNN76 DNN65535:DNN65612 DNN131071:DNN131148 DNN196607:DNN196684 DNN262143:DNN262220 DNN327679:DNN327756 DNN393215:DNN393292 DNN458751:DNN458828 DNN524287:DNN524364 DNN589823:DNN589900 DNN655359:DNN655436 DNN720895:DNN720972 DNN786431:DNN786508 DNN851967:DNN852044 DNN917503:DNN917580 DNN983039:DNN983116 DXJ2:DXJ76 DXJ65535:DXJ65612 DXJ131071:DXJ131148 DXJ196607:DXJ196684 DXJ262143:DXJ262220 DXJ327679:DXJ327756 DXJ393215:DXJ393292 DXJ458751:DXJ458828 DXJ524287:DXJ524364 DXJ589823:DXJ589900 DXJ655359:DXJ655436 DXJ720895:DXJ720972 DXJ786431:DXJ786508 DXJ851967:DXJ852044 DXJ917503:DXJ917580 DXJ983039:DXJ983116 EHF2:EHF76 EHF65535:EHF65612 EHF131071:EHF131148 EHF196607:EHF196684 EHF262143:EHF262220 EHF327679:EHF327756 EHF393215:EHF393292 EHF458751:EHF458828 EHF524287:EHF524364 EHF589823:EHF589900 EHF655359:EHF655436 EHF720895:EHF720972 EHF786431:EHF786508 EHF851967:EHF852044 EHF917503:EHF917580 EHF983039:EHF983116 ERB2:ERB76 ERB65535:ERB65612 ERB131071:ERB131148 ERB196607:ERB196684 ERB262143:ERB262220 ERB327679:ERB327756 ERB393215:ERB393292 ERB458751:ERB458828 ERB524287:ERB524364 ERB589823:ERB589900 ERB655359:ERB655436 ERB720895:ERB720972 ERB786431:ERB786508 ERB851967:ERB852044 ERB917503:ERB917580 ERB983039:ERB983116 FAX2:FAX76 FAX65535:FAX65612 FAX131071:FAX131148 FAX196607:FAX196684 FAX262143:FAX262220 FAX327679:FAX327756 FAX393215:FAX393292 FAX458751:FAX458828 FAX524287:FAX524364 FAX589823:FAX589900 FAX655359:FAX655436 FAX720895:FAX720972 FAX786431:FAX786508 FAX851967:FAX852044 FAX917503:FAX917580 FAX983039:FAX983116 FKT2:FKT76 FKT65535:FKT65612 FKT131071:FKT131148 FKT196607:FKT196684 FKT262143:FKT262220 FKT327679:FKT327756 FKT393215:FKT393292 FKT458751:FKT458828 FKT524287:FKT524364 FKT589823:FKT589900 FKT655359:FKT655436 FKT720895:FKT720972 FKT786431:FKT786508 FKT851967:FKT852044 FKT917503:FKT917580 FKT983039:FKT983116 FUP2:FUP76 FUP65535:FUP65612 FUP131071:FUP131148 FUP196607:FUP196684 FUP262143:FUP262220 FUP327679:FUP327756 FUP393215:FUP393292 FUP458751:FUP458828 FUP524287:FUP524364 FUP589823:FUP589900 FUP655359:FUP655436 FUP720895:FUP720972 FUP786431:FUP786508 FUP851967:FUP852044 FUP917503:FUP917580 FUP983039:FUP983116 GEL2:GEL76 GEL65535:GEL65612 GEL131071:GEL131148 GEL196607:GEL196684 GEL262143:GEL262220 GEL327679:GEL327756 GEL393215:GEL393292 GEL458751:GEL458828 GEL524287:GEL524364 GEL589823:GEL589900 GEL655359:GEL655436 GEL720895:GEL720972 GEL786431:GEL786508 GEL851967:GEL852044 GEL917503:GEL917580 GEL983039:GEL983116 GOH2:GOH76 GOH65535:GOH65612 GOH131071:GOH131148 GOH196607:GOH196684 GOH262143:GOH262220 GOH327679:GOH327756 GOH393215:GOH393292 GOH458751:GOH458828 GOH524287:GOH524364 GOH589823:GOH589900 GOH655359:GOH655436 GOH720895:GOH720972 GOH786431:GOH786508 GOH851967:GOH852044 GOH917503:GOH917580 GOH983039:GOH983116 GYD2:GYD76 GYD65535:GYD65612 GYD131071:GYD131148 GYD196607:GYD196684 GYD262143:GYD262220 GYD327679:GYD327756 GYD393215:GYD393292 GYD458751:GYD458828 GYD524287:GYD524364 GYD589823:GYD589900 GYD655359:GYD655436 GYD720895:GYD720972 GYD786431:GYD786508 GYD851967:GYD852044 GYD917503:GYD917580 GYD983039:GYD983116 HHZ2:HHZ76 HHZ65535:HHZ65612 HHZ131071:HHZ131148 HHZ196607:HHZ196684 HHZ262143:HHZ262220 HHZ327679:HHZ327756 HHZ393215:HHZ393292 HHZ458751:HHZ458828 HHZ524287:HHZ524364 HHZ589823:HHZ589900 HHZ655359:HHZ655436 HHZ720895:HHZ720972 HHZ786431:HHZ786508 HHZ851967:HHZ852044 HHZ917503:HHZ917580 HHZ983039:HHZ983116 HRV2:HRV76 HRV65535:HRV65612 HRV131071:HRV131148 HRV196607:HRV196684 HRV262143:HRV262220 HRV327679:HRV327756 HRV393215:HRV393292 HRV458751:HRV458828 HRV524287:HRV524364 HRV589823:HRV589900 HRV655359:HRV655436 HRV720895:HRV720972 HRV786431:HRV786508 HRV851967:HRV852044 HRV917503:HRV917580 HRV983039:HRV983116 IBR2:IBR76 IBR65535:IBR65612 IBR131071:IBR131148 IBR196607:IBR196684 IBR262143:IBR262220 IBR327679:IBR327756 IBR393215:IBR393292 IBR458751:IBR458828 IBR524287:IBR524364 IBR589823:IBR589900 IBR655359:IBR655436 IBR720895:IBR720972 IBR786431:IBR786508 IBR851967:IBR852044 IBR917503:IBR917580 IBR983039:IBR983116 ILN2:ILN76 ILN65535:ILN65612 ILN131071:ILN131148 ILN196607:ILN196684 ILN262143:ILN262220 ILN327679:ILN327756 ILN393215:ILN393292 ILN458751:ILN458828 ILN524287:ILN524364 ILN589823:ILN589900 ILN655359:ILN655436 ILN720895:ILN720972 ILN786431:ILN786508 ILN851967:ILN852044 ILN917503:ILN917580 ILN983039:ILN983116 IVJ2:IVJ76 IVJ65535:IVJ65612 IVJ131071:IVJ131148 IVJ196607:IVJ196684 IVJ262143:IVJ262220 IVJ327679:IVJ327756 IVJ393215:IVJ393292 IVJ458751:IVJ458828 IVJ524287:IVJ524364 IVJ589823:IVJ589900 IVJ655359:IVJ655436 IVJ720895:IVJ720972 IVJ786431:IVJ786508 IVJ851967:IVJ852044 IVJ917503:IVJ917580 IVJ983039:IVJ983116 JFF2:JFF76 JFF65535:JFF65612 JFF131071:JFF131148 JFF196607:JFF196684 JFF262143:JFF262220 JFF327679:JFF327756 JFF393215:JFF393292 JFF458751:JFF458828 JFF524287:JFF524364 JFF589823:JFF589900 JFF655359:JFF655436 JFF720895:JFF720972 JFF786431:JFF786508 JFF851967:JFF852044 JFF917503:JFF917580 JFF983039:JFF983116 JPB2:JPB76 JPB65535:JPB65612 JPB131071:JPB131148 JPB196607:JPB196684 JPB262143:JPB262220 JPB327679:JPB327756 JPB393215:JPB393292 JPB458751:JPB458828 JPB524287:JPB524364 JPB589823:JPB589900 JPB655359:JPB655436 JPB720895:JPB720972 JPB786431:JPB786508 JPB851967:JPB852044 JPB917503:JPB917580 JPB983039:JPB983116 JYX2:JYX76 JYX65535:JYX65612 JYX131071:JYX131148 JYX196607:JYX196684 JYX262143:JYX262220 JYX327679:JYX327756 JYX393215:JYX393292 JYX458751:JYX458828 JYX524287:JYX524364 JYX589823:JYX589900 JYX655359:JYX655436 JYX720895:JYX720972 JYX786431:JYX786508 JYX851967:JYX852044 JYX917503:JYX917580 JYX983039:JYX983116 KIT2:KIT76 KIT65535:KIT65612 KIT131071:KIT131148 KIT196607:KIT196684 KIT262143:KIT262220 KIT327679:KIT327756 KIT393215:KIT393292 KIT458751:KIT458828 KIT524287:KIT524364 KIT589823:KIT589900 KIT655359:KIT655436 KIT720895:KIT720972 KIT786431:KIT786508 KIT851967:KIT852044 KIT917503:KIT917580 KIT983039:KIT983116 KSP2:KSP76 KSP65535:KSP65612 KSP131071:KSP131148 KSP196607:KSP196684 KSP262143:KSP262220 KSP327679:KSP327756 KSP393215:KSP393292 KSP458751:KSP458828 KSP524287:KSP524364 KSP589823:KSP589900 KSP655359:KSP655436 KSP720895:KSP720972 KSP786431:KSP786508 KSP851967:KSP852044 KSP917503:KSP917580 KSP983039:KSP983116 LCL2:LCL76 LCL65535:LCL65612 LCL131071:LCL131148 LCL196607:LCL196684 LCL262143:LCL262220 LCL327679:LCL327756 LCL393215:LCL393292 LCL458751:LCL458828 LCL524287:LCL524364 LCL589823:LCL589900 LCL655359:LCL655436 LCL720895:LCL720972 LCL786431:LCL786508 LCL851967:LCL852044 LCL917503:LCL917580 LCL983039:LCL983116 LMH2:LMH76 LMH65535:LMH65612 LMH131071:LMH131148 LMH196607:LMH196684 LMH262143:LMH262220 LMH327679:LMH327756 LMH393215:LMH393292 LMH458751:LMH458828 LMH524287:LMH524364 LMH589823:LMH589900 LMH655359:LMH655436 LMH720895:LMH720972 LMH786431:LMH786508 LMH851967:LMH852044 LMH917503:LMH917580 LMH983039:LMH983116 LWD2:LWD76 LWD65535:LWD65612 LWD131071:LWD131148 LWD196607:LWD196684 LWD262143:LWD262220 LWD327679:LWD327756 LWD393215:LWD393292 LWD458751:LWD458828 LWD524287:LWD524364 LWD589823:LWD589900 LWD655359:LWD655436 LWD720895:LWD720972 LWD786431:LWD786508 LWD851967:LWD852044 LWD917503:LWD917580 LWD983039:LWD983116 MFZ2:MFZ76 MFZ65535:MFZ65612 MFZ131071:MFZ131148 MFZ196607:MFZ196684 MFZ262143:MFZ262220 MFZ327679:MFZ327756 MFZ393215:MFZ393292 MFZ458751:MFZ458828 MFZ524287:MFZ524364 MFZ589823:MFZ589900 MFZ655359:MFZ655436 MFZ720895:MFZ720972 MFZ786431:MFZ786508 MFZ851967:MFZ852044 MFZ917503:MFZ917580 MFZ983039:MFZ983116 MPV2:MPV76 MPV65535:MPV65612 MPV131071:MPV131148 MPV196607:MPV196684 MPV262143:MPV262220 MPV327679:MPV327756 MPV393215:MPV393292 MPV458751:MPV458828 MPV524287:MPV524364 MPV589823:MPV589900 MPV655359:MPV655436 MPV720895:MPV720972 MPV786431:MPV786508 MPV851967:MPV852044 MPV917503:MPV917580 MPV983039:MPV983116 MZR2:MZR76 MZR65535:MZR65612 MZR131071:MZR131148 MZR196607:MZR196684 MZR262143:MZR262220 MZR327679:MZR327756 MZR393215:MZR393292 MZR458751:MZR458828 MZR524287:MZR524364 MZR589823:MZR589900 MZR655359:MZR655436 MZR720895:MZR720972 MZR786431:MZR786508 MZR851967:MZR852044 MZR917503:MZR917580 MZR983039:MZR983116 NJN2:NJN76 NJN65535:NJN65612 NJN131071:NJN131148 NJN196607:NJN196684 NJN262143:NJN262220 NJN327679:NJN327756 NJN393215:NJN393292 NJN458751:NJN458828 NJN524287:NJN524364 NJN589823:NJN589900 NJN655359:NJN655436 NJN720895:NJN720972 NJN786431:NJN786508 NJN851967:NJN852044 NJN917503:NJN917580 NJN983039:NJN983116 NTJ2:NTJ76 NTJ65535:NTJ65612 NTJ131071:NTJ131148 NTJ196607:NTJ196684 NTJ262143:NTJ262220 NTJ327679:NTJ327756 NTJ393215:NTJ393292 NTJ458751:NTJ458828 NTJ524287:NTJ524364 NTJ589823:NTJ589900 NTJ655359:NTJ655436 NTJ720895:NTJ720972 NTJ786431:NTJ786508 NTJ851967:NTJ852044 NTJ917503:NTJ917580 NTJ983039:NTJ983116 ODF2:ODF76 ODF65535:ODF65612 ODF131071:ODF131148 ODF196607:ODF196684 ODF262143:ODF262220 ODF327679:ODF327756 ODF393215:ODF393292 ODF458751:ODF458828 ODF524287:ODF524364 ODF589823:ODF589900 ODF655359:ODF655436 ODF720895:ODF720972 ODF786431:ODF786508 ODF851967:ODF852044 ODF917503:ODF917580 ODF983039:ODF983116 ONB2:ONB76 ONB65535:ONB65612 ONB131071:ONB131148 ONB196607:ONB196684 ONB262143:ONB262220 ONB327679:ONB327756 ONB393215:ONB393292 ONB458751:ONB458828 ONB524287:ONB524364 ONB589823:ONB589900 ONB655359:ONB655436 ONB720895:ONB720972 ONB786431:ONB786508 ONB851967:ONB852044 ONB917503:ONB917580 ONB983039:ONB983116 OWX2:OWX76 OWX65535:OWX65612 OWX131071:OWX131148 OWX196607:OWX196684 OWX262143:OWX262220 OWX327679:OWX327756 OWX393215:OWX393292 OWX458751:OWX458828 OWX524287:OWX524364 OWX589823:OWX589900 OWX655359:OWX655436 OWX720895:OWX720972 OWX786431:OWX786508 OWX851967:OWX852044 OWX917503:OWX917580 OWX983039:OWX983116 PGT2:PGT76 PGT65535:PGT65612 PGT131071:PGT131148 PGT196607:PGT196684 PGT262143:PGT262220 PGT327679:PGT327756 PGT393215:PGT393292 PGT458751:PGT458828 PGT524287:PGT524364 PGT589823:PGT589900 PGT655359:PGT655436 PGT720895:PGT720972 PGT786431:PGT786508 PGT851967:PGT852044 PGT917503:PGT917580 PGT983039:PGT983116 PQP2:PQP76 PQP65535:PQP65612 PQP131071:PQP131148 PQP196607:PQP196684 PQP262143:PQP262220 PQP327679:PQP327756 PQP393215:PQP393292 PQP458751:PQP458828 PQP524287:PQP524364 PQP589823:PQP589900 PQP655359:PQP655436 PQP720895:PQP720972 PQP786431:PQP786508 PQP851967:PQP852044 PQP917503:PQP917580 PQP983039:PQP983116 QAL2:QAL76 QAL65535:QAL65612 QAL131071:QAL131148 QAL196607:QAL196684 QAL262143:QAL262220 QAL327679:QAL327756 QAL393215:QAL393292 QAL458751:QAL458828 QAL524287:QAL524364 QAL589823:QAL589900 QAL655359:QAL655436 QAL720895:QAL720972 QAL786431:QAL786508 QAL851967:QAL852044 QAL917503:QAL917580 QAL983039:QAL983116 QKH2:QKH76 QKH65535:QKH65612 QKH131071:QKH131148 QKH196607:QKH196684 QKH262143:QKH262220 QKH327679:QKH327756 QKH393215:QKH393292 QKH458751:QKH458828 QKH524287:QKH524364 QKH589823:QKH589900 QKH655359:QKH655436 QKH720895:QKH720972 QKH786431:QKH786508 QKH851967:QKH852044 QKH917503:QKH917580 QKH983039:QKH983116 QUD2:QUD76 QUD65535:QUD65612 QUD131071:QUD131148 QUD196607:QUD196684 QUD262143:QUD262220 QUD327679:QUD327756 QUD393215:QUD393292 QUD458751:QUD458828 QUD524287:QUD524364 QUD589823:QUD589900 QUD655359:QUD655436 QUD720895:QUD720972 QUD786431:QUD786508 QUD851967:QUD852044 QUD917503:QUD917580 QUD983039:QUD983116 RDZ2:RDZ76 RDZ65535:RDZ65612 RDZ131071:RDZ131148 RDZ196607:RDZ196684 RDZ262143:RDZ262220 RDZ327679:RDZ327756 RDZ393215:RDZ393292 RDZ458751:RDZ458828 RDZ524287:RDZ524364 RDZ589823:RDZ589900 RDZ655359:RDZ655436 RDZ720895:RDZ720972 RDZ786431:RDZ786508 RDZ851967:RDZ852044 RDZ917503:RDZ917580 RDZ983039:RDZ983116 RNV2:RNV76 RNV65535:RNV65612 RNV131071:RNV131148 RNV196607:RNV196684 RNV262143:RNV262220 RNV327679:RNV327756 RNV393215:RNV393292 RNV458751:RNV458828 RNV524287:RNV524364 RNV589823:RNV589900 RNV655359:RNV655436 RNV720895:RNV720972 RNV786431:RNV786508 RNV851967:RNV852044 RNV917503:RNV917580 RNV983039:RNV983116 RXR2:RXR76 RXR65535:RXR65612 RXR131071:RXR131148 RXR196607:RXR196684 RXR262143:RXR262220 RXR327679:RXR327756 RXR393215:RXR393292 RXR458751:RXR458828 RXR524287:RXR524364 RXR589823:RXR589900 RXR655359:RXR655436 RXR720895:RXR720972 RXR786431:RXR786508 RXR851967:RXR852044 RXR917503:RXR917580 RXR983039:RXR983116 SHN2:SHN76 SHN65535:SHN65612 SHN131071:SHN131148 SHN196607:SHN196684 SHN262143:SHN262220 SHN327679:SHN327756 SHN393215:SHN393292 SHN458751:SHN458828 SHN524287:SHN524364 SHN589823:SHN589900 SHN655359:SHN655436 SHN720895:SHN720972 SHN786431:SHN786508 SHN851967:SHN852044 SHN917503:SHN917580 SHN983039:SHN983116 SRJ2:SRJ76 SRJ65535:SRJ65612 SRJ131071:SRJ131148 SRJ196607:SRJ196684 SRJ262143:SRJ262220 SRJ327679:SRJ327756 SRJ393215:SRJ393292 SRJ458751:SRJ458828 SRJ524287:SRJ524364 SRJ589823:SRJ589900 SRJ655359:SRJ655436 SRJ720895:SRJ720972 SRJ786431:SRJ786508 SRJ851967:SRJ852044 SRJ917503:SRJ917580 SRJ983039:SRJ983116 TBF2:TBF76 TBF65535:TBF65612 TBF131071:TBF131148 TBF196607:TBF196684 TBF262143:TBF262220 TBF327679:TBF327756 TBF393215:TBF393292 TBF458751:TBF458828 TBF524287:TBF524364 TBF589823:TBF589900 TBF655359:TBF655436 TBF720895:TBF720972 TBF786431:TBF786508 TBF851967:TBF852044 TBF917503:TBF917580 TBF983039:TBF983116 TLB2:TLB76 TLB65535:TLB65612 TLB131071:TLB131148 TLB196607:TLB196684 TLB262143:TLB262220 TLB327679:TLB327756 TLB393215:TLB393292 TLB458751:TLB458828 TLB524287:TLB524364 TLB589823:TLB589900 TLB655359:TLB655436 TLB720895:TLB720972 TLB786431:TLB786508 TLB851967:TLB852044 TLB917503:TLB917580 TLB983039:TLB983116 TUX2:TUX76 TUX65535:TUX65612 TUX131071:TUX131148 TUX196607:TUX196684 TUX262143:TUX262220 TUX327679:TUX327756 TUX393215:TUX393292 TUX458751:TUX458828 TUX524287:TUX524364 TUX589823:TUX589900 TUX655359:TUX655436 TUX720895:TUX720972 TUX786431:TUX786508 TUX851967:TUX852044 TUX917503:TUX917580 TUX983039:TUX983116 UET2:UET76 UET65535:UET65612 UET131071:UET131148 UET196607:UET196684 UET262143:UET262220 UET327679:UET327756 UET393215:UET393292 UET458751:UET458828 UET524287:UET524364 UET589823:UET589900 UET655359:UET655436 UET720895:UET720972 UET786431:UET786508 UET851967:UET852044 UET917503:UET917580 UET983039:UET983116 UOP2:UOP76 UOP65535:UOP65612 UOP131071:UOP131148 UOP196607:UOP196684 UOP262143:UOP262220 UOP327679:UOP327756 UOP393215:UOP393292 UOP458751:UOP458828 UOP524287:UOP524364 UOP589823:UOP589900 UOP655359:UOP655436 UOP720895:UOP720972 UOP786431:UOP786508 UOP851967:UOP852044 UOP917503:UOP917580 UOP983039:UOP983116 UYL2:UYL76 UYL65535:UYL65612 UYL131071:UYL131148 UYL196607:UYL196684 UYL262143:UYL262220 UYL327679:UYL327756 UYL393215:UYL393292 UYL458751:UYL458828 UYL524287:UYL524364 UYL589823:UYL589900 UYL655359:UYL655436 UYL720895:UYL720972 UYL786431:UYL786508 UYL851967:UYL852044 UYL917503:UYL917580 UYL983039:UYL983116 VIH2:VIH76 VIH65535:VIH65612 VIH131071:VIH131148 VIH196607:VIH196684 VIH262143:VIH262220 VIH327679:VIH327756 VIH393215:VIH393292 VIH458751:VIH458828 VIH524287:VIH524364 VIH589823:VIH589900 VIH655359:VIH655436 VIH720895:VIH720972 VIH786431:VIH786508 VIH851967:VIH852044 VIH917503:VIH917580 VIH983039:VIH983116 VSD2:VSD76 VSD65535:VSD65612 VSD131071:VSD131148 VSD196607:VSD196684 VSD262143:VSD262220 VSD327679:VSD327756 VSD393215:VSD393292 VSD458751:VSD458828 VSD524287:VSD524364 VSD589823:VSD589900 VSD655359:VSD655436 VSD720895:VSD720972 VSD786431:VSD786508 VSD851967:VSD852044 VSD917503:VSD917580 VSD983039:VSD983116 WBZ2:WBZ76 WBZ65535:WBZ65612 WBZ131071:WBZ131148 WBZ196607:WBZ196684 WBZ262143:WBZ262220 WBZ327679:WBZ327756 WBZ393215:WBZ393292 WBZ458751:WBZ458828 WBZ524287:WBZ524364 WBZ589823:WBZ589900 WBZ655359:WBZ655436 WBZ720895:WBZ720972 WBZ786431:WBZ786508 WBZ851967:WBZ852044 WBZ917503:WBZ917580 WBZ983039:WBZ983116 WLV2:WLV76 WLV65535:WLV65612 WLV131071:WLV131148 WLV196607:WLV196684 WLV262143:WLV262220 WLV327679:WLV327756 WLV393215:WLV393292 WLV458751:WLV458828 WLV524287:WLV524364 WLV589823:WLV589900 WLV655359:WLV655436 WLV720895:WLV720972 WLV786431:WLV786508 WLV851967:WLV852044 WLV917503:WLV917580 WLV983039:WLV983116 WVR2:WVR76 WVR65535:WVR65612 WVR131071:WVR131148 WVR196607:WVR196684 WVR262143:WVR262220 WVR327679:WVR327756 WVR393215:WVR393292 WVR458751:WVR458828 WVR524287:WVR524364 WVR589823:WVR589900 WVR655359:WVR655436 WVR720895:WVR720972 WVR786431:WVR786508 WVR851967:WVR852044 WVR917503:WVR917580 WVR983039:WVR983116">
      <formula1>$AP$2:$AP$27</formula1>
    </dataValidation>
    <dataValidation type="list" allowBlank="1" showInputMessage="1" showErrorMessage="1" sqref="F2:F728 F65535:F65612 F131071:F131148 F196607:F196684 F262143:F262220 F327679:F327756 F393215:F393292 F458751:F458828 F524287:F524364 F589823:F589900 F655359:F655436 F720895:F720972 F786431:F786508 F851967:F852044 F917503:F917580 F983039:F983116 JB2:JB76 JB65535:JB65612 JB131071:JB131148 JB196607:JB196684 JB262143:JB262220 JB327679:JB327756 JB393215:JB393292 JB458751:JB458828 JB524287:JB524364 JB589823:JB589900 JB655359:JB655436 JB720895:JB720972 JB786431:JB786508 JB851967:JB852044 JB917503:JB917580 JB983039:JB983116 SX2:SX76 SX65535:SX65612 SX131071:SX131148 SX196607:SX196684 SX262143:SX262220 SX327679:SX327756 SX393215:SX393292 SX458751:SX458828 SX524287:SX524364 SX589823:SX589900 SX655359:SX655436 SX720895:SX720972 SX786431:SX786508 SX851967:SX852044 SX917503:SX917580 SX983039:SX983116 ACT2:ACT76 ACT65535:ACT65612 ACT131071:ACT131148 ACT196607:ACT196684 ACT262143:ACT262220 ACT327679:ACT327756 ACT393215:ACT393292 ACT458751:ACT458828 ACT524287:ACT524364 ACT589823:ACT589900 ACT655359:ACT655436 ACT720895:ACT720972 ACT786431:ACT786508 ACT851967:ACT852044 ACT917503:ACT917580 ACT983039:ACT983116 AMP2:AMP76 AMP65535:AMP65612 AMP131071:AMP131148 AMP196607:AMP196684 AMP262143:AMP262220 AMP327679:AMP327756 AMP393215:AMP393292 AMP458751:AMP458828 AMP524287:AMP524364 AMP589823:AMP589900 AMP655359:AMP655436 AMP720895:AMP720972 AMP786431:AMP786508 AMP851967:AMP852044 AMP917503:AMP917580 AMP983039:AMP983116 AWL2:AWL76 AWL65535:AWL65612 AWL131071:AWL131148 AWL196607:AWL196684 AWL262143:AWL262220 AWL327679:AWL327756 AWL393215:AWL393292 AWL458751:AWL458828 AWL524287:AWL524364 AWL589823:AWL589900 AWL655359:AWL655436 AWL720895:AWL720972 AWL786431:AWL786508 AWL851967:AWL852044 AWL917503:AWL917580 AWL983039:AWL983116 BGH2:BGH76 BGH65535:BGH65612 BGH131071:BGH131148 BGH196607:BGH196684 BGH262143:BGH262220 BGH327679:BGH327756 BGH393215:BGH393292 BGH458751:BGH458828 BGH524287:BGH524364 BGH589823:BGH589900 BGH655359:BGH655436 BGH720895:BGH720972 BGH786431:BGH786508 BGH851967:BGH852044 BGH917503:BGH917580 BGH983039:BGH983116 BQD2:BQD76 BQD65535:BQD65612 BQD131071:BQD131148 BQD196607:BQD196684 BQD262143:BQD262220 BQD327679:BQD327756 BQD393215:BQD393292 BQD458751:BQD458828 BQD524287:BQD524364 BQD589823:BQD589900 BQD655359:BQD655436 BQD720895:BQD720972 BQD786431:BQD786508 BQD851967:BQD852044 BQD917503:BQD917580 BQD983039:BQD983116 BZZ2:BZZ76 BZZ65535:BZZ65612 BZZ131071:BZZ131148 BZZ196607:BZZ196684 BZZ262143:BZZ262220 BZZ327679:BZZ327756 BZZ393215:BZZ393292 BZZ458751:BZZ458828 BZZ524287:BZZ524364 BZZ589823:BZZ589900 BZZ655359:BZZ655436 BZZ720895:BZZ720972 BZZ786431:BZZ786508 BZZ851967:BZZ852044 BZZ917503:BZZ917580 BZZ983039:BZZ983116 CJV2:CJV76 CJV65535:CJV65612 CJV131071:CJV131148 CJV196607:CJV196684 CJV262143:CJV262220 CJV327679:CJV327756 CJV393215:CJV393292 CJV458751:CJV458828 CJV524287:CJV524364 CJV589823:CJV589900 CJV655359:CJV655436 CJV720895:CJV720972 CJV786431:CJV786508 CJV851967:CJV852044 CJV917503:CJV917580 CJV983039:CJV983116 CTR2:CTR76 CTR65535:CTR65612 CTR131071:CTR131148 CTR196607:CTR196684 CTR262143:CTR262220 CTR327679:CTR327756 CTR393215:CTR393292 CTR458751:CTR458828 CTR524287:CTR524364 CTR589823:CTR589900 CTR655359:CTR655436 CTR720895:CTR720972 CTR786431:CTR786508 CTR851967:CTR852044 CTR917503:CTR917580 CTR983039:CTR983116 DDN2:DDN76 DDN65535:DDN65612 DDN131071:DDN131148 DDN196607:DDN196684 DDN262143:DDN262220 DDN327679:DDN327756 DDN393215:DDN393292 DDN458751:DDN458828 DDN524287:DDN524364 DDN589823:DDN589900 DDN655359:DDN655436 DDN720895:DDN720972 DDN786431:DDN786508 DDN851967:DDN852044 DDN917503:DDN917580 DDN983039:DDN983116 DNJ2:DNJ76 DNJ65535:DNJ65612 DNJ131071:DNJ131148 DNJ196607:DNJ196684 DNJ262143:DNJ262220 DNJ327679:DNJ327756 DNJ393215:DNJ393292 DNJ458751:DNJ458828 DNJ524287:DNJ524364 DNJ589823:DNJ589900 DNJ655359:DNJ655436 DNJ720895:DNJ720972 DNJ786431:DNJ786508 DNJ851967:DNJ852044 DNJ917503:DNJ917580 DNJ983039:DNJ983116 DXF2:DXF76 DXF65535:DXF65612 DXF131071:DXF131148 DXF196607:DXF196684 DXF262143:DXF262220 DXF327679:DXF327756 DXF393215:DXF393292 DXF458751:DXF458828 DXF524287:DXF524364 DXF589823:DXF589900 DXF655359:DXF655436 DXF720895:DXF720972 DXF786431:DXF786508 DXF851967:DXF852044 DXF917503:DXF917580 DXF983039:DXF983116 EHB2:EHB76 EHB65535:EHB65612 EHB131071:EHB131148 EHB196607:EHB196684 EHB262143:EHB262220 EHB327679:EHB327756 EHB393215:EHB393292 EHB458751:EHB458828 EHB524287:EHB524364 EHB589823:EHB589900 EHB655359:EHB655436 EHB720895:EHB720972 EHB786431:EHB786508 EHB851967:EHB852044 EHB917503:EHB917580 EHB983039:EHB983116 EQX2:EQX76 EQX65535:EQX65612 EQX131071:EQX131148 EQX196607:EQX196684 EQX262143:EQX262220 EQX327679:EQX327756 EQX393215:EQX393292 EQX458751:EQX458828 EQX524287:EQX524364 EQX589823:EQX589900 EQX655359:EQX655436 EQX720895:EQX720972 EQX786431:EQX786508 EQX851967:EQX852044 EQX917503:EQX917580 EQX983039:EQX983116 FAT2:FAT76 FAT65535:FAT65612 FAT131071:FAT131148 FAT196607:FAT196684 FAT262143:FAT262220 FAT327679:FAT327756 FAT393215:FAT393292 FAT458751:FAT458828 FAT524287:FAT524364 FAT589823:FAT589900 FAT655359:FAT655436 FAT720895:FAT720972 FAT786431:FAT786508 FAT851967:FAT852044 FAT917503:FAT917580 FAT983039:FAT983116 FKP2:FKP76 FKP65535:FKP65612 FKP131071:FKP131148 FKP196607:FKP196684 FKP262143:FKP262220 FKP327679:FKP327756 FKP393215:FKP393292 FKP458751:FKP458828 FKP524287:FKP524364 FKP589823:FKP589900 FKP655359:FKP655436 FKP720895:FKP720972 FKP786431:FKP786508 FKP851967:FKP852044 FKP917503:FKP917580 FKP983039:FKP983116 FUL2:FUL76 FUL65535:FUL65612 FUL131071:FUL131148 FUL196607:FUL196684 FUL262143:FUL262220 FUL327679:FUL327756 FUL393215:FUL393292 FUL458751:FUL458828 FUL524287:FUL524364 FUL589823:FUL589900 FUL655359:FUL655436 FUL720895:FUL720972 FUL786431:FUL786508 FUL851967:FUL852044 FUL917503:FUL917580 FUL983039:FUL983116 GEH2:GEH76 GEH65535:GEH65612 GEH131071:GEH131148 GEH196607:GEH196684 GEH262143:GEH262220 GEH327679:GEH327756 GEH393215:GEH393292 GEH458751:GEH458828 GEH524287:GEH524364 GEH589823:GEH589900 GEH655359:GEH655436 GEH720895:GEH720972 GEH786431:GEH786508 GEH851967:GEH852044 GEH917503:GEH917580 GEH983039:GEH983116 GOD2:GOD76 GOD65535:GOD65612 GOD131071:GOD131148 GOD196607:GOD196684 GOD262143:GOD262220 GOD327679:GOD327756 GOD393215:GOD393292 GOD458751:GOD458828 GOD524287:GOD524364 GOD589823:GOD589900 GOD655359:GOD655436 GOD720895:GOD720972 GOD786431:GOD786508 GOD851967:GOD852044 GOD917503:GOD917580 GOD983039:GOD983116 GXZ2:GXZ76 GXZ65535:GXZ65612 GXZ131071:GXZ131148 GXZ196607:GXZ196684 GXZ262143:GXZ262220 GXZ327679:GXZ327756 GXZ393215:GXZ393292 GXZ458751:GXZ458828 GXZ524287:GXZ524364 GXZ589823:GXZ589900 GXZ655359:GXZ655436 GXZ720895:GXZ720972 GXZ786431:GXZ786508 GXZ851967:GXZ852044 GXZ917503:GXZ917580 GXZ983039:GXZ983116 HHV2:HHV76 HHV65535:HHV65612 HHV131071:HHV131148 HHV196607:HHV196684 HHV262143:HHV262220 HHV327679:HHV327756 HHV393215:HHV393292 HHV458751:HHV458828 HHV524287:HHV524364 HHV589823:HHV589900 HHV655359:HHV655436 HHV720895:HHV720972 HHV786431:HHV786508 HHV851967:HHV852044 HHV917503:HHV917580 HHV983039:HHV983116 HRR2:HRR76 HRR65535:HRR65612 HRR131071:HRR131148 HRR196607:HRR196684 HRR262143:HRR262220 HRR327679:HRR327756 HRR393215:HRR393292 HRR458751:HRR458828 HRR524287:HRR524364 HRR589823:HRR589900 HRR655359:HRR655436 HRR720895:HRR720972 HRR786431:HRR786508 HRR851967:HRR852044 HRR917503:HRR917580 HRR983039:HRR983116 IBN2:IBN76 IBN65535:IBN65612 IBN131071:IBN131148 IBN196607:IBN196684 IBN262143:IBN262220 IBN327679:IBN327756 IBN393215:IBN393292 IBN458751:IBN458828 IBN524287:IBN524364 IBN589823:IBN589900 IBN655359:IBN655436 IBN720895:IBN720972 IBN786431:IBN786508 IBN851967:IBN852044 IBN917503:IBN917580 IBN983039:IBN983116 ILJ2:ILJ76 ILJ65535:ILJ65612 ILJ131071:ILJ131148 ILJ196607:ILJ196684 ILJ262143:ILJ262220 ILJ327679:ILJ327756 ILJ393215:ILJ393292 ILJ458751:ILJ458828 ILJ524287:ILJ524364 ILJ589823:ILJ589900 ILJ655359:ILJ655436 ILJ720895:ILJ720972 ILJ786431:ILJ786508 ILJ851967:ILJ852044 ILJ917503:ILJ917580 ILJ983039:ILJ983116 IVF2:IVF76 IVF65535:IVF65612 IVF131071:IVF131148 IVF196607:IVF196684 IVF262143:IVF262220 IVF327679:IVF327756 IVF393215:IVF393292 IVF458751:IVF458828 IVF524287:IVF524364 IVF589823:IVF589900 IVF655359:IVF655436 IVF720895:IVF720972 IVF786431:IVF786508 IVF851967:IVF852044 IVF917503:IVF917580 IVF983039:IVF983116 JFB2:JFB76 JFB65535:JFB65612 JFB131071:JFB131148 JFB196607:JFB196684 JFB262143:JFB262220 JFB327679:JFB327756 JFB393215:JFB393292 JFB458751:JFB458828 JFB524287:JFB524364 JFB589823:JFB589900 JFB655359:JFB655436 JFB720895:JFB720972 JFB786431:JFB786508 JFB851967:JFB852044 JFB917503:JFB917580 JFB983039:JFB983116 JOX2:JOX76 JOX65535:JOX65612 JOX131071:JOX131148 JOX196607:JOX196684 JOX262143:JOX262220 JOX327679:JOX327756 JOX393215:JOX393292 JOX458751:JOX458828 JOX524287:JOX524364 JOX589823:JOX589900 JOX655359:JOX655436 JOX720895:JOX720972 JOX786431:JOX786508 JOX851967:JOX852044 JOX917503:JOX917580 JOX983039:JOX983116 JYT2:JYT76 JYT65535:JYT65612 JYT131071:JYT131148 JYT196607:JYT196684 JYT262143:JYT262220 JYT327679:JYT327756 JYT393215:JYT393292 JYT458751:JYT458828 JYT524287:JYT524364 JYT589823:JYT589900 JYT655359:JYT655436 JYT720895:JYT720972 JYT786431:JYT786508 JYT851967:JYT852044 JYT917503:JYT917580 JYT983039:JYT983116 KIP2:KIP76 KIP65535:KIP65612 KIP131071:KIP131148 KIP196607:KIP196684 KIP262143:KIP262220 KIP327679:KIP327756 KIP393215:KIP393292 KIP458751:KIP458828 KIP524287:KIP524364 KIP589823:KIP589900 KIP655359:KIP655436 KIP720895:KIP720972 KIP786431:KIP786508 KIP851967:KIP852044 KIP917503:KIP917580 KIP983039:KIP983116 KSL2:KSL76 KSL65535:KSL65612 KSL131071:KSL131148 KSL196607:KSL196684 KSL262143:KSL262220 KSL327679:KSL327756 KSL393215:KSL393292 KSL458751:KSL458828 KSL524287:KSL524364 KSL589823:KSL589900 KSL655359:KSL655436 KSL720895:KSL720972 KSL786431:KSL786508 KSL851967:KSL852044 KSL917503:KSL917580 KSL983039:KSL983116 LCH2:LCH76 LCH65535:LCH65612 LCH131071:LCH131148 LCH196607:LCH196684 LCH262143:LCH262220 LCH327679:LCH327756 LCH393215:LCH393292 LCH458751:LCH458828 LCH524287:LCH524364 LCH589823:LCH589900 LCH655359:LCH655436 LCH720895:LCH720972 LCH786431:LCH786508 LCH851967:LCH852044 LCH917503:LCH917580 LCH983039:LCH983116 LMD2:LMD76 LMD65535:LMD65612 LMD131071:LMD131148 LMD196607:LMD196684 LMD262143:LMD262220 LMD327679:LMD327756 LMD393215:LMD393292 LMD458751:LMD458828 LMD524287:LMD524364 LMD589823:LMD589900 LMD655359:LMD655436 LMD720895:LMD720972 LMD786431:LMD786508 LMD851967:LMD852044 LMD917503:LMD917580 LMD983039:LMD983116 LVZ2:LVZ76 LVZ65535:LVZ65612 LVZ131071:LVZ131148 LVZ196607:LVZ196684 LVZ262143:LVZ262220 LVZ327679:LVZ327756 LVZ393215:LVZ393292 LVZ458751:LVZ458828 LVZ524287:LVZ524364 LVZ589823:LVZ589900 LVZ655359:LVZ655436 LVZ720895:LVZ720972 LVZ786431:LVZ786508 LVZ851967:LVZ852044 LVZ917503:LVZ917580 LVZ983039:LVZ983116 MFV2:MFV76 MFV65535:MFV65612 MFV131071:MFV131148 MFV196607:MFV196684 MFV262143:MFV262220 MFV327679:MFV327756 MFV393215:MFV393292 MFV458751:MFV458828 MFV524287:MFV524364 MFV589823:MFV589900 MFV655359:MFV655436 MFV720895:MFV720972 MFV786431:MFV786508 MFV851967:MFV852044 MFV917503:MFV917580 MFV983039:MFV983116 MPR2:MPR76 MPR65535:MPR65612 MPR131071:MPR131148 MPR196607:MPR196684 MPR262143:MPR262220 MPR327679:MPR327756 MPR393215:MPR393292 MPR458751:MPR458828 MPR524287:MPR524364 MPR589823:MPR589900 MPR655359:MPR655436 MPR720895:MPR720972 MPR786431:MPR786508 MPR851967:MPR852044 MPR917503:MPR917580 MPR983039:MPR983116 MZN2:MZN76 MZN65535:MZN65612 MZN131071:MZN131148 MZN196607:MZN196684 MZN262143:MZN262220 MZN327679:MZN327756 MZN393215:MZN393292 MZN458751:MZN458828 MZN524287:MZN524364 MZN589823:MZN589900 MZN655359:MZN655436 MZN720895:MZN720972 MZN786431:MZN786508 MZN851967:MZN852044 MZN917503:MZN917580 MZN983039:MZN983116 NJJ2:NJJ76 NJJ65535:NJJ65612 NJJ131071:NJJ131148 NJJ196607:NJJ196684 NJJ262143:NJJ262220 NJJ327679:NJJ327756 NJJ393215:NJJ393292 NJJ458751:NJJ458828 NJJ524287:NJJ524364 NJJ589823:NJJ589900 NJJ655359:NJJ655436 NJJ720895:NJJ720972 NJJ786431:NJJ786508 NJJ851967:NJJ852044 NJJ917503:NJJ917580 NJJ983039:NJJ983116 NTF2:NTF76 NTF65535:NTF65612 NTF131071:NTF131148 NTF196607:NTF196684 NTF262143:NTF262220 NTF327679:NTF327756 NTF393215:NTF393292 NTF458751:NTF458828 NTF524287:NTF524364 NTF589823:NTF589900 NTF655359:NTF655436 NTF720895:NTF720972 NTF786431:NTF786508 NTF851967:NTF852044 NTF917503:NTF917580 NTF983039:NTF983116 ODB2:ODB76 ODB65535:ODB65612 ODB131071:ODB131148 ODB196607:ODB196684 ODB262143:ODB262220 ODB327679:ODB327756 ODB393215:ODB393292 ODB458751:ODB458828 ODB524287:ODB524364 ODB589823:ODB589900 ODB655359:ODB655436 ODB720895:ODB720972 ODB786431:ODB786508 ODB851967:ODB852044 ODB917503:ODB917580 ODB983039:ODB983116 OMX2:OMX76 OMX65535:OMX65612 OMX131071:OMX131148 OMX196607:OMX196684 OMX262143:OMX262220 OMX327679:OMX327756 OMX393215:OMX393292 OMX458751:OMX458828 OMX524287:OMX524364 OMX589823:OMX589900 OMX655359:OMX655436 OMX720895:OMX720972 OMX786431:OMX786508 OMX851967:OMX852044 OMX917503:OMX917580 OMX983039:OMX983116 OWT2:OWT76 OWT65535:OWT65612 OWT131071:OWT131148 OWT196607:OWT196684 OWT262143:OWT262220 OWT327679:OWT327756 OWT393215:OWT393292 OWT458751:OWT458828 OWT524287:OWT524364 OWT589823:OWT589900 OWT655359:OWT655436 OWT720895:OWT720972 OWT786431:OWT786508 OWT851967:OWT852044 OWT917503:OWT917580 OWT983039:OWT983116 PGP2:PGP76 PGP65535:PGP65612 PGP131071:PGP131148 PGP196607:PGP196684 PGP262143:PGP262220 PGP327679:PGP327756 PGP393215:PGP393292 PGP458751:PGP458828 PGP524287:PGP524364 PGP589823:PGP589900 PGP655359:PGP655436 PGP720895:PGP720972 PGP786431:PGP786508 PGP851967:PGP852044 PGP917503:PGP917580 PGP983039:PGP983116 PQL2:PQL76 PQL65535:PQL65612 PQL131071:PQL131148 PQL196607:PQL196684 PQL262143:PQL262220 PQL327679:PQL327756 PQL393215:PQL393292 PQL458751:PQL458828 PQL524287:PQL524364 PQL589823:PQL589900 PQL655359:PQL655436 PQL720895:PQL720972 PQL786431:PQL786508 PQL851967:PQL852044 PQL917503:PQL917580 PQL983039:PQL983116 QAH2:QAH76 QAH65535:QAH65612 QAH131071:QAH131148 QAH196607:QAH196684 QAH262143:QAH262220 QAH327679:QAH327756 QAH393215:QAH393292 QAH458751:QAH458828 QAH524287:QAH524364 QAH589823:QAH589900 QAH655359:QAH655436 QAH720895:QAH720972 QAH786431:QAH786508 QAH851967:QAH852044 QAH917503:QAH917580 QAH983039:QAH983116 QKD2:QKD76 QKD65535:QKD65612 QKD131071:QKD131148 QKD196607:QKD196684 QKD262143:QKD262220 QKD327679:QKD327756 QKD393215:QKD393292 QKD458751:QKD458828 QKD524287:QKD524364 QKD589823:QKD589900 QKD655359:QKD655436 QKD720895:QKD720972 QKD786431:QKD786508 QKD851967:QKD852044 QKD917503:QKD917580 QKD983039:QKD983116 QTZ2:QTZ76 QTZ65535:QTZ65612 QTZ131071:QTZ131148 QTZ196607:QTZ196684 QTZ262143:QTZ262220 QTZ327679:QTZ327756 QTZ393215:QTZ393292 QTZ458751:QTZ458828 QTZ524287:QTZ524364 QTZ589823:QTZ589900 QTZ655359:QTZ655436 QTZ720895:QTZ720972 QTZ786431:QTZ786508 QTZ851967:QTZ852044 QTZ917503:QTZ917580 QTZ983039:QTZ983116 RDV2:RDV76 RDV65535:RDV65612 RDV131071:RDV131148 RDV196607:RDV196684 RDV262143:RDV262220 RDV327679:RDV327756 RDV393215:RDV393292 RDV458751:RDV458828 RDV524287:RDV524364 RDV589823:RDV589900 RDV655359:RDV655436 RDV720895:RDV720972 RDV786431:RDV786508 RDV851967:RDV852044 RDV917503:RDV917580 RDV983039:RDV983116 RNR2:RNR76 RNR65535:RNR65612 RNR131071:RNR131148 RNR196607:RNR196684 RNR262143:RNR262220 RNR327679:RNR327756 RNR393215:RNR393292 RNR458751:RNR458828 RNR524287:RNR524364 RNR589823:RNR589900 RNR655359:RNR655436 RNR720895:RNR720972 RNR786431:RNR786508 RNR851967:RNR852044 RNR917503:RNR917580 RNR983039:RNR983116 RXN2:RXN76 RXN65535:RXN65612 RXN131071:RXN131148 RXN196607:RXN196684 RXN262143:RXN262220 RXN327679:RXN327756 RXN393215:RXN393292 RXN458751:RXN458828 RXN524287:RXN524364 RXN589823:RXN589900 RXN655359:RXN655436 RXN720895:RXN720972 RXN786431:RXN786508 RXN851967:RXN852044 RXN917503:RXN917580 RXN983039:RXN983116 SHJ2:SHJ76 SHJ65535:SHJ65612 SHJ131071:SHJ131148 SHJ196607:SHJ196684 SHJ262143:SHJ262220 SHJ327679:SHJ327756 SHJ393215:SHJ393292 SHJ458751:SHJ458828 SHJ524287:SHJ524364 SHJ589823:SHJ589900 SHJ655359:SHJ655436 SHJ720895:SHJ720972 SHJ786431:SHJ786508 SHJ851967:SHJ852044 SHJ917503:SHJ917580 SHJ983039:SHJ983116 SRF2:SRF76 SRF65535:SRF65612 SRF131071:SRF131148 SRF196607:SRF196684 SRF262143:SRF262220 SRF327679:SRF327756 SRF393215:SRF393292 SRF458751:SRF458828 SRF524287:SRF524364 SRF589823:SRF589900 SRF655359:SRF655436 SRF720895:SRF720972 SRF786431:SRF786508 SRF851967:SRF852044 SRF917503:SRF917580 SRF983039:SRF983116 TBB2:TBB76 TBB65535:TBB65612 TBB131071:TBB131148 TBB196607:TBB196684 TBB262143:TBB262220 TBB327679:TBB327756 TBB393215:TBB393292 TBB458751:TBB458828 TBB524287:TBB524364 TBB589823:TBB589900 TBB655359:TBB655436 TBB720895:TBB720972 TBB786431:TBB786508 TBB851967:TBB852044 TBB917503:TBB917580 TBB983039:TBB983116 TKX2:TKX76 TKX65535:TKX65612 TKX131071:TKX131148 TKX196607:TKX196684 TKX262143:TKX262220 TKX327679:TKX327756 TKX393215:TKX393292 TKX458751:TKX458828 TKX524287:TKX524364 TKX589823:TKX589900 TKX655359:TKX655436 TKX720895:TKX720972 TKX786431:TKX786508 TKX851967:TKX852044 TKX917503:TKX917580 TKX983039:TKX983116 TUT2:TUT76 TUT65535:TUT65612 TUT131071:TUT131148 TUT196607:TUT196684 TUT262143:TUT262220 TUT327679:TUT327756 TUT393215:TUT393292 TUT458751:TUT458828 TUT524287:TUT524364 TUT589823:TUT589900 TUT655359:TUT655436 TUT720895:TUT720972 TUT786431:TUT786508 TUT851967:TUT852044 TUT917503:TUT917580 TUT983039:TUT983116 UEP2:UEP76 UEP65535:UEP65612 UEP131071:UEP131148 UEP196607:UEP196684 UEP262143:UEP262220 UEP327679:UEP327756 UEP393215:UEP393292 UEP458751:UEP458828 UEP524287:UEP524364 UEP589823:UEP589900 UEP655359:UEP655436 UEP720895:UEP720972 UEP786431:UEP786508 UEP851967:UEP852044 UEP917503:UEP917580 UEP983039:UEP983116 UOL2:UOL76 UOL65535:UOL65612 UOL131071:UOL131148 UOL196607:UOL196684 UOL262143:UOL262220 UOL327679:UOL327756 UOL393215:UOL393292 UOL458751:UOL458828 UOL524287:UOL524364 UOL589823:UOL589900 UOL655359:UOL655436 UOL720895:UOL720972 UOL786431:UOL786508 UOL851967:UOL852044 UOL917503:UOL917580 UOL983039:UOL983116 UYH2:UYH76 UYH65535:UYH65612 UYH131071:UYH131148 UYH196607:UYH196684 UYH262143:UYH262220 UYH327679:UYH327756 UYH393215:UYH393292 UYH458751:UYH458828 UYH524287:UYH524364 UYH589823:UYH589900 UYH655359:UYH655436 UYH720895:UYH720972 UYH786431:UYH786508 UYH851967:UYH852044 UYH917503:UYH917580 UYH983039:UYH983116 VID2:VID76 VID65535:VID65612 VID131071:VID131148 VID196607:VID196684 VID262143:VID262220 VID327679:VID327756 VID393215:VID393292 VID458751:VID458828 VID524287:VID524364 VID589823:VID589900 VID655359:VID655436 VID720895:VID720972 VID786431:VID786508 VID851967:VID852044 VID917503:VID917580 VID983039:VID983116 VRZ2:VRZ76 VRZ65535:VRZ65612 VRZ131071:VRZ131148 VRZ196607:VRZ196684 VRZ262143:VRZ262220 VRZ327679:VRZ327756 VRZ393215:VRZ393292 VRZ458751:VRZ458828 VRZ524287:VRZ524364 VRZ589823:VRZ589900 VRZ655359:VRZ655436 VRZ720895:VRZ720972 VRZ786431:VRZ786508 VRZ851967:VRZ852044 VRZ917503:VRZ917580 VRZ983039:VRZ983116 WBV2:WBV76 WBV65535:WBV65612 WBV131071:WBV131148 WBV196607:WBV196684 WBV262143:WBV262220 WBV327679:WBV327756 WBV393215:WBV393292 WBV458751:WBV458828 WBV524287:WBV524364 WBV589823:WBV589900 WBV655359:WBV655436 WBV720895:WBV720972 WBV786431:WBV786508 WBV851967:WBV852044 WBV917503:WBV917580 WBV983039:WBV983116 WLR2:WLR76 WLR65535:WLR65612 WLR131071:WLR131148 WLR196607:WLR196684 WLR262143:WLR262220 WLR327679:WLR327756 WLR393215:WLR393292 WLR458751:WLR458828 WLR524287:WLR524364 WLR589823:WLR589900 WLR655359:WLR655436 WLR720895:WLR720972 WLR786431:WLR786508 WLR851967:WLR852044 WLR917503:WLR917580 WLR983039:WLR983116 WVN2:WVN76 WVN65535:WVN65612 WVN131071:WVN131148 WVN196607:WVN196684 WVN262143:WVN262220 WVN327679:WVN327756 WVN393215:WVN393292 WVN458751:WVN458828 WVN524287:WVN524364 WVN589823:WVN589900 WVN655359:WVN655436 WVN720895:WVN720972 WVN786431:WVN786508 WVN851967:WVN852044 WVN917503:WVN917580 WVN983039:WVN983116">
      <formula1>$AH$2:$AH$11</formula1>
    </dataValidation>
    <dataValidation type="list" allowBlank="1" showInputMessage="1" showErrorMessage="1" sqref="E2:E729 E65535:E65612 E131071:E131148 E196607:E196684 E262143:E262220 E327679:E327756 E393215:E393292 E458751:E458828 E524287:E524364 E589823:E589900 E655359:E655436 E720895:E720972 E786431:E786508 E851967:E852044 E917503:E917580 E983039:E983116 JA2:JA76 JA65535:JA65612 JA131071:JA131148 JA196607:JA196684 JA262143:JA262220 JA327679:JA327756 JA393215:JA393292 JA458751:JA458828 JA524287:JA524364 JA589823:JA589900 JA655359:JA655436 JA720895:JA720972 JA786431:JA786508 JA851967:JA852044 JA917503:JA917580 JA983039:JA983116 SW2:SW76 SW65535:SW65612 SW131071:SW131148 SW196607:SW196684 SW262143:SW262220 SW327679:SW327756 SW393215:SW393292 SW458751:SW458828 SW524287:SW524364 SW589823:SW589900 SW655359:SW655436 SW720895:SW720972 SW786431:SW786508 SW851967:SW852044 SW917503:SW917580 SW983039:SW983116 ACS2:ACS76 ACS65535:ACS65612 ACS131071:ACS131148 ACS196607:ACS196684 ACS262143:ACS262220 ACS327679:ACS327756 ACS393215:ACS393292 ACS458751:ACS458828 ACS524287:ACS524364 ACS589823:ACS589900 ACS655359:ACS655436 ACS720895:ACS720972 ACS786431:ACS786508 ACS851967:ACS852044 ACS917503:ACS917580 ACS983039:ACS983116 AMO2:AMO76 AMO65535:AMO65612 AMO131071:AMO131148 AMO196607:AMO196684 AMO262143:AMO262220 AMO327679:AMO327756 AMO393215:AMO393292 AMO458751:AMO458828 AMO524287:AMO524364 AMO589823:AMO589900 AMO655359:AMO655436 AMO720895:AMO720972 AMO786431:AMO786508 AMO851967:AMO852044 AMO917503:AMO917580 AMO983039:AMO983116 AWK2:AWK76 AWK65535:AWK65612 AWK131071:AWK131148 AWK196607:AWK196684 AWK262143:AWK262220 AWK327679:AWK327756 AWK393215:AWK393292 AWK458751:AWK458828 AWK524287:AWK524364 AWK589823:AWK589900 AWK655359:AWK655436 AWK720895:AWK720972 AWK786431:AWK786508 AWK851967:AWK852044 AWK917503:AWK917580 AWK983039:AWK983116 BGG2:BGG76 BGG65535:BGG65612 BGG131071:BGG131148 BGG196607:BGG196684 BGG262143:BGG262220 BGG327679:BGG327756 BGG393215:BGG393292 BGG458751:BGG458828 BGG524287:BGG524364 BGG589823:BGG589900 BGG655359:BGG655436 BGG720895:BGG720972 BGG786431:BGG786508 BGG851967:BGG852044 BGG917503:BGG917580 BGG983039:BGG983116 BQC2:BQC76 BQC65535:BQC65612 BQC131071:BQC131148 BQC196607:BQC196684 BQC262143:BQC262220 BQC327679:BQC327756 BQC393215:BQC393292 BQC458751:BQC458828 BQC524287:BQC524364 BQC589823:BQC589900 BQC655359:BQC655436 BQC720895:BQC720972 BQC786431:BQC786508 BQC851967:BQC852044 BQC917503:BQC917580 BQC983039:BQC983116 BZY2:BZY76 BZY65535:BZY65612 BZY131071:BZY131148 BZY196607:BZY196684 BZY262143:BZY262220 BZY327679:BZY327756 BZY393215:BZY393292 BZY458751:BZY458828 BZY524287:BZY524364 BZY589823:BZY589900 BZY655359:BZY655436 BZY720895:BZY720972 BZY786431:BZY786508 BZY851967:BZY852044 BZY917503:BZY917580 BZY983039:BZY983116 CJU2:CJU76 CJU65535:CJU65612 CJU131071:CJU131148 CJU196607:CJU196684 CJU262143:CJU262220 CJU327679:CJU327756 CJU393215:CJU393292 CJU458751:CJU458828 CJU524287:CJU524364 CJU589823:CJU589900 CJU655359:CJU655436 CJU720895:CJU720972 CJU786431:CJU786508 CJU851967:CJU852044 CJU917503:CJU917580 CJU983039:CJU983116 CTQ2:CTQ76 CTQ65535:CTQ65612 CTQ131071:CTQ131148 CTQ196607:CTQ196684 CTQ262143:CTQ262220 CTQ327679:CTQ327756 CTQ393215:CTQ393292 CTQ458751:CTQ458828 CTQ524287:CTQ524364 CTQ589823:CTQ589900 CTQ655359:CTQ655436 CTQ720895:CTQ720972 CTQ786431:CTQ786508 CTQ851967:CTQ852044 CTQ917503:CTQ917580 CTQ983039:CTQ983116 DDM2:DDM76 DDM65535:DDM65612 DDM131071:DDM131148 DDM196607:DDM196684 DDM262143:DDM262220 DDM327679:DDM327756 DDM393215:DDM393292 DDM458751:DDM458828 DDM524287:DDM524364 DDM589823:DDM589900 DDM655359:DDM655436 DDM720895:DDM720972 DDM786431:DDM786508 DDM851967:DDM852044 DDM917503:DDM917580 DDM983039:DDM983116 DNI2:DNI76 DNI65535:DNI65612 DNI131071:DNI131148 DNI196607:DNI196684 DNI262143:DNI262220 DNI327679:DNI327756 DNI393215:DNI393292 DNI458751:DNI458828 DNI524287:DNI524364 DNI589823:DNI589900 DNI655359:DNI655436 DNI720895:DNI720972 DNI786431:DNI786508 DNI851967:DNI852044 DNI917503:DNI917580 DNI983039:DNI983116 DXE2:DXE76 DXE65535:DXE65612 DXE131071:DXE131148 DXE196607:DXE196684 DXE262143:DXE262220 DXE327679:DXE327756 DXE393215:DXE393292 DXE458751:DXE458828 DXE524287:DXE524364 DXE589823:DXE589900 DXE655359:DXE655436 DXE720895:DXE720972 DXE786431:DXE786508 DXE851967:DXE852044 DXE917503:DXE917580 DXE983039:DXE983116 EHA2:EHA76 EHA65535:EHA65612 EHA131071:EHA131148 EHA196607:EHA196684 EHA262143:EHA262220 EHA327679:EHA327756 EHA393215:EHA393292 EHA458751:EHA458828 EHA524287:EHA524364 EHA589823:EHA589900 EHA655359:EHA655436 EHA720895:EHA720972 EHA786431:EHA786508 EHA851967:EHA852044 EHA917503:EHA917580 EHA983039:EHA983116 EQW2:EQW76 EQW65535:EQW65612 EQW131071:EQW131148 EQW196607:EQW196684 EQW262143:EQW262220 EQW327679:EQW327756 EQW393215:EQW393292 EQW458751:EQW458828 EQW524287:EQW524364 EQW589823:EQW589900 EQW655359:EQW655436 EQW720895:EQW720972 EQW786431:EQW786508 EQW851967:EQW852044 EQW917503:EQW917580 EQW983039:EQW983116 FAS2:FAS76 FAS65535:FAS65612 FAS131071:FAS131148 FAS196607:FAS196684 FAS262143:FAS262220 FAS327679:FAS327756 FAS393215:FAS393292 FAS458751:FAS458828 FAS524287:FAS524364 FAS589823:FAS589900 FAS655359:FAS655436 FAS720895:FAS720972 FAS786431:FAS786508 FAS851967:FAS852044 FAS917503:FAS917580 FAS983039:FAS983116 FKO2:FKO76 FKO65535:FKO65612 FKO131071:FKO131148 FKO196607:FKO196684 FKO262143:FKO262220 FKO327679:FKO327756 FKO393215:FKO393292 FKO458751:FKO458828 FKO524287:FKO524364 FKO589823:FKO589900 FKO655359:FKO655436 FKO720895:FKO720972 FKO786431:FKO786508 FKO851967:FKO852044 FKO917503:FKO917580 FKO983039:FKO983116 FUK2:FUK76 FUK65535:FUK65612 FUK131071:FUK131148 FUK196607:FUK196684 FUK262143:FUK262220 FUK327679:FUK327756 FUK393215:FUK393292 FUK458751:FUK458828 FUK524287:FUK524364 FUK589823:FUK589900 FUK655359:FUK655436 FUK720895:FUK720972 FUK786431:FUK786508 FUK851967:FUK852044 FUK917503:FUK917580 FUK983039:FUK983116 GEG2:GEG76 GEG65535:GEG65612 GEG131071:GEG131148 GEG196607:GEG196684 GEG262143:GEG262220 GEG327679:GEG327756 GEG393215:GEG393292 GEG458751:GEG458828 GEG524287:GEG524364 GEG589823:GEG589900 GEG655359:GEG655436 GEG720895:GEG720972 GEG786431:GEG786508 GEG851967:GEG852044 GEG917503:GEG917580 GEG983039:GEG983116 GOC2:GOC76 GOC65535:GOC65612 GOC131071:GOC131148 GOC196607:GOC196684 GOC262143:GOC262220 GOC327679:GOC327756 GOC393215:GOC393292 GOC458751:GOC458828 GOC524287:GOC524364 GOC589823:GOC589900 GOC655359:GOC655436 GOC720895:GOC720972 GOC786431:GOC786508 GOC851967:GOC852044 GOC917503:GOC917580 GOC983039:GOC983116 GXY2:GXY76 GXY65535:GXY65612 GXY131071:GXY131148 GXY196607:GXY196684 GXY262143:GXY262220 GXY327679:GXY327756 GXY393215:GXY393292 GXY458751:GXY458828 GXY524287:GXY524364 GXY589823:GXY589900 GXY655359:GXY655436 GXY720895:GXY720972 GXY786431:GXY786508 GXY851967:GXY852044 GXY917503:GXY917580 GXY983039:GXY983116 HHU2:HHU76 HHU65535:HHU65612 HHU131071:HHU131148 HHU196607:HHU196684 HHU262143:HHU262220 HHU327679:HHU327756 HHU393215:HHU393292 HHU458751:HHU458828 HHU524287:HHU524364 HHU589823:HHU589900 HHU655359:HHU655436 HHU720895:HHU720972 HHU786431:HHU786508 HHU851967:HHU852044 HHU917503:HHU917580 HHU983039:HHU983116 HRQ2:HRQ76 HRQ65535:HRQ65612 HRQ131071:HRQ131148 HRQ196607:HRQ196684 HRQ262143:HRQ262220 HRQ327679:HRQ327756 HRQ393215:HRQ393292 HRQ458751:HRQ458828 HRQ524287:HRQ524364 HRQ589823:HRQ589900 HRQ655359:HRQ655436 HRQ720895:HRQ720972 HRQ786431:HRQ786508 HRQ851967:HRQ852044 HRQ917503:HRQ917580 HRQ983039:HRQ983116 IBM2:IBM76 IBM65535:IBM65612 IBM131071:IBM131148 IBM196607:IBM196684 IBM262143:IBM262220 IBM327679:IBM327756 IBM393215:IBM393292 IBM458751:IBM458828 IBM524287:IBM524364 IBM589823:IBM589900 IBM655359:IBM655436 IBM720895:IBM720972 IBM786431:IBM786508 IBM851967:IBM852044 IBM917503:IBM917580 IBM983039:IBM983116 ILI2:ILI76 ILI65535:ILI65612 ILI131071:ILI131148 ILI196607:ILI196684 ILI262143:ILI262220 ILI327679:ILI327756 ILI393215:ILI393292 ILI458751:ILI458828 ILI524287:ILI524364 ILI589823:ILI589900 ILI655359:ILI655436 ILI720895:ILI720972 ILI786431:ILI786508 ILI851967:ILI852044 ILI917503:ILI917580 ILI983039:ILI983116 IVE2:IVE76 IVE65535:IVE65612 IVE131071:IVE131148 IVE196607:IVE196684 IVE262143:IVE262220 IVE327679:IVE327756 IVE393215:IVE393292 IVE458751:IVE458828 IVE524287:IVE524364 IVE589823:IVE589900 IVE655359:IVE655436 IVE720895:IVE720972 IVE786431:IVE786508 IVE851967:IVE852044 IVE917503:IVE917580 IVE983039:IVE983116 JFA2:JFA76 JFA65535:JFA65612 JFA131071:JFA131148 JFA196607:JFA196684 JFA262143:JFA262220 JFA327679:JFA327756 JFA393215:JFA393292 JFA458751:JFA458828 JFA524287:JFA524364 JFA589823:JFA589900 JFA655359:JFA655436 JFA720895:JFA720972 JFA786431:JFA786508 JFA851967:JFA852044 JFA917503:JFA917580 JFA983039:JFA983116 JOW2:JOW76 JOW65535:JOW65612 JOW131071:JOW131148 JOW196607:JOW196684 JOW262143:JOW262220 JOW327679:JOW327756 JOW393215:JOW393292 JOW458751:JOW458828 JOW524287:JOW524364 JOW589823:JOW589900 JOW655359:JOW655436 JOW720895:JOW720972 JOW786431:JOW786508 JOW851967:JOW852044 JOW917503:JOW917580 JOW983039:JOW983116 JYS2:JYS76 JYS65535:JYS65612 JYS131071:JYS131148 JYS196607:JYS196684 JYS262143:JYS262220 JYS327679:JYS327756 JYS393215:JYS393292 JYS458751:JYS458828 JYS524287:JYS524364 JYS589823:JYS589900 JYS655359:JYS655436 JYS720895:JYS720972 JYS786431:JYS786508 JYS851967:JYS852044 JYS917503:JYS917580 JYS983039:JYS983116 KIO2:KIO76 KIO65535:KIO65612 KIO131071:KIO131148 KIO196607:KIO196684 KIO262143:KIO262220 KIO327679:KIO327756 KIO393215:KIO393292 KIO458751:KIO458828 KIO524287:KIO524364 KIO589823:KIO589900 KIO655359:KIO655436 KIO720895:KIO720972 KIO786431:KIO786508 KIO851967:KIO852044 KIO917503:KIO917580 KIO983039:KIO983116 KSK2:KSK76 KSK65535:KSK65612 KSK131071:KSK131148 KSK196607:KSK196684 KSK262143:KSK262220 KSK327679:KSK327756 KSK393215:KSK393292 KSK458751:KSK458828 KSK524287:KSK524364 KSK589823:KSK589900 KSK655359:KSK655436 KSK720895:KSK720972 KSK786431:KSK786508 KSK851967:KSK852044 KSK917503:KSK917580 KSK983039:KSK983116 LCG2:LCG76 LCG65535:LCG65612 LCG131071:LCG131148 LCG196607:LCG196684 LCG262143:LCG262220 LCG327679:LCG327756 LCG393215:LCG393292 LCG458751:LCG458828 LCG524287:LCG524364 LCG589823:LCG589900 LCG655359:LCG655436 LCG720895:LCG720972 LCG786431:LCG786508 LCG851967:LCG852044 LCG917503:LCG917580 LCG983039:LCG983116 LMC2:LMC76 LMC65535:LMC65612 LMC131071:LMC131148 LMC196607:LMC196684 LMC262143:LMC262220 LMC327679:LMC327756 LMC393215:LMC393292 LMC458751:LMC458828 LMC524287:LMC524364 LMC589823:LMC589900 LMC655359:LMC655436 LMC720895:LMC720972 LMC786431:LMC786508 LMC851967:LMC852044 LMC917503:LMC917580 LMC983039:LMC983116 LVY2:LVY76 LVY65535:LVY65612 LVY131071:LVY131148 LVY196607:LVY196684 LVY262143:LVY262220 LVY327679:LVY327756 LVY393215:LVY393292 LVY458751:LVY458828 LVY524287:LVY524364 LVY589823:LVY589900 LVY655359:LVY655436 LVY720895:LVY720972 LVY786431:LVY786508 LVY851967:LVY852044 LVY917503:LVY917580 LVY983039:LVY983116 MFU2:MFU76 MFU65535:MFU65612 MFU131071:MFU131148 MFU196607:MFU196684 MFU262143:MFU262220 MFU327679:MFU327756 MFU393215:MFU393292 MFU458751:MFU458828 MFU524287:MFU524364 MFU589823:MFU589900 MFU655359:MFU655436 MFU720895:MFU720972 MFU786431:MFU786508 MFU851967:MFU852044 MFU917503:MFU917580 MFU983039:MFU983116 MPQ2:MPQ76 MPQ65535:MPQ65612 MPQ131071:MPQ131148 MPQ196607:MPQ196684 MPQ262143:MPQ262220 MPQ327679:MPQ327756 MPQ393215:MPQ393292 MPQ458751:MPQ458828 MPQ524287:MPQ524364 MPQ589823:MPQ589900 MPQ655359:MPQ655436 MPQ720895:MPQ720972 MPQ786431:MPQ786508 MPQ851967:MPQ852044 MPQ917503:MPQ917580 MPQ983039:MPQ983116 MZM2:MZM76 MZM65535:MZM65612 MZM131071:MZM131148 MZM196607:MZM196684 MZM262143:MZM262220 MZM327679:MZM327756 MZM393215:MZM393292 MZM458751:MZM458828 MZM524287:MZM524364 MZM589823:MZM589900 MZM655359:MZM655436 MZM720895:MZM720972 MZM786431:MZM786508 MZM851967:MZM852044 MZM917503:MZM917580 MZM983039:MZM983116 NJI2:NJI76 NJI65535:NJI65612 NJI131071:NJI131148 NJI196607:NJI196684 NJI262143:NJI262220 NJI327679:NJI327756 NJI393215:NJI393292 NJI458751:NJI458828 NJI524287:NJI524364 NJI589823:NJI589900 NJI655359:NJI655436 NJI720895:NJI720972 NJI786431:NJI786508 NJI851967:NJI852044 NJI917503:NJI917580 NJI983039:NJI983116 NTE2:NTE76 NTE65535:NTE65612 NTE131071:NTE131148 NTE196607:NTE196684 NTE262143:NTE262220 NTE327679:NTE327756 NTE393215:NTE393292 NTE458751:NTE458828 NTE524287:NTE524364 NTE589823:NTE589900 NTE655359:NTE655436 NTE720895:NTE720972 NTE786431:NTE786508 NTE851967:NTE852044 NTE917503:NTE917580 NTE983039:NTE983116 ODA2:ODA76 ODA65535:ODA65612 ODA131071:ODA131148 ODA196607:ODA196684 ODA262143:ODA262220 ODA327679:ODA327756 ODA393215:ODA393292 ODA458751:ODA458828 ODA524287:ODA524364 ODA589823:ODA589900 ODA655359:ODA655436 ODA720895:ODA720972 ODA786431:ODA786508 ODA851967:ODA852044 ODA917503:ODA917580 ODA983039:ODA983116 OMW2:OMW76 OMW65535:OMW65612 OMW131071:OMW131148 OMW196607:OMW196684 OMW262143:OMW262220 OMW327679:OMW327756 OMW393215:OMW393292 OMW458751:OMW458828 OMW524287:OMW524364 OMW589823:OMW589900 OMW655359:OMW655436 OMW720895:OMW720972 OMW786431:OMW786508 OMW851967:OMW852044 OMW917503:OMW917580 OMW983039:OMW983116 OWS2:OWS76 OWS65535:OWS65612 OWS131071:OWS131148 OWS196607:OWS196684 OWS262143:OWS262220 OWS327679:OWS327756 OWS393215:OWS393292 OWS458751:OWS458828 OWS524287:OWS524364 OWS589823:OWS589900 OWS655359:OWS655436 OWS720895:OWS720972 OWS786431:OWS786508 OWS851967:OWS852044 OWS917503:OWS917580 OWS983039:OWS983116 PGO2:PGO76 PGO65535:PGO65612 PGO131071:PGO131148 PGO196607:PGO196684 PGO262143:PGO262220 PGO327679:PGO327756 PGO393215:PGO393292 PGO458751:PGO458828 PGO524287:PGO524364 PGO589823:PGO589900 PGO655359:PGO655436 PGO720895:PGO720972 PGO786431:PGO786508 PGO851967:PGO852044 PGO917503:PGO917580 PGO983039:PGO983116 PQK2:PQK76 PQK65535:PQK65612 PQK131071:PQK131148 PQK196607:PQK196684 PQK262143:PQK262220 PQK327679:PQK327756 PQK393215:PQK393292 PQK458751:PQK458828 PQK524287:PQK524364 PQK589823:PQK589900 PQK655359:PQK655436 PQK720895:PQK720972 PQK786431:PQK786508 PQK851967:PQK852044 PQK917503:PQK917580 PQK983039:PQK983116 QAG2:QAG76 QAG65535:QAG65612 QAG131071:QAG131148 QAG196607:QAG196684 QAG262143:QAG262220 QAG327679:QAG327756 QAG393215:QAG393292 QAG458751:QAG458828 QAG524287:QAG524364 QAG589823:QAG589900 QAG655359:QAG655436 QAG720895:QAG720972 QAG786431:QAG786508 QAG851967:QAG852044 QAG917503:QAG917580 QAG983039:QAG983116 QKC2:QKC76 QKC65535:QKC65612 QKC131071:QKC131148 QKC196607:QKC196684 QKC262143:QKC262220 QKC327679:QKC327756 QKC393215:QKC393292 QKC458751:QKC458828 QKC524287:QKC524364 QKC589823:QKC589900 QKC655359:QKC655436 QKC720895:QKC720972 QKC786431:QKC786508 QKC851967:QKC852044 QKC917503:QKC917580 QKC983039:QKC983116 QTY2:QTY76 QTY65535:QTY65612 QTY131071:QTY131148 QTY196607:QTY196684 QTY262143:QTY262220 QTY327679:QTY327756 QTY393215:QTY393292 QTY458751:QTY458828 QTY524287:QTY524364 QTY589823:QTY589900 QTY655359:QTY655436 QTY720895:QTY720972 QTY786431:QTY786508 QTY851967:QTY852044 QTY917503:QTY917580 QTY983039:QTY983116 RDU2:RDU76 RDU65535:RDU65612 RDU131071:RDU131148 RDU196607:RDU196684 RDU262143:RDU262220 RDU327679:RDU327756 RDU393215:RDU393292 RDU458751:RDU458828 RDU524287:RDU524364 RDU589823:RDU589900 RDU655359:RDU655436 RDU720895:RDU720972 RDU786431:RDU786508 RDU851967:RDU852044 RDU917503:RDU917580 RDU983039:RDU983116 RNQ2:RNQ76 RNQ65535:RNQ65612 RNQ131071:RNQ131148 RNQ196607:RNQ196684 RNQ262143:RNQ262220 RNQ327679:RNQ327756 RNQ393215:RNQ393292 RNQ458751:RNQ458828 RNQ524287:RNQ524364 RNQ589823:RNQ589900 RNQ655359:RNQ655436 RNQ720895:RNQ720972 RNQ786431:RNQ786508 RNQ851967:RNQ852044 RNQ917503:RNQ917580 RNQ983039:RNQ983116 RXM2:RXM76 RXM65535:RXM65612 RXM131071:RXM131148 RXM196607:RXM196684 RXM262143:RXM262220 RXM327679:RXM327756 RXM393215:RXM393292 RXM458751:RXM458828 RXM524287:RXM524364 RXM589823:RXM589900 RXM655359:RXM655436 RXM720895:RXM720972 RXM786431:RXM786508 RXM851967:RXM852044 RXM917503:RXM917580 RXM983039:RXM983116 SHI2:SHI76 SHI65535:SHI65612 SHI131071:SHI131148 SHI196607:SHI196684 SHI262143:SHI262220 SHI327679:SHI327756 SHI393215:SHI393292 SHI458751:SHI458828 SHI524287:SHI524364 SHI589823:SHI589900 SHI655359:SHI655436 SHI720895:SHI720972 SHI786431:SHI786508 SHI851967:SHI852044 SHI917503:SHI917580 SHI983039:SHI983116 SRE2:SRE76 SRE65535:SRE65612 SRE131071:SRE131148 SRE196607:SRE196684 SRE262143:SRE262220 SRE327679:SRE327756 SRE393215:SRE393292 SRE458751:SRE458828 SRE524287:SRE524364 SRE589823:SRE589900 SRE655359:SRE655436 SRE720895:SRE720972 SRE786431:SRE786508 SRE851967:SRE852044 SRE917503:SRE917580 SRE983039:SRE983116 TBA2:TBA76 TBA65535:TBA65612 TBA131071:TBA131148 TBA196607:TBA196684 TBA262143:TBA262220 TBA327679:TBA327756 TBA393215:TBA393292 TBA458751:TBA458828 TBA524287:TBA524364 TBA589823:TBA589900 TBA655359:TBA655436 TBA720895:TBA720972 TBA786431:TBA786508 TBA851967:TBA852044 TBA917503:TBA917580 TBA983039:TBA983116 TKW2:TKW76 TKW65535:TKW65612 TKW131071:TKW131148 TKW196607:TKW196684 TKW262143:TKW262220 TKW327679:TKW327756 TKW393215:TKW393292 TKW458751:TKW458828 TKW524287:TKW524364 TKW589823:TKW589900 TKW655359:TKW655436 TKW720895:TKW720972 TKW786431:TKW786508 TKW851967:TKW852044 TKW917503:TKW917580 TKW983039:TKW983116 TUS2:TUS76 TUS65535:TUS65612 TUS131071:TUS131148 TUS196607:TUS196684 TUS262143:TUS262220 TUS327679:TUS327756 TUS393215:TUS393292 TUS458751:TUS458828 TUS524287:TUS524364 TUS589823:TUS589900 TUS655359:TUS655436 TUS720895:TUS720972 TUS786431:TUS786508 TUS851967:TUS852044 TUS917503:TUS917580 TUS983039:TUS983116 UEO2:UEO76 UEO65535:UEO65612 UEO131071:UEO131148 UEO196607:UEO196684 UEO262143:UEO262220 UEO327679:UEO327756 UEO393215:UEO393292 UEO458751:UEO458828 UEO524287:UEO524364 UEO589823:UEO589900 UEO655359:UEO655436 UEO720895:UEO720972 UEO786431:UEO786508 UEO851967:UEO852044 UEO917503:UEO917580 UEO983039:UEO983116 UOK2:UOK76 UOK65535:UOK65612 UOK131071:UOK131148 UOK196607:UOK196684 UOK262143:UOK262220 UOK327679:UOK327756 UOK393215:UOK393292 UOK458751:UOK458828 UOK524287:UOK524364 UOK589823:UOK589900 UOK655359:UOK655436 UOK720895:UOK720972 UOK786431:UOK786508 UOK851967:UOK852044 UOK917503:UOK917580 UOK983039:UOK983116 UYG2:UYG76 UYG65535:UYG65612 UYG131071:UYG131148 UYG196607:UYG196684 UYG262143:UYG262220 UYG327679:UYG327756 UYG393215:UYG393292 UYG458751:UYG458828 UYG524287:UYG524364 UYG589823:UYG589900 UYG655359:UYG655436 UYG720895:UYG720972 UYG786431:UYG786508 UYG851967:UYG852044 UYG917503:UYG917580 UYG983039:UYG983116 VIC2:VIC76 VIC65535:VIC65612 VIC131071:VIC131148 VIC196607:VIC196684 VIC262143:VIC262220 VIC327679:VIC327756 VIC393215:VIC393292 VIC458751:VIC458828 VIC524287:VIC524364 VIC589823:VIC589900 VIC655359:VIC655436 VIC720895:VIC720972 VIC786431:VIC786508 VIC851967:VIC852044 VIC917503:VIC917580 VIC983039:VIC983116 VRY2:VRY76 VRY65535:VRY65612 VRY131071:VRY131148 VRY196607:VRY196684 VRY262143:VRY262220 VRY327679:VRY327756 VRY393215:VRY393292 VRY458751:VRY458828 VRY524287:VRY524364 VRY589823:VRY589900 VRY655359:VRY655436 VRY720895:VRY720972 VRY786431:VRY786508 VRY851967:VRY852044 VRY917503:VRY917580 VRY983039:VRY983116 WBU2:WBU76 WBU65535:WBU65612 WBU131071:WBU131148 WBU196607:WBU196684 WBU262143:WBU262220 WBU327679:WBU327756 WBU393215:WBU393292 WBU458751:WBU458828 WBU524287:WBU524364 WBU589823:WBU589900 WBU655359:WBU655436 WBU720895:WBU720972 WBU786431:WBU786508 WBU851967:WBU852044 WBU917503:WBU917580 WBU983039:WBU983116 WLQ2:WLQ76 WLQ65535:WLQ65612 WLQ131071:WLQ131148 WLQ196607:WLQ196684 WLQ262143:WLQ262220 WLQ327679:WLQ327756 WLQ393215:WLQ393292 WLQ458751:WLQ458828 WLQ524287:WLQ524364 WLQ589823:WLQ589900 WLQ655359:WLQ655436 WLQ720895:WLQ720972 WLQ786431:WLQ786508 WLQ851967:WLQ852044 WLQ917503:WLQ917580 WLQ983039:WLQ983116 WVM2:WVM76 WVM65535:WVM65612 WVM131071:WVM131148 WVM196607:WVM196684 WVM262143:WVM262220 WVM327679:WVM327756 WVM393215:WVM393292 WVM458751:WVM458828 WVM524287:WVM524364 WVM589823:WVM589900 WVM655359:WVM655436 WVM720895:WVM720972 WVM786431:WVM786508 WVM851967:WVM852044 WVM917503:WVM917580 WVM983039:WVM983116">
      <formula1>$AG$2:$AG$11</formula1>
    </dataValidation>
    <dataValidation allowBlank="1" showInputMessage="1" showErrorMessage="1" sqref="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5 IX65535 ST65535 ACP65535 AML65535 AWH65535 BGD65535 BPZ65535 BZV65535 CJR65535 CTN65535 DDJ65535 DNF65535 DXB65535 EGX65535 EQT65535 FAP65535 FKL65535 FUH65535 GED65535 GNZ65535 GXV65535 HHR65535 HRN65535 IBJ65535 ILF65535 IVB65535 JEX65535 JOT65535 JYP65535 KIL65535 KSH65535 LCD65535 LLZ65535 LVV65535 MFR65535 MPN65535 MZJ65535 NJF65535 NTB65535 OCX65535 OMT65535 OWP65535 PGL65535 PQH65535 QAD65535 QJZ65535 QTV65535 RDR65535 RNN65535 RXJ65535 SHF65535 SRB65535 TAX65535 TKT65535 TUP65535 UEL65535 UOH65535 UYD65535 VHZ65535 VRV65535 WBR65535 WLN65535 WVJ65535 B131071 IX131071 ST131071 ACP131071 AML131071 AWH131071 BGD131071 BPZ131071 BZV131071 CJR131071 CTN131071 DDJ131071 DNF131071 DXB131071 EGX131071 EQT131071 FAP131071 FKL131071 FUH131071 GED131071 GNZ131071 GXV131071 HHR131071 HRN131071 IBJ131071 ILF131071 IVB131071 JEX131071 JOT131071 JYP131071 KIL131071 KSH131071 LCD131071 LLZ131071 LVV131071 MFR131071 MPN131071 MZJ131071 NJF131071 NTB131071 OCX131071 OMT131071 OWP131071 PGL131071 PQH131071 QAD131071 QJZ131071 QTV131071 RDR131071 RNN131071 RXJ131071 SHF131071 SRB131071 TAX131071 TKT131071 TUP131071 UEL131071 UOH131071 UYD131071 VHZ131071 VRV131071 WBR131071 WLN131071 WVJ131071 B196607 IX196607 ST196607 ACP196607 AML196607 AWH196607 BGD196607 BPZ196607 BZV196607 CJR196607 CTN196607 DDJ196607 DNF196607 DXB196607 EGX196607 EQT196607 FAP196607 FKL196607 FUH196607 GED196607 GNZ196607 GXV196607 HHR196607 HRN196607 IBJ196607 ILF196607 IVB196607 JEX196607 JOT196607 JYP196607 KIL196607 KSH196607 LCD196607 LLZ196607 LVV196607 MFR196607 MPN196607 MZJ196607 NJF196607 NTB196607 OCX196607 OMT196607 OWP196607 PGL196607 PQH196607 QAD196607 QJZ196607 QTV196607 RDR196607 RNN196607 RXJ196607 SHF196607 SRB196607 TAX196607 TKT196607 TUP196607 UEL196607 UOH196607 UYD196607 VHZ196607 VRV196607 WBR196607 WLN196607 WVJ196607 B262143 IX262143 ST262143 ACP262143 AML262143 AWH262143 BGD262143 BPZ262143 BZV262143 CJR262143 CTN262143 DDJ262143 DNF262143 DXB262143 EGX262143 EQT262143 FAP262143 FKL262143 FUH262143 GED262143 GNZ262143 GXV262143 HHR262143 HRN262143 IBJ262143 ILF262143 IVB262143 JEX262143 JOT262143 JYP262143 KIL262143 KSH262143 LCD262143 LLZ262143 LVV262143 MFR262143 MPN262143 MZJ262143 NJF262143 NTB262143 OCX262143 OMT262143 OWP262143 PGL262143 PQH262143 QAD262143 QJZ262143 QTV262143 RDR262143 RNN262143 RXJ262143 SHF262143 SRB262143 TAX262143 TKT262143 TUP262143 UEL262143 UOH262143 UYD262143 VHZ262143 VRV262143 WBR262143 WLN262143 WVJ262143 B327679 IX327679 ST327679 ACP327679 AML327679 AWH327679 BGD327679 BPZ327679 BZV327679 CJR327679 CTN327679 DDJ327679 DNF327679 DXB327679 EGX327679 EQT327679 FAP327679 FKL327679 FUH327679 GED327679 GNZ327679 GXV327679 HHR327679 HRN327679 IBJ327679 ILF327679 IVB327679 JEX327679 JOT327679 JYP327679 KIL327679 KSH327679 LCD327679 LLZ327679 LVV327679 MFR327679 MPN327679 MZJ327679 NJF327679 NTB327679 OCX327679 OMT327679 OWP327679 PGL327679 PQH327679 QAD327679 QJZ327679 QTV327679 RDR327679 RNN327679 RXJ327679 SHF327679 SRB327679 TAX327679 TKT327679 TUP327679 UEL327679 UOH327679 UYD327679 VHZ327679 VRV327679 WBR327679 WLN327679 WVJ327679 B393215 IX393215 ST393215 ACP393215 AML393215 AWH393215 BGD393215 BPZ393215 BZV393215 CJR393215 CTN393215 DDJ393215 DNF393215 DXB393215 EGX393215 EQT393215 FAP393215 FKL393215 FUH393215 GED393215 GNZ393215 GXV393215 HHR393215 HRN393215 IBJ393215 ILF393215 IVB393215 JEX393215 JOT393215 JYP393215 KIL393215 KSH393215 LCD393215 LLZ393215 LVV393215 MFR393215 MPN393215 MZJ393215 NJF393215 NTB393215 OCX393215 OMT393215 OWP393215 PGL393215 PQH393215 QAD393215 QJZ393215 QTV393215 RDR393215 RNN393215 RXJ393215 SHF393215 SRB393215 TAX393215 TKT393215 TUP393215 UEL393215 UOH393215 UYD393215 VHZ393215 VRV393215 WBR393215 WLN393215 WVJ393215 B458751 IX458751 ST458751 ACP458751 AML458751 AWH458751 BGD458751 BPZ458751 BZV458751 CJR458751 CTN458751 DDJ458751 DNF458751 DXB458751 EGX458751 EQT458751 FAP458751 FKL458751 FUH458751 GED458751 GNZ458751 GXV458751 HHR458751 HRN458751 IBJ458751 ILF458751 IVB458751 JEX458751 JOT458751 JYP458751 KIL458751 KSH458751 LCD458751 LLZ458751 LVV458751 MFR458751 MPN458751 MZJ458751 NJF458751 NTB458751 OCX458751 OMT458751 OWP458751 PGL458751 PQH458751 QAD458751 QJZ458751 QTV458751 RDR458751 RNN458751 RXJ458751 SHF458751 SRB458751 TAX458751 TKT458751 TUP458751 UEL458751 UOH458751 UYD458751 VHZ458751 VRV458751 WBR458751 WLN458751 WVJ458751 B524287 IX524287 ST524287 ACP524287 AML524287 AWH524287 BGD524287 BPZ524287 BZV524287 CJR524287 CTN524287 DDJ524287 DNF524287 DXB524287 EGX524287 EQT524287 FAP524287 FKL524287 FUH524287 GED524287 GNZ524287 GXV524287 HHR524287 HRN524287 IBJ524287 ILF524287 IVB524287 JEX524287 JOT524287 JYP524287 KIL524287 KSH524287 LCD524287 LLZ524287 LVV524287 MFR524287 MPN524287 MZJ524287 NJF524287 NTB524287 OCX524287 OMT524287 OWP524287 PGL524287 PQH524287 QAD524287 QJZ524287 QTV524287 RDR524287 RNN524287 RXJ524287 SHF524287 SRB524287 TAX524287 TKT524287 TUP524287 UEL524287 UOH524287 UYD524287 VHZ524287 VRV524287 WBR524287 WLN524287 WVJ524287 B589823 IX589823 ST589823 ACP589823 AML589823 AWH589823 BGD589823 BPZ589823 BZV589823 CJR589823 CTN589823 DDJ589823 DNF589823 DXB589823 EGX589823 EQT589823 FAP589823 FKL589823 FUH589823 GED589823 GNZ589823 GXV589823 HHR589823 HRN589823 IBJ589823 ILF589823 IVB589823 JEX589823 JOT589823 JYP589823 KIL589823 KSH589823 LCD589823 LLZ589823 LVV589823 MFR589823 MPN589823 MZJ589823 NJF589823 NTB589823 OCX589823 OMT589823 OWP589823 PGL589823 PQH589823 QAD589823 QJZ589823 QTV589823 RDR589823 RNN589823 RXJ589823 SHF589823 SRB589823 TAX589823 TKT589823 TUP589823 UEL589823 UOH589823 UYD589823 VHZ589823 VRV589823 WBR589823 WLN589823 WVJ589823 B655359 IX655359 ST655359 ACP655359 AML655359 AWH655359 BGD655359 BPZ655359 BZV655359 CJR655359 CTN655359 DDJ655359 DNF655359 DXB655359 EGX655359 EQT655359 FAP655359 FKL655359 FUH655359 GED655359 GNZ655359 GXV655359 HHR655359 HRN655359 IBJ655359 ILF655359 IVB655359 JEX655359 JOT655359 JYP655359 KIL655359 KSH655359 LCD655359 LLZ655359 LVV655359 MFR655359 MPN655359 MZJ655359 NJF655359 NTB655359 OCX655359 OMT655359 OWP655359 PGL655359 PQH655359 QAD655359 QJZ655359 QTV655359 RDR655359 RNN655359 RXJ655359 SHF655359 SRB655359 TAX655359 TKT655359 TUP655359 UEL655359 UOH655359 UYD655359 VHZ655359 VRV655359 WBR655359 WLN655359 WVJ655359 B720895 IX720895 ST720895 ACP720895 AML720895 AWH720895 BGD720895 BPZ720895 BZV720895 CJR720895 CTN720895 DDJ720895 DNF720895 DXB720895 EGX720895 EQT720895 FAP720895 FKL720895 FUH720895 GED720895 GNZ720895 GXV720895 HHR720895 HRN720895 IBJ720895 ILF720895 IVB720895 JEX720895 JOT720895 JYP720895 KIL720895 KSH720895 LCD720895 LLZ720895 LVV720895 MFR720895 MPN720895 MZJ720895 NJF720895 NTB720895 OCX720895 OMT720895 OWP720895 PGL720895 PQH720895 QAD720895 QJZ720895 QTV720895 RDR720895 RNN720895 RXJ720895 SHF720895 SRB720895 TAX720895 TKT720895 TUP720895 UEL720895 UOH720895 UYD720895 VHZ720895 VRV720895 WBR720895 WLN720895 WVJ720895 B786431 IX786431 ST786431 ACP786431 AML786431 AWH786431 BGD786431 BPZ786431 BZV786431 CJR786431 CTN786431 DDJ786431 DNF786431 DXB786431 EGX786431 EQT786431 FAP786431 FKL786431 FUH786431 GED786431 GNZ786431 GXV786431 HHR786431 HRN786431 IBJ786431 ILF786431 IVB786431 JEX786431 JOT786431 JYP786431 KIL786431 KSH786431 LCD786431 LLZ786431 LVV786431 MFR786431 MPN786431 MZJ786431 NJF786431 NTB786431 OCX786431 OMT786431 OWP786431 PGL786431 PQH786431 QAD786431 QJZ786431 QTV786431 RDR786431 RNN786431 RXJ786431 SHF786431 SRB786431 TAX786431 TKT786431 TUP786431 UEL786431 UOH786431 UYD786431 VHZ786431 VRV786431 WBR786431 WLN786431 WVJ786431 B851967 IX851967 ST851967 ACP851967 AML851967 AWH851967 BGD851967 BPZ851967 BZV851967 CJR851967 CTN851967 DDJ851967 DNF851967 DXB851967 EGX851967 EQT851967 FAP851967 FKL851967 FUH851967 GED851967 GNZ851967 GXV851967 HHR851967 HRN851967 IBJ851967 ILF851967 IVB851967 JEX851967 JOT851967 JYP851967 KIL851967 KSH851967 LCD851967 LLZ851967 LVV851967 MFR851967 MPN851967 MZJ851967 NJF851967 NTB851967 OCX851967 OMT851967 OWP851967 PGL851967 PQH851967 QAD851967 QJZ851967 QTV851967 RDR851967 RNN851967 RXJ851967 SHF851967 SRB851967 TAX851967 TKT851967 TUP851967 UEL851967 UOH851967 UYD851967 VHZ851967 VRV851967 WBR851967 WLN851967 WVJ851967 B917503 IX917503 ST917503 ACP917503 AML917503 AWH917503 BGD917503 BPZ917503 BZV917503 CJR917503 CTN917503 DDJ917503 DNF917503 DXB917503 EGX917503 EQT917503 FAP917503 FKL917503 FUH917503 GED917503 GNZ917503 GXV917503 HHR917503 HRN917503 IBJ917503 ILF917503 IVB917503 JEX917503 JOT917503 JYP917503 KIL917503 KSH917503 LCD917503 LLZ917503 LVV917503 MFR917503 MPN917503 MZJ917503 NJF917503 NTB917503 OCX917503 OMT917503 OWP917503 PGL917503 PQH917503 QAD917503 QJZ917503 QTV917503 RDR917503 RNN917503 RXJ917503 SHF917503 SRB917503 TAX917503 TKT917503 TUP917503 UEL917503 UOH917503 UYD917503 VHZ917503 VRV917503 WBR917503 WLN917503 WVJ917503 B983039 IX983039 ST983039 ACP983039 AML983039 AWH983039 BGD983039 BPZ983039 BZV983039 CJR983039 CTN983039 DDJ983039 DNF983039 DXB983039 EGX983039 EQT983039 FAP983039 FKL983039 FUH983039 GED983039 GNZ983039 GXV983039 HHR983039 HRN983039 IBJ983039 ILF983039 IVB983039 JEX983039 JOT983039 JYP983039 KIL983039 KSH983039 LCD983039 LLZ983039 LVV983039 MFR983039 MPN983039 MZJ983039 NJF983039 NTB983039 OCX983039 OMT983039 OWP983039 PGL983039 PQH983039 QAD983039 QJZ983039 QTV983039 RDR983039 RNN983039 RXJ983039 SHF983039 SRB983039 TAX983039 TKT983039 TUP983039 UEL983039 UOH983039 UYD983039 VHZ983039 VRV983039 WBR983039 WLN983039 WVJ983039 B2:B85"/>
    <dataValidation type="list" allowBlank="1" showInputMessage="1" showErrorMessage="1" sqref="A2:A497 A65535:A65612 A131071:A131148 A196607:A196684 A262143:A262220 A327679:A327756 A393215:A393292 A458751:A458828 A524287:A524364 A589823:A589900 A655359:A655436 A720895:A720972 A786431:A786508 A851967:A852044 A917503:A917580 A983039:A983116 IW2:IW76 IW65535:IW65612 IW131071:IW131148 IW196607:IW196684 IW262143:IW262220 IW327679:IW327756 IW393215:IW393292 IW458751:IW458828 IW524287:IW524364 IW589823:IW589900 IW655359:IW655436 IW720895:IW720972 IW786431:IW786508 IW851967:IW852044 IW917503:IW917580 IW983039:IW983116 SS2:SS76 SS65535:SS65612 SS131071:SS131148 SS196607:SS196684 SS262143:SS262220 SS327679:SS327756 SS393215:SS393292 SS458751:SS458828 SS524287:SS524364 SS589823:SS589900 SS655359:SS655436 SS720895:SS720972 SS786431:SS786508 SS851967:SS852044 SS917503:SS917580 SS983039:SS983116 ACO2:ACO76 ACO65535:ACO65612 ACO131071:ACO131148 ACO196607:ACO196684 ACO262143:ACO262220 ACO327679:ACO327756 ACO393215:ACO393292 ACO458751:ACO458828 ACO524287:ACO524364 ACO589823:ACO589900 ACO655359:ACO655436 ACO720895:ACO720972 ACO786431:ACO786508 ACO851967:ACO852044 ACO917503:ACO917580 ACO983039:ACO983116 AMK2:AMK76 AMK65535:AMK65612 AMK131071:AMK131148 AMK196607:AMK196684 AMK262143:AMK262220 AMK327679:AMK327756 AMK393215:AMK393292 AMK458751:AMK458828 AMK524287:AMK524364 AMK589823:AMK589900 AMK655359:AMK655436 AMK720895:AMK720972 AMK786431:AMK786508 AMK851967:AMK852044 AMK917503:AMK917580 AMK983039:AMK983116 AWG2:AWG76 AWG65535:AWG65612 AWG131071:AWG131148 AWG196607:AWG196684 AWG262143:AWG262220 AWG327679:AWG327756 AWG393215:AWG393292 AWG458751:AWG458828 AWG524287:AWG524364 AWG589823:AWG589900 AWG655359:AWG655436 AWG720895:AWG720972 AWG786431:AWG786508 AWG851967:AWG852044 AWG917503:AWG917580 AWG983039:AWG983116 BGC2:BGC76 BGC65535:BGC65612 BGC131071:BGC131148 BGC196607:BGC196684 BGC262143:BGC262220 BGC327679:BGC327756 BGC393215:BGC393292 BGC458751:BGC458828 BGC524287:BGC524364 BGC589823:BGC589900 BGC655359:BGC655436 BGC720895:BGC720972 BGC786431:BGC786508 BGC851967:BGC852044 BGC917503:BGC917580 BGC983039:BGC983116 BPY2:BPY76 BPY65535:BPY65612 BPY131071:BPY131148 BPY196607:BPY196684 BPY262143:BPY262220 BPY327679:BPY327756 BPY393215:BPY393292 BPY458751:BPY458828 BPY524287:BPY524364 BPY589823:BPY589900 BPY655359:BPY655436 BPY720895:BPY720972 BPY786431:BPY786508 BPY851967:BPY852044 BPY917503:BPY917580 BPY983039:BPY983116 BZU2:BZU76 BZU65535:BZU65612 BZU131071:BZU131148 BZU196607:BZU196684 BZU262143:BZU262220 BZU327679:BZU327756 BZU393215:BZU393292 BZU458751:BZU458828 BZU524287:BZU524364 BZU589823:BZU589900 BZU655359:BZU655436 BZU720895:BZU720972 BZU786431:BZU786508 BZU851967:BZU852044 BZU917503:BZU917580 BZU983039:BZU983116 CJQ2:CJQ76 CJQ65535:CJQ65612 CJQ131071:CJQ131148 CJQ196607:CJQ196684 CJQ262143:CJQ262220 CJQ327679:CJQ327756 CJQ393215:CJQ393292 CJQ458751:CJQ458828 CJQ524287:CJQ524364 CJQ589823:CJQ589900 CJQ655359:CJQ655436 CJQ720895:CJQ720972 CJQ786431:CJQ786508 CJQ851967:CJQ852044 CJQ917503:CJQ917580 CJQ983039:CJQ983116 CTM2:CTM76 CTM65535:CTM65612 CTM131071:CTM131148 CTM196607:CTM196684 CTM262143:CTM262220 CTM327679:CTM327756 CTM393215:CTM393292 CTM458751:CTM458828 CTM524287:CTM524364 CTM589823:CTM589900 CTM655359:CTM655436 CTM720895:CTM720972 CTM786431:CTM786508 CTM851967:CTM852044 CTM917503:CTM917580 CTM983039:CTM983116 DDI2:DDI76 DDI65535:DDI65612 DDI131071:DDI131148 DDI196607:DDI196684 DDI262143:DDI262220 DDI327679:DDI327756 DDI393215:DDI393292 DDI458751:DDI458828 DDI524287:DDI524364 DDI589823:DDI589900 DDI655359:DDI655436 DDI720895:DDI720972 DDI786431:DDI786508 DDI851967:DDI852044 DDI917503:DDI917580 DDI983039:DDI983116 DNE2:DNE76 DNE65535:DNE65612 DNE131071:DNE131148 DNE196607:DNE196684 DNE262143:DNE262220 DNE327679:DNE327756 DNE393215:DNE393292 DNE458751:DNE458828 DNE524287:DNE524364 DNE589823:DNE589900 DNE655359:DNE655436 DNE720895:DNE720972 DNE786431:DNE786508 DNE851967:DNE852044 DNE917503:DNE917580 DNE983039:DNE983116 DXA2:DXA76 DXA65535:DXA65612 DXA131071:DXA131148 DXA196607:DXA196684 DXA262143:DXA262220 DXA327679:DXA327756 DXA393215:DXA393292 DXA458751:DXA458828 DXA524287:DXA524364 DXA589823:DXA589900 DXA655359:DXA655436 DXA720895:DXA720972 DXA786431:DXA786508 DXA851967:DXA852044 DXA917503:DXA917580 DXA983039:DXA983116 EGW2:EGW76 EGW65535:EGW65612 EGW131071:EGW131148 EGW196607:EGW196684 EGW262143:EGW262220 EGW327679:EGW327756 EGW393215:EGW393292 EGW458751:EGW458828 EGW524287:EGW524364 EGW589823:EGW589900 EGW655359:EGW655436 EGW720895:EGW720972 EGW786431:EGW786508 EGW851967:EGW852044 EGW917503:EGW917580 EGW983039:EGW983116 EQS2:EQS76 EQS65535:EQS65612 EQS131071:EQS131148 EQS196607:EQS196684 EQS262143:EQS262220 EQS327679:EQS327756 EQS393215:EQS393292 EQS458751:EQS458828 EQS524287:EQS524364 EQS589823:EQS589900 EQS655359:EQS655436 EQS720895:EQS720972 EQS786431:EQS786508 EQS851967:EQS852044 EQS917503:EQS917580 EQS983039:EQS983116 FAO2:FAO76 FAO65535:FAO65612 FAO131071:FAO131148 FAO196607:FAO196684 FAO262143:FAO262220 FAO327679:FAO327756 FAO393215:FAO393292 FAO458751:FAO458828 FAO524287:FAO524364 FAO589823:FAO589900 FAO655359:FAO655436 FAO720895:FAO720972 FAO786431:FAO786508 FAO851967:FAO852044 FAO917503:FAO917580 FAO983039:FAO983116 FKK2:FKK76 FKK65535:FKK65612 FKK131071:FKK131148 FKK196607:FKK196684 FKK262143:FKK262220 FKK327679:FKK327756 FKK393215:FKK393292 FKK458751:FKK458828 FKK524287:FKK524364 FKK589823:FKK589900 FKK655359:FKK655436 FKK720895:FKK720972 FKK786431:FKK786508 FKK851967:FKK852044 FKK917503:FKK917580 FKK983039:FKK983116 FUG2:FUG76 FUG65535:FUG65612 FUG131071:FUG131148 FUG196607:FUG196684 FUG262143:FUG262220 FUG327679:FUG327756 FUG393215:FUG393292 FUG458751:FUG458828 FUG524287:FUG524364 FUG589823:FUG589900 FUG655359:FUG655436 FUG720895:FUG720972 FUG786431:FUG786508 FUG851967:FUG852044 FUG917503:FUG917580 FUG983039:FUG983116 GEC2:GEC76 GEC65535:GEC65612 GEC131071:GEC131148 GEC196607:GEC196684 GEC262143:GEC262220 GEC327679:GEC327756 GEC393215:GEC393292 GEC458751:GEC458828 GEC524287:GEC524364 GEC589823:GEC589900 GEC655359:GEC655436 GEC720895:GEC720972 GEC786431:GEC786508 GEC851967:GEC852044 GEC917503:GEC917580 GEC983039:GEC983116 GNY2:GNY76 GNY65535:GNY65612 GNY131071:GNY131148 GNY196607:GNY196684 GNY262143:GNY262220 GNY327679:GNY327756 GNY393215:GNY393292 GNY458751:GNY458828 GNY524287:GNY524364 GNY589823:GNY589900 GNY655359:GNY655436 GNY720895:GNY720972 GNY786431:GNY786508 GNY851967:GNY852044 GNY917503:GNY917580 GNY983039:GNY983116 GXU2:GXU76 GXU65535:GXU65612 GXU131071:GXU131148 GXU196607:GXU196684 GXU262143:GXU262220 GXU327679:GXU327756 GXU393215:GXU393292 GXU458751:GXU458828 GXU524287:GXU524364 GXU589823:GXU589900 GXU655359:GXU655436 GXU720895:GXU720972 GXU786431:GXU786508 GXU851967:GXU852044 GXU917503:GXU917580 GXU983039:GXU983116 HHQ2:HHQ76 HHQ65535:HHQ65612 HHQ131071:HHQ131148 HHQ196607:HHQ196684 HHQ262143:HHQ262220 HHQ327679:HHQ327756 HHQ393215:HHQ393292 HHQ458751:HHQ458828 HHQ524287:HHQ524364 HHQ589823:HHQ589900 HHQ655359:HHQ655436 HHQ720895:HHQ720972 HHQ786431:HHQ786508 HHQ851967:HHQ852044 HHQ917503:HHQ917580 HHQ983039:HHQ983116 HRM2:HRM76 HRM65535:HRM65612 HRM131071:HRM131148 HRM196607:HRM196684 HRM262143:HRM262220 HRM327679:HRM327756 HRM393215:HRM393292 HRM458751:HRM458828 HRM524287:HRM524364 HRM589823:HRM589900 HRM655359:HRM655436 HRM720895:HRM720972 HRM786431:HRM786508 HRM851967:HRM852044 HRM917503:HRM917580 HRM983039:HRM983116 IBI2:IBI76 IBI65535:IBI65612 IBI131071:IBI131148 IBI196607:IBI196684 IBI262143:IBI262220 IBI327679:IBI327756 IBI393215:IBI393292 IBI458751:IBI458828 IBI524287:IBI524364 IBI589823:IBI589900 IBI655359:IBI655436 IBI720895:IBI720972 IBI786431:IBI786508 IBI851967:IBI852044 IBI917503:IBI917580 IBI983039:IBI983116 ILE2:ILE76 ILE65535:ILE65612 ILE131071:ILE131148 ILE196607:ILE196684 ILE262143:ILE262220 ILE327679:ILE327756 ILE393215:ILE393292 ILE458751:ILE458828 ILE524287:ILE524364 ILE589823:ILE589900 ILE655359:ILE655436 ILE720895:ILE720972 ILE786431:ILE786508 ILE851967:ILE852044 ILE917503:ILE917580 ILE983039:ILE983116 IVA2:IVA76 IVA65535:IVA65612 IVA131071:IVA131148 IVA196607:IVA196684 IVA262143:IVA262220 IVA327679:IVA327756 IVA393215:IVA393292 IVA458751:IVA458828 IVA524287:IVA524364 IVA589823:IVA589900 IVA655359:IVA655436 IVA720895:IVA720972 IVA786431:IVA786508 IVA851967:IVA852044 IVA917503:IVA917580 IVA983039:IVA983116 JEW2:JEW76 JEW65535:JEW65612 JEW131071:JEW131148 JEW196607:JEW196684 JEW262143:JEW262220 JEW327679:JEW327756 JEW393215:JEW393292 JEW458751:JEW458828 JEW524287:JEW524364 JEW589823:JEW589900 JEW655359:JEW655436 JEW720895:JEW720972 JEW786431:JEW786508 JEW851967:JEW852044 JEW917503:JEW917580 JEW983039:JEW983116 JOS2:JOS76 JOS65535:JOS65612 JOS131071:JOS131148 JOS196607:JOS196684 JOS262143:JOS262220 JOS327679:JOS327756 JOS393215:JOS393292 JOS458751:JOS458828 JOS524287:JOS524364 JOS589823:JOS589900 JOS655359:JOS655436 JOS720895:JOS720972 JOS786431:JOS786508 JOS851967:JOS852044 JOS917503:JOS917580 JOS983039:JOS983116 JYO2:JYO76 JYO65535:JYO65612 JYO131071:JYO131148 JYO196607:JYO196684 JYO262143:JYO262220 JYO327679:JYO327756 JYO393215:JYO393292 JYO458751:JYO458828 JYO524287:JYO524364 JYO589823:JYO589900 JYO655359:JYO655436 JYO720895:JYO720972 JYO786431:JYO786508 JYO851967:JYO852044 JYO917503:JYO917580 JYO983039:JYO983116 KIK2:KIK76 KIK65535:KIK65612 KIK131071:KIK131148 KIK196607:KIK196684 KIK262143:KIK262220 KIK327679:KIK327756 KIK393215:KIK393292 KIK458751:KIK458828 KIK524287:KIK524364 KIK589823:KIK589900 KIK655359:KIK655436 KIK720895:KIK720972 KIK786431:KIK786508 KIK851967:KIK852044 KIK917503:KIK917580 KIK983039:KIK983116 KSG2:KSG76 KSG65535:KSG65612 KSG131071:KSG131148 KSG196607:KSG196684 KSG262143:KSG262220 KSG327679:KSG327756 KSG393215:KSG393292 KSG458751:KSG458828 KSG524287:KSG524364 KSG589823:KSG589900 KSG655359:KSG655436 KSG720895:KSG720972 KSG786431:KSG786508 KSG851967:KSG852044 KSG917503:KSG917580 KSG983039:KSG983116 LCC2:LCC76 LCC65535:LCC65612 LCC131071:LCC131148 LCC196607:LCC196684 LCC262143:LCC262220 LCC327679:LCC327756 LCC393215:LCC393292 LCC458751:LCC458828 LCC524287:LCC524364 LCC589823:LCC589900 LCC655359:LCC655436 LCC720895:LCC720972 LCC786431:LCC786508 LCC851967:LCC852044 LCC917503:LCC917580 LCC983039:LCC983116 LLY2:LLY76 LLY65535:LLY65612 LLY131071:LLY131148 LLY196607:LLY196684 LLY262143:LLY262220 LLY327679:LLY327756 LLY393215:LLY393292 LLY458751:LLY458828 LLY524287:LLY524364 LLY589823:LLY589900 LLY655359:LLY655436 LLY720895:LLY720972 LLY786431:LLY786508 LLY851967:LLY852044 LLY917503:LLY917580 LLY983039:LLY983116 LVU2:LVU76 LVU65535:LVU65612 LVU131071:LVU131148 LVU196607:LVU196684 LVU262143:LVU262220 LVU327679:LVU327756 LVU393215:LVU393292 LVU458751:LVU458828 LVU524287:LVU524364 LVU589823:LVU589900 LVU655359:LVU655436 LVU720895:LVU720972 LVU786431:LVU786508 LVU851967:LVU852044 LVU917503:LVU917580 LVU983039:LVU983116 MFQ2:MFQ76 MFQ65535:MFQ65612 MFQ131071:MFQ131148 MFQ196607:MFQ196684 MFQ262143:MFQ262220 MFQ327679:MFQ327756 MFQ393215:MFQ393292 MFQ458751:MFQ458828 MFQ524287:MFQ524364 MFQ589823:MFQ589900 MFQ655359:MFQ655436 MFQ720895:MFQ720972 MFQ786431:MFQ786508 MFQ851967:MFQ852044 MFQ917503:MFQ917580 MFQ983039:MFQ983116 MPM2:MPM76 MPM65535:MPM65612 MPM131071:MPM131148 MPM196607:MPM196684 MPM262143:MPM262220 MPM327679:MPM327756 MPM393215:MPM393292 MPM458751:MPM458828 MPM524287:MPM524364 MPM589823:MPM589900 MPM655359:MPM655436 MPM720895:MPM720972 MPM786431:MPM786508 MPM851967:MPM852044 MPM917503:MPM917580 MPM983039:MPM983116 MZI2:MZI76 MZI65535:MZI65612 MZI131071:MZI131148 MZI196607:MZI196684 MZI262143:MZI262220 MZI327679:MZI327756 MZI393215:MZI393292 MZI458751:MZI458828 MZI524287:MZI524364 MZI589823:MZI589900 MZI655359:MZI655436 MZI720895:MZI720972 MZI786431:MZI786508 MZI851967:MZI852044 MZI917503:MZI917580 MZI983039:MZI983116 NJE2:NJE76 NJE65535:NJE65612 NJE131071:NJE131148 NJE196607:NJE196684 NJE262143:NJE262220 NJE327679:NJE327756 NJE393215:NJE393292 NJE458751:NJE458828 NJE524287:NJE524364 NJE589823:NJE589900 NJE655359:NJE655436 NJE720895:NJE720972 NJE786431:NJE786508 NJE851967:NJE852044 NJE917503:NJE917580 NJE983039:NJE983116 NTA2:NTA76 NTA65535:NTA65612 NTA131071:NTA131148 NTA196607:NTA196684 NTA262143:NTA262220 NTA327679:NTA327756 NTA393215:NTA393292 NTA458751:NTA458828 NTA524287:NTA524364 NTA589823:NTA589900 NTA655359:NTA655436 NTA720895:NTA720972 NTA786431:NTA786508 NTA851967:NTA852044 NTA917503:NTA917580 NTA983039:NTA983116 OCW2:OCW76 OCW65535:OCW65612 OCW131071:OCW131148 OCW196607:OCW196684 OCW262143:OCW262220 OCW327679:OCW327756 OCW393215:OCW393292 OCW458751:OCW458828 OCW524287:OCW524364 OCW589823:OCW589900 OCW655359:OCW655436 OCW720895:OCW720972 OCW786431:OCW786508 OCW851967:OCW852044 OCW917503:OCW917580 OCW983039:OCW983116 OMS2:OMS76 OMS65535:OMS65612 OMS131071:OMS131148 OMS196607:OMS196684 OMS262143:OMS262220 OMS327679:OMS327756 OMS393215:OMS393292 OMS458751:OMS458828 OMS524287:OMS524364 OMS589823:OMS589900 OMS655359:OMS655436 OMS720895:OMS720972 OMS786431:OMS786508 OMS851967:OMS852044 OMS917503:OMS917580 OMS983039:OMS983116 OWO2:OWO76 OWO65535:OWO65612 OWO131071:OWO131148 OWO196607:OWO196684 OWO262143:OWO262220 OWO327679:OWO327756 OWO393215:OWO393292 OWO458751:OWO458828 OWO524287:OWO524364 OWO589823:OWO589900 OWO655359:OWO655436 OWO720895:OWO720972 OWO786431:OWO786508 OWO851967:OWO852044 OWO917503:OWO917580 OWO983039:OWO983116 PGK2:PGK76 PGK65535:PGK65612 PGK131071:PGK131148 PGK196607:PGK196684 PGK262143:PGK262220 PGK327679:PGK327756 PGK393215:PGK393292 PGK458751:PGK458828 PGK524287:PGK524364 PGK589823:PGK589900 PGK655359:PGK655436 PGK720895:PGK720972 PGK786431:PGK786508 PGK851967:PGK852044 PGK917503:PGK917580 PGK983039:PGK983116 PQG2:PQG76 PQG65535:PQG65612 PQG131071:PQG131148 PQG196607:PQG196684 PQG262143:PQG262220 PQG327679:PQG327756 PQG393215:PQG393292 PQG458751:PQG458828 PQG524287:PQG524364 PQG589823:PQG589900 PQG655359:PQG655436 PQG720895:PQG720972 PQG786431:PQG786508 PQG851967:PQG852044 PQG917503:PQG917580 PQG983039:PQG983116 QAC2:QAC76 QAC65535:QAC65612 QAC131071:QAC131148 QAC196607:QAC196684 QAC262143:QAC262220 QAC327679:QAC327756 QAC393215:QAC393292 QAC458751:QAC458828 QAC524287:QAC524364 QAC589823:QAC589900 QAC655359:QAC655436 QAC720895:QAC720972 QAC786431:QAC786508 QAC851967:QAC852044 QAC917503:QAC917580 QAC983039:QAC983116 QJY2:QJY76 QJY65535:QJY65612 QJY131071:QJY131148 QJY196607:QJY196684 QJY262143:QJY262220 QJY327679:QJY327756 QJY393215:QJY393292 QJY458751:QJY458828 QJY524287:QJY524364 QJY589823:QJY589900 QJY655359:QJY655436 QJY720895:QJY720972 QJY786431:QJY786508 QJY851967:QJY852044 QJY917503:QJY917580 QJY983039:QJY983116 QTU2:QTU76 QTU65535:QTU65612 QTU131071:QTU131148 QTU196607:QTU196684 QTU262143:QTU262220 QTU327679:QTU327756 QTU393215:QTU393292 QTU458751:QTU458828 QTU524287:QTU524364 QTU589823:QTU589900 QTU655359:QTU655436 QTU720895:QTU720972 QTU786431:QTU786508 QTU851967:QTU852044 QTU917503:QTU917580 QTU983039:QTU983116 RDQ2:RDQ76 RDQ65535:RDQ65612 RDQ131071:RDQ131148 RDQ196607:RDQ196684 RDQ262143:RDQ262220 RDQ327679:RDQ327756 RDQ393215:RDQ393292 RDQ458751:RDQ458828 RDQ524287:RDQ524364 RDQ589823:RDQ589900 RDQ655359:RDQ655436 RDQ720895:RDQ720972 RDQ786431:RDQ786508 RDQ851967:RDQ852044 RDQ917503:RDQ917580 RDQ983039:RDQ983116 RNM2:RNM76 RNM65535:RNM65612 RNM131071:RNM131148 RNM196607:RNM196684 RNM262143:RNM262220 RNM327679:RNM327756 RNM393215:RNM393292 RNM458751:RNM458828 RNM524287:RNM524364 RNM589823:RNM589900 RNM655359:RNM655436 RNM720895:RNM720972 RNM786431:RNM786508 RNM851967:RNM852044 RNM917503:RNM917580 RNM983039:RNM983116 RXI2:RXI76 RXI65535:RXI65612 RXI131071:RXI131148 RXI196607:RXI196684 RXI262143:RXI262220 RXI327679:RXI327756 RXI393215:RXI393292 RXI458751:RXI458828 RXI524287:RXI524364 RXI589823:RXI589900 RXI655359:RXI655436 RXI720895:RXI720972 RXI786431:RXI786508 RXI851967:RXI852044 RXI917503:RXI917580 RXI983039:RXI983116 SHE2:SHE76 SHE65535:SHE65612 SHE131071:SHE131148 SHE196607:SHE196684 SHE262143:SHE262220 SHE327679:SHE327756 SHE393215:SHE393292 SHE458751:SHE458828 SHE524287:SHE524364 SHE589823:SHE589900 SHE655359:SHE655436 SHE720895:SHE720972 SHE786431:SHE786508 SHE851967:SHE852044 SHE917503:SHE917580 SHE983039:SHE983116 SRA2:SRA76 SRA65535:SRA65612 SRA131071:SRA131148 SRA196607:SRA196684 SRA262143:SRA262220 SRA327679:SRA327756 SRA393215:SRA393292 SRA458751:SRA458828 SRA524287:SRA524364 SRA589823:SRA589900 SRA655359:SRA655436 SRA720895:SRA720972 SRA786431:SRA786508 SRA851967:SRA852044 SRA917503:SRA917580 SRA983039:SRA983116 TAW2:TAW76 TAW65535:TAW65612 TAW131071:TAW131148 TAW196607:TAW196684 TAW262143:TAW262220 TAW327679:TAW327756 TAW393215:TAW393292 TAW458751:TAW458828 TAW524287:TAW524364 TAW589823:TAW589900 TAW655359:TAW655436 TAW720895:TAW720972 TAW786431:TAW786508 TAW851967:TAW852044 TAW917503:TAW917580 TAW983039:TAW983116 TKS2:TKS76 TKS65535:TKS65612 TKS131071:TKS131148 TKS196607:TKS196684 TKS262143:TKS262220 TKS327679:TKS327756 TKS393215:TKS393292 TKS458751:TKS458828 TKS524287:TKS524364 TKS589823:TKS589900 TKS655359:TKS655436 TKS720895:TKS720972 TKS786431:TKS786508 TKS851967:TKS852044 TKS917503:TKS917580 TKS983039:TKS983116 TUO2:TUO76 TUO65535:TUO65612 TUO131071:TUO131148 TUO196607:TUO196684 TUO262143:TUO262220 TUO327679:TUO327756 TUO393215:TUO393292 TUO458751:TUO458828 TUO524287:TUO524364 TUO589823:TUO589900 TUO655359:TUO655436 TUO720895:TUO720972 TUO786431:TUO786508 TUO851967:TUO852044 TUO917503:TUO917580 TUO983039:TUO983116 UEK2:UEK76 UEK65535:UEK65612 UEK131071:UEK131148 UEK196607:UEK196684 UEK262143:UEK262220 UEK327679:UEK327756 UEK393215:UEK393292 UEK458751:UEK458828 UEK524287:UEK524364 UEK589823:UEK589900 UEK655359:UEK655436 UEK720895:UEK720972 UEK786431:UEK786508 UEK851967:UEK852044 UEK917503:UEK917580 UEK983039:UEK983116 UOG2:UOG76 UOG65535:UOG65612 UOG131071:UOG131148 UOG196607:UOG196684 UOG262143:UOG262220 UOG327679:UOG327756 UOG393215:UOG393292 UOG458751:UOG458828 UOG524287:UOG524364 UOG589823:UOG589900 UOG655359:UOG655436 UOG720895:UOG720972 UOG786431:UOG786508 UOG851967:UOG852044 UOG917503:UOG917580 UOG983039:UOG983116 UYC2:UYC76 UYC65535:UYC65612 UYC131071:UYC131148 UYC196607:UYC196684 UYC262143:UYC262220 UYC327679:UYC327756 UYC393215:UYC393292 UYC458751:UYC458828 UYC524287:UYC524364 UYC589823:UYC589900 UYC655359:UYC655436 UYC720895:UYC720972 UYC786431:UYC786508 UYC851967:UYC852044 UYC917503:UYC917580 UYC983039:UYC983116 VHY2:VHY76 VHY65535:VHY65612 VHY131071:VHY131148 VHY196607:VHY196684 VHY262143:VHY262220 VHY327679:VHY327756 VHY393215:VHY393292 VHY458751:VHY458828 VHY524287:VHY524364 VHY589823:VHY589900 VHY655359:VHY655436 VHY720895:VHY720972 VHY786431:VHY786508 VHY851967:VHY852044 VHY917503:VHY917580 VHY983039:VHY983116 VRU2:VRU76 VRU65535:VRU65612 VRU131071:VRU131148 VRU196607:VRU196684 VRU262143:VRU262220 VRU327679:VRU327756 VRU393215:VRU393292 VRU458751:VRU458828 VRU524287:VRU524364 VRU589823:VRU589900 VRU655359:VRU655436 VRU720895:VRU720972 VRU786431:VRU786508 VRU851967:VRU852044 VRU917503:VRU917580 VRU983039:VRU983116 WBQ2:WBQ76 WBQ65535:WBQ65612 WBQ131071:WBQ131148 WBQ196607:WBQ196684 WBQ262143:WBQ262220 WBQ327679:WBQ327756 WBQ393215:WBQ393292 WBQ458751:WBQ458828 WBQ524287:WBQ524364 WBQ589823:WBQ589900 WBQ655359:WBQ655436 WBQ720895:WBQ720972 WBQ786431:WBQ786508 WBQ851967:WBQ852044 WBQ917503:WBQ917580 WBQ983039:WBQ983116 WLM2:WLM76 WLM65535:WLM65612 WLM131071:WLM131148 WLM196607:WLM196684 WLM262143:WLM262220 WLM327679:WLM327756 WLM393215:WLM393292 WLM458751:WLM458828 WLM524287:WLM524364 WLM589823:WLM589900 WLM655359:WLM655436 WLM720895:WLM720972 WLM786431:WLM786508 WLM851967:WLM852044 WLM917503:WLM917580 WLM983039:WLM983116 WVI2:WVI76 WVI65535:WVI65612 WVI131071:WVI131148 WVI196607:WVI196684 WVI262143:WVI262220 WVI327679:WVI327756 WVI393215:WVI393292 WVI458751:WVI458828 WVI524287:WVI524364 WVI589823:WVI589900 WVI655359:WVI655436 WVI720895:WVI720972 WVI786431:WVI786508 WVI851967:WVI852044 WVI917503:WVI917580 WVI983039:WVI983116">
      <formula1>$AE$2:$AE$19</formula1>
    </dataValidation>
    <dataValidation type="list" allowBlank="1" showInputMessage="1" showErrorMessage="1" sqref="G2:G497 G65535:G65612 G131071:G131148 G196607:G196684 G262143:G262220 G327679:G327756 G393215:G393292 G458751:G458828 G524287:G524364 G589823:G589900 G655359:G655436 G720895:G720972 G786431:G786508 G851967:G852044 G917503:G917580 G983039:G983116 JC2:JC76 JC65535:JC65612 JC131071:JC131148 JC196607:JC196684 JC262143:JC262220 JC327679:JC327756 JC393215:JC393292 JC458751:JC458828 JC524287:JC524364 JC589823:JC589900 JC655359:JC655436 JC720895:JC720972 JC786431:JC786508 JC851967:JC852044 JC917503:JC917580 JC983039:JC983116 SY2:SY76 SY65535:SY65612 SY131071:SY131148 SY196607:SY196684 SY262143:SY262220 SY327679:SY327756 SY393215:SY393292 SY458751:SY458828 SY524287:SY524364 SY589823:SY589900 SY655359:SY655436 SY720895:SY720972 SY786431:SY786508 SY851967:SY852044 SY917503:SY917580 SY983039:SY983116 ACU2:ACU76 ACU65535:ACU65612 ACU131071:ACU131148 ACU196607:ACU196684 ACU262143:ACU262220 ACU327679:ACU327756 ACU393215:ACU393292 ACU458751:ACU458828 ACU524287:ACU524364 ACU589823:ACU589900 ACU655359:ACU655436 ACU720895:ACU720972 ACU786431:ACU786508 ACU851967:ACU852044 ACU917503:ACU917580 ACU983039:ACU983116 AMQ2:AMQ76 AMQ65535:AMQ65612 AMQ131071:AMQ131148 AMQ196607:AMQ196684 AMQ262143:AMQ262220 AMQ327679:AMQ327756 AMQ393215:AMQ393292 AMQ458751:AMQ458828 AMQ524287:AMQ524364 AMQ589823:AMQ589900 AMQ655359:AMQ655436 AMQ720895:AMQ720972 AMQ786431:AMQ786508 AMQ851967:AMQ852044 AMQ917503:AMQ917580 AMQ983039:AMQ983116 AWM2:AWM76 AWM65535:AWM65612 AWM131071:AWM131148 AWM196607:AWM196684 AWM262143:AWM262220 AWM327679:AWM327756 AWM393215:AWM393292 AWM458751:AWM458828 AWM524287:AWM524364 AWM589823:AWM589900 AWM655359:AWM655436 AWM720895:AWM720972 AWM786431:AWM786508 AWM851967:AWM852044 AWM917503:AWM917580 AWM983039:AWM983116 BGI2:BGI76 BGI65535:BGI65612 BGI131071:BGI131148 BGI196607:BGI196684 BGI262143:BGI262220 BGI327679:BGI327756 BGI393215:BGI393292 BGI458751:BGI458828 BGI524287:BGI524364 BGI589823:BGI589900 BGI655359:BGI655436 BGI720895:BGI720972 BGI786431:BGI786508 BGI851967:BGI852044 BGI917503:BGI917580 BGI983039:BGI983116 BQE2:BQE76 BQE65535:BQE65612 BQE131071:BQE131148 BQE196607:BQE196684 BQE262143:BQE262220 BQE327679:BQE327756 BQE393215:BQE393292 BQE458751:BQE458828 BQE524287:BQE524364 BQE589823:BQE589900 BQE655359:BQE655436 BQE720895:BQE720972 BQE786431:BQE786508 BQE851967:BQE852044 BQE917503:BQE917580 BQE983039:BQE983116 CAA2:CAA76 CAA65535:CAA65612 CAA131071:CAA131148 CAA196607:CAA196684 CAA262143:CAA262220 CAA327679:CAA327756 CAA393215:CAA393292 CAA458751:CAA458828 CAA524287:CAA524364 CAA589823:CAA589900 CAA655359:CAA655436 CAA720895:CAA720972 CAA786431:CAA786508 CAA851967:CAA852044 CAA917503:CAA917580 CAA983039:CAA983116 CJW2:CJW76 CJW65535:CJW65612 CJW131071:CJW131148 CJW196607:CJW196684 CJW262143:CJW262220 CJW327679:CJW327756 CJW393215:CJW393292 CJW458751:CJW458828 CJW524287:CJW524364 CJW589823:CJW589900 CJW655359:CJW655436 CJW720895:CJW720972 CJW786431:CJW786508 CJW851967:CJW852044 CJW917503:CJW917580 CJW983039:CJW983116 CTS2:CTS76 CTS65535:CTS65612 CTS131071:CTS131148 CTS196607:CTS196684 CTS262143:CTS262220 CTS327679:CTS327756 CTS393215:CTS393292 CTS458751:CTS458828 CTS524287:CTS524364 CTS589823:CTS589900 CTS655359:CTS655436 CTS720895:CTS720972 CTS786431:CTS786508 CTS851967:CTS852044 CTS917503:CTS917580 CTS983039:CTS983116 DDO2:DDO76 DDO65535:DDO65612 DDO131071:DDO131148 DDO196607:DDO196684 DDO262143:DDO262220 DDO327679:DDO327756 DDO393215:DDO393292 DDO458751:DDO458828 DDO524287:DDO524364 DDO589823:DDO589900 DDO655359:DDO655436 DDO720895:DDO720972 DDO786431:DDO786508 DDO851967:DDO852044 DDO917503:DDO917580 DDO983039:DDO983116 DNK2:DNK76 DNK65535:DNK65612 DNK131071:DNK131148 DNK196607:DNK196684 DNK262143:DNK262220 DNK327679:DNK327756 DNK393215:DNK393292 DNK458751:DNK458828 DNK524287:DNK524364 DNK589823:DNK589900 DNK655359:DNK655436 DNK720895:DNK720972 DNK786431:DNK786508 DNK851967:DNK852044 DNK917503:DNK917580 DNK983039:DNK983116 DXG2:DXG76 DXG65535:DXG65612 DXG131071:DXG131148 DXG196607:DXG196684 DXG262143:DXG262220 DXG327679:DXG327756 DXG393215:DXG393292 DXG458751:DXG458828 DXG524287:DXG524364 DXG589823:DXG589900 DXG655359:DXG655436 DXG720895:DXG720972 DXG786431:DXG786508 DXG851967:DXG852044 DXG917503:DXG917580 DXG983039:DXG983116 EHC2:EHC76 EHC65535:EHC65612 EHC131071:EHC131148 EHC196607:EHC196684 EHC262143:EHC262220 EHC327679:EHC327756 EHC393215:EHC393292 EHC458751:EHC458828 EHC524287:EHC524364 EHC589823:EHC589900 EHC655359:EHC655436 EHC720895:EHC720972 EHC786431:EHC786508 EHC851967:EHC852044 EHC917503:EHC917580 EHC983039:EHC983116 EQY2:EQY76 EQY65535:EQY65612 EQY131071:EQY131148 EQY196607:EQY196684 EQY262143:EQY262220 EQY327679:EQY327756 EQY393215:EQY393292 EQY458751:EQY458828 EQY524287:EQY524364 EQY589823:EQY589900 EQY655359:EQY655436 EQY720895:EQY720972 EQY786431:EQY786508 EQY851967:EQY852044 EQY917503:EQY917580 EQY983039:EQY983116 FAU2:FAU76 FAU65535:FAU65612 FAU131071:FAU131148 FAU196607:FAU196684 FAU262143:FAU262220 FAU327679:FAU327756 FAU393215:FAU393292 FAU458751:FAU458828 FAU524287:FAU524364 FAU589823:FAU589900 FAU655359:FAU655436 FAU720895:FAU720972 FAU786431:FAU786508 FAU851967:FAU852044 FAU917503:FAU917580 FAU983039:FAU983116 FKQ2:FKQ76 FKQ65535:FKQ65612 FKQ131071:FKQ131148 FKQ196607:FKQ196684 FKQ262143:FKQ262220 FKQ327679:FKQ327756 FKQ393215:FKQ393292 FKQ458751:FKQ458828 FKQ524287:FKQ524364 FKQ589823:FKQ589900 FKQ655359:FKQ655436 FKQ720895:FKQ720972 FKQ786431:FKQ786508 FKQ851967:FKQ852044 FKQ917503:FKQ917580 FKQ983039:FKQ983116 FUM2:FUM76 FUM65535:FUM65612 FUM131071:FUM131148 FUM196607:FUM196684 FUM262143:FUM262220 FUM327679:FUM327756 FUM393215:FUM393292 FUM458751:FUM458828 FUM524287:FUM524364 FUM589823:FUM589900 FUM655359:FUM655436 FUM720895:FUM720972 FUM786431:FUM786508 FUM851967:FUM852044 FUM917503:FUM917580 FUM983039:FUM983116 GEI2:GEI76 GEI65535:GEI65612 GEI131071:GEI131148 GEI196607:GEI196684 GEI262143:GEI262220 GEI327679:GEI327756 GEI393215:GEI393292 GEI458751:GEI458828 GEI524287:GEI524364 GEI589823:GEI589900 GEI655359:GEI655436 GEI720895:GEI720972 GEI786431:GEI786508 GEI851967:GEI852044 GEI917503:GEI917580 GEI983039:GEI983116 GOE2:GOE76 GOE65535:GOE65612 GOE131071:GOE131148 GOE196607:GOE196684 GOE262143:GOE262220 GOE327679:GOE327756 GOE393215:GOE393292 GOE458751:GOE458828 GOE524287:GOE524364 GOE589823:GOE589900 GOE655359:GOE655436 GOE720895:GOE720972 GOE786431:GOE786508 GOE851967:GOE852044 GOE917503:GOE917580 GOE983039:GOE983116 GYA2:GYA76 GYA65535:GYA65612 GYA131071:GYA131148 GYA196607:GYA196684 GYA262143:GYA262220 GYA327679:GYA327756 GYA393215:GYA393292 GYA458751:GYA458828 GYA524287:GYA524364 GYA589823:GYA589900 GYA655359:GYA655436 GYA720895:GYA720972 GYA786431:GYA786508 GYA851967:GYA852044 GYA917503:GYA917580 GYA983039:GYA983116 HHW2:HHW76 HHW65535:HHW65612 HHW131071:HHW131148 HHW196607:HHW196684 HHW262143:HHW262220 HHW327679:HHW327756 HHW393215:HHW393292 HHW458751:HHW458828 HHW524287:HHW524364 HHW589823:HHW589900 HHW655359:HHW655436 HHW720895:HHW720972 HHW786431:HHW786508 HHW851967:HHW852044 HHW917503:HHW917580 HHW983039:HHW983116 HRS2:HRS76 HRS65535:HRS65612 HRS131071:HRS131148 HRS196607:HRS196684 HRS262143:HRS262220 HRS327679:HRS327756 HRS393215:HRS393292 HRS458751:HRS458828 HRS524287:HRS524364 HRS589823:HRS589900 HRS655359:HRS655436 HRS720895:HRS720972 HRS786431:HRS786508 HRS851967:HRS852044 HRS917503:HRS917580 HRS983039:HRS983116 IBO2:IBO76 IBO65535:IBO65612 IBO131071:IBO131148 IBO196607:IBO196684 IBO262143:IBO262220 IBO327679:IBO327756 IBO393215:IBO393292 IBO458751:IBO458828 IBO524287:IBO524364 IBO589823:IBO589900 IBO655359:IBO655436 IBO720895:IBO720972 IBO786431:IBO786508 IBO851967:IBO852044 IBO917503:IBO917580 IBO983039:IBO983116 ILK2:ILK76 ILK65535:ILK65612 ILK131071:ILK131148 ILK196607:ILK196684 ILK262143:ILK262220 ILK327679:ILK327756 ILK393215:ILK393292 ILK458751:ILK458828 ILK524287:ILK524364 ILK589823:ILK589900 ILK655359:ILK655436 ILK720895:ILK720972 ILK786431:ILK786508 ILK851967:ILK852044 ILK917503:ILK917580 ILK983039:ILK983116 IVG2:IVG76 IVG65535:IVG65612 IVG131071:IVG131148 IVG196607:IVG196684 IVG262143:IVG262220 IVG327679:IVG327756 IVG393215:IVG393292 IVG458751:IVG458828 IVG524287:IVG524364 IVG589823:IVG589900 IVG655359:IVG655436 IVG720895:IVG720972 IVG786431:IVG786508 IVG851967:IVG852044 IVG917503:IVG917580 IVG983039:IVG983116 JFC2:JFC76 JFC65535:JFC65612 JFC131071:JFC131148 JFC196607:JFC196684 JFC262143:JFC262220 JFC327679:JFC327756 JFC393215:JFC393292 JFC458751:JFC458828 JFC524287:JFC524364 JFC589823:JFC589900 JFC655359:JFC655436 JFC720895:JFC720972 JFC786431:JFC786508 JFC851967:JFC852044 JFC917503:JFC917580 JFC983039:JFC983116 JOY2:JOY76 JOY65535:JOY65612 JOY131071:JOY131148 JOY196607:JOY196684 JOY262143:JOY262220 JOY327679:JOY327756 JOY393215:JOY393292 JOY458751:JOY458828 JOY524287:JOY524364 JOY589823:JOY589900 JOY655359:JOY655436 JOY720895:JOY720972 JOY786431:JOY786508 JOY851967:JOY852044 JOY917503:JOY917580 JOY983039:JOY983116 JYU2:JYU76 JYU65535:JYU65612 JYU131071:JYU131148 JYU196607:JYU196684 JYU262143:JYU262220 JYU327679:JYU327756 JYU393215:JYU393292 JYU458751:JYU458828 JYU524287:JYU524364 JYU589823:JYU589900 JYU655359:JYU655436 JYU720895:JYU720972 JYU786431:JYU786508 JYU851967:JYU852044 JYU917503:JYU917580 JYU983039:JYU983116 KIQ2:KIQ76 KIQ65535:KIQ65612 KIQ131071:KIQ131148 KIQ196607:KIQ196684 KIQ262143:KIQ262220 KIQ327679:KIQ327756 KIQ393215:KIQ393292 KIQ458751:KIQ458828 KIQ524287:KIQ524364 KIQ589823:KIQ589900 KIQ655359:KIQ655436 KIQ720895:KIQ720972 KIQ786431:KIQ786508 KIQ851967:KIQ852044 KIQ917503:KIQ917580 KIQ983039:KIQ983116 KSM2:KSM76 KSM65535:KSM65612 KSM131071:KSM131148 KSM196607:KSM196684 KSM262143:KSM262220 KSM327679:KSM327756 KSM393215:KSM393292 KSM458751:KSM458828 KSM524287:KSM524364 KSM589823:KSM589900 KSM655359:KSM655436 KSM720895:KSM720972 KSM786431:KSM786508 KSM851967:KSM852044 KSM917503:KSM917580 KSM983039:KSM983116 LCI2:LCI76 LCI65535:LCI65612 LCI131071:LCI131148 LCI196607:LCI196684 LCI262143:LCI262220 LCI327679:LCI327756 LCI393215:LCI393292 LCI458751:LCI458828 LCI524287:LCI524364 LCI589823:LCI589900 LCI655359:LCI655436 LCI720895:LCI720972 LCI786431:LCI786508 LCI851967:LCI852044 LCI917503:LCI917580 LCI983039:LCI983116 LME2:LME76 LME65535:LME65612 LME131071:LME131148 LME196607:LME196684 LME262143:LME262220 LME327679:LME327756 LME393215:LME393292 LME458751:LME458828 LME524287:LME524364 LME589823:LME589900 LME655359:LME655436 LME720895:LME720972 LME786431:LME786508 LME851967:LME852044 LME917503:LME917580 LME983039:LME983116 LWA2:LWA76 LWA65535:LWA65612 LWA131071:LWA131148 LWA196607:LWA196684 LWA262143:LWA262220 LWA327679:LWA327756 LWA393215:LWA393292 LWA458751:LWA458828 LWA524287:LWA524364 LWA589823:LWA589900 LWA655359:LWA655436 LWA720895:LWA720972 LWA786431:LWA786508 LWA851967:LWA852044 LWA917503:LWA917580 LWA983039:LWA983116 MFW2:MFW76 MFW65535:MFW65612 MFW131071:MFW131148 MFW196607:MFW196684 MFW262143:MFW262220 MFW327679:MFW327756 MFW393215:MFW393292 MFW458751:MFW458828 MFW524287:MFW524364 MFW589823:MFW589900 MFW655359:MFW655436 MFW720895:MFW720972 MFW786431:MFW786508 MFW851967:MFW852044 MFW917503:MFW917580 MFW983039:MFW983116 MPS2:MPS76 MPS65535:MPS65612 MPS131071:MPS131148 MPS196607:MPS196684 MPS262143:MPS262220 MPS327679:MPS327756 MPS393215:MPS393292 MPS458751:MPS458828 MPS524287:MPS524364 MPS589823:MPS589900 MPS655359:MPS655436 MPS720895:MPS720972 MPS786431:MPS786508 MPS851967:MPS852044 MPS917503:MPS917580 MPS983039:MPS983116 MZO2:MZO76 MZO65535:MZO65612 MZO131071:MZO131148 MZO196607:MZO196684 MZO262143:MZO262220 MZO327679:MZO327756 MZO393215:MZO393292 MZO458751:MZO458828 MZO524287:MZO524364 MZO589823:MZO589900 MZO655359:MZO655436 MZO720895:MZO720972 MZO786431:MZO786508 MZO851967:MZO852044 MZO917503:MZO917580 MZO983039:MZO983116 NJK2:NJK76 NJK65535:NJK65612 NJK131071:NJK131148 NJK196607:NJK196684 NJK262143:NJK262220 NJK327679:NJK327756 NJK393215:NJK393292 NJK458751:NJK458828 NJK524287:NJK524364 NJK589823:NJK589900 NJK655359:NJK655436 NJK720895:NJK720972 NJK786431:NJK786508 NJK851967:NJK852044 NJK917503:NJK917580 NJK983039:NJK983116 NTG2:NTG76 NTG65535:NTG65612 NTG131071:NTG131148 NTG196607:NTG196684 NTG262143:NTG262220 NTG327679:NTG327756 NTG393215:NTG393292 NTG458751:NTG458828 NTG524287:NTG524364 NTG589823:NTG589900 NTG655359:NTG655436 NTG720895:NTG720972 NTG786431:NTG786508 NTG851967:NTG852044 NTG917503:NTG917580 NTG983039:NTG983116 ODC2:ODC76 ODC65535:ODC65612 ODC131071:ODC131148 ODC196607:ODC196684 ODC262143:ODC262220 ODC327679:ODC327756 ODC393215:ODC393292 ODC458751:ODC458828 ODC524287:ODC524364 ODC589823:ODC589900 ODC655359:ODC655436 ODC720895:ODC720972 ODC786431:ODC786508 ODC851967:ODC852044 ODC917503:ODC917580 ODC983039:ODC983116 OMY2:OMY76 OMY65535:OMY65612 OMY131071:OMY131148 OMY196607:OMY196684 OMY262143:OMY262220 OMY327679:OMY327756 OMY393215:OMY393292 OMY458751:OMY458828 OMY524287:OMY524364 OMY589823:OMY589900 OMY655359:OMY655436 OMY720895:OMY720972 OMY786431:OMY786508 OMY851967:OMY852044 OMY917503:OMY917580 OMY983039:OMY983116 OWU2:OWU76 OWU65535:OWU65612 OWU131071:OWU131148 OWU196607:OWU196684 OWU262143:OWU262220 OWU327679:OWU327756 OWU393215:OWU393292 OWU458751:OWU458828 OWU524287:OWU524364 OWU589823:OWU589900 OWU655359:OWU655436 OWU720895:OWU720972 OWU786431:OWU786508 OWU851967:OWU852044 OWU917503:OWU917580 OWU983039:OWU983116 PGQ2:PGQ76 PGQ65535:PGQ65612 PGQ131071:PGQ131148 PGQ196607:PGQ196684 PGQ262143:PGQ262220 PGQ327679:PGQ327756 PGQ393215:PGQ393292 PGQ458751:PGQ458828 PGQ524287:PGQ524364 PGQ589823:PGQ589900 PGQ655359:PGQ655436 PGQ720895:PGQ720972 PGQ786431:PGQ786508 PGQ851967:PGQ852044 PGQ917503:PGQ917580 PGQ983039:PGQ983116 PQM2:PQM76 PQM65535:PQM65612 PQM131071:PQM131148 PQM196607:PQM196684 PQM262143:PQM262220 PQM327679:PQM327756 PQM393215:PQM393292 PQM458751:PQM458828 PQM524287:PQM524364 PQM589823:PQM589900 PQM655359:PQM655436 PQM720895:PQM720972 PQM786431:PQM786508 PQM851967:PQM852044 PQM917503:PQM917580 PQM983039:PQM983116 QAI2:QAI76 QAI65535:QAI65612 QAI131071:QAI131148 QAI196607:QAI196684 QAI262143:QAI262220 QAI327679:QAI327756 QAI393215:QAI393292 QAI458751:QAI458828 QAI524287:QAI524364 QAI589823:QAI589900 QAI655359:QAI655436 QAI720895:QAI720972 QAI786431:QAI786508 QAI851967:QAI852044 QAI917503:QAI917580 QAI983039:QAI983116 QKE2:QKE76 QKE65535:QKE65612 QKE131071:QKE131148 QKE196607:QKE196684 QKE262143:QKE262220 QKE327679:QKE327756 QKE393215:QKE393292 QKE458751:QKE458828 QKE524287:QKE524364 QKE589823:QKE589900 QKE655359:QKE655436 QKE720895:QKE720972 QKE786431:QKE786508 QKE851967:QKE852044 QKE917503:QKE917580 QKE983039:QKE983116 QUA2:QUA76 QUA65535:QUA65612 QUA131071:QUA131148 QUA196607:QUA196684 QUA262143:QUA262220 QUA327679:QUA327756 QUA393215:QUA393292 QUA458751:QUA458828 QUA524287:QUA524364 QUA589823:QUA589900 QUA655359:QUA655436 QUA720895:QUA720972 QUA786431:QUA786508 QUA851967:QUA852044 QUA917503:QUA917580 QUA983039:QUA983116 RDW2:RDW76 RDW65535:RDW65612 RDW131071:RDW131148 RDW196607:RDW196684 RDW262143:RDW262220 RDW327679:RDW327756 RDW393215:RDW393292 RDW458751:RDW458828 RDW524287:RDW524364 RDW589823:RDW589900 RDW655359:RDW655436 RDW720895:RDW720972 RDW786431:RDW786508 RDW851967:RDW852044 RDW917503:RDW917580 RDW983039:RDW983116 RNS2:RNS76 RNS65535:RNS65612 RNS131071:RNS131148 RNS196607:RNS196684 RNS262143:RNS262220 RNS327679:RNS327756 RNS393215:RNS393292 RNS458751:RNS458828 RNS524287:RNS524364 RNS589823:RNS589900 RNS655359:RNS655436 RNS720895:RNS720972 RNS786431:RNS786508 RNS851967:RNS852044 RNS917503:RNS917580 RNS983039:RNS983116 RXO2:RXO76 RXO65535:RXO65612 RXO131071:RXO131148 RXO196607:RXO196684 RXO262143:RXO262220 RXO327679:RXO327756 RXO393215:RXO393292 RXO458751:RXO458828 RXO524287:RXO524364 RXO589823:RXO589900 RXO655359:RXO655436 RXO720895:RXO720972 RXO786431:RXO786508 RXO851967:RXO852044 RXO917503:RXO917580 RXO983039:RXO983116 SHK2:SHK76 SHK65535:SHK65612 SHK131071:SHK131148 SHK196607:SHK196684 SHK262143:SHK262220 SHK327679:SHK327756 SHK393215:SHK393292 SHK458751:SHK458828 SHK524287:SHK524364 SHK589823:SHK589900 SHK655359:SHK655436 SHK720895:SHK720972 SHK786431:SHK786508 SHK851967:SHK852044 SHK917503:SHK917580 SHK983039:SHK983116 SRG2:SRG76 SRG65535:SRG65612 SRG131071:SRG131148 SRG196607:SRG196684 SRG262143:SRG262220 SRG327679:SRG327756 SRG393215:SRG393292 SRG458751:SRG458828 SRG524287:SRG524364 SRG589823:SRG589900 SRG655359:SRG655436 SRG720895:SRG720972 SRG786431:SRG786508 SRG851967:SRG852044 SRG917503:SRG917580 SRG983039:SRG983116 TBC2:TBC76 TBC65535:TBC65612 TBC131071:TBC131148 TBC196607:TBC196684 TBC262143:TBC262220 TBC327679:TBC327756 TBC393215:TBC393292 TBC458751:TBC458828 TBC524287:TBC524364 TBC589823:TBC589900 TBC655359:TBC655436 TBC720895:TBC720972 TBC786431:TBC786508 TBC851967:TBC852044 TBC917503:TBC917580 TBC983039:TBC983116 TKY2:TKY76 TKY65535:TKY65612 TKY131071:TKY131148 TKY196607:TKY196684 TKY262143:TKY262220 TKY327679:TKY327756 TKY393215:TKY393292 TKY458751:TKY458828 TKY524287:TKY524364 TKY589823:TKY589900 TKY655359:TKY655436 TKY720895:TKY720972 TKY786431:TKY786508 TKY851967:TKY852044 TKY917503:TKY917580 TKY983039:TKY983116 TUU2:TUU76 TUU65535:TUU65612 TUU131071:TUU131148 TUU196607:TUU196684 TUU262143:TUU262220 TUU327679:TUU327756 TUU393215:TUU393292 TUU458751:TUU458828 TUU524287:TUU524364 TUU589823:TUU589900 TUU655359:TUU655436 TUU720895:TUU720972 TUU786431:TUU786508 TUU851967:TUU852044 TUU917503:TUU917580 TUU983039:TUU983116 UEQ2:UEQ76 UEQ65535:UEQ65612 UEQ131071:UEQ131148 UEQ196607:UEQ196684 UEQ262143:UEQ262220 UEQ327679:UEQ327756 UEQ393215:UEQ393292 UEQ458751:UEQ458828 UEQ524287:UEQ524364 UEQ589823:UEQ589900 UEQ655359:UEQ655436 UEQ720895:UEQ720972 UEQ786431:UEQ786508 UEQ851967:UEQ852044 UEQ917503:UEQ917580 UEQ983039:UEQ983116 UOM2:UOM76 UOM65535:UOM65612 UOM131071:UOM131148 UOM196607:UOM196684 UOM262143:UOM262220 UOM327679:UOM327756 UOM393215:UOM393292 UOM458751:UOM458828 UOM524287:UOM524364 UOM589823:UOM589900 UOM655359:UOM655436 UOM720895:UOM720972 UOM786431:UOM786508 UOM851967:UOM852044 UOM917503:UOM917580 UOM983039:UOM983116 UYI2:UYI76 UYI65535:UYI65612 UYI131071:UYI131148 UYI196607:UYI196684 UYI262143:UYI262220 UYI327679:UYI327756 UYI393215:UYI393292 UYI458751:UYI458828 UYI524287:UYI524364 UYI589823:UYI589900 UYI655359:UYI655436 UYI720895:UYI720972 UYI786431:UYI786508 UYI851967:UYI852044 UYI917503:UYI917580 UYI983039:UYI983116 VIE2:VIE76 VIE65535:VIE65612 VIE131071:VIE131148 VIE196607:VIE196684 VIE262143:VIE262220 VIE327679:VIE327756 VIE393215:VIE393292 VIE458751:VIE458828 VIE524287:VIE524364 VIE589823:VIE589900 VIE655359:VIE655436 VIE720895:VIE720972 VIE786431:VIE786508 VIE851967:VIE852044 VIE917503:VIE917580 VIE983039:VIE983116 VSA2:VSA76 VSA65535:VSA65612 VSA131071:VSA131148 VSA196607:VSA196684 VSA262143:VSA262220 VSA327679:VSA327756 VSA393215:VSA393292 VSA458751:VSA458828 VSA524287:VSA524364 VSA589823:VSA589900 VSA655359:VSA655436 VSA720895:VSA720972 VSA786431:VSA786508 VSA851967:VSA852044 VSA917503:VSA917580 VSA983039:VSA983116 WBW2:WBW76 WBW65535:WBW65612 WBW131071:WBW131148 WBW196607:WBW196684 WBW262143:WBW262220 WBW327679:WBW327756 WBW393215:WBW393292 WBW458751:WBW458828 WBW524287:WBW524364 WBW589823:WBW589900 WBW655359:WBW655436 WBW720895:WBW720972 WBW786431:WBW786508 WBW851967:WBW852044 WBW917503:WBW917580 WBW983039:WBW983116 WLS2:WLS76 WLS65535:WLS65612 WLS131071:WLS131148 WLS196607:WLS196684 WLS262143:WLS262220 WLS327679:WLS327756 WLS393215:WLS393292 WLS458751:WLS458828 WLS524287:WLS524364 WLS589823:WLS589900 WLS655359:WLS655436 WLS720895:WLS720972 WLS786431:WLS786508 WLS851967:WLS852044 WLS917503:WLS917580 WLS983039:WLS983116 WVO2:WVO76 WVO65535:WVO65612 WVO131071:WVO131148 WVO196607:WVO196684 WVO262143:WVO262220 WVO327679:WVO327756 WVO393215:WVO393292 WVO458751:WVO458828 WVO524287:WVO524364 WVO589823:WVO589900 WVO655359:WVO655436 WVO720895:WVO720972 WVO786431:WVO786508 WVO851967:WVO852044 WVO917503:WVO917580 WVO983039:WVO983116">
      <formula1>$AJ$2:$AJ$4</formula1>
    </dataValidation>
    <dataValidation type="list" allowBlank="1" showInputMessage="1" showErrorMessage="1" sqref="I2:I497 I65535:I65612 I131071:I131148 I196607:I196684 I262143:I262220 I327679:I327756 I393215:I393292 I458751:I458828 I524287:I524364 I589823:I589900 I655359:I655436 I720895:I720972 I786431:I786508 I851967:I852044 I917503:I917580 I983039:I983116 JE2:JE76 JE65535:JE65612 JE131071:JE131148 JE196607:JE196684 JE262143:JE262220 JE327679:JE327756 JE393215:JE393292 JE458751:JE458828 JE524287:JE524364 JE589823:JE589900 JE655359:JE655436 JE720895:JE720972 JE786431:JE786508 JE851967:JE852044 JE917503:JE917580 JE983039:JE983116 TA2:TA76 TA65535:TA65612 TA131071:TA131148 TA196607:TA196684 TA262143:TA262220 TA327679:TA327756 TA393215:TA393292 TA458751:TA458828 TA524287:TA524364 TA589823:TA589900 TA655359:TA655436 TA720895:TA720972 TA786431:TA786508 TA851967:TA852044 TA917503:TA917580 TA983039:TA983116 ACW2:ACW76 ACW65535:ACW65612 ACW131071:ACW131148 ACW196607:ACW196684 ACW262143:ACW262220 ACW327679:ACW327756 ACW393215:ACW393292 ACW458751:ACW458828 ACW524287:ACW524364 ACW589823:ACW589900 ACW655359:ACW655436 ACW720895:ACW720972 ACW786431:ACW786508 ACW851967:ACW852044 ACW917503:ACW917580 ACW983039:ACW983116 AMS2:AMS76 AMS65535:AMS65612 AMS131071:AMS131148 AMS196607:AMS196684 AMS262143:AMS262220 AMS327679:AMS327756 AMS393215:AMS393292 AMS458751:AMS458828 AMS524287:AMS524364 AMS589823:AMS589900 AMS655359:AMS655436 AMS720895:AMS720972 AMS786431:AMS786508 AMS851967:AMS852044 AMS917503:AMS917580 AMS983039:AMS983116 AWO2:AWO76 AWO65535:AWO65612 AWO131071:AWO131148 AWO196607:AWO196684 AWO262143:AWO262220 AWO327679:AWO327756 AWO393215:AWO393292 AWO458751:AWO458828 AWO524287:AWO524364 AWO589823:AWO589900 AWO655359:AWO655436 AWO720895:AWO720972 AWO786431:AWO786508 AWO851967:AWO852044 AWO917503:AWO917580 AWO983039:AWO983116 BGK2:BGK76 BGK65535:BGK65612 BGK131071:BGK131148 BGK196607:BGK196684 BGK262143:BGK262220 BGK327679:BGK327756 BGK393215:BGK393292 BGK458751:BGK458828 BGK524287:BGK524364 BGK589823:BGK589900 BGK655359:BGK655436 BGK720895:BGK720972 BGK786431:BGK786508 BGK851967:BGK852044 BGK917503:BGK917580 BGK983039:BGK983116 BQG2:BQG76 BQG65535:BQG65612 BQG131071:BQG131148 BQG196607:BQG196684 BQG262143:BQG262220 BQG327679:BQG327756 BQG393215:BQG393292 BQG458751:BQG458828 BQG524287:BQG524364 BQG589823:BQG589900 BQG655359:BQG655436 BQG720895:BQG720972 BQG786431:BQG786508 BQG851967:BQG852044 BQG917503:BQG917580 BQG983039:BQG983116 CAC2:CAC76 CAC65535:CAC65612 CAC131071:CAC131148 CAC196607:CAC196684 CAC262143:CAC262220 CAC327679:CAC327756 CAC393215:CAC393292 CAC458751:CAC458828 CAC524287:CAC524364 CAC589823:CAC589900 CAC655359:CAC655436 CAC720895:CAC720972 CAC786431:CAC786508 CAC851967:CAC852044 CAC917503:CAC917580 CAC983039:CAC983116 CJY2:CJY76 CJY65535:CJY65612 CJY131071:CJY131148 CJY196607:CJY196684 CJY262143:CJY262220 CJY327679:CJY327756 CJY393215:CJY393292 CJY458751:CJY458828 CJY524287:CJY524364 CJY589823:CJY589900 CJY655359:CJY655436 CJY720895:CJY720972 CJY786431:CJY786508 CJY851967:CJY852044 CJY917503:CJY917580 CJY983039:CJY983116 CTU2:CTU76 CTU65535:CTU65612 CTU131071:CTU131148 CTU196607:CTU196684 CTU262143:CTU262220 CTU327679:CTU327756 CTU393215:CTU393292 CTU458751:CTU458828 CTU524287:CTU524364 CTU589823:CTU589900 CTU655359:CTU655436 CTU720895:CTU720972 CTU786431:CTU786508 CTU851967:CTU852044 CTU917503:CTU917580 CTU983039:CTU983116 DDQ2:DDQ76 DDQ65535:DDQ65612 DDQ131071:DDQ131148 DDQ196607:DDQ196684 DDQ262143:DDQ262220 DDQ327679:DDQ327756 DDQ393215:DDQ393292 DDQ458751:DDQ458828 DDQ524287:DDQ524364 DDQ589823:DDQ589900 DDQ655359:DDQ655436 DDQ720895:DDQ720972 DDQ786431:DDQ786508 DDQ851967:DDQ852044 DDQ917503:DDQ917580 DDQ983039:DDQ983116 DNM2:DNM76 DNM65535:DNM65612 DNM131071:DNM131148 DNM196607:DNM196684 DNM262143:DNM262220 DNM327679:DNM327756 DNM393215:DNM393292 DNM458751:DNM458828 DNM524287:DNM524364 DNM589823:DNM589900 DNM655359:DNM655436 DNM720895:DNM720972 DNM786431:DNM786508 DNM851967:DNM852044 DNM917503:DNM917580 DNM983039:DNM983116 DXI2:DXI76 DXI65535:DXI65612 DXI131071:DXI131148 DXI196607:DXI196684 DXI262143:DXI262220 DXI327679:DXI327756 DXI393215:DXI393292 DXI458751:DXI458828 DXI524287:DXI524364 DXI589823:DXI589900 DXI655359:DXI655436 DXI720895:DXI720972 DXI786431:DXI786508 DXI851967:DXI852044 DXI917503:DXI917580 DXI983039:DXI983116 EHE2:EHE76 EHE65535:EHE65612 EHE131071:EHE131148 EHE196607:EHE196684 EHE262143:EHE262220 EHE327679:EHE327756 EHE393215:EHE393292 EHE458751:EHE458828 EHE524287:EHE524364 EHE589823:EHE589900 EHE655359:EHE655436 EHE720895:EHE720972 EHE786431:EHE786508 EHE851967:EHE852044 EHE917503:EHE917580 EHE983039:EHE983116 ERA2:ERA76 ERA65535:ERA65612 ERA131071:ERA131148 ERA196607:ERA196684 ERA262143:ERA262220 ERA327679:ERA327756 ERA393215:ERA393292 ERA458751:ERA458828 ERA524287:ERA524364 ERA589823:ERA589900 ERA655359:ERA655436 ERA720895:ERA720972 ERA786431:ERA786508 ERA851967:ERA852044 ERA917503:ERA917580 ERA983039:ERA983116 FAW2:FAW76 FAW65535:FAW65612 FAW131071:FAW131148 FAW196607:FAW196684 FAW262143:FAW262220 FAW327679:FAW327756 FAW393215:FAW393292 FAW458751:FAW458828 FAW524287:FAW524364 FAW589823:FAW589900 FAW655359:FAW655436 FAW720895:FAW720972 FAW786431:FAW786508 FAW851967:FAW852044 FAW917503:FAW917580 FAW983039:FAW983116 FKS2:FKS76 FKS65535:FKS65612 FKS131071:FKS131148 FKS196607:FKS196684 FKS262143:FKS262220 FKS327679:FKS327756 FKS393215:FKS393292 FKS458751:FKS458828 FKS524287:FKS524364 FKS589823:FKS589900 FKS655359:FKS655436 FKS720895:FKS720972 FKS786431:FKS786508 FKS851967:FKS852044 FKS917503:FKS917580 FKS983039:FKS983116 FUO2:FUO76 FUO65535:FUO65612 FUO131071:FUO131148 FUO196607:FUO196684 FUO262143:FUO262220 FUO327679:FUO327756 FUO393215:FUO393292 FUO458751:FUO458828 FUO524287:FUO524364 FUO589823:FUO589900 FUO655359:FUO655436 FUO720895:FUO720972 FUO786431:FUO786508 FUO851967:FUO852044 FUO917503:FUO917580 FUO983039:FUO983116 GEK2:GEK76 GEK65535:GEK65612 GEK131071:GEK131148 GEK196607:GEK196684 GEK262143:GEK262220 GEK327679:GEK327756 GEK393215:GEK393292 GEK458751:GEK458828 GEK524287:GEK524364 GEK589823:GEK589900 GEK655359:GEK655436 GEK720895:GEK720972 GEK786431:GEK786508 GEK851967:GEK852044 GEK917503:GEK917580 GEK983039:GEK983116 GOG2:GOG76 GOG65535:GOG65612 GOG131071:GOG131148 GOG196607:GOG196684 GOG262143:GOG262220 GOG327679:GOG327756 GOG393215:GOG393292 GOG458751:GOG458828 GOG524287:GOG524364 GOG589823:GOG589900 GOG655359:GOG655436 GOG720895:GOG720972 GOG786431:GOG786508 GOG851967:GOG852044 GOG917503:GOG917580 GOG983039:GOG983116 GYC2:GYC76 GYC65535:GYC65612 GYC131071:GYC131148 GYC196607:GYC196684 GYC262143:GYC262220 GYC327679:GYC327756 GYC393215:GYC393292 GYC458751:GYC458828 GYC524287:GYC524364 GYC589823:GYC589900 GYC655359:GYC655436 GYC720895:GYC720972 GYC786431:GYC786508 GYC851967:GYC852044 GYC917503:GYC917580 GYC983039:GYC983116 HHY2:HHY76 HHY65535:HHY65612 HHY131071:HHY131148 HHY196607:HHY196684 HHY262143:HHY262220 HHY327679:HHY327756 HHY393215:HHY393292 HHY458751:HHY458828 HHY524287:HHY524364 HHY589823:HHY589900 HHY655359:HHY655436 HHY720895:HHY720972 HHY786431:HHY786508 HHY851967:HHY852044 HHY917503:HHY917580 HHY983039:HHY983116 HRU2:HRU76 HRU65535:HRU65612 HRU131071:HRU131148 HRU196607:HRU196684 HRU262143:HRU262220 HRU327679:HRU327756 HRU393215:HRU393292 HRU458751:HRU458828 HRU524287:HRU524364 HRU589823:HRU589900 HRU655359:HRU655436 HRU720895:HRU720972 HRU786431:HRU786508 HRU851967:HRU852044 HRU917503:HRU917580 HRU983039:HRU983116 IBQ2:IBQ76 IBQ65535:IBQ65612 IBQ131071:IBQ131148 IBQ196607:IBQ196684 IBQ262143:IBQ262220 IBQ327679:IBQ327756 IBQ393215:IBQ393292 IBQ458751:IBQ458828 IBQ524287:IBQ524364 IBQ589823:IBQ589900 IBQ655359:IBQ655436 IBQ720895:IBQ720972 IBQ786431:IBQ786508 IBQ851967:IBQ852044 IBQ917503:IBQ917580 IBQ983039:IBQ983116 ILM2:ILM76 ILM65535:ILM65612 ILM131071:ILM131148 ILM196607:ILM196684 ILM262143:ILM262220 ILM327679:ILM327756 ILM393215:ILM393292 ILM458751:ILM458828 ILM524287:ILM524364 ILM589823:ILM589900 ILM655359:ILM655436 ILM720895:ILM720972 ILM786431:ILM786508 ILM851967:ILM852044 ILM917503:ILM917580 ILM983039:ILM983116 IVI2:IVI76 IVI65535:IVI65612 IVI131071:IVI131148 IVI196607:IVI196684 IVI262143:IVI262220 IVI327679:IVI327756 IVI393215:IVI393292 IVI458751:IVI458828 IVI524287:IVI524364 IVI589823:IVI589900 IVI655359:IVI655436 IVI720895:IVI720972 IVI786431:IVI786508 IVI851967:IVI852044 IVI917503:IVI917580 IVI983039:IVI983116 JFE2:JFE76 JFE65535:JFE65612 JFE131071:JFE131148 JFE196607:JFE196684 JFE262143:JFE262220 JFE327679:JFE327756 JFE393215:JFE393292 JFE458751:JFE458828 JFE524287:JFE524364 JFE589823:JFE589900 JFE655359:JFE655436 JFE720895:JFE720972 JFE786431:JFE786508 JFE851967:JFE852044 JFE917503:JFE917580 JFE983039:JFE983116 JPA2:JPA76 JPA65535:JPA65612 JPA131071:JPA131148 JPA196607:JPA196684 JPA262143:JPA262220 JPA327679:JPA327756 JPA393215:JPA393292 JPA458751:JPA458828 JPA524287:JPA524364 JPA589823:JPA589900 JPA655359:JPA655436 JPA720895:JPA720972 JPA786431:JPA786508 JPA851967:JPA852044 JPA917503:JPA917580 JPA983039:JPA983116 JYW2:JYW76 JYW65535:JYW65612 JYW131071:JYW131148 JYW196607:JYW196684 JYW262143:JYW262220 JYW327679:JYW327756 JYW393215:JYW393292 JYW458751:JYW458828 JYW524287:JYW524364 JYW589823:JYW589900 JYW655359:JYW655436 JYW720895:JYW720972 JYW786431:JYW786508 JYW851967:JYW852044 JYW917503:JYW917580 JYW983039:JYW983116 KIS2:KIS76 KIS65535:KIS65612 KIS131071:KIS131148 KIS196607:KIS196684 KIS262143:KIS262220 KIS327679:KIS327756 KIS393215:KIS393292 KIS458751:KIS458828 KIS524287:KIS524364 KIS589823:KIS589900 KIS655359:KIS655436 KIS720895:KIS720972 KIS786431:KIS786508 KIS851967:KIS852044 KIS917503:KIS917580 KIS983039:KIS983116 KSO2:KSO76 KSO65535:KSO65612 KSO131071:KSO131148 KSO196607:KSO196684 KSO262143:KSO262220 KSO327679:KSO327756 KSO393215:KSO393292 KSO458751:KSO458828 KSO524287:KSO524364 KSO589823:KSO589900 KSO655359:KSO655436 KSO720895:KSO720972 KSO786431:KSO786508 KSO851967:KSO852044 KSO917503:KSO917580 KSO983039:KSO983116 LCK2:LCK76 LCK65535:LCK65612 LCK131071:LCK131148 LCK196607:LCK196684 LCK262143:LCK262220 LCK327679:LCK327756 LCK393215:LCK393292 LCK458751:LCK458828 LCK524287:LCK524364 LCK589823:LCK589900 LCK655359:LCK655436 LCK720895:LCK720972 LCK786431:LCK786508 LCK851967:LCK852044 LCK917503:LCK917580 LCK983039:LCK983116 LMG2:LMG76 LMG65535:LMG65612 LMG131071:LMG131148 LMG196607:LMG196684 LMG262143:LMG262220 LMG327679:LMG327756 LMG393215:LMG393292 LMG458751:LMG458828 LMG524287:LMG524364 LMG589823:LMG589900 LMG655359:LMG655436 LMG720895:LMG720972 LMG786431:LMG786508 LMG851967:LMG852044 LMG917503:LMG917580 LMG983039:LMG983116 LWC2:LWC76 LWC65535:LWC65612 LWC131071:LWC131148 LWC196607:LWC196684 LWC262143:LWC262220 LWC327679:LWC327756 LWC393215:LWC393292 LWC458751:LWC458828 LWC524287:LWC524364 LWC589823:LWC589900 LWC655359:LWC655436 LWC720895:LWC720972 LWC786431:LWC786508 LWC851967:LWC852044 LWC917503:LWC917580 LWC983039:LWC983116 MFY2:MFY76 MFY65535:MFY65612 MFY131071:MFY131148 MFY196607:MFY196684 MFY262143:MFY262220 MFY327679:MFY327756 MFY393215:MFY393292 MFY458751:MFY458828 MFY524287:MFY524364 MFY589823:MFY589900 MFY655359:MFY655436 MFY720895:MFY720972 MFY786431:MFY786508 MFY851967:MFY852044 MFY917503:MFY917580 MFY983039:MFY983116 MPU2:MPU76 MPU65535:MPU65612 MPU131071:MPU131148 MPU196607:MPU196684 MPU262143:MPU262220 MPU327679:MPU327756 MPU393215:MPU393292 MPU458751:MPU458828 MPU524287:MPU524364 MPU589823:MPU589900 MPU655359:MPU655436 MPU720895:MPU720972 MPU786431:MPU786508 MPU851967:MPU852044 MPU917503:MPU917580 MPU983039:MPU983116 MZQ2:MZQ76 MZQ65535:MZQ65612 MZQ131071:MZQ131148 MZQ196607:MZQ196684 MZQ262143:MZQ262220 MZQ327679:MZQ327756 MZQ393215:MZQ393292 MZQ458751:MZQ458828 MZQ524287:MZQ524364 MZQ589823:MZQ589900 MZQ655359:MZQ655436 MZQ720895:MZQ720972 MZQ786431:MZQ786508 MZQ851967:MZQ852044 MZQ917503:MZQ917580 MZQ983039:MZQ983116 NJM2:NJM76 NJM65535:NJM65612 NJM131071:NJM131148 NJM196607:NJM196684 NJM262143:NJM262220 NJM327679:NJM327756 NJM393215:NJM393292 NJM458751:NJM458828 NJM524287:NJM524364 NJM589823:NJM589900 NJM655359:NJM655436 NJM720895:NJM720972 NJM786431:NJM786508 NJM851967:NJM852044 NJM917503:NJM917580 NJM983039:NJM983116 NTI2:NTI76 NTI65535:NTI65612 NTI131071:NTI131148 NTI196607:NTI196684 NTI262143:NTI262220 NTI327679:NTI327756 NTI393215:NTI393292 NTI458751:NTI458828 NTI524287:NTI524364 NTI589823:NTI589900 NTI655359:NTI655436 NTI720895:NTI720972 NTI786431:NTI786508 NTI851967:NTI852044 NTI917503:NTI917580 NTI983039:NTI983116 ODE2:ODE76 ODE65535:ODE65612 ODE131071:ODE131148 ODE196607:ODE196684 ODE262143:ODE262220 ODE327679:ODE327756 ODE393215:ODE393292 ODE458751:ODE458828 ODE524287:ODE524364 ODE589823:ODE589900 ODE655359:ODE655436 ODE720895:ODE720972 ODE786431:ODE786508 ODE851967:ODE852044 ODE917503:ODE917580 ODE983039:ODE983116 ONA2:ONA76 ONA65535:ONA65612 ONA131071:ONA131148 ONA196607:ONA196684 ONA262143:ONA262220 ONA327679:ONA327756 ONA393215:ONA393292 ONA458751:ONA458828 ONA524287:ONA524364 ONA589823:ONA589900 ONA655359:ONA655436 ONA720895:ONA720972 ONA786431:ONA786508 ONA851967:ONA852044 ONA917503:ONA917580 ONA983039:ONA983116 OWW2:OWW76 OWW65535:OWW65612 OWW131071:OWW131148 OWW196607:OWW196684 OWW262143:OWW262220 OWW327679:OWW327756 OWW393215:OWW393292 OWW458751:OWW458828 OWW524287:OWW524364 OWW589823:OWW589900 OWW655359:OWW655436 OWW720895:OWW720972 OWW786431:OWW786508 OWW851967:OWW852044 OWW917503:OWW917580 OWW983039:OWW983116 PGS2:PGS76 PGS65535:PGS65612 PGS131071:PGS131148 PGS196607:PGS196684 PGS262143:PGS262220 PGS327679:PGS327756 PGS393215:PGS393292 PGS458751:PGS458828 PGS524287:PGS524364 PGS589823:PGS589900 PGS655359:PGS655436 PGS720895:PGS720972 PGS786431:PGS786508 PGS851967:PGS852044 PGS917503:PGS917580 PGS983039:PGS983116 PQO2:PQO76 PQO65535:PQO65612 PQO131071:PQO131148 PQO196607:PQO196684 PQO262143:PQO262220 PQO327679:PQO327756 PQO393215:PQO393292 PQO458751:PQO458828 PQO524287:PQO524364 PQO589823:PQO589900 PQO655359:PQO655436 PQO720895:PQO720972 PQO786431:PQO786508 PQO851967:PQO852044 PQO917503:PQO917580 PQO983039:PQO983116 QAK2:QAK76 QAK65535:QAK65612 QAK131071:QAK131148 QAK196607:QAK196684 QAK262143:QAK262220 QAK327679:QAK327756 QAK393215:QAK393292 QAK458751:QAK458828 QAK524287:QAK524364 QAK589823:QAK589900 QAK655359:QAK655436 QAK720895:QAK720972 QAK786431:QAK786508 QAK851967:QAK852044 QAK917503:QAK917580 QAK983039:QAK983116 QKG2:QKG76 QKG65535:QKG65612 QKG131071:QKG131148 QKG196607:QKG196684 QKG262143:QKG262220 QKG327679:QKG327756 QKG393215:QKG393292 QKG458751:QKG458828 QKG524287:QKG524364 QKG589823:QKG589900 QKG655359:QKG655436 QKG720895:QKG720972 QKG786431:QKG786508 QKG851967:QKG852044 QKG917503:QKG917580 QKG983039:QKG983116 QUC2:QUC76 QUC65535:QUC65612 QUC131071:QUC131148 QUC196607:QUC196684 QUC262143:QUC262220 QUC327679:QUC327756 QUC393215:QUC393292 QUC458751:QUC458828 QUC524287:QUC524364 QUC589823:QUC589900 QUC655359:QUC655436 QUC720895:QUC720972 QUC786431:QUC786508 QUC851967:QUC852044 QUC917503:QUC917580 QUC983039:QUC983116 RDY2:RDY76 RDY65535:RDY65612 RDY131071:RDY131148 RDY196607:RDY196684 RDY262143:RDY262220 RDY327679:RDY327756 RDY393215:RDY393292 RDY458751:RDY458828 RDY524287:RDY524364 RDY589823:RDY589900 RDY655359:RDY655436 RDY720895:RDY720972 RDY786431:RDY786508 RDY851967:RDY852044 RDY917503:RDY917580 RDY983039:RDY983116 RNU2:RNU76 RNU65535:RNU65612 RNU131071:RNU131148 RNU196607:RNU196684 RNU262143:RNU262220 RNU327679:RNU327756 RNU393215:RNU393292 RNU458751:RNU458828 RNU524287:RNU524364 RNU589823:RNU589900 RNU655359:RNU655436 RNU720895:RNU720972 RNU786431:RNU786508 RNU851967:RNU852044 RNU917503:RNU917580 RNU983039:RNU983116 RXQ2:RXQ76 RXQ65535:RXQ65612 RXQ131071:RXQ131148 RXQ196607:RXQ196684 RXQ262143:RXQ262220 RXQ327679:RXQ327756 RXQ393215:RXQ393292 RXQ458751:RXQ458828 RXQ524287:RXQ524364 RXQ589823:RXQ589900 RXQ655359:RXQ655436 RXQ720895:RXQ720972 RXQ786431:RXQ786508 RXQ851967:RXQ852044 RXQ917503:RXQ917580 RXQ983039:RXQ983116 SHM2:SHM76 SHM65535:SHM65612 SHM131071:SHM131148 SHM196607:SHM196684 SHM262143:SHM262220 SHM327679:SHM327756 SHM393215:SHM393292 SHM458751:SHM458828 SHM524287:SHM524364 SHM589823:SHM589900 SHM655359:SHM655436 SHM720895:SHM720972 SHM786431:SHM786508 SHM851967:SHM852044 SHM917503:SHM917580 SHM983039:SHM983116 SRI2:SRI76 SRI65535:SRI65612 SRI131071:SRI131148 SRI196607:SRI196684 SRI262143:SRI262220 SRI327679:SRI327756 SRI393215:SRI393292 SRI458751:SRI458828 SRI524287:SRI524364 SRI589823:SRI589900 SRI655359:SRI655436 SRI720895:SRI720972 SRI786431:SRI786508 SRI851967:SRI852044 SRI917503:SRI917580 SRI983039:SRI983116 TBE2:TBE76 TBE65535:TBE65612 TBE131071:TBE131148 TBE196607:TBE196684 TBE262143:TBE262220 TBE327679:TBE327756 TBE393215:TBE393292 TBE458751:TBE458828 TBE524287:TBE524364 TBE589823:TBE589900 TBE655359:TBE655436 TBE720895:TBE720972 TBE786431:TBE786508 TBE851967:TBE852044 TBE917503:TBE917580 TBE983039:TBE983116 TLA2:TLA76 TLA65535:TLA65612 TLA131071:TLA131148 TLA196607:TLA196684 TLA262143:TLA262220 TLA327679:TLA327756 TLA393215:TLA393292 TLA458751:TLA458828 TLA524287:TLA524364 TLA589823:TLA589900 TLA655359:TLA655436 TLA720895:TLA720972 TLA786431:TLA786508 TLA851967:TLA852044 TLA917503:TLA917580 TLA983039:TLA983116 TUW2:TUW76 TUW65535:TUW65612 TUW131071:TUW131148 TUW196607:TUW196684 TUW262143:TUW262220 TUW327679:TUW327756 TUW393215:TUW393292 TUW458751:TUW458828 TUW524287:TUW524364 TUW589823:TUW589900 TUW655359:TUW655436 TUW720895:TUW720972 TUW786431:TUW786508 TUW851967:TUW852044 TUW917503:TUW917580 TUW983039:TUW983116 UES2:UES76 UES65535:UES65612 UES131071:UES131148 UES196607:UES196684 UES262143:UES262220 UES327679:UES327756 UES393215:UES393292 UES458751:UES458828 UES524287:UES524364 UES589823:UES589900 UES655359:UES655436 UES720895:UES720972 UES786431:UES786508 UES851967:UES852044 UES917503:UES917580 UES983039:UES983116 UOO2:UOO76 UOO65535:UOO65612 UOO131071:UOO131148 UOO196607:UOO196684 UOO262143:UOO262220 UOO327679:UOO327756 UOO393215:UOO393292 UOO458751:UOO458828 UOO524287:UOO524364 UOO589823:UOO589900 UOO655359:UOO655436 UOO720895:UOO720972 UOO786431:UOO786508 UOO851967:UOO852044 UOO917503:UOO917580 UOO983039:UOO983116 UYK2:UYK76 UYK65535:UYK65612 UYK131071:UYK131148 UYK196607:UYK196684 UYK262143:UYK262220 UYK327679:UYK327756 UYK393215:UYK393292 UYK458751:UYK458828 UYK524287:UYK524364 UYK589823:UYK589900 UYK655359:UYK655436 UYK720895:UYK720972 UYK786431:UYK786508 UYK851967:UYK852044 UYK917503:UYK917580 UYK983039:UYK983116 VIG2:VIG76 VIG65535:VIG65612 VIG131071:VIG131148 VIG196607:VIG196684 VIG262143:VIG262220 VIG327679:VIG327756 VIG393215:VIG393292 VIG458751:VIG458828 VIG524287:VIG524364 VIG589823:VIG589900 VIG655359:VIG655436 VIG720895:VIG720972 VIG786431:VIG786508 VIG851967:VIG852044 VIG917503:VIG917580 VIG983039:VIG983116 VSC2:VSC76 VSC65535:VSC65612 VSC131071:VSC131148 VSC196607:VSC196684 VSC262143:VSC262220 VSC327679:VSC327756 VSC393215:VSC393292 VSC458751:VSC458828 VSC524287:VSC524364 VSC589823:VSC589900 VSC655359:VSC655436 VSC720895:VSC720972 VSC786431:VSC786508 VSC851967:VSC852044 VSC917503:VSC917580 VSC983039:VSC983116 WBY2:WBY76 WBY65535:WBY65612 WBY131071:WBY131148 WBY196607:WBY196684 WBY262143:WBY262220 WBY327679:WBY327756 WBY393215:WBY393292 WBY458751:WBY458828 WBY524287:WBY524364 WBY589823:WBY589900 WBY655359:WBY655436 WBY720895:WBY720972 WBY786431:WBY786508 WBY851967:WBY852044 WBY917503:WBY917580 WBY983039:WBY983116 WLU2:WLU76 WLU65535:WLU65612 WLU131071:WLU131148 WLU196607:WLU196684 WLU262143:WLU262220 WLU327679:WLU327756 WLU393215:WLU393292 WLU458751:WLU458828 WLU524287:WLU524364 WLU589823:WLU589900 WLU655359:WLU655436 WLU720895:WLU720972 WLU786431:WLU786508 WLU851967:WLU852044 WLU917503:WLU917580 WLU983039:WLU983116 WVQ2:WVQ76 WVQ65535:WVQ65612 WVQ131071:WVQ131148 WVQ196607:WVQ196684 WVQ262143:WVQ262220 WVQ327679:WVQ327756 WVQ393215:WVQ393292 WVQ458751:WVQ458828 WVQ524287:WVQ524364 WVQ589823:WVQ589900 WVQ655359:WVQ655436 WVQ720895:WVQ720972 WVQ786431:WVQ786508 WVQ851967:WVQ852044 WVQ917503:WVQ917580 WVQ983039:WVQ983116">
      <formula1>$AN$5:$AN$6</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20"/>
  <sheetViews>
    <sheetView topLeftCell="A28" zoomScale="70" zoomScaleNormal="70" workbookViewId="0">
      <selection activeCell="I48" sqref="I48"/>
    </sheetView>
  </sheetViews>
  <sheetFormatPr defaultRowHeight="13.5" x14ac:dyDescent="0.15"/>
  <cols>
    <col min="1" max="3" width="9" style="208" customWidth="1"/>
    <col min="4" max="4" width="10.5" style="208" customWidth="1"/>
    <col min="5" max="5" width="11.25" style="208" bestFit="1" customWidth="1"/>
    <col min="6" max="7" width="9" style="208"/>
    <col min="8" max="10" width="9" style="208" customWidth="1"/>
    <col min="11" max="11" width="11.375" style="208" customWidth="1"/>
    <col min="12" max="16" width="9" style="208" customWidth="1"/>
    <col min="17" max="17" width="9" style="217" customWidth="1"/>
    <col min="18" max="18" width="9" style="208"/>
    <col min="19" max="19" width="9.5" style="208" bestFit="1" customWidth="1"/>
    <col min="20" max="20" width="9" style="217" customWidth="1"/>
    <col min="21" max="21" width="9" style="208"/>
    <col min="22" max="22" width="9" style="217" customWidth="1"/>
    <col min="23" max="28" width="9" style="208"/>
    <col min="29" max="29" width="26.5" style="208" customWidth="1"/>
    <col min="30" max="32" width="9" style="208"/>
    <col min="33" max="33" width="15.75" style="208" bestFit="1" customWidth="1"/>
    <col min="34" max="34" width="15" style="208" bestFit="1" customWidth="1"/>
    <col min="35" max="256" width="9" style="208"/>
    <col min="257" max="259" width="9" style="208" customWidth="1"/>
    <col min="260" max="260" width="10.5" style="208" customWidth="1"/>
    <col min="261" max="261" width="11.25" style="208" bestFit="1" customWidth="1"/>
    <col min="262" max="263" width="9" style="208"/>
    <col min="264" max="273" width="9" style="208" customWidth="1"/>
    <col min="274" max="274" width="9" style="208"/>
    <col min="275" max="275" width="9.5" style="208" bestFit="1" customWidth="1"/>
    <col min="276" max="276" width="9" style="208" customWidth="1"/>
    <col min="277" max="277" width="9" style="208"/>
    <col min="278" max="278" width="9" style="208" customWidth="1"/>
    <col min="279" max="284" width="9" style="208"/>
    <col min="285" max="285" width="26.5" style="208" customWidth="1"/>
    <col min="286" max="288" width="9" style="208"/>
    <col min="289" max="289" width="14.75" style="208" bestFit="1" customWidth="1"/>
    <col min="290" max="512" width="9" style="208"/>
    <col min="513" max="515" width="9" style="208" customWidth="1"/>
    <col min="516" max="516" width="10.5" style="208" customWidth="1"/>
    <col min="517" max="517" width="11.25" style="208" bestFit="1" customWidth="1"/>
    <col min="518" max="519" width="9" style="208"/>
    <col min="520" max="529" width="9" style="208" customWidth="1"/>
    <col min="530" max="530" width="9" style="208"/>
    <col min="531" max="531" width="9.5" style="208" bestFit="1" customWidth="1"/>
    <col min="532" max="532" width="9" style="208" customWidth="1"/>
    <col min="533" max="533" width="9" style="208"/>
    <col min="534" max="534" width="9" style="208" customWidth="1"/>
    <col min="535" max="540" width="9" style="208"/>
    <col min="541" max="541" width="26.5" style="208" customWidth="1"/>
    <col min="542" max="544" width="9" style="208"/>
    <col min="545" max="545" width="14.75" style="208" bestFit="1" customWidth="1"/>
    <col min="546" max="768" width="9" style="208"/>
    <col min="769" max="771" width="9" style="208" customWidth="1"/>
    <col min="772" max="772" width="10.5" style="208" customWidth="1"/>
    <col min="773" max="773" width="11.25" style="208" bestFit="1" customWidth="1"/>
    <col min="774" max="775" width="9" style="208"/>
    <col min="776" max="785" width="9" style="208" customWidth="1"/>
    <col min="786" max="786" width="9" style="208"/>
    <col min="787" max="787" width="9.5" style="208" bestFit="1" customWidth="1"/>
    <col min="788" max="788" width="9" style="208" customWidth="1"/>
    <col min="789" max="789" width="9" style="208"/>
    <col min="790" max="790" width="9" style="208" customWidth="1"/>
    <col min="791" max="796" width="9" style="208"/>
    <col min="797" max="797" width="26.5" style="208" customWidth="1"/>
    <col min="798" max="800" width="9" style="208"/>
    <col min="801" max="801" width="14.75" style="208" bestFit="1" customWidth="1"/>
    <col min="802" max="1024" width="9" style="208"/>
    <col min="1025" max="1027" width="9" style="208" customWidth="1"/>
    <col min="1028" max="1028" width="10.5" style="208" customWidth="1"/>
    <col min="1029" max="1029" width="11.25" style="208" bestFit="1" customWidth="1"/>
    <col min="1030" max="1031" width="9" style="208"/>
    <col min="1032" max="1041" width="9" style="208" customWidth="1"/>
    <col min="1042" max="1042" width="9" style="208"/>
    <col min="1043" max="1043" width="9.5" style="208" bestFit="1" customWidth="1"/>
    <col min="1044" max="1044" width="9" style="208" customWidth="1"/>
    <col min="1045" max="1045" width="9" style="208"/>
    <col min="1046" max="1046" width="9" style="208" customWidth="1"/>
    <col min="1047" max="1052" width="9" style="208"/>
    <col min="1053" max="1053" width="26.5" style="208" customWidth="1"/>
    <col min="1054" max="1056" width="9" style="208"/>
    <col min="1057" max="1057" width="14.75" style="208" bestFit="1" customWidth="1"/>
    <col min="1058" max="1280" width="9" style="208"/>
    <col min="1281" max="1283" width="9" style="208" customWidth="1"/>
    <col min="1284" max="1284" width="10.5" style="208" customWidth="1"/>
    <col min="1285" max="1285" width="11.25" style="208" bestFit="1" customWidth="1"/>
    <col min="1286" max="1287" width="9" style="208"/>
    <col min="1288" max="1297" width="9" style="208" customWidth="1"/>
    <col min="1298" max="1298" width="9" style="208"/>
    <col min="1299" max="1299" width="9.5" style="208" bestFit="1" customWidth="1"/>
    <col min="1300" max="1300" width="9" style="208" customWidth="1"/>
    <col min="1301" max="1301" width="9" style="208"/>
    <col min="1302" max="1302" width="9" style="208" customWidth="1"/>
    <col min="1303" max="1308" width="9" style="208"/>
    <col min="1309" max="1309" width="26.5" style="208" customWidth="1"/>
    <col min="1310" max="1312" width="9" style="208"/>
    <col min="1313" max="1313" width="14.75" style="208" bestFit="1" customWidth="1"/>
    <col min="1314" max="1536" width="9" style="208"/>
    <col min="1537" max="1539" width="9" style="208" customWidth="1"/>
    <col min="1540" max="1540" width="10.5" style="208" customWidth="1"/>
    <col min="1541" max="1541" width="11.25" style="208" bestFit="1" customWidth="1"/>
    <col min="1542" max="1543" width="9" style="208"/>
    <col min="1544" max="1553" width="9" style="208" customWidth="1"/>
    <col min="1554" max="1554" width="9" style="208"/>
    <col min="1555" max="1555" width="9.5" style="208" bestFit="1" customWidth="1"/>
    <col min="1556" max="1556" width="9" style="208" customWidth="1"/>
    <col min="1557" max="1557" width="9" style="208"/>
    <col min="1558" max="1558" width="9" style="208" customWidth="1"/>
    <col min="1559" max="1564" width="9" style="208"/>
    <col min="1565" max="1565" width="26.5" style="208" customWidth="1"/>
    <col min="1566" max="1568" width="9" style="208"/>
    <col min="1569" max="1569" width="14.75" style="208" bestFit="1" customWidth="1"/>
    <col min="1570" max="1792" width="9" style="208"/>
    <col min="1793" max="1795" width="9" style="208" customWidth="1"/>
    <col min="1796" max="1796" width="10.5" style="208" customWidth="1"/>
    <col min="1797" max="1797" width="11.25" style="208" bestFit="1" customWidth="1"/>
    <col min="1798" max="1799" width="9" style="208"/>
    <col min="1800" max="1809" width="9" style="208" customWidth="1"/>
    <col min="1810" max="1810" width="9" style="208"/>
    <col min="1811" max="1811" width="9.5" style="208" bestFit="1" customWidth="1"/>
    <col min="1812" max="1812" width="9" style="208" customWidth="1"/>
    <col min="1813" max="1813" width="9" style="208"/>
    <col min="1814" max="1814" width="9" style="208" customWidth="1"/>
    <col min="1815" max="1820" width="9" style="208"/>
    <col min="1821" max="1821" width="26.5" style="208" customWidth="1"/>
    <col min="1822" max="1824" width="9" style="208"/>
    <col min="1825" max="1825" width="14.75" style="208" bestFit="1" customWidth="1"/>
    <col min="1826" max="2048" width="9" style="208"/>
    <col min="2049" max="2051" width="9" style="208" customWidth="1"/>
    <col min="2052" max="2052" width="10.5" style="208" customWidth="1"/>
    <col min="2053" max="2053" width="11.25" style="208" bestFit="1" customWidth="1"/>
    <col min="2054" max="2055" width="9" style="208"/>
    <col min="2056" max="2065" width="9" style="208" customWidth="1"/>
    <col min="2066" max="2066" width="9" style="208"/>
    <col min="2067" max="2067" width="9.5" style="208" bestFit="1" customWidth="1"/>
    <col min="2068" max="2068" width="9" style="208" customWidth="1"/>
    <col min="2069" max="2069" width="9" style="208"/>
    <col min="2070" max="2070" width="9" style="208" customWidth="1"/>
    <col min="2071" max="2076" width="9" style="208"/>
    <col min="2077" max="2077" width="26.5" style="208" customWidth="1"/>
    <col min="2078" max="2080" width="9" style="208"/>
    <col min="2081" max="2081" width="14.75" style="208" bestFit="1" customWidth="1"/>
    <col min="2082" max="2304" width="9" style="208"/>
    <col min="2305" max="2307" width="9" style="208" customWidth="1"/>
    <col min="2308" max="2308" width="10.5" style="208" customWidth="1"/>
    <col min="2309" max="2309" width="11.25" style="208" bestFit="1" customWidth="1"/>
    <col min="2310" max="2311" width="9" style="208"/>
    <col min="2312" max="2321" width="9" style="208" customWidth="1"/>
    <col min="2322" max="2322" width="9" style="208"/>
    <col min="2323" max="2323" width="9.5" style="208" bestFit="1" customWidth="1"/>
    <col min="2324" max="2324" width="9" style="208" customWidth="1"/>
    <col min="2325" max="2325" width="9" style="208"/>
    <col min="2326" max="2326" width="9" style="208" customWidth="1"/>
    <col min="2327" max="2332" width="9" style="208"/>
    <col min="2333" max="2333" width="26.5" style="208" customWidth="1"/>
    <col min="2334" max="2336" width="9" style="208"/>
    <col min="2337" max="2337" width="14.75" style="208" bestFit="1" customWidth="1"/>
    <col min="2338" max="2560" width="9" style="208"/>
    <col min="2561" max="2563" width="9" style="208" customWidth="1"/>
    <col min="2564" max="2564" width="10.5" style="208" customWidth="1"/>
    <col min="2565" max="2565" width="11.25" style="208" bestFit="1" customWidth="1"/>
    <col min="2566" max="2567" width="9" style="208"/>
    <col min="2568" max="2577" width="9" style="208" customWidth="1"/>
    <col min="2578" max="2578" width="9" style="208"/>
    <col min="2579" max="2579" width="9.5" style="208" bestFit="1" customWidth="1"/>
    <col min="2580" max="2580" width="9" style="208" customWidth="1"/>
    <col min="2581" max="2581" width="9" style="208"/>
    <col min="2582" max="2582" width="9" style="208" customWidth="1"/>
    <col min="2583" max="2588" width="9" style="208"/>
    <col min="2589" max="2589" width="26.5" style="208" customWidth="1"/>
    <col min="2590" max="2592" width="9" style="208"/>
    <col min="2593" max="2593" width="14.75" style="208" bestFit="1" customWidth="1"/>
    <col min="2594" max="2816" width="9" style="208"/>
    <col min="2817" max="2819" width="9" style="208" customWidth="1"/>
    <col min="2820" max="2820" width="10.5" style="208" customWidth="1"/>
    <col min="2821" max="2821" width="11.25" style="208" bestFit="1" customWidth="1"/>
    <col min="2822" max="2823" width="9" style="208"/>
    <col min="2824" max="2833" width="9" style="208" customWidth="1"/>
    <col min="2834" max="2834" width="9" style="208"/>
    <col min="2835" max="2835" width="9.5" style="208" bestFit="1" customWidth="1"/>
    <col min="2836" max="2836" width="9" style="208" customWidth="1"/>
    <col min="2837" max="2837" width="9" style="208"/>
    <col min="2838" max="2838" width="9" style="208" customWidth="1"/>
    <col min="2839" max="2844" width="9" style="208"/>
    <col min="2845" max="2845" width="26.5" style="208" customWidth="1"/>
    <col min="2846" max="2848" width="9" style="208"/>
    <col min="2849" max="2849" width="14.75" style="208" bestFit="1" customWidth="1"/>
    <col min="2850" max="3072" width="9" style="208"/>
    <col min="3073" max="3075" width="9" style="208" customWidth="1"/>
    <col min="3076" max="3076" width="10.5" style="208" customWidth="1"/>
    <col min="3077" max="3077" width="11.25" style="208" bestFit="1" customWidth="1"/>
    <col min="3078" max="3079" width="9" style="208"/>
    <col min="3080" max="3089" width="9" style="208" customWidth="1"/>
    <col min="3090" max="3090" width="9" style="208"/>
    <col min="3091" max="3091" width="9.5" style="208" bestFit="1" customWidth="1"/>
    <col min="3092" max="3092" width="9" style="208" customWidth="1"/>
    <col min="3093" max="3093" width="9" style="208"/>
    <col min="3094" max="3094" width="9" style="208" customWidth="1"/>
    <col min="3095" max="3100" width="9" style="208"/>
    <col min="3101" max="3101" width="26.5" style="208" customWidth="1"/>
    <col min="3102" max="3104" width="9" style="208"/>
    <col min="3105" max="3105" width="14.75" style="208" bestFit="1" customWidth="1"/>
    <col min="3106" max="3328" width="9" style="208"/>
    <col min="3329" max="3331" width="9" style="208" customWidth="1"/>
    <col min="3332" max="3332" width="10.5" style="208" customWidth="1"/>
    <col min="3333" max="3333" width="11.25" style="208" bestFit="1" customWidth="1"/>
    <col min="3334" max="3335" width="9" style="208"/>
    <col min="3336" max="3345" width="9" style="208" customWidth="1"/>
    <col min="3346" max="3346" width="9" style="208"/>
    <col min="3347" max="3347" width="9.5" style="208" bestFit="1" customWidth="1"/>
    <col min="3348" max="3348" width="9" style="208" customWidth="1"/>
    <col min="3349" max="3349" width="9" style="208"/>
    <col min="3350" max="3350" width="9" style="208" customWidth="1"/>
    <col min="3351" max="3356" width="9" style="208"/>
    <col min="3357" max="3357" width="26.5" style="208" customWidth="1"/>
    <col min="3358" max="3360" width="9" style="208"/>
    <col min="3361" max="3361" width="14.75" style="208" bestFit="1" customWidth="1"/>
    <col min="3362" max="3584" width="9" style="208"/>
    <col min="3585" max="3587" width="9" style="208" customWidth="1"/>
    <col min="3588" max="3588" width="10.5" style="208" customWidth="1"/>
    <col min="3589" max="3589" width="11.25" style="208" bestFit="1" customWidth="1"/>
    <col min="3590" max="3591" width="9" style="208"/>
    <col min="3592" max="3601" width="9" style="208" customWidth="1"/>
    <col min="3602" max="3602" width="9" style="208"/>
    <col min="3603" max="3603" width="9.5" style="208" bestFit="1" customWidth="1"/>
    <col min="3604" max="3604" width="9" style="208" customWidth="1"/>
    <col min="3605" max="3605" width="9" style="208"/>
    <col min="3606" max="3606" width="9" style="208" customWidth="1"/>
    <col min="3607" max="3612" width="9" style="208"/>
    <col min="3613" max="3613" width="26.5" style="208" customWidth="1"/>
    <col min="3614" max="3616" width="9" style="208"/>
    <col min="3617" max="3617" width="14.75" style="208" bestFit="1" customWidth="1"/>
    <col min="3618" max="3840" width="9" style="208"/>
    <col min="3841" max="3843" width="9" style="208" customWidth="1"/>
    <col min="3844" max="3844" width="10.5" style="208" customWidth="1"/>
    <col min="3845" max="3845" width="11.25" style="208" bestFit="1" customWidth="1"/>
    <col min="3846" max="3847" width="9" style="208"/>
    <col min="3848" max="3857" width="9" style="208" customWidth="1"/>
    <col min="3858" max="3858" width="9" style="208"/>
    <col min="3859" max="3859" width="9.5" style="208" bestFit="1" customWidth="1"/>
    <col min="3860" max="3860" width="9" style="208" customWidth="1"/>
    <col min="3861" max="3861" width="9" style="208"/>
    <col min="3862" max="3862" width="9" style="208" customWidth="1"/>
    <col min="3863" max="3868" width="9" style="208"/>
    <col min="3869" max="3869" width="26.5" style="208" customWidth="1"/>
    <col min="3870" max="3872" width="9" style="208"/>
    <col min="3873" max="3873" width="14.75" style="208" bestFit="1" customWidth="1"/>
    <col min="3874" max="4096" width="9" style="208"/>
    <col min="4097" max="4099" width="9" style="208" customWidth="1"/>
    <col min="4100" max="4100" width="10.5" style="208" customWidth="1"/>
    <col min="4101" max="4101" width="11.25" style="208" bestFit="1" customWidth="1"/>
    <col min="4102" max="4103" width="9" style="208"/>
    <col min="4104" max="4113" width="9" style="208" customWidth="1"/>
    <col min="4114" max="4114" width="9" style="208"/>
    <col min="4115" max="4115" width="9.5" style="208" bestFit="1" customWidth="1"/>
    <col min="4116" max="4116" width="9" style="208" customWidth="1"/>
    <col min="4117" max="4117" width="9" style="208"/>
    <col min="4118" max="4118" width="9" style="208" customWidth="1"/>
    <col min="4119" max="4124" width="9" style="208"/>
    <col min="4125" max="4125" width="26.5" style="208" customWidth="1"/>
    <col min="4126" max="4128" width="9" style="208"/>
    <col min="4129" max="4129" width="14.75" style="208" bestFit="1" customWidth="1"/>
    <col min="4130" max="4352" width="9" style="208"/>
    <col min="4353" max="4355" width="9" style="208" customWidth="1"/>
    <col min="4356" max="4356" width="10.5" style="208" customWidth="1"/>
    <col min="4357" max="4357" width="11.25" style="208" bestFit="1" customWidth="1"/>
    <col min="4358" max="4359" width="9" style="208"/>
    <col min="4360" max="4369" width="9" style="208" customWidth="1"/>
    <col min="4370" max="4370" width="9" style="208"/>
    <col min="4371" max="4371" width="9.5" style="208" bestFit="1" customWidth="1"/>
    <col min="4372" max="4372" width="9" style="208" customWidth="1"/>
    <col min="4373" max="4373" width="9" style="208"/>
    <col min="4374" max="4374" width="9" style="208" customWidth="1"/>
    <col min="4375" max="4380" width="9" style="208"/>
    <col min="4381" max="4381" width="26.5" style="208" customWidth="1"/>
    <col min="4382" max="4384" width="9" style="208"/>
    <col min="4385" max="4385" width="14.75" style="208" bestFit="1" customWidth="1"/>
    <col min="4386" max="4608" width="9" style="208"/>
    <col min="4609" max="4611" width="9" style="208" customWidth="1"/>
    <col min="4612" max="4612" width="10.5" style="208" customWidth="1"/>
    <col min="4613" max="4613" width="11.25" style="208" bestFit="1" customWidth="1"/>
    <col min="4614" max="4615" width="9" style="208"/>
    <col min="4616" max="4625" width="9" style="208" customWidth="1"/>
    <col min="4626" max="4626" width="9" style="208"/>
    <col min="4627" max="4627" width="9.5" style="208" bestFit="1" customWidth="1"/>
    <col min="4628" max="4628" width="9" style="208" customWidth="1"/>
    <col min="4629" max="4629" width="9" style="208"/>
    <col min="4630" max="4630" width="9" style="208" customWidth="1"/>
    <col min="4631" max="4636" width="9" style="208"/>
    <col min="4637" max="4637" width="26.5" style="208" customWidth="1"/>
    <col min="4638" max="4640" width="9" style="208"/>
    <col min="4641" max="4641" width="14.75" style="208" bestFit="1" customWidth="1"/>
    <col min="4642" max="4864" width="9" style="208"/>
    <col min="4865" max="4867" width="9" style="208" customWidth="1"/>
    <col min="4868" max="4868" width="10.5" style="208" customWidth="1"/>
    <col min="4869" max="4869" width="11.25" style="208" bestFit="1" customWidth="1"/>
    <col min="4870" max="4871" width="9" style="208"/>
    <col min="4872" max="4881" width="9" style="208" customWidth="1"/>
    <col min="4882" max="4882" width="9" style="208"/>
    <col min="4883" max="4883" width="9.5" style="208" bestFit="1" customWidth="1"/>
    <col min="4884" max="4884" width="9" style="208" customWidth="1"/>
    <col min="4885" max="4885" width="9" style="208"/>
    <col min="4886" max="4886" width="9" style="208" customWidth="1"/>
    <col min="4887" max="4892" width="9" style="208"/>
    <col min="4893" max="4893" width="26.5" style="208" customWidth="1"/>
    <col min="4894" max="4896" width="9" style="208"/>
    <col min="4897" max="4897" width="14.75" style="208" bestFit="1" customWidth="1"/>
    <col min="4898" max="5120" width="9" style="208"/>
    <col min="5121" max="5123" width="9" style="208" customWidth="1"/>
    <col min="5124" max="5124" width="10.5" style="208" customWidth="1"/>
    <col min="5125" max="5125" width="11.25" style="208" bestFit="1" customWidth="1"/>
    <col min="5126" max="5127" width="9" style="208"/>
    <col min="5128" max="5137" width="9" style="208" customWidth="1"/>
    <col min="5138" max="5138" width="9" style="208"/>
    <col min="5139" max="5139" width="9.5" style="208" bestFit="1" customWidth="1"/>
    <col min="5140" max="5140" width="9" style="208" customWidth="1"/>
    <col min="5141" max="5141" width="9" style="208"/>
    <col min="5142" max="5142" width="9" style="208" customWidth="1"/>
    <col min="5143" max="5148" width="9" style="208"/>
    <col min="5149" max="5149" width="26.5" style="208" customWidth="1"/>
    <col min="5150" max="5152" width="9" style="208"/>
    <col min="5153" max="5153" width="14.75" style="208" bestFit="1" customWidth="1"/>
    <col min="5154" max="5376" width="9" style="208"/>
    <col min="5377" max="5379" width="9" style="208" customWidth="1"/>
    <col min="5380" max="5380" width="10.5" style="208" customWidth="1"/>
    <col min="5381" max="5381" width="11.25" style="208" bestFit="1" customWidth="1"/>
    <col min="5382" max="5383" width="9" style="208"/>
    <col min="5384" max="5393" width="9" style="208" customWidth="1"/>
    <col min="5394" max="5394" width="9" style="208"/>
    <col min="5395" max="5395" width="9.5" style="208" bestFit="1" customWidth="1"/>
    <col min="5396" max="5396" width="9" style="208" customWidth="1"/>
    <col min="5397" max="5397" width="9" style="208"/>
    <col min="5398" max="5398" width="9" style="208" customWidth="1"/>
    <col min="5399" max="5404" width="9" style="208"/>
    <col min="5405" max="5405" width="26.5" style="208" customWidth="1"/>
    <col min="5406" max="5408" width="9" style="208"/>
    <col min="5409" max="5409" width="14.75" style="208" bestFit="1" customWidth="1"/>
    <col min="5410" max="5632" width="9" style="208"/>
    <col min="5633" max="5635" width="9" style="208" customWidth="1"/>
    <col min="5636" max="5636" width="10.5" style="208" customWidth="1"/>
    <col min="5637" max="5637" width="11.25" style="208" bestFit="1" customWidth="1"/>
    <col min="5638" max="5639" width="9" style="208"/>
    <col min="5640" max="5649" width="9" style="208" customWidth="1"/>
    <col min="5650" max="5650" width="9" style="208"/>
    <col min="5651" max="5651" width="9.5" style="208" bestFit="1" customWidth="1"/>
    <col min="5652" max="5652" width="9" style="208" customWidth="1"/>
    <col min="5653" max="5653" width="9" style="208"/>
    <col min="5654" max="5654" width="9" style="208" customWidth="1"/>
    <col min="5655" max="5660" width="9" style="208"/>
    <col min="5661" max="5661" width="26.5" style="208" customWidth="1"/>
    <col min="5662" max="5664" width="9" style="208"/>
    <col min="5665" max="5665" width="14.75" style="208" bestFit="1" customWidth="1"/>
    <col min="5666" max="5888" width="9" style="208"/>
    <col min="5889" max="5891" width="9" style="208" customWidth="1"/>
    <col min="5892" max="5892" width="10.5" style="208" customWidth="1"/>
    <col min="5893" max="5893" width="11.25" style="208" bestFit="1" customWidth="1"/>
    <col min="5894" max="5895" width="9" style="208"/>
    <col min="5896" max="5905" width="9" style="208" customWidth="1"/>
    <col min="5906" max="5906" width="9" style="208"/>
    <col min="5907" max="5907" width="9.5" style="208" bestFit="1" customWidth="1"/>
    <col min="5908" max="5908" width="9" style="208" customWidth="1"/>
    <col min="5909" max="5909" width="9" style="208"/>
    <col min="5910" max="5910" width="9" style="208" customWidth="1"/>
    <col min="5911" max="5916" width="9" style="208"/>
    <col min="5917" max="5917" width="26.5" style="208" customWidth="1"/>
    <col min="5918" max="5920" width="9" style="208"/>
    <col min="5921" max="5921" width="14.75" style="208" bestFit="1" customWidth="1"/>
    <col min="5922" max="6144" width="9" style="208"/>
    <col min="6145" max="6147" width="9" style="208" customWidth="1"/>
    <col min="6148" max="6148" width="10.5" style="208" customWidth="1"/>
    <col min="6149" max="6149" width="11.25" style="208" bestFit="1" customWidth="1"/>
    <col min="6150" max="6151" width="9" style="208"/>
    <col min="6152" max="6161" width="9" style="208" customWidth="1"/>
    <col min="6162" max="6162" width="9" style="208"/>
    <col min="6163" max="6163" width="9.5" style="208" bestFit="1" customWidth="1"/>
    <col min="6164" max="6164" width="9" style="208" customWidth="1"/>
    <col min="6165" max="6165" width="9" style="208"/>
    <col min="6166" max="6166" width="9" style="208" customWidth="1"/>
    <col min="6167" max="6172" width="9" style="208"/>
    <col min="6173" max="6173" width="26.5" style="208" customWidth="1"/>
    <col min="6174" max="6176" width="9" style="208"/>
    <col min="6177" max="6177" width="14.75" style="208" bestFit="1" customWidth="1"/>
    <col min="6178" max="6400" width="9" style="208"/>
    <col min="6401" max="6403" width="9" style="208" customWidth="1"/>
    <col min="6404" max="6404" width="10.5" style="208" customWidth="1"/>
    <col min="6405" max="6405" width="11.25" style="208" bestFit="1" customWidth="1"/>
    <col min="6406" max="6407" width="9" style="208"/>
    <col min="6408" max="6417" width="9" style="208" customWidth="1"/>
    <col min="6418" max="6418" width="9" style="208"/>
    <col min="6419" max="6419" width="9.5" style="208" bestFit="1" customWidth="1"/>
    <col min="6420" max="6420" width="9" style="208" customWidth="1"/>
    <col min="6421" max="6421" width="9" style="208"/>
    <col min="6422" max="6422" width="9" style="208" customWidth="1"/>
    <col min="6423" max="6428" width="9" style="208"/>
    <col min="6429" max="6429" width="26.5" style="208" customWidth="1"/>
    <col min="6430" max="6432" width="9" style="208"/>
    <col min="6433" max="6433" width="14.75" style="208" bestFit="1" customWidth="1"/>
    <col min="6434" max="6656" width="9" style="208"/>
    <col min="6657" max="6659" width="9" style="208" customWidth="1"/>
    <col min="6660" max="6660" width="10.5" style="208" customWidth="1"/>
    <col min="6661" max="6661" width="11.25" style="208" bestFit="1" customWidth="1"/>
    <col min="6662" max="6663" width="9" style="208"/>
    <col min="6664" max="6673" width="9" style="208" customWidth="1"/>
    <col min="6674" max="6674" width="9" style="208"/>
    <col min="6675" max="6675" width="9.5" style="208" bestFit="1" customWidth="1"/>
    <col min="6676" max="6676" width="9" style="208" customWidth="1"/>
    <col min="6677" max="6677" width="9" style="208"/>
    <col min="6678" max="6678" width="9" style="208" customWidth="1"/>
    <col min="6679" max="6684" width="9" style="208"/>
    <col min="6685" max="6685" width="26.5" style="208" customWidth="1"/>
    <col min="6686" max="6688" width="9" style="208"/>
    <col min="6689" max="6689" width="14.75" style="208" bestFit="1" customWidth="1"/>
    <col min="6690" max="6912" width="9" style="208"/>
    <col min="6913" max="6915" width="9" style="208" customWidth="1"/>
    <col min="6916" max="6916" width="10.5" style="208" customWidth="1"/>
    <col min="6917" max="6917" width="11.25" style="208" bestFit="1" customWidth="1"/>
    <col min="6918" max="6919" width="9" style="208"/>
    <col min="6920" max="6929" width="9" style="208" customWidth="1"/>
    <col min="6930" max="6930" width="9" style="208"/>
    <col min="6931" max="6931" width="9.5" style="208" bestFit="1" customWidth="1"/>
    <col min="6932" max="6932" width="9" style="208" customWidth="1"/>
    <col min="6933" max="6933" width="9" style="208"/>
    <col min="6934" max="6934" width="9" style="208" customWidth="1"/>
    <col min="6935" max="6940" width="9" style="208"/>
    <col min="6941" max="6941" width="26.5" style="208" customWidth="1"/>
    <col min="6942" max="6944" width="9" style="208"/>
    <col min="6945" max="6945" width="14.75" style="208" bestFit="1" customWidth="1"/>
    <col min="6946" max="7168" width="9" style="208"/>
    <col min="7169" max="7171" width="9" style="208" customWidth="1"/>
    <col min="7172" max="7172" width="10.5" style="208" customWidth="1"/>
    <col min="7173" max="7173" width="11.25" style="208" bestFit="1" customWidth="1"/>
    <col min="7174" max="7175" width="9" style="208"/>
    <col min="7176" max="7185" width="9" style="208" customWidth="1"/>
    <col min="7186" max="7186" width="9" style="208"/>
    <col min="7187" max="7187" width="9.5" style="208" bestFit="1" customWidth="1"/>
    <col min="7188" max="7188" width="9" style="208" customWidth="1"/>
    <col min="7189" max="7189" width="9" style="208"/>
    <col min="7190" max="7190" width="9" style="208" customWidth="1"/>
    <col min="7191" max="7196" width="9" style="208"/>
    <col min="7197" max="7197" width="26.5" style="208" customWidth="1"/>
    <col min="7198" max="7200" width="9" style="208"/>
    <col min="7201" max="7201" width="14.75" style="208" bestFit="1" customWidth="1"/>
    <col min="7202" max="7424" width="9" style="208"/>
    <col min="7425" max="7427" width="9" style="208" customWidth="1"/>
    <col min="7428" max="7428" width="10.5" style="208" customWidth="1"/>
    <col min="7429" max="7429" width="11.25" style="208" bestFit="1" customWidth="1"/>
    <col min="7430" max="7431" width="9" style="208"/>
    <col min="7432" max="7441" width="9" style="208" customWidth="1"/>
    <col min="7442" max="7442" width="9" style="208"/>
    <col min="7443" max="7443" width="9.5" style="208" bestFit="1" customWidth="1"/>
    <col min="7444" max="7444" width="9" style="208" customWidth="1"/>
    <col min="7445" max="7445" width="9" style="208"/>
    <col min="7446" max="7446" width="9" style="208" customWidth="1"/>
    <col min="7447" max="7452" width="9" style="208"/>
    <col min="7453" max="7453" width="26.5" style="208" customWidth="1"/>
    <col min="7454" max="7456" width="9" style="208"/>
    <col min="7457" max="7457" width="14.75" style="208" bestFit="1" customWidth="1"/>
    <col min="7458" max="7680" width="9" style="208"/>
    <col min="7681" max="7683" width="9" style="208" customWidth="1"/>
    <col min="7684" max="7684" width="10.5" style="208" customWidth="1"/>
    <col min="7685" max="7685" width="11.25" style="208" bestFit="1" customWidth="1"/>
    <col min="7686" max="7687" width="9" style="208"/>
    <col min="7688" max="7697" width="9" style="208" customWidth="1"/>
    <col min="7698" max="7698" width="9" style="208"/>
    <col min="7699" max="7699" width="9.5" style="208" bestFit="1" customWidth="1"/>
    <col min="7700" max="7700" width="9" style="208" customWidth="1"/>
    <col min="7701" max="7701" width="9" style="208"/>
    <col min="7702" max="7702" width="9" style="208" customWidth="1"/>
    <col min="7703" max="7708" width="9" style="208"/>
    <col min="7709" max="7709" width="26.5" style="208" customWidth="1"/>
    <col min="7710" max="7712" width="9" style="208"/>
    <col min="7713" max="7713" width="14.75" style="208" bestFit="1" customWidth="1"/>
    <col min="7714" max="7936" width="9" style="208"/>
    <col min="7937" max="7939" width="9" style="208" customWidth="1"/>
    <col min="7940" max="7940" width="10.5" style="208" customWidth="1"/>
    <col min="7941" max="7941" width="11.25" style="208" bestFit="1" customWidth="1"/>
    <col min="7942" max="7943" width="9" style="208"/>
    <col min="7944" max="7953" width="9" style="208" customWidth="1"/>
    <col min="7954" max="7954" width="9" style="208"/>
    <col min="7955" max="7955" width="9.5" style="208" bestFit="1" customWidth="1"/>
    <col min="7956" max="7956" width="9" style="208" customWidth="1"/>
    <col min="7957" max="7957" width="9" style="208"/>
    <col min="7958" max="7958" width="9" style="208" customWidth="1"/>
    <col min="7959" max="7964" width="9" style="208"/>
    <col min="7965" max="7965" width="26.5" style="208" customWidth="1"/>
    <col min="7966" max="7968" width="9" style="208"/>
    <col min="7969" max="7969" width="14.75" style="208" bestFit="1" customWidth="1"/>
    <col min="7970" max="8192" width="9" style="208"/>
    <col min="8193" max="8195" width="9" style="208" customWidth="1"/>
    <col min="8196" max="8196" width="10.5" style="208" customWidth="1"/>
    <col min="8197" max="8197" width="11.25" style="208" bestFit="1" customWidth="1"/>
    <col min="8198" max="8199" width="9" style="208"/>
    <col min="8200" max="8209" width="9" style="208" customWidth="1"/>
    <col min="8210" max="8210" width="9" style="208"/>
    <col min="8211" max="8211" width="9.5" style="208" bestFit="1" customWidth="1"/>
    <col min="8212" max="8212" width="9" style="208" customWidth="1"/>
    <col min="8213" max="8213" width="9" style="208"/>
    <col min="8214" max="8214" width="9" style="208" customWidth="1"/>
    <col min="8215" max="8220" width="9" style="208"/>
    <col min="8221" max="8221" width="26.5" style="208" customWidth="1"/>
    <col min="8222" max="8224" width="9" style="208"/>
    <col min="8225" max="8225" width="14.75" style="208" bestFit="1" customWidth="1"/>
    <col min="8226" max="8448" width="9" style="208"/>
    <col min="8449" max="8451" width="9" style="208" customWidth="1"/>
    <col min="8452" max="8452" width="10.5" style="208" customWidth="1"/>
    <col min="8453" max="8453" width="11.25" style="208" bestFit="1" customWidth="1"/>
    <col min="8454" max="8455" width="9" style="208"/>
    <col min="8456" max="8465" width="9" style="208" customWidth="1"/>
    <col min="8466" max="8466" width="9" style="208"/>
    <col min="8467" max="8467" width="9.5" style="208" bestFit="1" customWidth="1"/>
    <col min="8468" max="8468" width="9" style="208" customWidth="1"/>
    <col min="8469" max="8469" width="9" style="208"/>
    <col min="8470" max="8470" width="9" style="208" customWidth="1"/>
    <col min="8471" max="8476" width="9" style="208"/>
    <col min="8477" max="8477" width="26.5" style="208" customWidth="1"/>
    <col min="8478" max="8480" width="9" style="208"/>
    <col min="8481" max="8481" width="14.75" style="208" bestFit="1" customWidth="1"/>
    <col min="8482" max="8704" width="9" style="208"/>
    <col min="8705" max="8707" width="9" style="208" customWidth="1"/>
    <col min="8708" max="8708" width="10.5" style="208" customWidth="1"/>
    <col min="8709" max="8709" width="11.25" style="208" bestFit="1" customWidth="1"/>
    <col min="8710" max="8711" width="9" style="208"/>
    <col min="8712" max="8721" width="9" style="208" customWidth="1"/>
    <col min="8722" max="8722" width="9" style="208"/>
    <col min="8723" max="8723" width="9.5" style="208" bestFit="1" customWidth="1"/>
    <col min="8724" max="8724" width="9" style="208" customWidth="1"/>
    <col min="8725" max="8725" width="9" style="208"/>
    <col min="8726" max="8726" width="9" style="208" customWidth="1"/>
    <col min="8727" max="8732" width="9" style="208"/>
    <col min="8733" max="8733" width="26.5" style="208" customWidth="1"/>
    <col min="8734" max="8736" width="9" style="208"/>
    <col min="8737" max="8737" width="14.75" style="208" bestFit="1" customWidth="1"/>
    <col min="8738" max="8960" width="9" style="208"/>
    <col min="8961" max="8963" width="9" style="208" customWidth="1"/>
    <col min="8964" max="8964" width="10.5" style="208" customWidth="1"/>
    <col min="8965" max="8965" width="11.25" style="208" bestFit="1" customWidth="1"/>
    <col min="8966" max="8967" width="9" style="208"/>
    <col min="8968" max="8977" width="9" style="208" customWidth="1"/>
    <col min="8978" max="8978" width="9" style="208"/>
    <col min="8979" max="8979" width="9.5" style="208" bestFit="1" customWidth="1"/>
    <col min="8980" max="8980" width="9" style="208" customWidth="1"/>
    <col min="8981" max="8981" width="9" style="208"/>
    <col min="8982" max="8982" width="9" style="208" customWidth="1"/>
    <col min="8983" max="8988" width="9" style="208"/>
    <col min="8989" max="8989" width="26.5" style="208" customWidth="1"/>
    <col min="8990" max="8992" width="9" style="208"/>
    <col min="8993" max="8993" width="14.75" style="208" bestFit="1" customWidth="1"/>
    <col min="8994" max="9216" width="9" style="208"/>
    <col min="9217" max="9219" width="9" style="208" customWidth="1"/>
    <col min="9220" max="9220" width="10.5" style="208" customWidth="1"/>
    <col min="9221" max="9221" width="11.25" style="208" bestFit="1" customWidth="1"/>
    <col min="9222" max="9223" width="9" style="208"/>
    <col min="9224" max="9233" width="9" style="208" customWidth="1"/>
    <col min="9234" max="9234" width="9" style="208"/>
    <col min="9235" max="9235" width="9.5" style="208" bestFit="1" customWidth="1"/>
    <col min="9236" max="9236" width="9" style="208" customWidth="1"/>
    <col min="9237" max="9237" width="9" style="208"/>
    <col min="9238" max="9238" width="9" style="208" customWidth="1"/>
    <col min="9239" max="9244" width="9" style="208"/>
    <col min="9245" max="9245" width="26.5" style="208" customWidth="1"/>
    <col min="9246" max="9248" width="9" style="208"/>
    <col min="9249" max="9249" width="14.75" style="208" bestFit="1" customWidth="1"/>
    <col min="9250" max="9472" width="9" style="208"/>
    <col min="9473" max="9475" width="9" style="208" customWidth="1"/>
    <col min="9476" max="9476" width="10.5" style="208" customWidth="1"/>
    <col min="9477" max="9477" width="11.25" style="208" bestFit="1" customWidth="1"/>
    <col min="9478" max="9479" width="9" style="208"/>
    <col min="9480" max="9489" width="9" style="208" customWidth="1"/>
    <col min="9490" max="9490" width="9" style="208"/>
    <col min="9491" max="9491" width="9.5" style="208" bestFit="1" customWidth="1"/>
    <col min="9492" max="9492" width="9" style="208" customWidth="1"/>
    <col min="9493" max="9493" width="9" style="208"/>
    <col min="9494" max="9494" width="9" style="208" customWidth="1"/>
    <col min="9495" max="9500" width="9" style="208"/>
    <col min="9501" max="9501" width="26.5" style="208" customWidth="1"/>
    <col min="9502" max="9504" width="9" style="208"/>
    <col min="9505" max="9505" width="14.75" style="208" bestFit="1" customWidth="1"/>
    <col min="9506" max="9728" width="9" style="208"/>
    <col min="9729" max="9731" width="9" style="208" customWidth="1"/>
    <col min="9732" max="9732" width="10.5" style="208" customWidth="1"/>
    <col min="9733" max="9733" width="11.25" style="208" bestFit="1" customWidth="1"/>
    <col min="9734" max="9735" width="9" style="208"/>
    <col min="9736" max="9745" width="9" style="208" customWidth="1"/>
    <col min="9746" max="9746" width="9" style="208"/>
    <col min="9747" max="9747" width="9.5" style="208" bestFit="1" customWidth="1"/>
    <col min="9748" max="9748" width="9" style="208" customWidth="1"/>
    <col min="9749" max="9749" width="9" style="208"/>
    <col min="9750" max="9750" width="9" style="208" customWidth="1"/>
    <col min="9751" max="9756" width="9" style="208"/>
    <col min="9757" max="9757" width="26.5" style="208" customWidth="1"/>
    <col min="9758" max="9760" width="9" style="208"/>
    <col min="9761" max="9761" width="14.75" style="208" bestFit="1" customWidth="1"/>
    <col min="9762" max="9984" width="9" style="208"/>
    <col min="9985" max="9987" width="9" style="208" customWidth="1"/>
    <col min="9988" max="9988" width="10.5" style="208" customWidth="1"/>
    <col min="9989" max="9989" width="11.25" style="208" bestFit="1" customWidth="1"/>
    <col min="9990" max="9991" width="9" style="208"/>
    <col min="9992" max="10001" width="9" style="208" customWidth="1"/>
    <col min="10002" max="10002" width="9" style="208"/>
    <col min="10003" max="10003" width="9.5" style="208" bestFit="1" customWidth="1"/>
    <col min="10004" max="10004" width="9" style="208" customWidth="1"/>
    <col min="10005" max="10005" width="9" style="208"/>
    <col min="10006" max="10006" width="9" style="208" customWidth="1"/>
    <col min="10007" max="10012" width="9" style="208"/>
    <col min="10013" max="10013" width="26.5" style="208" customWidth="1"/>
    <col min="10014" max="10016" width="9" style="208"/>
    <col min="10017" max="10017" width="14.75" style="208" bestFit="1" customWidth="1"/>
    <col min="10018" max="10240" width="9" style="208"/>
    <col min="10241" max="10243" width="9" style="208" customWidth="1"/>
    <col min="10244" max="10244" width="10.5" style="208" customWidth="1"/>
    <col min="10245" max="10245" width="11.25" style="208" bestFit="1" customWidth="1"/>
    <col min="10246" max="10247" width="9" style="208"/>
    <col min="10248" max="10257" width="9" style="208" customWidth="1"/>
    <col min="10258" max="10258" width="9" style="208"/>
    <col min="10259" max="10259" width="9.5" style="208" bestFit="1" customWidth="1"/>
    <col min="10260" max="10260" width="9" style="208" customWidth="1"/>
    <col min="10261" max="10261" width="9" style="208"/>
    <col min="10262" max="10262" width="9" style="208" customWidth="1"/>
    <col min="10263" max="10268" width="9" style="208"/>
    <col min="10269" max="10269" width="26.5" style="208" customWidth="1"/>
    <col min="10270" max="10272" width="9" style="208"/>
    <col min="10273" max="10273" width="14.75" style="208" bestFit="1" customWidth="1"/>
    <col min="10274" max="10496" width="9" style="208"/>
    <col min="10497" max="10499" width="9" style="208" customWidth="1"/>
    <col min="10500" max="10500" width="10.5" style="208" customWidth="1"/>
    <col min="10501" max="10501" width="11.25" style="208" bestFit="1" customWidth="1"/>
    <col min="10502" max="10503" width="9" style="208"/>
    <col min="10504" max="10513" width="9" style="208" customWidth="1"/>
    <col min="10514" max="10514" width="9" style="208"/>
    <col min="10515" max="10515" width="9.5" style="208" bestFit="1" customWidth="1"/>
    <col min="10516" max="10516" width="9" style="208" customWidth="1"/>
    <col min="10517" max="10517" width="9" style="208"/>
    <col min="10518" max="10518" width="9" style="208" customWidth="1"/>
    <col min="10519" max="10524" width="9" style="208"/>
    <col min="10525" max="10525" width="26.5" style="208" customWidth="1"/>
    <col min="10526" max="10528" width="9" style="208"/>
    <col min="10529" max="10529" width="14.75" style="208" bestFit="1" customWidth="1"/>
    <col min="10530" max="10752" width="9" style="208"/>
    <col min="10753" max="10755" width="9" style="208" customWidth="1"/>
    <col min="10756" max="10756" width="10.5" style="208" customWidth="1"/>
    <col min="10757" max="10757" width="11.25" style="208" bestFit="1" customWidth="1"/>
    <col min="10758" max="10759" width="9" style="208"/>
    <col min="10760" max="10769" width="9" style="208" customWidth="1"/>
    <col min="10770" max="10770" width="9" style="208"/>
    <col min="10771" max="10771" width="9.5" style="208" bestFit="1" customWidth="1"/>
    <col min="10772" max="10772" width="9" style="208" customWidth="1"/>
    <col min="10773" max="10773" width="9" style="208"/>
    <col min="10774" max="10774" width="9" style="208" customWidth="1"/>
    <col min="10775" max="10780" width="9" style="208"/>
    <col min="10781" max="10781" width="26.5" style="208" customWidth="1"/>
    <col min="10782" max="10784" width="9" style="208"/>
    <col min="10785" max="10785" width="14.75" style="208" bestFit="1" customWidth="1"/>
    <col min="10786" max="11008" width="9" style="208"/>
    <col min="11009" max="11011" width="9" style="208" customWidth="1"/>
    <col min="11012" max="11012" width="10.5" style="208" customWidth="1"/>
    <col min="11013" max="11013" width="11.25" style="208" bestFit="1" customWidth="1"/>
    <col min="11014" max="11015" width="9" style="208"/>
    <col min="11016" max="11025" width="9" style="208" customWidth="1"/>
    <col min="11026" max="11026" width="9" style="208"/>
    <col min="11027" max="11027" width="9.5" style="208" bestFit="1" customWidth="1"/>
    <col min="11028" max="11028" width="9" style="208" customWidth="1"/>
    <col min="11029" max="11029" width="9" style="208"/>
    <col min="11030" max="11030" width="9" style="208" customWidth="1"/>
    <col min="11031" max="11036" width="9" style="208"/>
    <col min="11037" max="11037" width="26.5" style="208" customWidth="1"/>
    <col min="11038" max="11040" width="9" style="208"/>
    <col min="11041" max="11041" width="14.75" style="208" bestFit="1" customWidth="1"/>
    <col min="11042" max="11264" width="9" style="208"/>
    <col min="11265" max="11267" width="9" style="208" customWidth="1"/>
    <col min="11268" max="11268" width="10.5" style="208" customWidth="1"/>
    <col min="11269" max="11269" width="11.25" style="208" bestFit="1" customWidth="1"/>
    <col min="11270" max="11271" width="9" style="208"/>
    <col min="11272" max="11281" width="9" style="208" customWidth="1"/>
    <col min="11282" max="11282" width="9" style="208"/>
    <col min="11283" max="11283" width="9.5" style="208" bestFit="1" customWidth="1"/>
    <col min="11284" max="11284" width="9" style="208" customWidth="1"/>
    <col min="11285" max="11285" width="9" style="208"/>
    <col min="11286" max="11286" width="9" style="208" customWidth="1"/>
    <col min="11287" max="11292" width="9" style="208"/>
    <col min="11293" max="11293" width="26.5" style="208" customWidth="1"/>
    <col min="11294" max="11296" width="9" style="208"/>
    <col min="11297" max="11297" width="14.75" style="208" bestFit="1" customWidth="1"/>
    <col min="11298" max="11520" width="9" style="208"/>
    <col min="11521" max="11523" width="9" style="208" customWidth="1"/>
    <col min="11524" max="11524" width="10.5" style="208" customWidth="1"/>
    <col min="11525" max="11525" width="11.25" style="208" bestFit="1" customWidth="1"/>
    <col min="11526" max="11527" width="9" style="208"/>
    <col min="11528" max="11537" width="9" style="208" customWidth="1"/>
    <col min="11538" max="11538" width="9" style="208"/>
    <col min="11539" max="11539" width="9.5" style="208" bestFit="1" customWidth="1"/>
    <col min="11540" max="11540" width="9" style="208" customWidth="1"/>
    <col min="11541" max="11541" width="9" style="208"/>
    <col min="11542" max="11542" width="9" style="208" customWidth="1"/>
    <col min="11543" max="11548" width="9" style="208"/>
    <col min="11549" max="11549" width="26.5" style="208" customWidth="1"/>
    <col min="11550" max="11552" width="9" style="208"/>
    <col min="11553" max="11553" width="14.75" style="208" bestFit="1" customWidth="1"/>
    <col min="11554" max="11776" width="9" style="208"/>
    <col min="11777" max="11779" width="9" style="208" customWidth="1"/>
    <col min="11780" max="11780" width="10.5" style="208" customWidth="1"/>
    <col min="11781" max="11781" width="11.25" style="208" bestFit="1" customWidth="1"/>
    <col min="11782" max="11783" width="9" style="208"/>
    <col min="11784" max="11793" width="9" style="208" customWidth="1"/>
    <col min="11794" max="11794" width="9" style="208"/>
    <col min="11795" max="11795" width="9.5" style="208" bestFit="1" customWidth="1"/>
    <col min="11796" max="11796" width="9" style="208" customWidth="1"/>
    <col min="11797" max="11797" width="9" style="208"/>
    <col min="11798" max="11798" width="9" style="208" customWidth="1"/>
    <col min="11799" max="11804" width="9" style="208"/>
    <col min="11805" max="11805" width="26.5" style="208" customWidth="1"/>
    <col min="11806" max="11808" width="9" style="208"/>
    <col min="11809" max="11809" width="14.75" style="208" bestFit="1" customWidth="1"/>
    <col min="11810" max="12032" width="9" style="208"/>
    <col min="12033" max="12035" width="9" style="208" customWidth="1"/>
    <col min="12036" max="12036" width="10.5" style="208" customWidth="1"/>
    <col min="12037" max="12037" width="11.25" style="208" bestFit="1" customWidth="1"/>
    <col min="12038" max="12039" width="9" style="208"/>
    <col min="12040" max="12049" width="9" style="208" customWidth="1"/>
    <col min="12050" max="12050" width="9" style="208"/>
    <col min="12051" max="12051" width="9.5" style="208" bestFit="1" customWidth="1"/>
    <col min="12052" max="12052" width="9" style="208" customWidth="1"/>
    <col min="12053" max="12053" width="9" style="208"/>
    <col min="12054" max="12054" width="9" style="208" customWidth="1"/>
    <col min="12055" max="12060" width="9" style="208"/>
    <col min="12061" max="12061" width="26.5" style="208" customWidth="1"/>
    <col min="12062" max="12064" width="9" style="208"/>
    <col min="12065" max="12065" width="14.75" style="208" bestFit="1" customWidth="1"/>
    <col min="12066" max="12288" width="9" style="208"/>
    <col min="12289" max="12291" width="9" style="208" customWidth="1"/>
    <col min="12292" max="12292" width="10.5" style="208" customWidth="1"/>
    <col min="12293" max="12293" width="11.25" style="208" bestFit="1" customWidth="1"/>
    <col min="12294" max="12295" width="9" style="208"/>
    <col min="12296" max="12305" width="9" style="208" customWidth="1"/>
    <col min="12306" max="12306" width="9" style="208"/>
    <col min="12307" max="12307" width="9.5" style="208" bestFit="1" customWidth="1"/>
    <col min="12308" max="12308" width="9" style="208" customWidth="1"/>
    <col min="12309" max="12309" width="9" style="208"/>
    <col min="12310" max="12310" width="9" style="208" customWidth="1"/>
    <col min="12311" max="12316" width="9" style="208"/>
    <col min="12317" max="12317" width="26.5" style="208" customWidth="1"/>
    <col min="12318" max="12320" width="9" style="208"/>
    <col min="12321" max="12321" width="14.75" style="208" bestFit="1" customWidth="1"/>
    <col min="12322" max="12544" width="9" style="208"/>
    <col min="12545" max="12547" width="9" style="208" customWidth="1"/>
    <col min="12548" max="12548" width="10.5" style="208" customWidth="1"/>
    <col min="12549" max="12549" width="11.25" style="208" bestFit="1" customWidth="1"/>
    <col min="12550" max="12551" width="9" style="208"/>
    <col min="12552" max="12561" width="9" style="208" customWidth="1"/>
    <col min="12562" max="12562" width="9" style="208"/>
    <col min="12563" max="12563" width="9.5" style="208" bestFit="1" customWidth="1"/>
    <col min="12564" max="12564" width="9" style="208" customWidth="1"/>
    <col min="12565" max="12565" width="9" style="208"/>
    <col min="12566" max="12566" width="9" style="208" customWidth="1"/>
    <col min="12567" max="12572" width="9" style="208"/>
    <col min="12573" max="12573" width="26.5" style="208" customWidth="1"/>
    <col min="12574" max="12576" width="9" style="208"/>
    <col min="12577" max="12577" width="14.75" style="208" bestFit="1" customWidth="1"/>
    <col min="12578" max="12800" width="9" style="208"/>
    <col min="12801" max="12803" width="9" style="208" customWidth="1"/>
    <col min="12804" max="12804" width="10.5" style="208" customWidth="1"/>
    <col min="12805" max="12805" width="11.25" style="208" bestFit="1" customWidth="1"/>
    <col min="12806" max="12807" width="9" style="208"/>
    <col min="12808" max="12817" width="9" style="208" customWidth="1"/>
    <col min="12818" max="12818" width="9" style="208"/>
    <col min="12819" max="12819" width="9.5" style="208" bestFit="1" customWidth="1"/>
    <col min="12820" max="12820" width="9" style="208" customWidth="1"/>
    <col min="12821" max="12821" width="9" style="208"/>
    <col min="12822" max="12822" width="9" style="208" customWidth="1"/>
    <col min="12823" max="12828" width="9" style="208"/>
    <col min="12829" max="12829" width="26.5" style="208" customWidth="1"/>
    <col min="12830" max="12832" width="9" style="208"/>
    <col min="12833" max="12833" width="14.75" style="208" bestFit="1" customWidth="1"/>
    <col min="12834" max="13056" width="9" style="208"/>
    <col min="13057" max="13059" width="9" style="208" customWidth="1"/>
    <col min="13060" max="13060" width="10.5" style="208" customWidth="1"/>
    <col min="13061" max="13061" width="11.25" style="208" bestFit="1" customWidth="1"/>
    <col min="13062" max="13063" width="9" style="208"/>
    <col min="13064" max="13073" width="9" style="208" customWidth="1"/>
    <col min="13074" max="13074" width="9" style="208"/>
    <col min="13075" max="13075" width="9.5" style="208" bestFit="1" customWidth="1"/>
    <col min="13076" max="13076" width="9" style="208" customWidth="1"/>
    <col min="13077" max="13077" width="9" style="208"/>
    <col min="13078" max="13078" width="9" style="208" customWidth="1"/>
    <col min="13079" max="13084" width="9" style="208"/>
    <col min="13085" max="13085" width="26.5" style="208" customWidth="1"/>
    <col min="13086" max="13088" width="9" style="208"/>
    <col min="13089" max="13089" width="14.75" style="208" bestFit="1" customWidth="1"/>
    <col min="13090" max="13312" width="9" style="208"/>
    <col min="13313" max="13315" width="9" style="208" customWidth="1"/>
    <col min="13316" max="13316" width="10.5" style="208" customWidth="1"/>
    <col min="13317" max="13317" width="11.25" style="208" bestFit="1" customWidth="1"/>
    <col min="13318" max="13319" width="9" style="208"/>
    <col min="13320" max="13329" width="9" style="208" customWidth="1"/>
    <col min="13330" max="13330" width="9" style="208"/>
    <col min="13331" max="13331" width="9.5" style="208" bestFit="1" customWidth="1"/>
    <col min="13332" max="13332" width="9" style="208" customWidth="1"/>
    <col min="13333" max="13333" width="9" style="208"/>
    <col min="13334" max="13334" width="9" style="208" customWidth="1"/>
    <col min="13335" max="13340" width="9" style="208"/>
    <col min="13341" max="13341" width="26.5" style="208" customWidth="1"/>
    <col min="13342" max="13344" width="9" style="208"/>
    <col min="13345" max="13345" width="14.75" style="208" bestFit="1" customWidth="1"/>
    <col min="13346" max="13568" width="9" style="208"/>
    <col min="13569" max="13571" width="9" style="208" customWidth="1"/>
    <col min="13572" max="13572" width="10.5" style="208" customWidth="1"/>
    <col min="13573" max="13573" width="11.25" style="208" bestFit="1" customWidth="1"/>
    <col min="13574" max="13575" width="9" style="208"/>
    <col min="13576" max="13585" width="9" style="208" customWidth="1"/>
    <col min="13586" max="13586" width="9" style="208"/>
    <col min="13587" max="13587" width="9.5" style="208" bestFit="1" customWidth="1"/>
    <col min="13588" max="13588" width="9" style="208" customWidth="1"/>
    <col min="13589" max="13589" width="9" style="208"/>
    <col min="13590" max="13590" width="9" style="208" customWidth="1"/>
    <col min="13591" max="13596" width="9" style="208"/>
    <col min="13597" max="13597" width="26.5" style="208" customWidth="1"/>
    <col min="13598" max="13600" width="9" style="208"/>
    <col min="13601" max="13601" width="14.75" style="208" bestFit="1" customWidth="1"/>
    <col min="13602" max="13824" width="9" style="208"/>
    <col min="13825" max="13827" width="9" style="208" customWidth="1"/>
    <col min="13828" max="13828" width="10.5" style="208" customWidth="1"/>
    <col min="13829" max="13829" width="11.25" style="208" bestFit="1" customWidth="1"/>
    <col min="13830" max="13831" width="9" style="208"/>
    <col min="13832" max="13841" width="9" style="208" customWidth="1"/>
    <col min="13842" max="13842" width="9" style="208"/>
    <col min="13843" max="13843" width="9.5" style="208" bestFit="1" customWidth="1"/>
    <col min="13844" max="13844" width="9" style="208" customWidth="1"/>
    <col min="13845" max="13845" width="9" style="208"/>
    <col min="13846" max="13846" width="9" style="208" customWidth="1"/>
    <col min="13847" max="13852" width="9" style="208"/>
    <col min="13853" max="13853" width="26.5" style="208" customWidth="1"/>
    <col min="13854" max="13856" width="9" style="208"/>
    <col min="13857" max="13857" width="14.75" style="208" bestFit="1" customWidth="1"/>
    <col min="13858" max="14080" width="9" style="208"/>
    <col min="14081" max="14083" width="9" style="208" customWidth="1"/>
    <col min="14084" max="14084" width="10.5" style="208" customWidth="1"/>
    <col min="14085" max="14085" width="11.25" style="208" bestFit="1" customWidth="1"/>
    <col min="14086" max="14087" width="9" style="208"/>
    <col min="14088" max="14097" width="9" style="208" customWidth="1"/>
    <col min="14098" max="14098" width="9" style="208"/>
    <col min="14099" max="14099" width="9.5" style="208" bestFit="1" customWidth="1"/>
    <col min="14100" max="14100" width="9" style="208" customWidth="1"/>
    <col min="14101" max="14101" width="9" style="208"/>
    <col min="14102" max="14102" width="9" style="208" customWidth="1"/>
    <col min="14103" max="14108" width="9" style="208"/>
    <col min="14109" max="14109" width="26.5" style="208" customWidth="1"/>
    <col min="14110" max="14112" width="9" style="208"/>
    <col min="14113" max="14113" width="14.75" style="208" bestFit="1" customWidth="1"/>
    <col min="14114" max="14336" width="9" style="208"/>
    <col min="14337" max="14339" width="9" style="208" customWidth="1"/>
    <col min="14340" max="14340" width="10.5" style="208" customWidth="1"/>
    <col min="14341" max="14341" width="11.25" style="208" bestFit="1" customWidth="1"/>
    <col min="14342" max="14343" width="9" style="208"/>
    <col min="14344" max="14353" width="9" style="208" customWidth="1"/>
    <col min="14354" max="14354" width="9" style="208"/>
    <col min="14355" max="14355" width="9.5" style="208" bestFit="1" customWidth="1"/>
    <col min="14356" max="14356" width="9" style="208" customWidth="1"/>
    <col min="14357" max="14357" width="9" style="208"/>
    <col min="14358" max="14358" width="9" style="208" customWidth="1"/>
    <col min="14359" max="14364" width="9" style="208"/>
    <col min="14365" max="14365" width="26.5" style="208" customWidth="1"/>
    <col min="14366" max="14368" width="9" style="208"/>
    <col min="14369" max="14369" width="14.75" style="208" bestFit="1" customWidth="1"/>
    <col min="14370" max="14592" width="9" style="208"/>
    <col min="14593" max="14595" width="9" style="208" customWidth="1"/>
    <col min="14596" max="14596" width="10.5" style="208" customWidth="1"/>
    <col min="14597" max="14597" width="11.25" style="208" bestFit="1" customWidth="1"/>
    <col min="14598" max="14599" width="9" style="208"/>
    <col min="14600" max="14609" width="9" style="208" customWidth="1"/>
    <col min="14610" max="14610" width="9" style="208"/>
    <col min="14611" max="14611" width="9.5" style="208" bestFit="1" customWidth="1"/>
    <col min="14612" max="14612" width="9" style="208" customWidth="1"/>
    <col min="14613" max="14613" width="9" style="208"/>
    <col min="14614" max="14614" width="9" style="208" customWidth="1"/>
    <col min="14615" max="14620" width="9" style="208"/>
    <col min="14621" max="14621" width="26.5" style="208" customWidth="1"/>
    <col min="14622" max="14624" width="9" style="208"/>
    <col min="14625" max="14625" width="14.75" style="208" bestFit="1" customWidth="1"/>
    <col min="14626" max="14848" width="9" style="208"/>
    <col min="14849" max="14851" width="9" style="208" customWidth="1"/>
    <col min="14852" max="14852" width="10.5" style="208" customWidth="1"/>
    <col min="14853" max="14853" width="11.25" style="208" bestFit="1" customWidth="1"/>
    <col min="14854" max="14855" width="9" style="208"/>
    <col min="14856" max="14865" width="9" style="208" customWidth="1"/>
    <col min="14866" max="14866" width="9" style="208"/>
    <col min="14867" max="14867" width="9.5" style="208" bestFit="1" customWidth="1"/>
    <col min="14868" max="14868" width="9" style="208" customWidth="1"/>
    <col min="14869" max="14869" width="9" style="208"/>
    <col min="14870" max="14870" width="9" style="208" customWidth="1"/>
    <col min="14871" max="14876" width="9" style="208"/>
    <col min="14877" max="14877" width="26.5" style="208" customWidth="1"/>
    <col min="14878" max="14880" width="9" style="208"/>
    <col min="14881" max="14881" width="14.75" style="208" bestFit="1" customWidth="1"/>
    <col min="14882" max="15104" width="9" style="208"/>
    <col min="15105" max="15107" width="9" style="208" customWidth="1"/>
    <col min="15108" max="15108" width="10.5" style="208" customWidth="1"/>
    <col min="15109" max="15109" width="11.25" style="208" bestFit="1" customWidth="1"/>
    <col min="15110" max="15111" width="9" style="208"/>
    <col min="15112" max="15121" width="9" style="208" customWidth="1"/>
    <col min="15122" max="15122" width="9" style="208"/>
    <col min="15123" max="15123" width="9.5" style="208" bestFit="1" customWidth="1"/>
    <col min="15124" max="15124" width="9" style="208" customWidth="1"/>
    <col min="15125" max="15125" width="9" style="208"/>
    <col min="15126" max="15126" width="9" style="208" customWidth="1"/>
    <col min="15127" max="15132" width="9" style="208"/>
    <col min="15133" max="15133" width="26.5" style="208" customWidth="1"/>
    <col min="15134" max="15136" width="9" style="208"/>
    <col min="15137" max="15137" width="14.75" style="208" bestFit="1" customWidth="1"/>
    <col min="15138" max="15360" width="9" style="208"/>
    <col min="15361" max="15363" width="9" style="208" customWidth="1"/>
    <col min="15364" max="15364" width="10.5" style="208" customWidth="1"/>
    <col min="15365" max="15365" width="11.25" style="208" bestFit="1" customWidth="1"/>
    <col min="15366" max="15367" width="9" style="208"/>
    <col min="15368" max="15377" width="9" style="208" customWidth="1"/>
    <col min="15378" max="15378" width="9" style="208"/>
    <col min="15379" max="15379" width="9.5" style="208" bestFit="1" customWidth="1"/>
    <col min="15380" max="15380" width="9" style="208" customWidth="1"/>
    <col min="15381" max="15381" width="9" style="208"/>
    <col min="15382" max="15382" width="9" style="208" customWidth="1"/>
    <col min="15383" max="15388" width="9" style="208"/>
    <col min="15389" max="15389" width="26.5" style="208" customWidth="1"/>
    <col min="15390" max="15392" width="9" style="208"/>
    <col min="15393" max="15393" width="14.75" style="208" bestFit="1" customWidth="1"/>
    <col min="15394" max="15616" width="9" style="208"/>
    <col min="15617" max="15619" width="9" style="208" customWidth="1"/>
    <col min="15620" max="15620" width="10.5" style="208" customWidth="1"/>
    <col min="15621" max="15621" width="11.25" style="208" bestFit="1" customWidth="1"/>
    <col min="15622" max="15623" width="9" style="208"/>
    <col min="15624" max="15633" width="9" style="208" customWidth="1"/>
    <col min="15634" max="15634" width="9" style="208"/>
    <col min="15635" max="15635" width="9.5" style="208" bestFit="1" customWidth="1"/>
    <col min="15636" max="15636" width="9" style="208" customWidth="1"/>
    <col min="15637" max="15637" width="9" style="208"/>
    <col min="15638" max="15638" width="9" style="208" customWidth="1"/>
    <col min="15639" max="15644" width="9" style="208"/>
    <col min="15645" max="15645" width="26.5" style="208" customWidth="1"/>
    <col min="15646" max="15648" width="9" style="208"/>
    <col min="15649" max="15649" width="14.75" style="208" bestFit="1" customWidth="1"/>
    <col min="15650" max="15872" width="9" style="208"/>
    <col min="15873" max="15875" width="9" style="208" customWidth="1"/>
    <col min="15876" max="15876" width="10.5" style="208" customWidth="1"/>
    <col min="15877" max="15877" width="11.25" style="208" bestFit="1" customWidth="1"/>
    <col min="15878" max="15879" width="9" style="208"/>
    <col min="15880" max="15889" width="9" style="208" customWidth="1"/>
    <col min="15890" max="15890" width="9" style="208"/>
    <col min="15891" max="15891" width="9.5" style="208" bestFit="1" customWidth="1"/>
    <col min="15892" max="15892" width="9" style="208" customWidth="1"/>
    <col min="15893" max="15893" width="9" style="208"/>
    <col min="15894" max="15894" width="9" style="208" customWidth="1"/>
    <col min="15895" max="15900" width="9" style="208"/>
    <col min="15901" max="15901" width="26.5" style="208" customWidth="1"/>
    <col min="15902" max="15904" width="9" style="208"/>
    <col min="15905" max="15905" width="14.75" style="208" bestFit="1" customWidth="1"/>
    <col min="15906" max="16128" width="9" style="208"/>
    <col min="16129" max="16131" width="9" style="208" customWidth="1"/>
    <col min="16132" max="16132" width="10.5" style="208" customWidth="1"/>
    <col min="16133" max="16133" width="11.25" style="208" bestFit="1" customWidth="1"/>
    <col min="16134" max="16135" width="9" style="208"/>
    <col min="16136" max="16145" width="9" style="208" customWidth="1"/>
    <col min="16146" max="16146" width="9" style="208"/>
    <col min="16147" max="16147" width="9.5" style="208" bestFit="1" customWidth="1"/>
    <col min="16148" max="16148" width="9" style="208" customWidth="1"/>
    <col min="16149" max="16149" width="9" style="208"/>
    <col min="16150" max="16150" width="9" style="208" customWidth="1"/>
    <col min="16151" max="16156" width="9" style="208"/>
    <col min="16157" max="16157" width="26.5" style="208" customWidth="1"/>
    <col min="16158" max="16160" width="9" style="208"/>
    <col min="16161" max="16161" width="14.75" style="208" bestFit="1" customWidth="1"/>
    <col min="16162" max="16384" width="9" style="208"/>
  </cols>
  <sheetData>
    <row r="1" spans="1:53" ht="44.25" customHeight="1" x14ac:dyDescent="0.15">
      <c r="A1" s="133" t="s">
        <v>247</v>
      </c>
      <c r="B1" s="202" t="s">
        <v>1</v>
      </c>
      <c r="C1" s="202" t="s">
        <v>2</v>
      </c>
      <c r="D1" s="203" t="s">
        <v>3</v>
      </c>
      <c r="E1" s="203" t="s">
        <v>248</v>
      </c>
      <c r="F1" s="203" t="s">
        <v>5</v>
      </c>
      <c r="G1" s="203" t="s">
        <v>6</v>
      </c>
      <c r="H1" s="203" t="s">
        <v>249</v>
      </c>
      <c r="I1" s="203" t="s">
        <v>8</v>
      </c>
      <c r="J1" s="203" t="s">
        <v>9</v>
      </c>
      <c r="K1" s="203" t="s">
        <v>10</v>
      </c>
      <c r="L1" s="203" t="s">
        <v>159</v>
      </c>
      <c r="M1" s="203" t="s">
        <v>12</v>
      </c>
      <c r="N1" s="203" t="s">
        <v>13</v>
      </c>
      <c r="O1" s="203" t="s">
        <v>14</v>
      </c>
      <c r="P1" s="203" t="s">
        <v>160</v>
      </c>
      <c r="Q1" s="204" t="s">
        <v>16</v>
      </c>
      <c r="R1" s="203" t="s">
        <v>17</v>
      </c>
      <c r="S1" s="203" t="s">
        <v>18</v>
      </c>
      <c r="T1" s="204" t="s">
        <v>19</v>
      </c>
      <c r="U1" s="205" t="s">
        <v>108</v>
      </c>
      <c r="V1" s="206" t="s">
        <v>20</v>
      </c>
      <c r="W1" s="203" t="s">
        <v>21</v>
      </c>
      <c r="X1" s="203" t="s">
        <v>22</v>
      </c>
      <c r="Y1" s="203" t="s">
        <v>23</v>
      </c>
      <c r="Z1" s="203" t="s">
        <v>24</v>
      </c>
      <c r="AA1" s="134" t="s">
        <v>25</v>
      </c>
      <c r="AB1" s="135" t="s">
        <v>26</v>
      </c>
      <c r="AC1" s="136"/>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30</v>
      </c>
      <c r="AY1" s="214" t="s">
        <v>161</v>
      </c>
      <c r="AZ1" s="214" t="s">
        <v>32</v>
      </c>
      <c r="BA1" s="215" t="s">
        <v>33</v>
      </c>
    </row>
    <row r="2" spans="1:53" s="143" customFormat="1" x14ac:dyDescent="0.15">
      <c r="A2" s="137" t="s">
        <v>61</v>
      </c>
      <c r="B2" s="137" t="s">
        <v>387</v>
      </c>
      <c r="C2" s="137">
        <v>2018</v>
      </c>
      <c r="D2" s="138" t="s">
        <v>389</v>
      </c>
      <c r="E2" s="137" t="s">
        <v>251</v>
      </c>
      <c r="F2" s="137" t="s">
        <v>250</v>
      </c>
      <c r="G2" s="137" t="s">
        <v>42</v>
      </c>
      <c r="H2" s="247" t="s">
        <v>157</v>
      </c>
      <c r="I2" s="247" t="s">
        <v>155</v>
      </c>
      <c r="J2" s="137" t="s">
        <v>38</v>
      </c>
      <c r="K2" s="247" t="s">
        <v>156</v>
      </c>
      <c r="L2" s="247">
        <v>1</v>
      </c>
      <c r="M2" s="247"/>
      <c r="N2" s="247">
        <v>1</v>
      </c>
      <c r="O2" s="247">
        <v>0.6</v>
      </c>
      <c r="P2" s="247">
        <v>0.6</v>
      </c>
      <c r="Q2" s="139">
        <f t="shared" ref="Q2:Q66" si="0">IF(OR(O2="",P2=""),"",AVERAGE(O2,P2))</f>
        <v>0.6</v>
      </c>
      <c r="R2" s="247">
        <v>17</v>
      </c>
      <c r="S2" s="247">
        <v>137</v>
      </c>
      <c r="T2" s="140">
        <f t="shared" ref="T2:T65" si="1">IF(H2="","",IF(OR(H2="GREEN",H2="GK"),IF(S2&gt;=$AX$2,VLOOKUP(S2,$AX$2:$AY$15,2,1),""),IF(S2&gt;=$AZ$2,VLOOKUP(S2,$AZ$2:$BA$15,2,1),"")))</f>
        <v>25</v>
      </c>
      <c r="U2" s="247">
        <v>118</v>
      </c>
      <c r="V2" s="141">
        <f>IF(OR(N2="",U2="",T2=""),"",U2/N2*T2)</f>
        <v>2950</v>
      </c>
      <c r="W2" s="247">
        <v>5</v>
      </c>
      <c r="X2" s="137" t="s">
        <v>39</v>
      </c>
      <c r="Y2" s="247" t="s">
        <v>88</v>
      </c>
      <c r="Z2" s="247" t="s">
        <v>78</v>
      </c>
      <c r="AA2" s="247" t="s">
        <v>239</v>
      </c>
      <c r="AB2" s="137" t="s">
        <v>427</v>
      </c>
      <c r="AC2" s="142"/>
      <c r="AE2" s="218" t="s">
        <v>35</v>
      </c>
      <c r="AG2" s="49" t="s">
        <v>251</v>
      </c>
      <c r="AH2" s="49" t="s">
        <v>250</v>
      </c>
      <c r="AJ2" s="144" t="s">
        <v>36</v>
      </c>
      <c r="AL2" s="219" t="s">
        <v>127</v>
      </c>
      <c r="AN2" s="144" t="s">
        <v>37</v>
      </c>
      <c r="AP2" s="219" t="s">
        <v>38</v>
      </c>
      <c r="AR2" s="219" t="s">
        <v>162</v>
      </c>
      <c r="AT2" s="144" t="s">
        <v>39</v>
      </c>
      <c r="AV2" s="219" t="s">
        <v>40</v>
      </c>
      <c r="AX2" s="145">
        <v>1</v>
      </c>
      <c r="AY2" s="146">
        <v>50</v>
      </c>
      <c r="AZ2" s="146">
        <v>1</v>
      </c>
      <c r="BA2" s="147">
        <v>50</v>
      </c>
    </row>
    <row r="3" spans="1:53" x14ac:dyDescent="0.15">
      <c r="A3" s="137" t="s">
        <v>61</v>
      </c>
      <c r="B3" s="137" t="s">
        <v>387</v>
      </c>
      <c r="C3" s="137">
        <v>2018</v>
      </c>
      <c r="D3" s="138" t="s">
        <v>389</v>
      </c>
      <c r="E3" s="137" t="s">
        <v>251</v>
      </c>
      <c r="F3" s="137" t="s">
        <v>250</v>
      </c>
      <c r="G3" s="137" t="s">
        <v>42</v>
      </c>
      <c r="H3" s="247" t="s">
        <v>157</v>
      </c>
      <c r="I3" s="247" t="s">
        <v>155</v>
      </c>
      <c r="J3" s="137" t="s">
        <v>38</v>
      </c>
      <c r="K3" s="247" t="s">
        <v>156</v>
      </c>
      <c r="L3" s="247">
        <v>2</v>
      </c>
      <c r="M3" s="247"/>
      <c r="N3" s="247">
        <v>1</v>
      </c>
      <c r="O3" s="247">
        <v>0.65</v>
      </c>
      <c r="P3" s="247">
        <v>0.65</v>
      </c>
      <c r="Q3" s="139">
        <f t="shared" si="0"/>
        <v>0.65</v>
      </c>
      <c r="R3" s="247">
        <v>17.100000000000001</v>
      </c>
      <c r="S3" s="247">
        <v>134</v>
      </c>
      <c r="T3" s="140">
        <f t="shared" si="1"/>
        <v>25</v>
      </c>
      <c r="U3" s="247">
        <v>118</v>
      </c>
      <c r="V3" s="141">
        <f t="shared" ref="V3:V66" si="2">IF(OR(N3="",U3="",T3=""),"",U3/N3*T3)</f>
        <v>2950</v>
      </c>
      <c r="W3" s="247">
        <v>5</v>
      </c>
      <c r="X3" s="137" t="s">
        <v>39</v>
      </c>
      <c r="Y3" s="247" t="s">
        <v>88</v>
      </c>
      <c r="Z3" s="247" t="s">
        <v>78</v>
      </c>
      <c r="AA3" s="247" t="s">
        <v>239</v>
      </c>
      <c r="AB3" s="137" t="s">
        <v>427</v>
      </c>
      <c r="AC3" s="142"/>
      <c r="AE3" s="223" t="s">
        <v>41</v>
      </c>
      <c r="AG3" s="49" t="s">
        <v>252</v>
      </c>
      <c r="AH3" s="49" t="s">
        <v>253</v>
      </c>
      <c r="AJ3" s="224" t="s">
        <v>42</v>
      </c>
      <c r="AL3" s="224" t="s">
        <v>128</v>
      </c>
      <c r="AN3" s="224" t="s">
        <v>43</v>
      </c>
      <c r="AP3" s="224" t="s">
        <v>44</v>
      </c>
      <c r="AR3" s="238" t="s">
        <v>45</v>
      </c>
      <c r="AT3" s="224" t="s">
        <v>46</v>
      </c>
      <c r="AV3" s="238" t="s">
        <v>47</v>
      </c>
      <c r="AX3" s="225">
        <v>72</v>
      </c>
      <c r="AY3" s="226">
        <v>46</v>
      </c>
      <c r="AZ3" s="226">
        <v>71</v>
      </c>
      <c r="BA3" s="227">
        <v>42</v>
      </c>
    </row>
    <row r="4" spans="1:53" x14ac:dyDescent="0.15">
      <c r="A4" s="137" t="s">
        <v>61</v>
      </c>
      <c r="B4" s="137" t="s">
        <v>387</v>
      </c>
      <c r="C4" s="137">
        <v>2018</v>
      </c>
      <c r="D4" s="138" t="s">
        <v>389</v>
      </c>
      <c r="E4" s="137" t="s">
        <v>251</v>
      </c>
      <c r="F4" s="137" t="s">
        <v>250</v>
      </c>
      <c r="G4" s="137" t="s">
        <v>42</v>
      </c>
      <c r="H4" s="247" t="s">
        <v>157</v>
      </c>
      <c r="I4" s="247" t="s">
        <v>155</v>
      </c>
      <c r="J4" s="137" t="s">
        <v>38</v>
      </c>
      <c r="K4" s="247" t="s">
        <v>156</v>
      </c>
      <c r="L4" s="247">
        <v>3</v>
      </c>
      <c r="M4" s="247"/>
      <c r="N4" s="247">
        <v>1</v>
      </c>
      <c r="O4" s="247">
        <v>0.6</v>
      </c>
      <c r="P4" s="247">
        <v>0.6</v>
      </c>
      <c r="Q4" s="139">
        <f t="shared" si="0"/>
        <v>0.6</v>
      </c>
      <c r="R4" s="247">
        <v>17</v>
      </c>
      <c r="S4" s="247">
        <v>138</v>
      </c>
      <c r="T4" s="140">
        <f t="shared" si="1"/>
        <v>22</v>
      </c>
      <c r="U4" s="247">
        <v>118</v>
      </c>
      <c r="V4" s="141">
        <f t="shared" si="2"/>
        <v>2596</v>
      </c>
      <c r="W4" s="247">
        <v>5</v>
      </c>
      <c r="X4" s="137" t="s">
        <v>39</v>
      </c>
      <c r="Y4" s="247" t="s">
        <v>88</v>
      </c>
      <c r="Z4" s="247" t="s">
        <v>78</v>
      </c>
      <c r="AA4" s="247" t="s">
        <v>239</v>
      </c>
      <c r="AB4" s="137" t="s">
        <v>427</v>
      </c>
      <c r="AC4" s="142"/>
      <c r="AE4" s="223" t="s">
        <v>34</v>
      </c>
      <c r="AG4" s="49" t="s">
        <v>254</v>
      </c>
      <c r="AH4" s="49" t="s">
        <v>255</v>
      </c>
      <c r="AJ4" s="228" t="s">
        <v>48</v>
      </c>
      <c r="AL4" s="228" t="s">
        <v>129</v>
      </c>
      <c r="AN4" s="229" t="s">
        <v>49</v>
      </c>
      <c r="AP4" s="224" t="s">
        <v>163</v>
      </c>
      <c r="AR4" s="238" t="s">
        <v>164</v>
      </c>
      <c r="AT4" s="229"/>
      <c r="AV4" s="238" t="s">
        <v>50</v>
      </c>
      <c r="AX4" s="225">
        <v>75</v>
      </c>
      <c r="AY4" s="226">
        <v>42</v>
      </c>
      <c r="AZ4" s="226">
        <v>76</v>
      </c>
      <c r="BA4" s="227">
        <v>39</v>
      </c>
    </row>
    <row r="5" spans="1:53" x14ac:dyDescent="0.15">
      <c r="A5" s="137" t="s">
        <v>61</v>
      </c>
      <c r="B5" s="137" t="s">
        <v>387</v>
      </c>
      <c r="C5" s="137">
        <v>2018</v>
      </c>
      <c r="D5" s="138" t="s">
        <v>389</v>
      </c>
      <c r="E5" s="137" t="s">
        <v>251</v>
      </c>
      <c r="F5" s="137" t="s">
        <v>250</v>
      </c>
      <c r="G5" s="137" t="s">
        <v>42</v>
      </c>
      <c r="H5" s="247" t="s">
        <v>165</v>
      </c>
      <c r="I5" s="247" t="s">
        <v>155</v>
      </c>
      <c r="J5" s="137" t="s">
        <v>38</v>
      </c>
      <c r="K5" s="247" t="s">
        <v>156</v>
      </c>
      <c r="L5" s="247">
        <v>1</v>
      </c>
      <c r="M5" s="247"/>
      <c r="N5" s="247">
        <v>1</v>
      </c>
      <c r="O5" s="247">
        <v>0.55000000000000004</v>
      </c>
      <c r="P5" s="247">
        <v>0.55000000000000004</v>
      </c>
      <c r="Q5" s="139">
        <f t="shared" si="0"/>
        <v>0.55000000000000004</v>
      </c>
      <c r="R5" s="247">
        <v>18.2</v>
      </c>
      <c r="S5" s="247">
        <v>128</v>
      </c>
      <c r="T5" s="140">
        <f t="shared" si="1"/>
        <v>27</v>
      </c>
      <c r="U5" s="247">
        <v>137</v>
      </c>
      <c r="V5" s="141">
        <f t="shared" si="2"/>
        <v>3699</v>
      </c>
      <c r="W5" s="247">
        <v>5</v>
      </c>
      <c r="X5" s="137" t="s">
        <v>39</v>
      </c>
      <c r="Y5" s="247" t="s">
        <v>88</v>
      </c>
      <c r="Z5" s="247" t="s">
        <v>78</v>
      </c>
      <c r="AA5" s="247" t="s">
        <v>239</v>
      </c>
      <c r="AB5" s="137" t="s">
        <v>427</v>
      </c>
      <c r="AC5" s="142"/>
      <c r="AE5" s="223" t="s">
        <v>51</v>
      </c>
      <c r="AG5" s="49" t="s">
        <v>256</v>
      </c>
      <c r="AH5" s="49" t="s">
        <v>257</v>
      </c>
      <c r="AJ5" s="228"/>
      <c r="AL5" s="230" t="s">
        <v>166</v>
      </c>
      <c r="AN5" s="230" t="s">
        <v>52</v>
      </c>
      <c r="AP5" s="224" t="s">
        <v>167</v>
      </c>
      <c r="AR5" s="238" t="s">
        <v>54</v>
      </c>
      <c r="AT5" s="247"/>
      <c r="AV5" s="238" t="s">
        <v>55</v>
      </c>
      <c r="AX5" s="225">
        <v>84</v>
      </c>
      <c r="AY5" s="226">
        <v>39</v>
      </c>
      <c r="AZ5" s="226">
        <v>84</v>
      </c>
      <c r="BA5" s="227">
        <v>36</v>
      </c>
    </row>
    <row r="6" spans="1:53" x14ac:dyDescent="0.15">
      <c r="A6" s="137" t="s">
        <v>61</v>
      </c>
      <c r="B6" s="137" t="s">
        <v>387</v>
      </c>
      <c r="C6" s="137">
        <v>2018</v>
      </c>
      <c r="D6" s="138" t="s">
        <v>389</v>
      </c>
      <c r="E6" s="137" t="s">
        <v>251</v>
      </c>
      <c r="F6" s="137" t="s">
        <v>250</v>
      </c>
      <c r="G6" s="137" t="s">
        <v>42</v>
      </c>
      <c r="H6" s="247" t="s">
        <v>165</v>
      </c>
      <c r="I6" s="247" t="s">
        <v>155</v>
      </c>
      <c r="J6" s="137" t="s">
        <v>38</v>
      </c>
      <c r="K6" s="247" t="s">
        <v>156</v>
      </c>
      <c r="L6" s="247">
        <v>2</v>
      </c>
      <c r="M6" s="247"/>
      <c r="N6" s="247">
        <v>1</v>
      </c>
      <c r="O6" s="247">
        <v>0.6</v>
      </c>
      <c r="P6" s="247">
        <v>0.6</v>
      </c>
      <c r="Q6" s="139">
        <f t="shared" si="0"/>
        <v>0.6</v>
      </c>
      <c r="R6" s="247">
        <v>18.100000000000001</v>
      </c>
      <c r="S6" s="247">
        <v>126</v>
      </c>
      <c r="T6" s="140">
        <f t="shared" si="1"/>
        <v>27</v>
      </c>
      <c r="U6" s="247">
        <v>137</v>
      </c>
      <c r="V6" s="141">
        <f t="shared" si="2"/>
        <v>3699</v>
      </c>
      <c r="W6" s="247">
        <v>5</v>
      </c>
      <c r="X6" s="137" t="s">
        <v>39</v>
      </c>
      <c r="Y6" s="247" t="s">
        <v>88</v>
      </c>
      <c r="Z6" s="247" t="s">
        <v>78</v>
      </c>
      <c r="AA6" s="247" t="s">
        <v>239</v>
      </c>
      <c r="AB6" s="137" t="s">
        <v>427</v>
      </c>
      <c r="AC6" s="142"/>
      <c r="AE6" s="223" t="s">
        <v>56</v>
      </c>
      <c r="AG6" s="49" t="s">
        <v>258</v>
      </c>
      <c r="AH6" s="49" t="s">
        <v>259</v>
      </c>
      <c r="AJ6" s="228"/>
      <c r="AL6" s="230" t="s">
        <v>99</v>
      </c>
      <c r="AN6" s="230" t="s">
        <v>57</v>
      </c>
      <c r="AP6" s="224" t="s">
        <v>53</v>
      </c>
      <c r="AR6" s="238" t="s">
        <v>59</v>
      </c>
      <c r="AT6" s="247"/>
      <c r="AV6" s="238" t="s">
        <v>60</v>
      </c>
      <c r="AX6" s="225">
        <v>97</v>
      </c>
      <c r="AY6" s="226">
        <v>36</v>
      </c>
      <c r="AZ6" s="226">
        <v>99</v>
      </c>
      <c r="BA6" s="227">
        <v>33</v>
      </c>
    </row>
    <row r="7" spans="1:53" x14ac:dyDescent="0.15">
      <c r="A7" s="137" t="s">
        <v>61</v>
      </c>
      <c r="B7" s="137" t="s">
        <v>387</v>
      </c>
      <c r="C7" s="137">
        <v>2018</v>
      </c>
      <c r="D7" s="138" t="s">
        <v>389</v>
      </c>
      <c r="E7" s="137" t="s">
        <v>251</v>
      </c>
      <c r="F7" s="137" t="s">
        <v>250</v>
      </c>
      <c r="G7" s="137" t="s">
        <v>42</v>
      </c>
      <c r="H7" s="247" t="s">
        <v>165</v>
      </c>
      <c r="I7" s="247" t="s">
        <v>155</v>
      </c>
      <c r="J7" s="137" t="s">
        <v>38</v>
      </c>
      <c r="K7" s="247" t="s">
        <v>156</v>
      </c>
      <c r="L7" s="247">
        <v>3</v>
      </c>
      <c r="M7" s="247"/>
      <c r="N7" s="247">
        <v>1</v>
      </c>
      <c r="O7" s="247">
        <v>0.5</v>
      </c>
      <c r="P7" s="247">
        <v>0.5</v>
      </c>
      <c r="Q7" s="139">
        <f t="shared" si="0"/>
        <v>0.5</v>
      </c>
      <c r="R7" s="247">
        <v>18.2</v>
      </c>
      <c r="S7" s="247">
        <v>134</v>
      </c>
      <c r="T7" s="140">
        <f t="shared" si="1"/>
        <v>25</v>
      </c>
      <c r="U7" s="247">
        <v>137</v>
      </c>
      <c r="V7" s="141">
        <f t="shared" si="2"/>
        <v>3425</v>
      </c>
      <c r="W7" s="247">
        <v>5</v>
      </c>
      <c r="X7" s="137" t="s">
        <v>39</v>
      </c>
      <c r="Y7" s="247" t="s">
        <v>88</v>
      </c>
      <c r="Z7" s="247" t="s">
        <v>78</v>
      </c>
      <c r="AA7" s="247" t="s">
        <v>239</v>
      </c>
      <c r="AB7" s="137" t="s">
        <v>427</v>
      </c>
      <c r="AC7" s="142"/>
      <c r="AE7" s="223" t="s">
        <v>61</v>
      </c>
      <c r="AG7" s="49" t="s">
        <v>260</v>
      </c>
      <c r="AH7" s="49" t="s">
        <v>261</v>
      </c>
      <c r="AJ7" s="228"/>
      <c r="AL7" s="235" t="s">
        <v>180</v>
      </c>
      <c r="AN7" s="148"/>
      <c r="AP7" s="224" t="s">
        <v>58</v>
      </c>
      <c r="AR7" s="231" t="s">
        <v>122</v>
      </c>
      <c r="AT7" s="247"/>
      <c r="AV7" s="238" t="s">
        <v>64</v>
      </c>
      <c r="AX7" s="225">
        <v>109</v>
      </c>
      <c r="AY7" s="226">
        <v>33</v>
      </c>
      <c r="AZ7" s="226">
        <v>113</v>
      </c>
      <c r="BA7" s="227">
        <v>30</v>
      </c>
    </row>
    <row r="8" spans="1:53" x14ac:dyDescent="0.15">
      <c r="A8" s="137" t="s">
        <v>61</v>
      </c>
      <c r="B8" s="137" t="s">
        <v>397</v>
      </c>
      <c r="C8" s="137">
        <v>2018</v>
      </c>
      <c r="D8" s="138" t="s">
        <v>398</v>
      </c>
      <c r="E8" s="137" t="s">
        <v>251</v>
      </c>
      <c r="F8" s="137" t="s">
        <v>250</v>
      </c>
      <c r="G8" s="137" t="s">
        <v>42</v>
      </c>
      <c r="H8" s="247" t="s">
        <v>127</v>
      </c>
      <c r="I8" s="247" t="s">
        <v>155</v>
      </c>
      <c r="J8" s="137" t="s">
        <v>80</v>
      </c>
      <c r="K8" s="247" t="s">
        <v>45</v>
      </c>
      <c r="L8" s="247">
        <v>1</v>
      </c>
      <c r="M8" s="247"/>
      <c r="N8" s="247">
        <v>5</v>
      </c>
      <c r="O8" s="247">
        <v>1.2</v>
      </c>
      <c r="P8" s="247">
        <v>1.3</v>
      </c>
      <c r="Q8" s="139">
        <f t="shared" si="0"/>
        <v>1.25</v>
      </c>
      <c r="R8" s="247">
        <v>11</v>
      </c>
      <c r="S8" s="247">
        <v>86</v>
      </c>
      <c r="T8" s="140">
        <f t="shared" si="1"/>
        <v>36</v>
      </c>
      <c r="U8" s="247">
        <v>248</v>
      </c>
      <c r="V8" s="141">
        <f t="shared" si="2"/>
        <v>1785.6000000000001</v>
      </c>
      <c r="W8" s="247">
        <v>5</v>
      </c>
      <c r="X8" s="137" t="s">
        <v>39</v>
      </c>
      <c r="Y8" s="247" t="s">
        <v>88</v>
      </c>
      <c r="Z8" s="247" t="s">
        <v>78</v>
      </c>
      <c r="AA8" s="247" t="s">
        <v>239</v>
      </c>
      <c r="AB8" s="137" t="s">
        <v>428</v>
      </c>
      <c r="AC8" s="142"/>
      <c r="AE8" s="223" t="s">
        <v>59</v>
      </c>
      <c r="AG8" s="49" t="s">
        <v>262</v>
      </c>
      <c r="AH8" s="49" t="s">
        <v>263</v>
      </c>
      <c r="AJ8" s="229"/>
      <c r="AL8" s="235" t="s">
        <v>372</v>
      </c>
      <c r="AN8" s="230"/>
      <c r="AP8" s="224" t="s">
        <v>62</v>
      </c>
      <c r="AR8" s="238" t="s">
        <v>81</v>
      </c>
      <c r="AV8" s="238" t="s">
        <v>97</v>
      </c>
      <c r="AX8" s="225">
        <v>119</v>
      </c>
      <c r="AY8" s="226">
        <v>30</v>
      </c>
      <c r="AZ8" s="226">
        <v>121</v>
      </c>
      <c r="BA8" s="227">
        <v>27</v>
      </c>
    </row>
    <row r="9" spans="1:53" x14ac:dyDescent="0.15">
      <c r="A9" s="137" t="s">
        <v>61</v>
      </c>
      <c r="B9" s="137" t="s">
        <v>397</v>
      </c>
      <c r="C9" s="137">
        <v>2018</v>
      </c>
      <c r="D9" s="138" t="s">
        <v>398</v>
      </c>
      <c r="E9" s="137" t="s">
        <v>251</v>
      </c>
      <c r="F9" s="137" t="s">
        <v>250</v>
      </c>
      <c r="G9" s="137" t="s">
        <v>42</v>
      </c>
      <c r="H9" s="247" t="s">
        <v>127</v>
      </c>
      <c r="I9" s="247" t="s">
        <v>155</v>
      </c>
      <c r="J9" s="137" t="s">
        <v>80</v>
      </c>
      <c r="K9" s="247" t="s">
        <v>45</v>
      </c>
      <c r="L9" s="247">
        <v>2</v>
      </c>
      <c r="M9" s="247"/>
      <c r="N9" s="247">
        <v>5</v>
      </c>
      <c r="O9" s="247">
        <v>1.4</v>
      </c>
      <c r="P9" s="247">
        <v>1.4</v>
      </c>
      <c r="Q9" s="139">
        <f t="shared" si="0"/>
        <v>1.4</v>
      </c>
      <c r="R9" s="142">
        <v>11.5</v>
      </c>
      <c r="S9" s="247">
        <v>81</v>
      </c>
      <c r="T9" s="140">
        <f t="shared" si="1"/>
        <v>39</v>
      </c>
      <c r="U9" s="247">
        <v>248</v>
      </c>
      <c r="V9" s="141">
        <f t="shared" si="2"/>
        <v>1934.4</v>
      </c>
      <c r="W9" s="247">
        <v>5</v>
      </c>
      <c r="X9" s="137" t="s">
        <v>39</v>
      </c>
      <c r="Y9" s="247" t="s">
        <v>88</v>
      </c>
      <c r="Z9" s="247" t="s">
        <v>78</v>
      </c>
      <c r="AA9" s="247" t="s">
        <v>239</v>
      </c>
      <c r="AB9" s="137" t="s">
        <v>428</v>
      </c>
      <c r="AC9" s="142"/>
      <c r="AE9" s="223" t="s">
        <v>98</v>
      </c>
      <c r="AG9" s="49" t="s">
        <v>133</v>
      </c>
      <c r="AH9" s="49" t="s">
        <v>264</v>
      </c>
      <c r="AL9" s="230"/>
      <c r="AN9" s="230"/>
      <c r="AP9" s="224" t="s">
        <v>95</v>
      </c>
      <c r="AR9" s="231" t="s">
        <v>89</v>
      </c>
      <c r="AV9" s="238" t="s">
        <v>102</v>
      </c>
      <c r="AX9" s="225">
        <v>128</v>
      </c>
      <c r="AY9" s="226">
        <v>27</v>
      </c>
      <c r="AZ9" s="226">
        <v>129</v>
      </c>
      <c r="BA9" s="227">
        <v>25</v>
      </c>
    </row>
    <row r="10" spans="1:53" x14ac:dyDescent="0.15">
      <c r="A10" s="137" t="s">
        <v>61</v>
      </c>
      <c r="B10" s="137" t="s">
        <v>400</v>
      </c>
      <c r="C10" s="137">
        <v>2018</v>
      </c>
      <c r="D10" s="138" t="s">
        <v>401</v>
      </c>
      <c r="E10" s="137" t="s">
        <v>251</v>
      </c>
      <c r="F10" s="137" t="s">
        <v>250</v>
      </c>
      <c r="G10" s="137" t="s">
        <v>42</v>
      </c>
      <c r="H10" s="247" t="s">
        <v>127</v>
      </c>
      <c r="I10" s="247" t="s">
        <v>155</v>
      </c>
      <c r="J10" s="137" t="s">
        <v>80</v>
      </c>
      <c r="K10" s="247" t="s">
        <v>45</v>
      </c>
      <c r="L10" s="247">
        <v>3</v>
      </c>
      <c r="M10" s="247"/>
      <c r="N10" s="247">
        <v>5</v>
      </c>
      <c r="O10" s="247">
        <v>1.3</v>
      </c>
      <c r="P10" s="247">
        <v>1.3</v>
      </c>
      <c r="Q10" s="139">
        <f t="shared" si="0"/>
        <v>1.3</v>
      </c>
      <c r="R10" s="247">
        <v>11.3</v>
      </c>
      <c r="S10" s="247">
        <v>85</v>
      </c>
      <c r="T10" s="140">
        <f t="shared" si="1"/>
        <v>36</v>
      </c>
      <c r="U10" s="247">
        <v>248</v>
      </c>
      <c r="V10" s="141">
        <f t="shared" si="2"/>
        <v>1785.6000000000001</v>
      </c>
      <c r="W10" s="247">
        <v>5</v>
      </c>
      <c r="X10" s="137" t="s">
        <v>39</v>
      </c>
      <c r="Y10" s="247" t="s">
        <v>88</v>
      </c>
      <c r="Z10" s="247" t="s">
        <v>78</v>
      </c>
      <c r="AA10" s="247" t="s">
        <v>239</v>
      </c>
      <c r="AB10" s="137" t="s">
        <v>429</v>
      </c>
      <c r="AC10" s="142"/>
      <c r="AE10" s="223" t="s">
        <v>103</v>
      </c>
      <c r="AG10" s="49" t="s">
        <v>265</v>
      </c>
      <c r="AH10" s="49" t="s">
        <v>266</v>
      </c>
      <c r="AL10" s="228"/>
      <c r="AP10" s="224" t="s">
        <v>100</v>
      </c>
      <c r="AR10" s="231" t="s">
        <v>123</v>
      </c>
      <c r="AV10" s="238" t="s">
        <v>106</v>
      </c>
      <c r="AX10" s="225">
        <v>138</v>
      </c>
      <c r="AY10" s="226">
        <v>25</v>
      </c>
      <c r="AZ10" s="226">
        <v>138</v>
      </c>
      <c r="BA10" s="227">
        <v>22</v>
      </c>
    </row>
    <row r="11" spans="1:53" x14ac:dyDescent="0.15">
      <c r="A11" s="137" t="s">
        <v>430</v>
      </c>
      <c r="B11" s="137" t="s">
        <v>400</v>
      </c>
      <c r="C11" s="137">
        <v>2018</v>
      </c>
      <c r="D11" s="138" t="s">
        <v>401</v>
      </c>
      <c r="E11" s="137" t="s">
        <v>252</v>
      </c>
      <c r="F11" s="137" t="s">
        <v>253</v>
      </c>
      <c r="G11" s="137" t="s">
        <v>42</v>
      </c>
      <c r="H11" s="247" t="s">
        <v>157</v>
      </c>
      <c r="I11" s="247" t="s">
        <v>155</v>
      </c>
      <c r="J11" s="137" t="s">
        <v>38</v>
      </c>
      <c r="K11" s="247" t="s">
        <v>156</v>
      </c>
      <c r="L11" s="247">
        <v>1</v>
      </c>
      <c r="M11" s="247"/>
      <c r="N11" s="247">
        <v>1</v>
      </c>
      <c r="O11" s="247">
        <v>0.8</v>
      </c>
      <c r="P11" s="247">
        <v>0.8</v>
      </c>
      <c r="Q11" s="139">
        <f t="shared" si="0"/>
        <v>0.8</v>
      </c>
      <c r="R11" s="247">
        <v>16.899999999999999</v>
      </c>
      <c r="S11" s="247">
        <v>143</v>
      </c>
      <c r="T11" s="140">
        <f t="shared" si="1"/>
        <v>22</v>
      </c>
      <c r="U11" s="247">
        <v>138</v>
      </c>
      <c r="V11" s="141">
        <f t="shared" si="2"/>
        <v>3036</v>
      </c>
      <c r="W11" s="247">
        <v>2</v>
      </c>
      <c r="X11" s="137" t="s">
        <v>46</v>
      </c>
      <c r="Y11" s="247" t="s">
        <v>97</v>
      </c>
      <c r="Z11" s="247" t="s">
        <v>78</v>
      </c>
      <c r="AA11" s="247" t="s">
        <v>86</v>
      </c>
      <c r="AB11" s="137" t="s">
        <v>429</v>
      </c>
      <c r="AC11" s="142"/>
      <c r="AE11" s="223" t="s">
        <v>65</v>
      </c>
      <c r="AG11" s="49" t="s">
        <v>267</v>
      </c>
      <c r="AH11" s="49" t="s">
        <v>266</v>
      </c>
      <c r="AL11" s="149"/>
      <c r="AP11" s="224" t="s">
        <v>104</v>
      </c>
      <c r="AR11" s="231" t="s">
        <v>87</v>
      </c>
      <c r="AV11" s="150" t="s">
        <v>431</v>
      </c>
      <c r="AX11" s="225">
        <v>151</v>
      </c>
      <c r="AY11" s="226">
        <v>22</v>
      </c>
      <c r="AZ11" s="226">
        <v>152</v>
      </c>
      <c r="BA11" s="227">
        <v>18</v>
      </c>
    </row>
    <row r="12" spans="1:53" x14ac:dyDescent="0.15">
      <c r="A12" s="137" t="s">
        <v>61</v>
      </c>
      <c r="B12" s="137" t="s">
        <v>405</v>
      </c>
      <c r="C12" s="137">
        <v>2018</v>
      </c>
      <c r="D12" s="138" t="s">
        <v>406</v>
      </c>
      <c r="E12" s="137" t="s">
        <v>252</v>
      </c>
      <c r="F12" s="137" t="s">
        <v>253</v>
      </c>
      <c r="G12" s="137" t="s">
        <v>42</v>
      </c>
      <c r="H12" s="247" t="s">
        <v>157</v>
      </c>
      <c r="I12" s="247" t="s">
        <v>155</v>
      </c>
      <c r="J12" s="137" t="s">
        <v>38</v>
      </c>
      <c r="K12" s="247" t="s">
        <v>156</v>
      </c>
      <c r="L12" s="247">
        <v>2</v>
      </c>
      <c r="M12" s="247"/>
      <c r="N12" s="247">
        <v>1</v>
      </c>
      <c r="O12" s="247">
        <v>0.85</v>
      </c>
      <c r="P12" s="247">
        <v>0.8</v>
      </c>
      <c r="Q12" s="139">
        <f t="shared" si="0"/>
        <v>0.82499999999999996</v>
      </c>
      <c r="R12" s="142">
        <v>16.8</v>
      </c>
      <c r="S12" s="247">
        <v>147</v>
      </c>
      <c r="T12" s="140">
        <f t="shared" si="1"/>
        <v>22</v>
      </c>
      <c r="U12" s="247">
        <v>138</v>
      </c>
      <c r="V12" s="141">
        <f t="shared" si="2"/>
        <v>3036</v>
      </c>
      <c r="W12" s="247">
        <v>2</v>
      </c>
      <c r="X12" s="137" t="s">
        <v>46</v>
      </c>
      <c r="Y12" s="247" t="s">
        <v>97</v>
      </c>
      <c r="Z12" s="247" t="s">
        <v>78</v>
      </c>
      <c r="AA12" s="247" t="s">
        <v>86</v>
      </c>
      <c r="AB12" s="137" t="s">
        <v>432</v>
      </c>
      <c r="AC12" s="142"/>
      <c r="AE12" s="223" t="s">
        <v>70</v>
      </c>
      <c r="AG12" s="224"/>
      <c r="AH12" s="223"/>
      <c r="AL12" s="149"/>
      <c r="AP12" s="224" t="s">
        <v>67</v>
      </c>
      <c r="AR12" s="231" t="s">
        <v>124</v>
      </c>
      <c r="AV12" s="150" t="s">
        <v>433</v>
      </c>
      <c r="AX12" s="225">
        <v>180</v>
      </c>
      <c r="AY12" s="226">
        <v>18</v>
      </c>
      <c r="AZ12" s="226">
        <v>181</v>
      </c>
      <c r="BA12" s="227">
        <v>16</v>
      </c>
    </row>
    <row r="13" spans="1:53" x14ac:dyDescent="0.15">
      <c r="A13" s="137" t="s">
        <v>61</v>
      </c>
      <c r="B13" s="137" t="s">
        <v>409</v>
      </c>
      <c r="C13" s="137">
        <v>2018</v>
      </c>
      <c r="D13" s="138" t="s">
        <v>410</v>
      </c>
      <c r="E13" s="137" t="s">
        <v>252</v>
      </c>
      <c r="F13" s="137" t="s">
        <v>253</v>
      </c>
      <c r="G13" s="137" t="s">
        <v>42</v>
      </c>
      <c r="H13" s="247" t="s">
        <v>157</v>
      </c>
      <c r="I13" s="247" t="s">
        <v>155</v>
      </c>
      <c r="J13" s="137" t="s">
        <v>38</v>
      </c>
      <c r="K13" s="247" t="s">
        <v>156</v>
      </c>
      <c r="L13" s="247">
        <v>3</v>
      </c>
      <c r="M13" s="247"/>
      <c r="N13" s="247">
        <v>1</v>
      </c>
      <c r="O13" s="247">
        <v>0.87</v>
      </c>
      <c r="P13" s="247">
        <v>0.7</v>
      </c>
      <c r="Q13" s="139">
        <f t="shared" si="0"/>
        <v>0.78499999999999992</v>
      </c>
      <c r="R13" s="247">
        <v>16.899999999999999</v>
      </c>
      <c r="S13" s="247">
        <v>145</v>
      </c>
      <c r="T13" s="140">
        <f t="shared" si="1"/>
        <v>22</v>
      </c>
      <c r="U13" s="247">
        <v>138</v>
      </c>
      <c r="V13" s="141">
        <f t="shared" si="2"/>
        <v>3036</v>
      </c>
      <c r="W13" s="247">
        <v>2</v>
      </c>
      <c r="X13" s="137" t="s">
        <v>46</v>
      </c>
      <c r="Y13" s="247" t="s">
        <v>97</v>
      </c>
      <c r="Z13" s="247" t="s">
        <v>78</v>
      </c>
      <c r="AA13" s="247" t="s">
        <v>86</v>
      </c>
      <c r="AB13" s="137" t="s">
        <v>434</v>
      </c>
      <c r="AC13" s="142"/>
      <c r="AE13" s="223" t="s">
        <v>73</v>
      </c>
      <c r="AG13" s="224"/>
      <c r="AH13" s="223"/>
      <c r="AL13" s="151"/>
      <c r="AP13" s="224" t="s">
        <v>71</v>
      </c>
      <c r="AR13" s="231" t="s">
        <v>103</v>
      </c>
      <c r="AV13" s="150" t="s">
        <v>435</v>
      </c>
      <c r="AX13" s="225"/>
      <c r="AY13" s="226"/>
      <c r="AZ13" s="226"/>
      <c r="BA13" s="227"/>
    </row>
    <row r="14" spans="1:53" x14ac:dyDescent="0.15">
      <c r="A14" s="137" t="s">
        <v>61</v>
      </c>
      <c r="B14" s="137" t="s">
        <v>411</v>
      </c>
      <c r="C14" s="137">
        <v>2018</v>
      </c>
      <c r="D14" s="138" t="s">
        <v>412</v>
      </c>
      <c r="E14" s="137" t="s">
        <v>252</v>
      </c>
      <c r="F14" s="137" t="s">
        <v>253</v>
      </c>
      <c r="G14" s="137" t="s">
        <v>42</v>
      </c>
      <c r="H14" s="247" t="s">
        <v>165</v>
      </c>
      <c r="I14" s="247" t="s">
        <v>155</v>
      </c>
      <c r="J14" s="137" t="s">
        <v>38</v>
      </c>
      <c r="K14" s="247" t="s">
        <v>156</v>
      </c>
      <c r="L14" s="247">
        <v>1</v>
      </c>
      <c r="M14" s="247"/>
      <c r="N14" s="247">
        <v>1</v>
      </c>
      <c r="O14" s="247">
        <v>0.6</v>
      </c>
      <c r="P14" s="247">
        <v>0.65</v>
      </c>
      <c r="Q14" s="139">
        <f t="shared" si="0"/>
        <v>0.625</v>
      </c>
      <c r="R14" s="247">
        <v>18.2</v>
      </c>
      <c r="S14" s="247">
        <v>138</v>
      </c>
      <c r="T14" s="140">
        <f t="shared" si="1"/>
        <v>22</v>
      </c>
      <c r="U14" s="247">
        <v>158</v>
      </c>
      <c r="V14" s="141">
        <f t="shared" si="2"/>
        <v>3476</v>
      </c>
      <c r="W14" s="247">
        <v>2</v>
      </c>
      <c r="X14" s="137" t="s">
        <v>46</v>
      </c>
      <c r="Y14" s="247" t="s">
        <v>97</v>
      </c>
      <c r="Z14" s="247" t="s">
        <v>78</v>
      </c>
      <c r="AA14" s="247" t="s">
        <v>86</v>
      </c>
      <c r="AB14" s="137" t="s">
        <v>436</v>
      </c>
      <c r="AC14" s="142"/>
      <c r="AE14" s="223" t="s">
        <v>76</v>
      </c>
      <c r="AG14" s="224"/>
      <c r="AH14" s="223"/>
      <c r="AL14" s="235"/>
      <c r="AP14" s="224" t="s">
        <v>74</v>
      </c>
      <c r="AR14" s="231" t="s">
        <v>125</v>
      </c>
      <c r="AV14" s="150" t="s">
        <v>437</v>
      </c>
      <c r="AX14" s="225"/>
      <c r="AY14" s="226"/>
      <c r="AZ14" s="226"/>
      <c r="BA14" s="227"/>
    </row>
    <row r="15" spans="1:53" x14ac:dyDescent="0.15">
      <c r="A15" s="137" t="s">
        <v>61</v>
      </c>
      <c r="B15" s="137" t="s">
        <v>411</v>
      </c>
      <c r="C15" s="137">
        <v>2018</v>
      </c>
      <c r="D15" s="138" t="s">
        <v>412</v>
      </c>
      <c r="E15" s="137" t="s">
        <v>252</v>
      </c>
      <c r="F15" s="137" t="s">
        <v>253</v>
      </c>
      <c r="G15" s="137" t="s">
        <v>42</v>
      </c>
      <c r="H15" s="247" t="s">
        <v>165</v>
      </c>
      <c r="I15" s="247" t="s">
        <v>155</v>
      </c>
      <c r="J15" s="137" t="s">
        <v>38</v>
      </c>
      <c r="K15" s="247" t="s">
        <v>156</v>
      </c>
      <c r="L15" s="247">
        <v>2</v>
      </c>
      <c r="M15" s="247"/>
      <c r="N15" s="247">
        <v>1</v>
      </c>
      <c r="O15" s="247">
        <v>0.6</v>
      </c>
      <c r="P15" s="247">
        <v>0.6</v>
      </c>
      <c r="Q15" s="139">
        <f t="shared" si="0"/>
        <v>0.6</v>
      </c>
      <c r="R15" s="142">
        <v>17.8</v>
      </c>
      <c r="S15" s="247">
        <v>141</v>
      </c>
      <c r="T15" s="140">
        <f t="shared" si="1"/>
        <v>22</v>
      </c>
      <c r="U15" s="247">
        <v>158</v>
      </c>
      <c r="V15" s="141">
        <f t="shared" si="2"/>
        <v>3476</v>
      </c>
      <c r="W15" s="247">
        <v>2</v>
      </c>
      <c r="X15" s="137" t="s">
        <v>46</v>
      </c>
      <c r="Y15" s="247" t="s">
        <v>97</v>
      </c>
      <c r="Z15" s="247" t="s">
        <v>78</v>
      </c>
      <c r="AA15" s="247" t="s">
        <v>86</v>
      </c>
      <c r="AB15" s="137" t="s">
        <v>436</v>
      </c>
      <c r="AC15" s="142"/>
      <c r="AE15" s="223" t="s">
        <v>79</v>
      </c>
      <c r="AG15" s="224"/>
      <c r="AH15" s="224"/>
      <c r="AL15" s="235"/>
      <c r="AP15" s="224" t="s">
        <v>77</v>
      </c>
      <c r="AR15" s="231" t="s">
        <v>94</v>
      </c>
      <c r="AV15" s="150" t="s">
        <v>438</v>
      </c>
      <c r="AX15" s="232"/>
      <c r="AY15" s="233"/>
      <c r="AZ15" s="233"/>
      <c r="BA15" s="234"/>
    </row>
    <row r="16" spans="1:53" x14ac:dyDescent="0.15">
      <c r="A16" s="137" t="s">
        <v>61</v>
      </c>
      <c r="B16" s="137" t="s">
        <v>413</v>
      </c>
      <c r="C16" s="137">
        <v>2018</v>
      </c>
      <c r="D16" s="138" t="s">
        <v>414</v>
      </c>
      <c r="E16" s="137" t="s">
        <v>252</v>
      </c>
      <c r="F16" s="137" t="s">
        <v>253</v>
      </c>
      <c r="G16" s="137" t="s">
        <v>42</v>
      </c>
      <c r="H16" s="247" t="s">
        <v>165</v>
      </c>
      <c r="I16" s="247" t="s">
        <v>155</v>
      </c>
      <c r="J16" s="137" t="s">
        <v>38</v>
      </c>
      <c r="K16" s="247" t="s">
        <v>156</v>
      </c>
      <c r="L16" s="247">
        <v>3</v>
      </c>
      <c r="M16" s="247"/>
      <c r="N16" s="247">
        <v>1</v>
      </c>
      <c r="O16" s="247">
        <v>0.6</v>
      </c>
      <c r="P16" s="247">
        <v>0.55000000000000004</v>
      </c>
      <c r="Q16" s="139">
        <f t="shared" si="0"/>
        <v>0.57499999999999996</v>
      </c>
      <c r="R16" s="247">
        <v>17.8</v>
      </c>
      <c r="S16" s="247">
        <v>140</v>
      </c>
      <c r="T16" s="140">
        <f t="shared" si="1"/>
        <v>22</v>
      </c>
      <c r="U16" s="247">
        <v>158</v>
      </c>
      <c r="V16" s="141">
        <f t="shared" si="2"/>
        <v>3476</v>
      </c>
      <c r="W16" s="247">
        <v>2</v>
      </c>
      <c r="X16" s="137" t="s">
        <v>46</v>
      </c>
      <c r="Y16" s="247" t="s">
        <v>97</v>
      </c>
      <c r="Z16" s="247" t="s">
        <v>78</v>
      </c>
      <c r="AA16" s="247" t="s">
        <v>86</v>
      </c>
      <c r="AB16" s="137" t="s">
        <v>439</v>
      </c>
      <c r="AC16" s="142"/>
      <c r="AE16" s="223" t="s">
        <v>82</v>
      </c>
      <c r="AG16" s="224"/>
      <c r="AH16" s="224"/>
      <c r="AP16" s="224" t="s">
        <v>80</v>
      </c>
      <c r="AR16" s="238" t="s">
        <v>63</v>
      </c>
      <c r="AV16" s="150" t="s">
        <v>440</v>
      </c>
    </row>
    <row r="17" spans="1:48" x14ac:dyDescent="0.15">
      <c r="A17" s="137" t="s">
        <v>61</v>
      </c>
      <c r="B17" s="137" t="s">
        <v>413</v>
      </c>
      <c r="C17" s="137">
        <v>2018</v>
      </c>
      <c r="D17" s="138" t="s">
        <v>414</v>
      </c>
      <c r="E17" s="137" t="s">
        <v>254</v>
      </c>
      <c r="F17" s="137" t="s">
        <v>255</v>
      </c>
      <c r="G17" s="137" t="s">
        <v>42</v>
      </c>
      <c r="H17" s="247" t="s">
        <v>157</v>
      </c>
      <c r="I17" s="247" t="s">
        <v>155</v>
      </c>
      <c r="J17" s="137" t="s">
        <v>38</v>
      </c>
      <c r="K17" s="247" t="s">
        <v>156</v>
      </c>
      <c r="L17" s="247">
        <v>1</v>
      </c>
      <c r="M17" s="247"/>
      <c r="N17" s="247">
        <v>1</v>
      </c>
      <c r="O17" s="247">
        <v>0.7</v>
      </c>
      <c r="P17" s="247">
        <v>0.7</v>
      </c>
      <c r="Q17" s="139">
        <f t="shared" si="0"/>
        <v>0.7</v>
      </c>
      <c r="R17" s="247">
        <v>17.2</v>
      </c>
      <c r="S17" s="247">
        <v>148</v>
      </c>
      <c r="T17" s="140">
        <f t="shared" si="1"/>
        <v>22</v>
      </c>
      <c r="U17" s="247">
        <v>128</v>
      </c>
      <c r="V17" s="141">
        <f t="shared" si="2"/>
        <v>2816</v>
      </c>
      <c r="W17" s="247">
        <v>12</v>
      </c>
      <c r="X17" s="137" t="s">
        <v>46</v>
      </c>
      <c r="Y17" s="247" t="s">
        <v>55</v>
      </c>
      <c r="Z17" s="247" t="s">
        <v>69</v>
      </c>
      <c r="AA17" s="247" t="s">
        <v>47</v>
      </c>
      <c r="AB17" s="137" t="s">
        <v>439</v>
      </c>
      <c r="AC17" s="142"/>
      <c r="AE17" s="223" t="s">
        <v>85</v>
      </c>
      <c r="AP17" s="239" t="s">
        <v>110</v>
      </c>
      <c r="AR17" s="238" t="s">
        <v>96</v>
      </c>
      <c r="AV17" s="150" t="s">
        <v>441</v>
      </c>
    </row>
    <row r="18" spans="1:48" x14ac:dyDescent="0.15">
      <c r="A18" s="137" t="s">
        <v>61</v>
      </c>
      <c r="B18" s="137" t="s">
        <v>413</v>
      </c>
      <c r="C18" s="137">
        <v>2018</v>
      </c>
      <c r="D18" s="138" t="s">
        <v>414</v>
      </c>
      <c r="E18" s="137" t="s">
        <v>254</v>
      </c>
      <c r="F18" s="137" t="s">
        <v>255</v>
      </c>
      <c r="G18" s="137" t="s">
        <v>42</v>
      </c>
      <c r="H18" s="247" t="s">
        <v>157</v>
      </c>
      <c r="I18" s="247" t="s">
        <v>155</v>
      </c>
      <c r="J18" s="137" t="s">
        <v>38</v>
      </c>
      <c r="K18" s="247" t="s">
        <v>156</v>
      </c>
      <c r="L18" s="247">
        <v>2</v>
      </c>
      <c r="M18" s="247"/>
      <c r="N18" s="247">
        <v>1</v>
      </c>
      <c r="O18" s="247">
        <v>0.6</v>
      </c>
      <c r="P18" s="247">
        <v>0.6</v>
      </c>
      <c r="Q18" s="139">
        <f t="shared" si="0"/>
        <v>0.6</v>
      </c>
      <c r="R18" s="142">
        <v>17</v>
      </c>
      <c r="S18" s="247">
        <v>150</v>
      </c>
      <c r="T18" s="140">
        <f t="shared" si="1"/>
        <v>22</v>
      </c>
      <c r="U18" s="247">
        <v>128</v>
      </c>
      <c r="V18" s="141">
        <f t="shared" si="2"/>
        <v>2816</v>
      </c>
      <c r="W18" s="247">
        <v>12</v>
      </c>
      <c r="X18" s="137" t="s">
        <v>46</v>
      </c>
      <c r="Y18" s="247" t="s">
        <v>55</v>
      </c>
      <c r="Z18" s="247" t="s">
        <v>69</v>
      </c>
      <c r="AA18" s="247" t="s">
        <v>47</v>
      </c>
      <c r="AB18" s="137" t="s">
        <v>439</v>
      </c>
      <c r="AC18" s="142"/>
      <c r="AE18" s="223" t="s">
        <v>87</v>
      </c>
      <c r="AP18" s="239" t="s">
        <v>111</v>
      </c>
      <c r="AR18" s="238" t="s">
        <v>101</v>
      </c>
      <c r="AV18" s="150" t="s">
        <v>373</v>
      </c>
    </row>
    <row r="19" spans="1:48" x14ac:dyDescent="0.15">
      <c r="A19" s="137" t="s">
        <v>61</v>
      </c>
      <c r="B19" s="137" t="s">
        <v>405</v>
      </c>
      <c r="C19" s="137">
        <v>2018</v>
      </c>
      <c r="D19" s="138" t="s">
        <v>406</v>
      </c>
      <c r="E19" s="137" t="s">
        <v>254</v>
      </c>
      <c r="F19" s="137" t="s">
        <v>255</v>
      </c>
      <c r="G19" s="137" t="s">
        <v>42</v>
      </c>
      <c r="H19" s="247" t="s">
        <v>157</v>
      </c>
      <c r="I19" s="247" t="s">
        <v>155</v>
      </c>
      <c r="J19" s="137" t="s">
        <v>38</v>
      </c>
      <c r="K19" s="247" t="s">
        <v>156</v>
      </c>
      <c r="L19" s="247">
        <v>3</v>
      </c>
      <c r="M19" s="247"/>
      <c r="N19" s="247">
        <v>1</v>
      </c>
      <c r="O19" s="142">
        <v>0.75</v>
      </c>
      <c r="P19" s="247">
        <v>0.75</v>
      </c>
      <c r="Q19" s="139">
        <f t="shared" si="0"/>
        <v>0.75</v>
      </c>
      <c r="R19" s="247">
        <v>17</v>
      </c>
      <c r="S19" s="247">
        <v>151</v>
      </c>
      <c r="T19" s="140">
        <f t="shared" si="1"/>
        <v>22</v>
      </c>
      <c r="U19" s="247">
        <v>128</v>
      </c>
      <c r="V19" s="141">
        <f t="shared" si="2"/>
        <v>2816</v>
      </c>
      <c r="W19" s="247">
        <v>12</v>
      </c>
      <c r="X19" s="137" t="s">
        <v>46</v>
      </c>
      <c r="Y19" s="247" t="s">
        <v>55</v>
      </c>
      <c r="Z19" s="247" t="s">
        <v>69</v>
      </c>
      <c r="AA19" s="247" t="s">
        <v>47</v>
      </c>
      <c r="AB19" s="137" t="s">
        <v>432</v>
      </c>
      <c r="AC19" s="142"/>
      <c r="AE19" s="236" t="s">
        <v>89</v>
      </c>
      <c r="AP19" s="239" t="s">
        <v>112</v>
      </c>
      <c r="AR19" s="231" t="s">
        <v>126</v>
      </c>
      <c r="AV19" s="150" t="s">
        <v>442</v>
      </c>
    </row>
    <row r="20" spans="1:48" x14ac:dyDescent="0.15">
      <c r="A20" s="137" t="s">
        <v>61</v>
      </c>
      <c r="B20" s="137" t="s">
        <v>405</v>
      </c>
      <c r="C20" s="137">
        <v>2018</v>
      </c>
      <c r="D20" s="138" t="s">
        <v>406</v>
      </c>
      <c r="E20" s="137" t="s">
        <v>254</v>
      </c>
      <c r="F20" s="137" t="s">
        <v>255</v>
      </c>
      <c r="G20" s="137" t="s">
        <v>42</v>
      </c>
      <c r="H20" s="247" t="s">
        <v>217</v>
      </c>
      <c r="I20" s="247" t="s">
        <v>155</v>
      </c>
      <c r="J20" s="137" t="s">
        <v>38</v>
      </c>
      <c r="K20" s="247" t="s">
        <v>156</v>
      </c>
      <c r="L20" s="247">
        <v>1</v>
      </c>
      <c r="M20" s="247"/>
      <c r="N20" s="247">
        <v>4</v>
      </c>
      <c r="O20" s="247">
        <v>0.5</v>
      </c>
      <c r="P20" s="247">
        <v>0.55000000000000004</v>
      </c>
      <c r="Q20" s="139">
        <f t="shared" si="0"/>
        <v>0.52500000000000002</v>
      </c>
      <c r="R20" s="247">
        <v>18.3</v>
      </c>
      <c r="S20" s="247">
        <v>99</v>
      </c>
      <c r="T20" s="140">
        <f t="shared" si="1"/>
        <v>33</v>
      </c>
      <c r="U20" s="247">
        <v>358</v>
      </c>
      <c r="V20" s="141">
        <f t="shared" si="2"/>
        <v>2953.5</v>
      </c>
      <c r="W20" s="247">
        <v>12</v>
      </c>
      <c r="X20" s="137" t="s">
        <v>46</v>
      </c>
      <c r="Y20" s="247" t="s">
        <v>55</v>
      </c>
      <c r="Z20" s="247" t="s">
        <v>69</v>
      </c>
      <c r="AA20" s="247" t="s">
        <v>47</v>
      </c>
      <c r="AB20" s="137" t="s">
        <v>432</v>
      </c>
      <c r="AC20" s="142"/>
      <c r="AE20" s="223"/>
      <c r="AP20" s="239" t="s">
        <v>113</v>
      </c>
      <c r="AR20" s="238" t="s">
        <v>105</v>
      </c>
      <c r="AV20" s="150" t="s">
        <v>443</v>
      </c>
    </row>
    <row r="21" spans="1:48" x14ac:dyDescent="0.15">
      <c r="A21" s="137" t="s">
        <v>61</v>
      </c>
      <c r="B21" s="137" t="s">
        <v>405</v>
      </c>
      <c r="C21" s="137">
        <v>2018</v>
      </c>
      <c r="D21" s="138" t="s">
        <v>406</v>
      </c>
      <c r="E21" s="137" t="s">
        <v>254</v>
      </c>
      <c r="F21" s="137" t="s">
        <v>255</v>
      </c>
      <c r="G21" s="137" t="s">
        <v>42</v>
      </c>
      <c r="H21" s="247" t="s">
        <v>217</v>
      </c>
      <c r="I21" s="247" t="s">
        <v>155</v>
      </c>
      <c r="J21" s="137" t="s">
        <v>38</v>
      </c>
      <c r="K21" s="247" t="s">
        <v>156</v>
      </c>
      <c r="L21" s="247">
        <v>2</v>
      </c>
      <c r="M21" s="247"/>
      <c r="N21" s="247">
        <v>4</v>
      </c>
      <c r="O21" s="247">
        <v>0.5</v>
      </c>
      <c r="P21" s="247">
        <v>0.55000000000000004</v>
      </c>
      <c r="Q21" s="139">
        <f t="shared" si="0"/>
        <v>0.52500000000000002</v>
      </c>
      <c r="R21" s="247">
        <v>18</v>
      </c>
      <c r="S21" s="247">
        <v>102</v>
      </c>
      <c r="T21" s="140">
        <f t="shared" si="1"/>
        <v>33</v>
      </c>
      <c r="U21" s="247">
        <v>358</v>
      </c>
      <c r="V21" s="141">
        <f t="shared" si="2"/>
        <v>2953.5</v>
      </c>
      <c r="W21" s="247">
        <v>12</v>
      </c>
      <c r="X21" s="137" t="s">
        <v>46</v>
      </c>
      <c r="Y21" s="247" t="s">
        <v>55</v>
      </c>
      <c r="Z21" s="247" t="s">
        <v>69</v>
      </c>
      <c r="AA21" s="247" t="s">
        <v>47</v>
      </c>
      <c r="AB21" s="137" t="s">
        <v>432</v>
      </c>
      <c r="AC21" s="142"/>
      <c r="AE21" s="223"/>
      <c r="AP21" s="239" t="s">
        <v>114</v>
      </c>
      <c r="AR21" s="238" t="s">
        <v>68</v>
      </c>
      <c r="AV21" s="150" t="s">
        <v>444</v>
      </c>
    </row>
    <row r="22" spans="1:48" x14ac:dyDescent="0.15">
      <c r="A22" s="137" t="s">
        <v>61</v>
      </c>
      <c r="B22" s="137" t="s">
        <v>405</v>
      </c>
      <c r="C22" s="137">
        <v>2018</v>
      </c>
      <c r="D22" s="138" t="s">
        <v>406</v>
      </c>
      <c r="E22" s="137" t="s">
        <v>254</v>
      </c>
      <c r="F22" s="137" t="s">
        <v>255</v>
      </c>
      <c r="G22" s="137" t="s">
        <v>42</v>
      </c>
      <c r="H22" s="247" t="s">
        <v>217</v>
      </c>
      <c r="I22" s="247" t="s">
        <v>155</v>
      </c>
      <c r="J22" s="137" t="s">
        <v>38</v>
      </c>
      <c r="K22" s="247" t="s">
        <v>156</v>
      </c>
      <c r="L22" s="247">
        <v>3</v>
      </c>
      <c r="M22" s="247"/>
      <c r="N22" s="247">
        <v>4</v>
      </c>
      <c r="O22" s="142">
        <v>0.5</v>
      </c>
      <c r="P22" s="247">
        <v>0.5</v>
      </c>
      <c r="Q22" s="139">
        <f t="shared" si="0"/>
        <v>0.5</v>
      </c>
      <c r="R22" s="247">
        <v>17.8</v>
      </c>
      <c r="S22" s="247">
        <v>106</v>
      </c>
      <c r="T22" s="140">
        <f t="shared" si="1"/>
        <v>33</v>
      </c>
      <c r="U22" s="247">
        <v>358</v>
      </c>
      <c r="V22" s="141">
        <f t="shared" si="2"/>
        <v>2953.5</v>
      </c>
      <c r="W22" s="247">
        <v>12</v>
      </c>
      <c r="X22" s="137" t="s">
        <v>46</v>
      </c>
      <c r="Y22" s="247" t="s">
        <v>55</v>
      </c>
      <c r="Z22" s="247" t="s">
        <v>69</v>
      </c>
      <c r="AA22" s="247" t="s">
        <v>47</v>
      </c>
      <c r="AB22" s="137" t="s">
        <v>432</v>
      </c>
      <c r="AC22" s="142"/>
      <c r="AE22" s="236"/>
      <c r="AP22" s="239" t="s">
        <v>115</v>
      </c>
      <c r="AR22" s="238" t="s">
        <v>83</v>
      </c>
      <c r="AV22" s="224"/>
    </row>
    <row r="23" spans="1:48" x14ac:dyDescent="0.15">
      <c r="A23" s="137" t="s">
        <v>61</v>
      </c>
      <c r="B23" s="137" t="s">
        <v>405</v>
      </c>
      <c r="C23" s="137">
        <v>2018</v>
      </c>
      <c r="D23" s="138" t="s">
        <v>406</v>
      </c>
      <c r="E23" s="137" t="s">
        <v>254</v>
      </c>
      <c r="F23" s="137" t="s">
        <v>255</v>
      </c>
      <c r="G23" s="137" t="s">
        <v>42</v>
      </c>
      <c r="H23" s="247" t="s">
        <v>165</v>
      </c>
      <c r="I23" s="247" t="s">
        <v>155</v>
      </c>
      <c r="J23" s="137" t="s">
        <v>38</v>
      </c>
      <c r="K23" s="247" t="s">
        <v>156</v>
      </c>
      <c r="L23" s="247">
        <v>1</v>
      </c>
      <c r="M23" s="247"/>
      <c r="N23" s="247">
        <v>1</v>
      </c>
      <c r="O23" s="247">
        <v>0.5</v>
      </c>
      <c r="P23" s="247">
        <v>0.55000000000000004</v>
      </c>
      <c r="Q23" s="139">
        <f t="shared" si="0"/>
        <v>0.52500000000000002</v>
      </c>
      <c r="R23" s="247">
        <v>18.100000000000001</v>
      </c>
      <c r="S23" s="247">
        <v>168</v>
      </c>
      <c r="T23" s="140">
        <f t="shared" si="1"/>
        <v>18</v>
      </c>
      <c r="U23" s="247">
        <v>158</v>
      </c>
      <c r="V23" s="141">
        <f t="shared" si="2"/>
        <v>2844</v>
      </c>
      <c r="W23" s="247">
        <v>12</v>
      </c>
      <c r="X23" s="137" t="s">
        <v>46</v>
      </c>
      <c r="Y23" s="247" t="s">
        <v>55</v>
      </c>
      <c r="Z23" s="247" t="s">
        <v>69</v>
      </c>
      <c r="AA23" s="247" t="s">
        <v>47</v>
      </c>
      <c r="AB23" s="137" t="s">
        <v>432</v>
      </c>
      <c r="AC23" s="142"/>
      <c r="AE23" s="223"/>
      <c r="AP23" s="239" t="s">
        <v>418</v>
      </c>
      <c r="AR23" s="238" t="s">
        <v>61</v>
      </c>
    </row>
    <row r="24" spans="1:48" x14ac:dyDescent="0.15">
      <c r="A24" s="137" t="s">
        <v>61</v>
      </c>
      <c r="B24" s="137" t="s">
        <v>405</v>
      </c>
      <c r="C24" s="137">
        <v>2018</v>
      </c>
      <c r="D24" s="138" t="s">
        <v>406</v>
      </c>
      <c r="E24" s="137" t="s">
        <v>254</v>
      </c>
      <c r="F24" s="137" t="s">
        <v>255</v>
      </c>
      <c r="G24" s="137" t="s">
        <v>42</v>
      </c>
      <c r="H24" s="247" t="s">
        <v>165</v>
      </c>
      <c r="I24" s="247" t="s">
        <v>155</v>
      </c>
      <c r="J24" s="137" t="s">
        <v>38</v>
      </c>
      <c r="K24" s="247" t="s">
        <v>156</v>
      </c>
      <c r="L24" s="247">
        <v>2</v>
      </c>
      <c r="M24" s="247"/>
      <c r="N24" s="247">
        <v>1</v>
      </c>
      <c r="O24" s="247">
        <v>0.5</v>
      </c>
      <c r="P24" s="247">
        <v>0.55000000000000004</v>
      </c>
      <c r="Q24" s="139">
        <f t="shared" si="0"/>
        <v>0.52500000000000002</v>
      </c>
      <c r="R24" s="247">
        <v>18.2</v>
      </c>
      <c r="S24" s="247">
        <v>171</v>
      </c>
      <c r="T24" s="140">
        <f t="shared" si="1"/>
        <v>18</v>
      </c>
      <c r="U24" s="247">
        <v>158</v>
      </c>
      <c r="V24" s="141">
        <f t="shared" si="2"/>
        <v>2844</v>
      </c>
      <c r="W24" s="247">
        <v>12</v>
      </c>
      <c r="X24" s="137" t="s">
        <v>46</v>
      </c>
      <c r="Y24" s="247" t="s">
        <v>55</v>
      </c>
      <c r="Z24" s="247" t="s">
        <v>69</v>
      </c>
      <c r="AA24" s="247" t="s">
        <v>47</v>
      </c>
      <c r="AB24" s="137" t="s">
        <v>432</v>
      </c>
      <c r="AC24" s="142"/>
      <c r="AE24" s="223"/>
      <c r="AP24" s="239" t="s">
        <v>419</v>
      </c>
      <c r="AR24" s="238" t="s">
        <v>91</v>
      </c>
    </row>
    <row r="25" spans="1:48" x14ac:dyDescent="0.15">
      <c r="A25" s="137" t="s">
        <v>61</v>
      </c>
      <c r="B25" s="137" t="s">
        <v>405</v>
      </c>
      <c r="C25" s="137">
        <v>2018</v>
      </c>
      <c r="D25" s="138" t="s">
        <v>406</v>
      </c>
      <c r="E25" s="137" t="s">
        <v>254</v>
      </c>
      <c r="F25" s="137" t="s">
        <v>255</v>
      </c>
      <c r="G25" s="137" t="s">
        <v>42</v>
      </c>
      <c r="H25" s="247" t="s">
        <v>165</v>
      </c>
      <c r="I25" s="247" t="s">
        <v>155</v>
      </c>
      <c r="J25" s="137" t="s">
        <v>38</v>
      </c>
      <c r="K25" s="247" t="s">
        <v>156</v>
      </c>
      <c r="L25" s="247">
        <v>3</v>
      </c>
      <c r="M25" s="247"/>
      <c r="N25" s="247">
        <v>1</v>
      </c>
      <c r="O25" s="142">
        <v>0.55000000000000004</v>
      </c>
      <c r="P25" s="247">
        <v>0.5</v>
      </c>
      <c r="Q25" s="139">
        <f t="shared" si="0"/>
        <v>0.52500000000000002</v>
      </c>
      <c r="R25" s="247">
        <v>18.100000000000001</v>
      </c>
      <c r="S25" s="247">
        <v>172</v>
      </c>
      <c r="T25" s="140">
        <f t="shared" si="1"/>
        <v>18</v>
      </c>
      <c r="U25" s="247">
        <v>158</v>
      </c>
      <c r="V25" s="141">
        <f t="shared" si="2"/>
        <v>2844</v>
      </c>
      <c r="W25" s="247">
        <v>12</v>
      </c>
      <c r="X25" s="137" t="s">
        <v>46</v>
      </c>
      <c r="Y25" s="247" t="s">
        <v>55</v>
      </c>
      <c r="Z25" s="247" t="s">
        <v>69</v>
      </c>
      <c r="AA25" s="247" t="s">
        <v>47</v>
      </c>
      <c r="AB25" s="137" t="s">
        <v>432</v>
      </c>
      <c r="AC25" s="142"/>
      <c r="AE25" s="236"/>
      <c r="AP25" s="239" t="s">
        <v>116</v>
      </c>
      <c r="AR25" s="42" t="s">
        <v>92</v>
      </c>
    </row>
    <row r="26" spans="1:48" x14ac:dyDescent="0.15">
      <c r="A26" s="137" t="s">
        <v>61</v>
      </c>
      <c r="B26" s="137" t="s">
        <v>405</v>
      </c>
      <c r="C26" s="137">
        <v>2018</v>
      </c>
      <c r="D26" s="138" t="s">
        <v>406</v>
      </c>
      <c r="E26" s="137" t="s">
        <v>256</v>
      </c>
      <c r="F26" s="137" t="s">
        <v>257</v>
      </c>
      <c r="G26" s="137" t="s">
        <v>42</v>
      </c>
      <c r="H26" s="247" t="s">
        <v>157</v>
      </c>
      <c r="I26" s="247" t="s">
        <v>155</v>
      </c>
      <c r="J26" s="137" t="s">
        <v>38</v>
      </c>
      <c r="K26" s="247" t="s">
        <v>156</v>
      </c>
      <c r="L26" s="247">
        <v>1</v>
      </c>
      <c r="M26" s="247"/>
      <c r="N26" s="247">
        <v>1</v>
      </c>
      <c r="O26" s="247">
        <v>0.6</v>
      </c>
      <c r="P26" s="142">
        <v>0.55000000000000004</v>
      </c>
      <c r="Q26" s="139">
        <f t="shared" si="0"/>
        <v>0.57499999999999996</v>
      </c>
      <c r="R26" s="247">
        <v>16.8</v>
      </c>
      <c r="S26" s="247">
        <v>120</v>
      </c>
      <c r="T26" s="140">
        <f t="shared" si="1"/>
        <v>30</v>
      </c>
      <c r="U26" s="247">
        <v>105</v>
      </c>
      <c r="V26" s="141">
        <f t="shared" si="2"/>
        <v>3150</v>
      </c>
      <c r="W26" s="247">
        <v>16</v>
      </c>
      <c r="X26" s="137" t="s">
        <v>46</v>
      </c>
      <c r="Y26" s="247" t="s">
        <v>64</v>
      </c>
      <c r="Z26" s="247" t="s">
        <v>97</v>
      </c>
      <c r="AA26" s="247" t="s">
        <v>55</v>
      </c>
      <c r="AB26" s="137" t="s">
        <v>432</v>
      </c>
      <c r="AC26" s="142"/>
      <c r="AD26" s="235"/>
      <c r="AE26" s="236"/>
      <c r="AP26" s="239" t="s">
        <v>117</v>
      </c>
      <c r="AR26" s="224" t="s">
        <v>296</v>
      </c>
    </row>
    <row r="27" spans="1:48" x14ac:dyDescent="0.15">
      <c r="A27" s="137" t="s">
        <v>61</v>
      </c>
      <c r="B27" s="137" t="s">
        <v>405</v>
      </c>
      <c r="C27" s="137">
        <v>2018</v>
      </c>
      <c r="D27" s="138" t="s">
        <v>406</v>
      </c>
      <c r="E27" s="137" t="s">
        <v>256</v>
      </c>
      <c r="F27" s="137" t="s">
        <v>257</v>
      </c>
      <c r="G27" s="137" t="s">
        <v>42</v>
      </c>
      <c r="H27" s="247" t="s">
        <v>157</v>
      </c>
      <c r="I27" s="247" t="s">
        <v>155</v>
      </c>
      <c r="J27" s="137" t="s">
        <v>38</v>
      </c>
      <c r="K27" s="247" t="s">
        <v>156</v>
      </c>
      <c r="L27" s="247">
        <v>2</v>
      </c>
      <c r="M27" s="247"/>
      <c r="N27" s="247">
        <v>1</v>
      </c>
      <c r="O27" s="247">
        <v>0.55000000000000004</v>
      </c>
      <c r="P27" s="142">
        <v>0.55000000000000004</v>
      </c>
      <c r="Q27" s="139">
        <f t="shared" si="0"/>
        <v>0.55000000000000004</v>
      </c>
      <c r="R27" s="247">
        <v>17.100000000000001</v>
      </c>
      <c r="S27" s="247">
        <v>123</v>
      </c>
      <c r="T27" s="140">
        <f t="shared" si="1"/>
        <v>27</v>
      </c>
      <c r="U27" s="247">
        <v>105</v>
      </c>
      <c r="V27" s="141">
        <f t="shared" si="2"/>
        <v>2835</v>
      </c>
      <c r="W27" s="247">
        <v>16</v>
      </c>
      <c r="X27" s="137" t="s">
        <v>46</v>
      </c>
      <c r="Y27" s="247" t="s">
        <v>64</v>
      </c>
      <c r="Z27" s="247" t="s">
        <v>97</v>
      </c>
      <c r="AA27" s="247" t="s">
        <v>55</v>
      </c>
      <c r="AB27" s="137" t="s">
        <v>432</v>
      </c>
      <c r="AC27" s="142"/>
      <c r="AD27" s="235"/>
      <c r="AE27" s="229"/>
      <c r="AP27" s="239" t="s">
        <v>118</v>
      </c>
      <c r="AR27" s="224"/>
    </row>
    <row r="28" spans="1:48" x14ac:dyDescent="0.15">
      <c r="A28" s="137" t="s">
        <v>61</v>
      </c>
      <c r="B28" s="137" t="s">
        <v>405</v>
      </c>
      <c r="C28" s="137">
        <v>2018</v>
      </c>
      <c r="D28" s="138" t="s">
        <v>406</v>
      </c>
      <c r="E28" s="137" t="s">
        <v>256</v>
      </c>
      <c r="F28" s="137" t="s">
        <v>257</v>
      </c>
      <c r="G28" s="137" t="s">
        <v>42</v>
      </c>
      <c r="H28" s="247" t="s">
        <v>157</v>
      </c>
      <c r="I28" s="247" t="s">
        <v>155</v>
      </c>
      <c r="J28" s="137" t="s">
        <v>38</v>
      </c>
      <c r="K28" s="247" t="s">
        <v>156</v>
      </c>
      <c r="L28" s="247">
        <v>3</v>
      </c>
      <c r="M28" s="247"/>
      <c r="N28" s="247">
        <v>1</v>
      </c>
      <c r="O28" s="247">
        <v>0.6</v>
      </c>
      <c r="P28" s="142">
        <v>0.6</v>
      </c>
      <c r="Q28" s="139">
        <f t="shared" si="0"/>
        <v>0.6</v>
      </c>
      <c r="R28" s="247">
        <v>17</v>
      </c>
      <c r="S28" s="247">
        <v>121</v>
      </c>
      <c r="T28" s="140">
        <f t="shared" si="1"/>
        <v>27</v>
      </c>
      <c r="U28" s="247">
        <v>105</v>
      </c>
      <c r="V28" s="141">
        <f t="shared" si="2"/>
        <v>2835</v>
      </c>
      <c r="W28" s="247">
        <v>16</v>
      </c>
      <c r="X28" s="137" t="s">
        <v>46</v>
      </c>
      <c r="Y28" s="247" t="s">
        <v>64</v>
      </c>
      <c r="Z28" s="247" t="s">
        <v>97</v>
      </c>
      <c r="AA28" s="247" t="s">
        <v>55</v>
      </c>
      <c r="AB28" s="137" t="s">
        <v>432</v>
      </c>
      <c r="AC28" s="142"/>
      <c r="AD28" s="235"/>
      <c r="AP28" s="228"/>
      <c r="AR28" s="224"/>
    </row>
    <row r="29" spans="1:48" x14ac:dyDescent="0.15">
      <c r="A29" s="137" t="s">
        <v>61</v>
      </c>
      <c r="B29" s="137" t="s">
        <v>405</v>
      </c>
      <c r="C29" s="137">
        <v>2018</v>
      </c>
      <c r="D29" s="138" t="s">
        <v>406</v>
      </c>
      <c r="E29" s="137" t="s">
        <v>256</v>
      </c>
      <c r="F29" s="137" t="s">
        <v>257</v>
      </c>
      <c r="G29" s="137" t="s">
        <v>42</v>
      </c>
      <c r="H29" s="247" t="s">
        <v>217</v>
      </c>
      <c r="I29" s="247" t="s">
        <v>155</v>
      </c>
      <c r="J29" s="137" t="s">
        <v>38</v>
      </c>
      <c r="K29" s="247" t="s">
        <v>156</v>
      </c>
      <c r="L29" s="247">
        <v>1</v>
      </c>
      <c r="M29" s="247"/>
      <c r="N29" s="247">
        <v>4</v>
      </c>
      <c r="O29" s="247">
        <v>0.6</v>
      </c>
      <c r="P29" s="247">
        <v>0.65</v>
      </c>
      <c r="Q29" s="139">
        <f t="shared" si="0"/>
        <v>0.625</v>
      </c>
      <c r="R29" s="247">
        <v>17.3</v>
      </c>
      <c r="S29" s="247">
        <v>106</v>
      </c>
      <c r="T29" s="140">
        <f t="shared" si="1"/>
        <v>33</v>
      </c>
      <c r="U29" s="247">
        <v>429</v>
      </c>
      <c r="V29" s="141">
        <f t="shared" si="2"/>
        <v>3539.25</v>
      </c>
      <c r="W29" s="247">
        <v>16</v>
      </c>
      <c r="X29" s="137" t="s">
        <v>46</v>
      </c>
      <c r="Y29" s="247" t="s">
        <v>64</v>
      </c>
      <c r="Z29" s="247" t="s">
        <v>97</v>
      </c>
      <c r="AA29" s="247" t="s">
        <v>55</v>
      </c>
      <c r="AB29" s="137" t="s">
        <v>432</v>
      </c>
      <c r="AC29" s="142"/>
    </row>
    <row r="30" spans="1:48" x14ac:dyDescent="0.15">
      <c r="A30" s="137" t="s">
        <v>61</v>
      </c>
      <c r="B30" s="137" t="s">
        <v>405</v>
      </c>
      <c r="C30" s="137">
        <v>2018</v>
      </c>
      <c r="D30" s="138" t="s">
        <v>406</v>
      </c>
      <c r="E30" s="137" t="s">
        <v>256</v>
      </c>
      <c r="F30" s="137" t="s">
        <v>257</v>
      </c>
      <c r="G30" s="137" t="s">
        <v>42</v>
      </c>
      <c r="H30" s="247" t="s">
        <v>217</v>
      </c>
      <c r="I30" s="247" t="s">
        <v>155</v>
      </c>
      <c r="J30" s="137" t="s">
        <v>38</v>
      </c>
      <c r="K30" s="247" t="s">
        <v>156</v>
      </c>
      <c r="L30" s="247">
        <v>2</v>
      </c>
      <c r="M30" s="247"/>
      <c r="N30" s="247">
        <v>4</v>
      </c>
      <c r="O30" s="247">
        <v>0.6</v>
      </c>
      <c r="P30" s="142">
        <v>0.6</v>
      </c>
      <c r="Q30" s="139">
        <f t="shared" si="0"/>
        <v>0.6</v>
      </c>
      <c r="R30" s="247">
        <v>17.2</v>
      </c>
      <c r="S30" s="247">
        <v>101</v>
      </c>
      <c r="T30" s="140">
        <f t="shared" si="1"/>
        <v>33</v>
      </c>
      <c r="U30" s="247">
        <v>429</v>
      </c>
      <c r="V30" s="141">
        <f t="shared" si="2"/>
        <v>3539.25</v>
      </c>
      <c r="W30" s="247">
        <v>16</v>
      </c>
      <c r="X30" s="137" t="s">
        <v>46</v>
      </c>
      <c r="Y30" s="247" t="s">
        <v>64</v>
      </c>
      <c r="Z30" s="247" t="s">
        <v>97</v>
      </c>
      <c r="AA30" s="247" t="s">
        <v>55</v>
      </c>
      <c r="AB30" s="137" t="s">
        <v>432</v>
      </c>
      <c r="AC30" s="142"/>
    </row>
    <row r="31" spans="1:48" x14ac:dyDescent="0.15">
      <c r="A31" s="137" t="s">
        <v>61</v>
      </c>
      <c r="B31" s="137" t="s">
        <v>405</v>
      </c>
      <c r="C31" s="137">
        <v>2018</v>
      </c>
      <c r="D31" s="138" t="s">
        <v>406</v>
      </c>
      <c r="E31" s="137" t="s">
        <v>256</v>
      </c>
      <c r="F31" s="137" t="s">
        <v>257</v>
      </c>
      <c r="G31" s="137" t="s">
        <v>42</v>
      </c>
      <c r="H31" s="247" t="s">
        <v>217</v>
      </c>
      <c r="I31" s="247" t="s">
        <v>155</v>
      </c>
      <c r="J31" s="137" t="s">
        <v>38</v>
      </c>
      <c r="K31" s="247" t="s">
        <v>156</v>
      </c>
      <c r="L31" s="247">
        <v>3</v>
      </c>
      <c r="M31" s="247"/>
      <c r="N31" s="247">
        <v>4</v>
      </c>
      <c r="O31" s="247">
        <v>0.6</v>
      </c>
      <c r="P31" s="247">
        <v>0.55000000000000004</v>
      </c>
      <c r="Q31" s="139">
        <f t="shared" si="0"/>
        <v>0.57499999999999996</v>
      </c>
      <c r="R31" s="247">
        <v>17</v>
      </c>
      <c r="S31" s="247">
        <v>108</v>
      </c>
      <c r="T31" s="140">
        <f t="shared" si="1"/>
        <v>33</v>
      </c>
      <c r="U31" s="247">
        <v>429</v>
      </c>
      <c r="V31" s="141">
        <f t="shared" si="2"/>
        <v>3539.25</v>
      </c>
      <c r="W31" s="247">
        <v>16</v>
      </c>
      <c r="X31" s="137" t="s">
        <v>46</v>
      </c>
      <c r="Y31" s="247" t="s">
        <v>64</v>
      </c>
      <c r="Z31" s="247" t="s">
        <v>97</v>
      </c>
      <c r="AA31" s="247" t="s">
        <v>55</v>
      </c>
      <c r="AB31" s="137" t="s">
        <v>432</v>
      </c>
      <c r="AC31" s="142"/>
    </row>
    <row r="32" spans="1:48" x14ac:dyDescent="0.15">
      <c r="A32" s="137" t="s">
        <v>61</v>
      </c>
      <c r="B32" s="137" t="s">
        <v>405</v>
      </c>
      <c r="C32" s="137">
        <v>2018</v>
      </c>
      <c r="D32" s="138" t="s">
        <v>406</v>
      </c>
      <c r="E32" s="137" t="s">
        <v>256</v>
      </c>
      <c r="F32" s="137" t="s">
        <v>257</v>
      </c>
      <c r="G32" s="137" t="s">
        <v>42</v>
      </c>
      <c r="H32" s="247" t="s">
        <v>165</v>
      </c>
      <c r="I32" s="247" t="s">
        <v>155</v>
      </c>
      <c r="J32" s="137" t="s">
        <v>38</v>
      </c>
      <c r="K32" s="247" t="s">
        <v>156</v>
      </c>
      <c r="L32" s="247">
        <v>1</v>
      </c>
      <c r="M32" s="247"/>
      <c r="N32" s="247">
        <v>1</v>
      </c>
      <c r="O32" s="247">
        <v>0.5</v>
      </c>
      <c r="P32" s="247">
        <v>0.5</v>
      </c>
      <c r="Q32" s="139">
        <f t="shared" si="0"/>
        <v>0.5</v>
      </c>
      <c r="R32" s="247">
        <v>18.600000000000001</v>
      </c>
      <c r="S32" s="247">
        <v>138</v>
      </c>
      <c r="T32" s="140">
        <f t="shared" si="1"/>
        <v>22</v>
      </c>
      <c r="U32" s="247">
        <v>149</v>
      </c>
      <c r="V32" s="141">
        <f t="shared" si="2"/>
        <v>3278</v>
      </c>
      <c r="W32" s="247">
        <v>16</v>
      </c>
      <c r="X32" s="137" t="s">
        <v>46</v>
      </c>
      <c r="Y32" s="247" t="s">
        <v>64</v>
      </c>
      <c r="Z32" s="247" t="s">
        <v>97</v>
      </c>
      <c r="AA32" s="247" t="s">
        <v>55</v>
      </c>
      <c r="AB32" s="137" t="s">
        <v>432</v>
      </c>
      <c r="AC32" s="142"/>
    </row>
    <row r="33" spans="1:29" x14ac:dyDescent="0.15">
      <c r="A33" s="137" t="s">
        <v>61</v>
      </c>
      <c r="B33" s="137" t="s">
        <v>405</v>
      </c>
      <c r="C33" s="137">
        <v>2018</v>
      </c>
      <c r="D33" s="138" t="s">
        <v>406</v>
      </c>
      <c r="E33" s="137" t="s">
        <v>256</v>
      </c>
      <c r="F33" s="137" t="s">
        <v>257</v>
      </c>
      <c r="G33" s="137" t="s">
        <v>42</v>
      </c>
      <c r="H33" s="247" t="s">
        <v>165</v>
      </c>
      <c r="I33" s="247" t="s">
        <v>155</v>
      </c>
      <c r="J33" s="137" t="s">
        <v>38</v>
      </c>
      <c r="K33" s="247" t="s">
        <v>156</v>
      </c>
      <c r="L33" s="247">
        <v>2</v>
      </c>
      <c r="M33" s="247"/>
      <c r="N33" s="247">
        <v>1</v>
      </c>
      <c r="O33" s="247">
        <v>0.55000000000000004</v>
      </c>
      <c r="P33" s="247">
        <v>0.55000000000000004</v>
      </c>
      <c r="Q33" s="139">
        <f t="shared" si="0"/>
        <v>0.55000000000000004</v>
      </c>
      <c r="R33" s="247">
        <v>18.899999999999999</v>
      </c>
      <c r="S33" s="247">
        <v>137</v>
      </c>
      <c r="T33" s="140">
        <f t="shared" si="1"/>
        <v>25</v>
      </c>
      <c r="U33" s="247">
        <v>149</v>
      </c>
      <c r="V33" s="141">
        <f t="shared" si="2"/>
        <v>3725</v>
      </c>
      <c r="W33" s="247">
        <v>16</v>
      </c>
      <c r="X33" s="137" t="s">
        <v>46</v>
      </c>
      <c r="Y33" s="247" t="s">
        <v>64</v>
      </c>
      <c r="Z33" s="247" t="s">
        <v>97</v>
      </c>
      <c r="AA33" s="247" t="s">
        <v>55</v>
      </c>
      <c r="AB33" s="137" t="s">
        <v>432</v>
      </c>
      <c r="AC33" s="142"/>
    </row>
    <row r="34" spans="1:29" x14ac:dyDescent="0.15">
      <c r="A34" s="137" t="s">
        <v>61</v>
      </c>
      <c r="B34" s="137" t="s">
        <v>405</v>
      </c>
      <c r="C34" s="137">
        <v>2018</v>
      </c>
      <c r="D34" s="138" t="s">
        <v>406</v>
      </c>
      <c r="E34" s="137" t="s">
        <v>256</v>
      </c>
      <c r="F34" s="137" t="s">
        <v>257</v>
      </c>
      <c r="G34" s="137" t="s">
        <v>42</v>
      </c>
      <c r="H34" s="247" t="s">
        <v>165</v>
      </c>
      <c r="I34" s="247" t="s">
        <v>155</v>
      </c>
      <c r="J34" s="137" t="s">
        <v>38</v>
      </c>
      <c r="K34" s="247" t="s">
        <v>156</v>
      </c>
      <c r="L34" s="247">
        <v>3</v>
      </c>
      <c r="M34" s="247"/>
      <c r="N34" s="247">
        <v>1</v>
      </c>
      <c r="O34" s="247">
        <v>0.5</v>
      </c>
      <c r="P34" s="247">
        <v>0.5</v>
      </c>
      <c r="Q34" s="139">
        <f t="shared" si="0"/>
        <v>0.5</v>
      </c>
      <c r="R34" s="247">
        <v>18.7</v>
      </c>
      <c r="S34" s="247">
        <v>141</v>
      </c>
      <c r="T34" s="140">
        <f t="shared" si="1"/>
        <v>22</v>
      </c>
      <c r="U34" s="247">
        <v>149</v>
      </c>
      <c r="V34" s="141">
        <f t="shared" si="2"/>
        <v>3278</v>
      </c>
      <c r="W34" s="247">
        <v>16</v>
      </c>
      <c r="X34" s="137" t="s">
        <v>46</v>
      </c>
      <c r="Y34" s="247" t="s">
        <v>64</v>
      </c>
      <c r="Z34" s="247" t="s">
        <v>97</v>
      </c>
      <c r="AA34" s="247" t="s">
        <v>55</v>
      </c>
      <c r="AB34" s="137" t="s">
        <v>432</v>
      </c>
      <c r="AC34" s="142"/>
    </row>
    <row r="35" spans="1:29" x14ac:dyDescent="0.15">
      <c r="A35" s="137" t="s">
        <v>61</v>
      </c>
      <c r="B35" s="137" t="s">
        <v>405</v>
      </c>
      <c r="C35" s="137">
        <v>2018</v>
      </c>
      <c r="D35" s="138" t="s">
        <v>406</v>
      </c>
      <c r="E35" s="137" t="s">
        <v>256</v>
      </c>
      <c r="F35" s="137" t="s">
        <v>257</v>
      </c>
      <c r="G35" s="137" t="s">
        <v>42</v>
      </c>
      <c r="H35" s="247" t="s">
        <v>157</v>
      </c>
      <c r="I35" s="247" t="s">
        <v>158</v>
      </c>
      <c r="J35" s="137" t="s">
        <v>38</v>
      </c>
      <c r="K35" s="247" t="s">
        <v>156</v>
      </c>
      <c r="L35" s="247">
        <v>1</v>
      </c>
      <c r="M35" s="247"/>
      <c r="N35" s="247">
        <v>2</v>
      </c>
      <c r="O35" s="247">
        <v>0.6</v>
      </c>
      <c r="P35" s="247">
        <v>0.6</v>
      </c>
      <c r="Q35" s="139">
        <f t="shared" si="0"/>
        <v>0.6</v>
      </c>
      <c r="R35" s="247">
        <v>17.100000000000001</v>
      </c>
      <c r="S35" s="247">
        <v>123</v>
      </c>
      <c r="T35" s="140">
        <f t="shared" si="1"/>
        <v>27</v>
      </c>
      <c r="U35" s="247">
        <v>386</v>
      </c>
      <c r="V35" s="141">
        <f t="shared" si="2"/>
        <v>5211</v>
      </c>
      <c r="W35" s="247">
        <v>16</v>
      </c>
      <c r="X35" s="137" t="s">
        <v>46</v>
      </c>
      <c r="Y35" s="247" t="s">
        <v>64</v>
      </c>
      <c r="Z35" s="247" t="s">
        <v>97</v>
      </c>
      <c r="AA35" s="247" t="s">
        <v>55</v>
      </c>
      <c r="AB35" s="137" t="s">
        <v>432</v>
      </c>
      <c r="AC35" s="142"/>
    </row>
    <row r="36" spans="1:29" x14ac:dyDescent="0.15">
      <c r="A36" s="137" t="s">
        <v>61</v>
      </c>
      <c r="B36" s="137" t="s">
        <v>405</v>
      </c>
      <c r="C36" s="137">
        <v>2018</v>
      </c>
      <c r="D36" s="138" t="s">
        <v>406</v>
      </c>
      <c r="E36" s="137" t="s">
        <v>256</v>
      </c>
      <c r="F36" s="137" t="s">
        <v>257</v>
      </c>
      <c r="G36" s="137" t="s">
        <v>42</v>
      </c>
      <c r="H36" s="247" t="s">
        <v>157</v>
      </c>
      <c r="I36" s="247" t="s">
        <v>158</v>
      </c>
      <c r="J36" s="137" t="s">
        <v>38</v>
      </c>
      <c r="K36" s="247" t="s">
        <v>156</v>
      </c>
      <c r="L36" s="247">
        <v>2</v>
      </c>
      <c r="M36" s="247"/>
      <c r="N36" s="247">
        <v>2</v>
      </c>
      <c r="O36" s="247">
        <v>0.6</v>
      </c>
      <c r="P36" s="247">
        <v>0.65</v>
      </c>
      <c r="Q36" s="139">
        <f t="shared" si="0"/>
        <v>0.625</v>
      </c>
      <c r="R36" s="247">
        <v>17.399999999999999</v>
      </c>
      <c r="S36" s="247">
        <v>121</v>
      </c>
      <c r="T36" s="140">
        <f t="shared" si="1"/>
        <v>27</v>
      </c>
      <c r="U36" s="247">
        <v>386</v>
      </c>
      <c r="V36" s="141">
        <f t="shared" si="2"/>
        <v>5211</v>
      </c>
      <c r="W36" s="247">
        <v>16</v>
      </c>
      <c r="X36" s="137" t="s">
        <v>46</v>
      </c>
      <c r="Y36" s="247" t="s">
        <v>64</v>
      </c>
      <c r="Z36" s="247" t="s">
        <v>97</v>
      </c>
      <c r="AA36" s="247" t="s">
        <v>55</v>
      </c>
      <c r="AB36" s="137" t="s">
        <v>432</v>
      </c>
      <c r="AC36" s="142"/>
    </row>
    <row r="37" spans="1:29" x14ac:dyDescent="0.15">
      <c r="A37" s="137" t="s">
        <v>61</v>
      </c>
      <c r="B37" s="137" t="s">
        <v>405</v>
      </c>
      <c r="C37" s="137">
        <v>2018</v>
      </c>
      <c r="D37" s="138" t="s">
        <v>406</v>
      </c>
      <c r="E37" s="137" t="s">
        <v>256</v>
      </c>
      <c r="F37" s="137" t="s">
        <v>257</v>
      </c>
      <c r="G37" s="137" t="s">
        <v>42</v>
      </c>
      <c r="H37" s="247" t="s">
        <v>157</v>
      </c>
      <c r="I37" s="247" t="s">
        <v>158</v>
      </c>
      <c r="J37" s="137" t="s">
        <v>38</v>
      </c>
      <c r="K37" s="247" t="s">
        <v>156</v>
      </c>
      <c r="L37" s="247">
        <v>3</v>
      </c>
      <c r="M37" s="247"/>
      <c r="N37" s="247">
        <v>2</v>
      </c>
      <c r="O37" s="247">
        <v>0.6</v>
      </c>
      <c r="P37" s="247">
        <v>0.6</v>
      </c>
      <c r="Q37" s="139">
        <f t="shared" si="0"/>
        <v>0.6</v>
      </c>
      <c r="R37" s="247">
        <v>17.3</v>
      </c>
      <c r="S37" s="247">
        <v>118</v>
      </c>
      <c r="T37" s="140">
        <f t="shared" si="1"/>
        <v>30</v>
      </c>
      <c r="U37" s="247">
        <v>386</v>
      </c>
      <c r="V37" s="141">
        <f t="shared" si="2"/>
        <v>5790</v>
      </c>
      <c r="W37" s="247">
        <v>16</v>
      </c>
      <c r="X37" s="137" t="s">
        <v>46</v>
      </c>
      <c r="Y37" s="247" t="s">
        <v>64</v>
      </c>
      <c r="Z37" s="247" t="s">
        <v>97</v>
      </c>
      <c r="AA37" s="247" t="s">
        <v>55</v>
      </c>
      <c r="AB37" s="137" t="s">
        <v>432</v>
      </c>
      <c r="AC37" s="142"/>
    </row>
    <row r="38" spans="1:29" x14ac:dyDescent="0.15">
      <c r="A38" s="137" t="s">
        <v>61</v>
      </c>
      <c r="B38" s="137" t="s">
        <v>405</v>
      </c>
      <c r="C38" s="137">
        <v>2018</v>
      </c>
      <c r="D38" s="138" t="s">
        <v>406</v>
      </c>
      <c r="E38" s="137" t="s">
        <v>258</v>
      </c>
      <c r="F38" s="137" t="s">
        <v>259</v>
      </c>
      <c r="G38" s="137" t="s">
        <v>42</v>
      </c>
      <c r="H38" s="247" t="s">
        <v>157</v>
      </c>
      <c r="I38" s="247" t="s">
        <v>155</v>
      </c>
      <c r="J38" s="137" t="s">
        <v>38</v>
      </c>
      <c r="K38" s="247" t="s">
        <v>156</v>
      </c>
      <c r="L38" s="247">
        <v>1</v>
      </c>
      <c r="M38" s="247"/>
      <c r="N38" s="247">
        <v>1</v>
      </c>
      <c r="O38" s="247">
        <v>0.6</v>
      </c>
      <c r="P38" s="247">
        <v>0.65</v>
      </c>
      <c r="Q38" s="139">
        <f t="shared" si="0"/>
        <v>0.625</v>
      </c>
      <c r="R38" s="247">
        <v>17</v>
      </c>
      <c r="S38" s="247">
        <v>139</v>
      </c>
      <c r="T38" s="140">
        <f t="shared" si="1"/>
        <v>22</v>
      </c>
      <c r="U38" s="247">
        <v>105</v>
      </c>
      <c r="V38" s="141">
        <f t="shared" si="2"/>
        <v>2310</v>
      </c>
      <c r="W38" s="247">
        <v>13</v>
      </c>
      <c r="X38" s="137" t="s">
        <v>46</v>
      </c>
      <c r="Y38" s="247" t="s">
        <v>64</v>
      </c>
      <c r="Z38" s="247" t="s">
        <v>88</v>
      </c>
      <c r="AA38" s="247" t="s">
        <v>78</v>
      </c>
      <c r="AB38" s="137" t="s">
        <v>432</v>
      </c>
      <c r="AC38" s="142"/>
    </row>
    <row r="39" spans="1:29" x14ac:dyDescent="0.15">
      <c r="A39" s="137" t="s">
        <v>61</v>
      </c>
      <c r="B39" s="137" t="s">
        <v>405</v>
      </c>
      <c r="C39" s="137">
        <v>2018</v>
      </c>
      <c r="D39" s="138" t="s">
        <v>406</v>
      </c>
      <c r="E39" s="137" t="s">
        <v>258</v>
      </c>
      <c r="F39" s="137" t="s">
        <v>259</v>
      </c>
      <c r="G39" s="137" t="s">
        <v>42</v>
      </c>
      <c r="H39" s="247" t="s">
        <v>157</v>
      </c>
      <c r="I39" s="247" t="s">
        <v>155</v>
      </c>
      <c r="J39" s="137" t="s">
        <v>38</v>
      </c>
      <c r="K39" s="247" t="s">
        <v>156</v>
      </c>
      <c r="L39" s="247">
        <v>2</v>
      </c>
      <c r="M39" s="247"/>
      <c r="N39" s="247">
        <v>1</v>
      </c>
      <c r="O39" s="247">
        <v>0.6</v>
      </c>
      <c r="P39" s="247">
        <v>0.6</v>
      </c>
      <c r="Q39" s="139">
        <f t="shared" si="0"/>
        <v>0.6</v>
      </c>
      <c r="R39" s="247">
        <v>17.2</v>
      </c>
      <c r="S39" s="247">
        <v>141</v>
      </c>
      <c r="T39" s="140">
        <f t="shared" si="1"/>
        <v>22</v>
      </c>
      <c r="U39" s="247">
        <v>105</v>
      </c>
      <c r="V39" s="141">
        <f t="shared" si="2"/>
        <v>2310</v>
      </c>
      <c r="W39" s="247">
        <v>13</v>
      </c>
      <c r="X39" s="137" t="s">
        <v>46</v>
      </c>
      <c r="Y39" s="247" t="s">
        <v>64</v>
      </c>
      <c r="Z39" s="247" t="s">
        <v>88</v>
      </c>
      <c r="AA39" s="247" t="s">
        <v>78</v>
      </c>
      <c r="AB39" s="137" t="s">
        <v>432</v>
      </c>
      <c r="AC39" s="142"/>
    </row>
    <row r="40" spans="1:29" x14ac:dyDescent="0.15">
      <c r="A40" s="137" t="s">
        <v>61</v>
      </c>
      <c r="B40" s="137" t="s">
        <v>405</v>
      </c>
      <c r="C40" s="137">
        <v>2018</v>
      </c>
      <c r="D40" s="138" t="s">
        <v>406</v>
      </c>
      <c r="E40" s="137" t="s">
        <v>258</v>
      </c>
      <c r="F40" s="137" t="s">
        <v>259</v>
      </c>
      <c r="G40" s="137" t="s">
        <v>42</v>
      </c>
      <c r="H40" s="247" t="s">
        <v>157</v>
      </c>
      <c r="I40" s="247" t="s">
        <v>155</v>
      </c>
      <c r="J40" s="137" t="s">
        <v>38</v>
      </c>
      <c r="K40" s="247" t="s">
        <v>156</v>
      </c>
      <c r="L40" s="247">
        <v>3</v>
      </c>
      <c r="M40" s="247"/>
      <c r="N40" s="247">
        <v>1</v>
      </c>
      <c r="O40" s="247">
        <v>0.7</v>
      </c>
      <c r="P40" s="247">
        <v>0.7</v>
      </c>
      <c r="Q40" s="139">
        <f t="shared" si="0"/>
        <v>0.7</v>
      </c>
      <c r="R40" s="247">
        <v>17.2</v>
      </c>
      <c r="S40" s="247">
        <v>140</v>
      </c>
      <c r="T40" s="140">
        <f t="shared" si="1"/>
        <v>22</v>
      </c>
      <c r="U40" s="247">
        <v>105</v>
      </c>
      <c r="V40" s="141">
        <f t="shared" si="2"/>
        <v>2310</v>
      </c>
      <c r="W40" s="247">
        <v>13</v>
      </c>
      <c r="X40" s="137" t="s">
        <v>46</v>
      </c>
      <c r="Y40" s="247" t="s">
        <v>64</v>
      </c>
      <c r="Z40" s="247" t="s">
        <v>88</v>
      </c>
      <c r="AA40" s="247" t="s">
        <v>78</v>
      </c>
      <c r="AB40" s="137" t="s">
        <v>432</v>
      </c>
      <c r="AC40" s="142"/>
    </row>
    <row r="41" spans="1:29" x14ac:dyDescent="0.15">
      <c r="A41" s="137" t="s">
        <v>61</v>
      </c>
      <c r="B41" s="137" t="s">
        <v>405</v>
      </c>
      <c r="C41" s="137">
        <v>2018</v>
      </c>
      <c r="D41" s="138" t="s">
        <v>406</v>
      </c>
      <c r="E41" s="137" t="s">
        <v>258</v>
      </c>
      <c r="F41" s="137" t="s">
        <v>259</v>
      </c>
      <c r="G41" s="137" t="s">
        <v>42</v>
      </c>
      <c r="H41" s="247" t="s">
        <v>217</v>
      </c>
      <c r="I41" s="247" t="s">
        <v>155</v>
      </c>
      <c r="J41" s="137" t="s">
        <v>38</v>
      </c>
      <c r="K41" s="247" t="s">
        <v>156</v>
      </c>
      <c r="L41" s="247">
        <v>1</v>
      </c>
      <c r="M41" s="247"/>
      <c r="N41" s="247">
        <v>5</v>
      </c>
      <c r="O41" s="247">
        <v>0.7</v>
      </c>
      <c r="P41" s="247">
        <v>0.7</v>
      </c>
      <c r="Q41" s="139">
        <f t="shared" si="0"/>
        <v>0.7</v>
      </c>
      <c r="R41" s="247">
        <v>17.8</v>
      </c>
      <c r="S41" s="247">
        <v>101</v>
      </c>
      <c r="T41" s="140">
        <f t="shared" si="1"/>
        <v>33</v>
      </c>
      <c r="U41" s="247">
        <v>429</v>
      </c>
      <c r="V41" s="141">
        <f t="shared" si="2"/>
        <v>2831.4</v>
      </c>
      <c r="W41" s="247">
        <v>13</v>
      </c>
      <c r="X41" s="137" t="s">
        <v>46</v>
      </c>
      <c r="Y41" s="247" t="s">
        <v>64</v>
      </c>
      <c r="Z41" s="247" t="s">
        <v>88</v>
      </c>
      <c r="AA41" s="247" t="s">
        <v>78</v>
      </c>
      <c r="AB41" s="137" t="s">
        <v>432</v>
      </c>
      <c r="AC41" s="142"/>
    </row>
    <row r="42" spans="1:29" x14ac:dyDescent="0.15">
      <c r="A42" s="137" t="s">
        <v>61</v>
      </c>
      <c r="B42" s="137" t="s">
        <v>405</v>
      </c>
      <c r="C42" s="137">
        <v>2018</v>
      </c>
      <c r="D42" s="138" t="s">
        <v>406</v>
      </c>
      <c r="E42" s="137" t="s">
        <v>258</v>
      </c>
      <c r="F42" s="137" t="s">
        <v>259</v>
      </c>
      <c r="G42" s="137" t="s">
        <v>42</v>
      </c>
      <c r="H42" s="247" t="s">
        <v>217</v>
      </c>
      <c r="I42" s="247" t="s">
        <v>155</v>
      </c>
      <c r="J42" s="137" t="s">
        <v>38</v>
      </c>
      <c r="K42" s="247" t="s">
        <v>156</v>
      </c>
      <c r="L42" s="247">
        <v>2</v>
      </c>
      <c r="M42" s="247"/>
      <c r="N42" s="247">
        <v>5</v>
      </c>
      <c r="O42" s="247">
        <v>0.65</v>
      </c>
      <c r="P42" s="247">
        <v>0.65</v>
      </c>
      <c r="Q42" s="139">
        <f t="shared" si="0"/>
        <v>0.65</v>
      </c>
      <c r="R42" s="247">
        <v>18.100000000000001</v>
      </c>
      <c r="S42" s="247">
        <v>98</v>
      </c>
      <c r="T42" s="140">
        <f t="shared" si="1"/>
        <v>36</v>
      </c>
      <c r="U42" s="247">
        <v>429</v>
      </c>
      <c r="V42" s="141">
        <f t="shared" si="2"/>
        <v>3088.7999999999997</v>
      </c>
      <c r="W42" s="247">
        <v>13</v>
      </c>
      <c r="X42" s="137" t="s">
        <v>46</v>
      </c>
      <c r="Y42" s="247" t="s">
        <v>64</v>
      </c>
      <c r="Z42" s="247" t="s">
        <v>88</v>
      </c>
      <c r="AA42" s="247" t="s">
        <v>78</v>
      </c>
      <c r="AB42" s="137" t="s">
        <v>432</v>
      </c>
      <c r="AC42" s="142"/>
    </row>
    <row r="43" spans="1:29" x14ac:dyDescent="0.15">
      <c r="A43" s="137" t="s">
        <v>61</v>
      </c>
      <c r="B43" s="137" t="s">
        <v>405</v>
      </c>
      <c r="C43" s="137">
        <v>2018</v>
      </c>
      <c r="D43" s="138" t="s">
        <v>406</v>
      </c>
      <c r="E43" s="137" t="s">
        <v>258</v>
      </c>
      <c r="F43" s="137" t="s">
        <v>259</v>
      </c>
      <c r="G43" s="137" t="s">
        <v>42</v>
      </c>
      <c r="H43" s="247" t="s">
        <v>217</v>
      </c>
      <c r="I43" s="247" t="s">
        <v>155</v>
      </c>
      <c r="J43" s="137" t="s">
        <v>38</v>
      </c>
      <c r="K43" s="247" t="s">
        <v>156</v>
      </c>
      <c r="L43" s="247">
        <v>3</v>
      </c>
      <c r="M43" s="247"/>
      <c r="N43" s="247">
        <v>5</v>
      </c>
      <c r="O43" s="247">
        <v>0.5</v>
      </c>
      <c r="P43" s="247">
        <v>0.5</v>
      </c>
      <c r="Q43" s="139">
        <f t="shared" si="0"/>
        <v>0.5</v>
      </c>
      <c r="R43" s="247">
        <v>18</v>
      </c>
      <c r="S43" s="247">
        <v>104</v>
      </c>
      <c r="T43" s="140">
        <f t="shared" si="1"/>
        <v>33</v>
      </c>
      <c r="U43" s="247">
        <v>429</v>
      </c>
      <c r="V43" s="141">
        <f t="shared" si="2"/>
        <v>2831.4</v>
      </c>
      <c r="W43" s="247">
        <v>13</v>
      </c>
      <c r="X43" s="137" t="s">
        <v>46</v>
      </c>
      <c r="Y43" s="247" t="s">
        <v>64</v>
      </c>
      <c r="Z43" s="247" t="s">
        <v>88</v>
      </c>
      <c r="AA43" s="247" t="s">
        <v>78</v>
      </c>
      <c r="AB43" s="137" t="s">
        <v>432</v>
      </c>
      <c r="AC43" s="142"/>
    </row>
    <row r="44" spans="1:29" x14ac:dyDescent="0.15">
      <c r="A44" s="137" t="s">
        <v>61</v>
      </c>
      <c r="B44" s="137" t="s">
        <v>405</v>
      </c>
      <c r="C44" s="137">
        <v>2018</v>
      </c>
      <c r="D44" s="138" t="s">
        <v>406</v>
      </c>
      <c r="E44" s="137" t="s">
        <v>258</v>
      </c>
      <c r="F44" s="137" t="s">
        <v>259</v>
      </c>
      <c r="G44" s="137" t="s">
        <v>42</v>
      </c>
      <c r="H44" s="247" t="s">
        <v>165</v>
      </c>
      <c r="I44" s="247" t="s">
        <v>155</v>
      </c>
      <c r="J44" s="137" t="s">
        <v>38</v>
      </c>
      <c r="K44" s="247" t="s">
        <v>156</v>
      </c>
      <c r="L44" s="247">
        <v>1</v>
      </c>
      <c r="M44" s="247"/>
      <c r="N44" s="247">
        <v>1</v>
      </c>
      <c r="O44" s="247">
        <v>0.5</v>
      </c>
      <c r="P44" s="247">
        <v>0.55000000000000004</v>
      </c>
      <c r="Q44" s="139">
        <f t="shared" si="0"/>
        <v>0.52500000000000002</v>
      </c>
      <c r="R44" s="247">
        <v>18.600000000000001</v>
      </c>
      <c r="S44" s="247">
        <v>138</v>
      </c>
      <c r="T44" s="140">
        <f t="shared" si="1"/>
        <v>22</v>
      </c>
      <c r="U44" s="247">
        <v>138</v>
      </c>
      <c r="V44" s="141">
        <f t="shared" si="2"/>
        <v>3036</v>
      </c>
      <c r="W44" s="247">
        <v>13</v>
      </c>
      <c r="X44" s="137" t="s">
        <v>46</v>
      </c>
      <c r="Y44" s="247" t="s">
        <v>64</v>
      </c>
      <c r="Z44" s="247" t="s">
        <v>88</v>
      </c>
      <c r="AA44" s="247" t="s">
        <v>78</v>
      </c>
      <c r="AB44" s="137" t="s">
        <v>432</v>
      </c>
      <c r="AC44" s="247"/>
    </row>
    <row r="45" spans="1:29" x14ac:dyDescent="0.15">
      <c r="A45" s="137" t="s">
        <v>61</v>
      </c>
      <c r="B45" s="137" t="s">
        <v>405</v>
      </c>
      <c r="C45" s="137">
        <v>2018</v>
      </c>
      <c r="D45" s="138" t="s">
        <v>406</v>
      </c>
      <c r="E45" s="137" t="s">
        <v>258</v>
      </c>
      <c r="F45" s="137" t="s">
        <v>259</v>
      </c>
      <c r="G45" s="137" t="s">
        <v>42</v>
      </c>
      <c r="H45" s="247" t="s">
        <v>165</v>
      </c>
      <c r="I45" s="247" t="s">
        <v>155</v>
      </c>
      <c r="J45" s="137" t="s">
        <v>38</v>
      </c>
      <c r="K45" s="247" t="s">
        <v>156</v>
      </c>
      <c r="L45" s="247">
        <v>2</v>
      </c>
      <c r="M45" s="247"/>
      <c r="N45" s="247">
        <v>1</v>
      </c>
      <c r="O45" s="247">
        <v>0.5</v>
      </c>
      <c r="P45" s="247">
        <v>0.5</v>
      </c>
      <c r="Q45" s="139">
        <f t="shared" si="0"/>
        <v>0.5</v>
      </c>
      <c r="R45" s="247">
        <v>18.600000000000001</v>
      </c>
      <c r="S45" s="247">
        <v>134</v>
      </c>
      <c r="T45" s="140">
        <f t="shared" si="1"/>
        <v>25</v>
      </c>
      <c r="U45" s="247">
        <v>138</v>
      </c>
      <c r="V45" s="141">
        <f t="shared" si="2"/>
        <v>3450</v>
      </c>
      <c r="W45" s="247">
        <v>13</v>
      </c>
      <c r="X45" s="137" t="s">
        <v>46</v>
      </c>
      <c r="Y45" s="247" t="s">
        <v>64</v>
      </c>
      <c r="Z45" s="247" t="s">
        <v>88</v>
      </c>
      <c r="AA45" s="247" t="s">
        <v>78</v>
      </c>
      <c r="AB45" s="137" t="s">
        <v>432</v>
      </c>
      <c r="AC45" s="247"/>
    </row>
    <row r="46" spans="1:29" x14ac:dyDescent="0.15">
      <c r="A46" s="137" t="s">
        <v>61</v>
      </c>
      <c r="B46" s="137" t="s">
        <v>405</v>
      </c>
      <c r="C46" s="137">
        <v>2018</v>
      </c>
      <c r="D46" s="138" t="s">
        <v>406</v>
      </c>
      <c r="E46" s="137" t="s">
        <v>258</v>
      </c>
      <c r="F46" s="137" t="s">
        <v>259</v>
      </c>
      <c r="G46" s="137" t="s">
        <v>42</v>
      </c>
      <c r="H46" s="247" t="s">
        <v>165</v>
      </c>
      <c r="I46" s="247" t="s">
        <v>155</v>
      </c>
      <c r="J46" s="137" t="s">
        <v>38</v>
      </c>
      <c r="K46" s="247" t="s">
        <v>156</v>
      </c>
      <c r="L46" s="247">
        <v>3</v>
      </c>
      <c r="M46" s="247"/>
      <c r="N46" s="247">
        <v>1</v>
      </c>
      <c r="O46" s="247">
        <v>0.55000000000000004</v>
      </c>
      <c r="P46" s="247">
        <v>0.55000000000000004</v>
      </c>
      <c r="Q46" s="139">
        <f t="shared" si="0"/>
        <v>0.55000000000000004</v>
      </c>
      <c r="R46" s="247">
        <v>18.3</v>
      </c>
      <c r="S46" s="247">
        <v>141</v>
      </c>
      <c r="T46" s="140">
        <f t="shared" si="1"/>
        <v>22</v>
      </c>
      <c r="U46" s="247">
        <v>138</v>
      </c>
      <c r="V46" s="141">
        <f t="shared" si="2"/>
        <v>3036</v>
      </c>
      <c r="W46" s="247">
        <v>13</v>
      </c>
      <c r="X46" s="137" t="s">
        <v>46</v>
      </c>
      <c r="Y46" s="247" t="s">
        <v>64</v>
      </c>
      <c r="Z46" s="247" t="s">
        <v>88</v>
      </c>
      <c r="AA46" s="247" t="s">
        <v>78</v>
      </c>
      <c r="AB46" s="137" t="s">
        <v>432</v>
      </c>
      <c r="AC46" s="247"/>
    </row>
    <row r="47" spans="1:29" x14ac:dyDescent="0.15">
      <c r="A47" s="137" t="s">
        <v>61</v>
      </c>
      <c r="B47" s="137" t="s">
        <v>405</v>
      </c>
      <c r="C47" s="137">
        <v>2018</v>
      </c>
      <c r="D47" s="138" t="s">
        <v>406</v>
      </c>
      <c r="E47" s="137" t="s">
        <v>260</v>
      </c>
      <c r="F47" s="137" t="s">
        <v>261</v>
      </c>
      <c r="G47" s="137" t="s">
        <v>42</v>
      </c>
      <c r="H47" s="247" t="s">
        <v>157</v>
      </c>
      <c r="I47" s="247" t="s">
        <v>155</v>
      </c>
      <c r="J47" s="137" t="s">
        <v>38</v>
      </c>
      <c r="K47" s="247" t="s">
        <v>156</v>
      </c>
      <c r="L47" s="247">
        <v>1</v>
      </c>
      <c r="M47" s="247"/>
      <c r="N47" s="247">
        <v>1</v>
      </c>
      <c r="O47" s="247">
        <v>0.65</v>
      </c>
      <c r="P47" s="247">
        <v>0.6</v>
      </c>
      <c r="Q47" s="139">
        <f t="shared" si="0"/>
        <v>0.625</v>
      </c>
      <c r="R47" s="247">
        <v>17.3</v>
      </c>
      <c r="S47" s="247">
        <v>126</v>
      </c>
      <c r="T47" s="140">
        <f t="shared" si="1"/>
        <v>27</v>
      </c>
      <c r="U47" s="247">
        <v>98</v>
      </c>
      <c r="V47" s="141">
        <f t="shared" si="2"/>
        <v>2646</v>
      </c>
      <c r="W47" s="247">
        <v>9</v>
      </c>
      <c r="X47" s="137" t="s">
        <v>46</v>
      </c>
      <c r="Y47" s="247" t="s">
        <v>88</v>
      </c>
      <c r="Z47" s="247" t="s">
        <v>78</v>
      </c>
      <c r="AA47" s="247" t="s">
        <v>64</v>
      </c>
      <c r="AB47" s="137" t="s">
        <v>432</v>
      </c>
      <c r="AC47" s="142"/>
    </row>
    <row r="48" spans="1:29" x14ac:dyDescent="0.15">
      <c r="A48" s="137" t="s">
        <v>61</v>
      </c>
      <c r="B48" s="137" t="s">
        <v>405</v>
      </c>
      <c r="C48" s="137">
        <v>2018</v>
      </c>
      <c r="D48" s="138" t="s">
        <v>406</v>
      </c>
      <c r="E48" s="137" t="s">
        <v>260</v>
      </c>
      <c r="F48" s="137" t="s">
        <v>261</v>
      </c>
      <c r="G48" s="137" t="s">
        <v>42</v>
      </c>
      <c r="H48" s="247" t="s">
        <v>157</v>
      </c>
      <c r="I48" s="247" t="s">
        <v>155</v>
      </c>
      <c r="J48" s="137" t="s">
        <v>38</v>
      </c>
      <c r="K48" s="247" t="s">
        <v>156</v>
      </c>
      <c r="L48" s="247">
        <v>2</v>
      </c>
      <c r="M48" s="247"/>
      <c r="N48" s="247">
        <v>1</v>
      </c>
      <c r="O48" s="247">
        <v>0.7</v>
      </c>
      <c r="P48" s="247">
        <v>0.7</v>
      </c>
      <c r="Q48" s="139">
        <f t="shared" si="0"/>
        <v>0.7</v>
      </c>
      <c r="R48" s="247">
        <v>17.2</v>
      </c>
      <c r="S48" s="247">
        <v>130</v>
      </c>
      <c r="T48" s="140">
        <f t="shared" si="1"/>
        <v>25</v>
      </c>
      <c r="U48" s="247">
        <v>98</v>
      </c>
      <c r="V48" s="141">
        <f t="shared" si="2"/>
        <v>2450</v>
      </c>
      <c r="W48" s="247">
        <v>9</v>
      </c>
      <c r="X48" s="137" t="s">
        <v>46</v>
      </c>
      <c r="Y48" s="247" t="s">
        <v>88</v>
      </c>
      <c r="Z48" s="247" t="s">
        <v>78</v>
      </c>
      <c r="AA48" s="247" t="s">
        <v>64</v>
      </c>
      <c r="AB48" s="137" t="s">
        <v>432</v>
      </c>
      <c r="AC48" s="142"/>
    </row>
    <row r="49" spans="1:29" x14ac:dyDescent="0.15">
      <c r="A49" s="137" t="s">
        <v>61</v>
      </c>
      <c r="B49" s="137" t="s">
        <v>405</v>
      </c>
      <c r="C49" s="137">
        <v>2018</v>
      </c>
      <c r="D49" s="138" t="s">
        <v>406</v>
      </c>
      <c r="E49" s="137" t="s">
        <v>260</v>
      </c>
      <c r="F49" s="137" t="s">
        <v>261</v>
      </c>
      <c r="G49" s="137" t="s">
        <v>42</v>
      </c>
      <c r="H49" s="247" t="s">
        <v>157</v>
      </c>
      <c r="I49" s="247" t="s">
        <v>155</v>
      </c>
      <c r="J49" s="137" t="s">
        <v>38</v>
      </c>
      <c r="K49" s="247" t="s">
        <v>156</v>
      </c>
      <c r="L49" s="247">
        <v>3</v>
      </c>
      <c r="M49" s="247"/>
      <c r="N49" s="247">
        <v>1</v>
      </c>
      <c r="O49" s="247">
        <v>0.6</v>
      </c>
      <c r="P49" s="247">
        <v>0.6</v>
      </c>
      <c r="Q49" s="139">
        <f t="shared" si="0"/>
        <v>0.6</v>
      </c>
      <c r="R49" s="247">
        <v>17.600000000000001</v>
      </c>
      <c r="S49" s="247">
        <v>121</v>
      </c>
      <c r="T49" s="140">
        <f t="shared" si="1"/>
        <v>27</v>
      </c>
      <c r="U49" s="247">
        <v>98</v>
      </c>
      <c r="V49" s="141">
        <f t="shared" si="2"/>
        <v>2646</v>
      </c>
      <c r="W49" s="247">
        <v>9</v>
      </c>
      <c r="X49" s="137" t="s">
        <v>46</v>
      </c>
      <c r="Y49" s="247" t="s">
        <v>88</v>
      </c>
      <c r="Z49" s="247" t="s">
        <v>78</v>
      </c>
      <c r="AA49" s="247" t="s">
        <v>64</v>
      </c>
      <c r="AB49" s="137" t="s">
        <v>432</v>
      </c>
      <c r="AC49" s="142"/>
    </row>
    <row r="50" spans="1:29" x14ac:dyDescent="0.15">
      <c r="A50" s="137" t="s">
        <v>61</v>
      </c>
      <c r="B50" s="137" t="s">
        <v>405</v>
      </c>
      <c r="C50" s="137">
        <v>2018</v>
      </c>
      <c r="D50" s="138" t="s">
        <v>406</v>
      </c>
      <c r="E50" s="137" t="s">
        <v>260</v>
      </c>
      <c r="F50" s="137" t="s">
        <v>261</v>
      </c>
      <c r="G50" s="137" t="s">
        <v>42</v>
      </c>
      <c r="H50" s="247" t="s">
        <v>165</v>
      </c>
      <c r="I50" s="247" t="s">
        <v>155</v>
      </c>
      <c r="J50" s="137" t="s">
        <v>38</v>
      </c>
      <c r="K50" s="247" t="s">
        <v>156</v>
      </c>
      <c r="L50" s="247">
        <v>1</v>
      </c>
      <c r="M50" s="247"/>
      <c r="N50" s="247">
        <v>1</v>
      </c>
      <c r="O50" s="247">
        <v>0.5</v>
      </c>
      <c r="P50" s="247">
        <v>0.5</v>
      </c>
      <c r="Q50" s="139">
        <f t="shared" si="0"/>
        <v>0.5</v>
      </c>
      <c r="R50" s="247">
        <v>18.3</v>
      </c>
      <c r="S50" s="247">
        <v>156</v>
      </c>
      <c r="T50" s="140">
        <f t="shared" si="1"/>
        <v>18</v>
      </c>
      <c r="U50" s="247">
        <v>128</v>
      </c>
      <c r="V50" s="141">
        <f t="shared" si="2"/>
        <v>2304</v>
      </c>
      <c r="W50" s="247">
        <v>9</v>
      </c>
      <c r="X50" s="137" t="s">
        <v>46</v>
      </c>
      <c r="Y50" s="247" t="s">
        <v>88</v>
      </c>
      <c r="Z50" s="247" t="s">
        <v>78</v>
      </c>
      <c r="AA50" s="247" t="s">
        <v>64</v>
      </c>
      <c r="AB50" s="137" t="s">
        <v>432</v>
      </c>
      <c r="AC50" s="142"/>
    </row>
    <row r="51" spans="1:29" x14ac:dyDescent="0.15">
      <c r="A51" s="137" t="s">
        <v>61</v>
      </c>
      <c r="B51" s="137" t="s">
        <v>405</v>
      </c>
      <c r="C51" s="137">
        <v>2018</v>
      </c>
      <c r="D51" s="138" t="s">
        <v>406</v>
      </c>
      <c r="E51" s="137" t="s">
        <v>260</v>
      </c>
      <c r="F51" s="137" t="s">
        <v>261</v>
      </c>
      <c r="G51" s="137" t="s">
        <v>42</v>
      </c>
      <c r="H51" s="247" t="s">
        <v>165</v>
      </c>
      <c r="I51" s="247" t="s">
        <v>155</v>
      </c>
      <c r="J51" s="137" t="s">
        <v>38</v>
      </c>
      <c r="K51" s="247" t="s">
        <v>156</v>
      </c>
      <c r="L51" s="247">
        <v>2</v>
      </c>
      <c r="M51" s="247"/>
      <c r="N51" s="247">
        <v>1</v>
      </c>
      <c r="O51" s="247">
        <v>0.55000000000000004</v>
      </c>
      <c r="P51" s="247">
        <v>0.55000000000000004</v>
      </c>
      <c r="Q51" s="139">
        <f t="shared" si="0"/>
        <v>0.55000000000000004</v>
      </c>
      <c r="R51" s="247">
        <v>18.100000000000001</v>
      </c>
      <c r="S51" s="247">
        <v>148</v>
      </c>
      <c r="T51" s="140">
        <f t="shared" si="1"/>
        <v>22</v>
      </c>
      <c r="U51" s="247">
        <v>128</v>
      </c>
      <c r="V51" s="141">
        <f t="shared" si="2"/>
        <v>2816</v>
      </c>
      <c r="W51" s="247">
        <v>9</v>
      </c>
      <c r="X51" s="137" t="s">
        <v>46</v>
      </c>
      <c r="Y51" s="247" t="s">
        <v>88</v>
      </c>
      <c r="Z51" s="247" t="s">
        <v>78</v>
      </c>
      <c r="AA51" s="247" t="s">
        <v>64</v>
      </c>
      <c r="AB51" s="137" t="s">
        <v>432</v>
      </c>
      <c r="AC51" s="142"/>
    </row>
    <row r="52" spans="1:29" x14ac:dyDescent="0.15">
      <c r="A52" s="137" t="s">
        <v>61</v>
      </c>
      <c r="B52" s="137" t="s">
        <v>405</v>
      </c>
      <c r="C52" s="137">
        <v>2018</v>
      </c>
      <c r="D52" s="138" t="s">
        <v>406</v>
      </c>
      <c r="E52" s="137" t="s">
        <v>260</v>
      </c>
      <c r="F52" s="137" t="s">
        <v>261</v>
      </c>
      <c r="G52" s="137" t="s">
        <v>42</v>
      </c>
      <c r="H52" s="247" t="s">
        <v>165</v>
      </c>
      <c r="I52" s="247" t="s">
        <v>155</v>
      </c>
      <c r="J52" s="137" t="s">
        <v>38</v>
      </c>
      <c r="K52" s="247" t="s">
        <v>156</v>
      </c>
      <c r="L52" s="247">
        <v>3</v>
      </c>
      <c r="M52" s="247"/>
      <c r="N52" s="247">
        <v>1</v>
      </c>
      <c r="O52" s="247">
        <v>0.6</v>
      </c>
      <c r="P52" s="247">
        <v>0.6</v>
      </c>
      <c r="Q52" s="139">
        <f t="shared" si="0"/>
        <v>0.6</v>
      </c>
      <c r="R52" s="247">
        <v>18</v>
      </c>
      <c r="S52" s="247">
        <v>151</v>
      </c>
      <c r="T52" s="140">
        <f t="shared" si="1"/>
        <v>22</v>
      </c>
      <c r="U52" s="247">
        <v>128</v>
      </c>
      <c r="V52" s="141">
        <f t="shared" si="2"/>
        <v>2816</v>
      </c>
      <c r="W52" s="247">
        <v>9</v>
      </c>
      <c r="X52" s="137" t="s">
        <v>46</v>
      </c>
      <c r="Y52" s="247" t="s">
        <v>88</v>
      </c>
      <c r="Z52" s="247" t="s">
        <v>78</v>
      </c>
      <c r="AA52" s="247" t="s">
        <v>64</v>
      </c>
      <c r="AB52" s="137" t="s">
        <v>432</v>
      </c>
      <c r="AC52" s="142"/>
    </row>
    <row r="53" spans="1:29" x14ac:dyDescent="0.15">
      <c r="A53" s="137" t="s">
        <v>61</v>
      </c>
      <c r="B53" s="137" t="s">
        <v>405</v>
      </c>
      <c r="C53" s="137">
        <v>2018</v>
      </c>
      <c r="D53" s="138" t="s">
        <v>406</v>
      </c>
      <c r="E53" s="137" t="s">
        <v>262</v>
      </c>
      <c r="F53" s="137" t="s">
        <v>263</v>
      </c>
      <c r="G53" s="137" t="s">
        <v>42</v>
      </c>
      <c r="H53" s="247" t="s">
        <v>157</v>
      </c>
      <c r="I53" s="247" t="s">
        <v>155</v>
      </c>
      <c r="J53" s="137" t="s">
        <v>38</v>
      </c>
      <c r="K53" s="247" t="s">
        <v>156</v>
      </c>
      <c r="L53" s="247">
        <v>1</v>
      </c>
      <c r="M53" s="247"/>
      <c r="N53" s="247">
        <v>1</v>
      </c>
      <c r="O53" s="247">
        <v>0.8</v>
      </c>
      <c r="P53" s="247">
        <v>0.75</v>
      </c>
      <c r="Q53" s="139">
        <f t="shared" si="0"/>
        <v>0.77500000000000002</v>
      </c>
      <c r="R53" s="247">
        <v>17.8</v>
      </c>
      <c r="S53" s="247">
        <v>127</v>
      </c>
      <c r="T53" s="140">
        <f t="shared" si="1"/>
        <v>27</v>
      </c>
      <c r="U53" s="247">
        <v>138</v>
      </c>
      <c r="V53" s="141">
        <f t="shared" si="2"/>
        <v>3726</v>
      </c>
      <c r="W53" s="247">
        <v>15</v>
      </c>
      <c r="X53" s="137" t="s">
        <v>46</v>
      </c>
      <c r="Y53" s="247" t="s">
        <v>55</v>
      </c>
      <c r="Z53" s="247" t="s">
        <v>97</v>
      </c>
      <c r="AA53" s="247" t="s">
        <v>106</v>
      </c>
      <c r="AB53" s="137" t="s">
        <v>432</v>
      </c>
      <c r="AC53" s="142"/>
    </row>
    <row r="54" spans="1:29" x14ac:dyDescent="0.15">
      <c r="A54" s="137" t="s">
        <v>61</v>
      </c>
      <c r="B54" s="137" t="s">
        <v>405</v>
      </c>
      <c r="C54" s="137">
        <v>2018</v>
      </c>
      <c r="D54" s="138" t="s">
        <v>406</v>
      </c>
      <c r="E54" s="137" t="s">
        <v>262</v>
      </c>
      <c r="F54" s="137" t="s">
        <v>263</v>
      </c>
      <c r="G54" s="137" t="s">
        <v>42</v>
      </c>
      <c r="H54" s="247" t="s">
        <v>157</v>
      </c>
      <c r="I54" s="247" t="s">
        <v>155</v>
      </c>
      <c r="J54" s="137" t="s">
        <v>38</v>
      </c>
      <c r="K54" s="247" t="s">
        <v>156</v>
      </c>
      <c r="L54" s="247">
        <v>2</v>
      </c>
      <c r="M54" s="247"/>
      <c r="N54" s="247">
        <v>1</v>
      </c>
      <c r="O54" s="247">
        <v>0.7</v>
      </c>
      <c r="P54" s="247">
        <v>0.7</v>
      </c>
      <c r="Q54" s="139">
        <f t="shared" si="0"/>
        <v>0.7</v>
      </c>
      <c r="R54" s="247">
        <v>17.3</v>
      </c>
      <c r="S54" s="247">
        <v>131</v>
      </c>
      <c r="T54" s="140">
        <f t="shared" si="1"/>
        <v>25</v>
      </c>
      <c r="U54" s="247">
        <v>138</v>
      </c>
      <c r="V54" s="141">
        <f t="shared" si="2"/>
        <v>3450</v>
      </c>
      <c r="W54" s="247">
        <v>15</v>
      </c>
      <c r="X54" s="137" t="s">
        <v>46</v>
      </c>
      <c r="Y54" s="247" t="s">
        <v>55</v>
      </c>
      <c r="Z54" s="247" t="s">
        <v>97</v>
      </c>
      <c r="AA54" s="247" t="s">
        <v>106</v>
      </c>
      <c r="AB54" s="137" t="s">
        <v>432</v>
      </c>
      <c r="AC54" s="142"/>
    </row>
    <row r="55" spans="1:29" x14ac:dyDescent="0.15">
      <c r="A55" s="137" t="s">
        <v>61</v>
      </c>
      <c r="B55" s="137" t="s">
        <v>405</v>
      </c>
      <c r="C55" s="137">
        <v>2018</v>
      </c>
      <c r="D55" s="138" t="s">
        <v>406</v>
      </c>
      <c r="E55" s="137" t="s">
        <v>262</v>
      </c>
      <c r="F55" s="137" t="s">
        <v>263</v>
      </c>
      <c r="G55" s="137" t="s">
        <v>42</v>
      </c>
      <c r="H55" s="247" t="s">
        <v>157</v>
      </c>
      <c r="I55" s="247" t="s">
        <v>155</v>
      </c>
      <c r="J55" s="137" t="s">
        <v>38</v>
      </c>
      <c r="K55" s="247" t="s">
        <v>156</v>
      </c>
      <c r="L55" s="247">
        <v>3</v>
      </c>
      <c r="M55" s="247"/>
      <c r="N55" s="247">
        <v>1</v>
      </c>
      <c r="O55" s="247">
        <v>0.7</v>
      </c>
      <c r="P55" s="247">
        <v>0.65</v>
      </c>
      <c r="Q55" s="139">
        <f t="shared" si="0"/>
        <v>0.67500000000000004</v>
      </c>
      <c r="R55" s="247">
        <v>17.399999999999999</v>
      </c>
      <c r="S55" s="247">
        <v>121</v>
      </c>
      <c r="T55" s="140">
        <f t="shared" si="1"/>
        <v>27</v>
      </c>
      <c r="U55" s="247">
        <v>138</v>
      </c>
      <c r="V55" s="141">
        <f t="shared" si="2"/>
        <v>3726</v>
      </c>
      <c r="W55" s="247">
        <v>15</v>
      </c>
      <c r="X55" s="137" t="s">
        <v>46</v>
      </c>
      <c r="Y55" s="247" t="s">
        <v>55</v>
      </c>
      <c r="Z55" s="247" t="s">
        <v>97</v>
      </c>
      <c r="AA55" s="247" t="s">
        <v>106</v>
      </c>
      <c r="AB55" s="137" t="s">
        <v>432</v>
      </c>
      <c r="AC55" s="142"/>
    </row>
    <row r="56" spans="1:29" x14ac:dyDescent="0.15">
      <c r="A56" s="137" t="s">
        <v>61</v>
      </c>
      <c r="B56" s="137" t="s">
        <v>405</v>
      </c>
      <c r="C56" s="137">
        <v>2018</v>
      </c>
      <c r="D56" s="138" t="s">
        <v>406</v>
      </c>
      <c r="E56" s="137" t="s">
        <v>262</v>
      </c>
      <c r="F56" s="137" t="s">
        <v>263</v>
      </c>
      <c r="G56" s="137" t="s">
        <v>42</v>
      </c>
      <c r="H56" s="247" t="s">
        <v>165</v>
      </c>
      <c r="I56" s="247" t="s">
        <v>155</v>
      </c>
      <c r="J56" s="137" t="s">
        <v>38</v>
      </c>
      <c r="K56" s="247" t="s">
        <v>156</v>
      </c>
      <c r="L56" s="247">
        <v>1</v>
      </c>
      <c r="M56" s="247"/>
      <c r="N56" s="247">
        <v>1</v>
      </c>
      <c r="O56" s="247">
        <v>0.6</v>
      </c>
      <c r="P56" s="247">
        <v>0.6</v>
      </c>
      <c r="Q56" s="139">
        <f t="shared" si="0"/>
        <v>0.6</v>
      </c>
      <c r="R56" s="247">
        <v>17.8</v>
      </c>
      <c r="S56" s="247">
        <v>170</v>
      </c>
      <c r="T56" s="140">
        <f t="shared" si="1"/>
        <v>18</v>
      </c>
      <c r="U56" s="247">
        <v>149</v>
      </c>
      <c r="V56" s="141">
        <f t="shared" si="2"/>
        <v>2682</v>
      </c>
      <c r="W56" s="247">
        <v>15</v>
      </c>
      <c r="X56" s="137" t="s">
        <v>46</v>
      </c>
      <c r="Y56" s="247" t="s">
        <v>55</v>
      </c>
      <c r="Z56" s="247" t="s">
        <v>97</v>
      </c>
      <c r="AA56" s="247" t="s">
        <v>106</v>
      </c>
      <c r="AB56" s="137" t="s">
        <v>432</v>
      </c>
      <c r="AC56" s="142"/>
    </row>
    <row r="57" spans="1:29" x14ac:dyDescent="0.15">
      <c r="A57" s="137" t="s">
        <v>61</v>
      </c>
      <c r="B57" s="137" t="s">
        <v>405</v>
      </c>
      <c r="C57" s="137">
        <v>2018</v>
      </c>
      <c r="D57" s="138" t="s">
        <v>406</v>
      </c>
      <c r="E57" s="137" t="s">
        <v>262</v>
      </c>
      <c r="F57" s="137" t="s">
        <v>263</v>
      </c>
      <c r="G57" s="137" t="s">
        <v>42</v>
      </c>
      <c r="H57" s="247" t="s">
        <v>165</v>
      </c>
      <c r="I57" s="247" t="s">
        <v>155</v>
      </c>
      <c r="J57" s="137" t="s">
        <v>38</v>
      </c>
      <c r="K57" s="247" t="s">
        <v>156</v>
      </c>
      <c r="L57" s="247">
        <v>2</v>
      </c>
      <c r="M57" s="247"/>
      <c r="N57" s="247">
        <v>1</v>
      </c>
      <c r="O57" s="247">
        <v>0.65</v>
      </c>
      <c r="P57" s="247">
        <v>0.6</v>
      </c>
      <c r="Q57" s="139">
        <f t="shared" si="0"/>
        <v>0.625</v>
      </c>
      <c r="R57" s="247">
        <v>17.899999999999999</v>
      </c>
      <c r="S57" s="247">
        <v>166</v>
      </c>
      <c r="T57" s="140">
        <f t="shared" si="1"/>
        <v>18</v>
      </c>
      <c r="U57" s="247">
        <v>149</v>
      </c>
      <c r="V57" s="141">
        <f t="shared" si="2"/>
        <v>2682</v>
      </c>
      <c r="W57" s="247">
        <v>15</v>
      </c>
      <c r="X57" s="137" t="s">
        <v>46</v>
      </c>
      <c r="Y57" s="247" t="s">
        <v>55</v>
      </c>
      <c r="Z57" s="247" t="s">
        <v>97</v>
      </c>
      <c r="AA57" s="247" t="s">
        <v>106</v>
      </c>
      <c r="AB57" s="137" t="s">
        <v>432</v>
      </c>
      <c r="AC57" s="142"/>
    </row>
    <row r="58" spans="1:29" x14ac:dyDescent="0.15">
      <c r="A58" s="137" t="s">
        <v>61</v>
      </c>
      <c r="B58" s="137" t="s">
        <v>405</v>
      </c>
      <c r="C58" s="137">
        <v>2018</v>
      </c>
      <c r="D58" s="138" t="s">
        <v>406</v>
      </c>
      <c r="E58" s="137" t="s">
        <v>262</v>
      </c>
      <c r="F58" s="137" t="s">
        <v>263</v>
      </c>
      <c r="G58" s="137" t="s">
        <v>42</v>
      </c>
      <c r="H58" s="247" t="s">
        <v>165</v>
      </c>
      <c r="I58" s="247" t="s">
        <v>155</v>
      </c>
      <c r="J58" s="137" t="s">
        <v>38</v>
      </c>
      <c r="K58" s="247" t="s">
        <v>156</v>
      </c>
      <c r="L58" s="247">
        <v>3</v>
      </c>
      <c r="M58" s="247"/>
      <c r="N58" s="247">
        <v>1</v>
      </c>
      <c r="O58" s="247">
        <v>0.6</v>
      </c>
      <c r="P58" s="247">
        <v>0.6</v>
      </c>
      <c r="Q58" s="139">
        <f t="shared" si="0"/>
        <v>0.6</v>
      </c>
      <c r="R58" s="247">
        <v>18.3</v>
      </c>
      <c r="S58" s="247">
        <v>172</v>
      </c>
      <c r="T58" s="140">
        <f t="shared" si="1"/>
        <v>18</v>
      </c>
      <c r="U58" s="247">
        <v>149</v>
      </c>
      <c r="V58" s="141">
        <f t="shared" si="2"/>
        <v>2682</v>
      </c>
      <c r="W58" s="247">
        <v>15</v>
      </c>
      <c r="X58" s="137" t="s">
        <v>46</v>
      </c>
      <c r="Y58" s="247" t="s">
        <v>55</v>
      </c>
      <c r="Z58" s="247" t="s">
        <v>97</v>
      </c>
      <c r="AA58" s="247" t="s">
        <v>106</v>
      </c>
      <c r="AB58" s="137" t="s">
        <v>432</v>
      </c>
      <c r="AC58" s="142"/>
    </row>
    <row r="59" spans="1:29" x14ac:dyDescent="0.15">
      <c r="A59" s="137" t="s">
        <v>61</v>
      </c>
      <c r="B59" s="137" t="s">
        <v>405</v>
      </c>
      <c r="C59" s="137">
        <v>2018</v>
      </c>
      <c r="D59" s="138" t="s">
        <v>406</v>
      </c>
      <c r="E59" s="137" t="s">
        <v>133</v>
      </c>
      <c r="F59" s="137" t="s">
        <v>264</v>
      </c>
      <c r="G59" s="137" t="s">
        <v>42</v>
      </c>
      <c r="H59" s="247" t="s">
        <v>157</v>
      </c>
      <c r="I59" s="247" t="s">
        <v>155</v>
      </c>
      <c r="J59" s="137" t="s">
        <v>38</v>
      </c>
      <c r="K59" s="247" t="s">
        <v>156</v>
      </c>
      <c r="L59" s="247">
        <v>1</v>
      </c>
      <c r="M59" s="247"/>
      <c r="N59" s="247">
        <v>1</v>
      </c>
      <c r="O59" s="247">
        <v>0.5</v>
      </c>
      <c r="P59" s="247">
        <v>0.55000000000000004</v>
      </c>
      <c r="Q59" s="139">
        <f t="shared" si="0"/>
        <v>0.52500000000000002</v>
      </c>
      <c r="R59" s="247">
        <v>17.2</v>
      </c>
      <c r="S59" s="247">
        <v>168</v>
      </c>
      <c r="T59" s="140">
        <f t="shared" si="1"/>
        <v>18</v>
      </c>
      <c r="U59" s="247">
        <v>105</v>
      </c>
      <c r="V59" s="141">
        <f t="shared" si="2"/>
        <v>1890</v>
      </c>
      <c r="W59" s="247">
        <v>20</v>
      </c>
      <c r="X59" s="137" t="s">
        <v>46</v>
      </c>
      <c r="Y59" s="247" t="s">
        <v>78</v>
      </c>
      <c r="Z59" s="247" t="s">
        <v>88</v>
      </c>
      <c r="AA59" s="247" t="s">
        <v>97</v>
      </c>
      <c r="AB59" s="137" t="s">
        <v>432</v>
      </c>
      <c r="AC59" s="247"/>
    </row>
    <row r="60" spans="1:29" x14ac:dyDescent="0.15">
      <c r="A60" s="137" t="s">
        <v>61</v>
      </c>
      <c r="B60" s="137" t="s">
        <v>405</v>
      </c>
      <c r="C60" s="137">
        <v>2018</v>
      </c>
      <c r="D60" s="138" t="s">
        <v>406</v>
      </c>
      <c r="E60" s="137" t="s">
        <v>133</v>
      </c>
      <c r="F60" s="137" t="s">
        <v>264</v>
      </c>
      <c r="G60" s="137" t="s">
        <v>42</v>
      </c>
      <c r="H60" s="247" t="s">
        <v>157</v>
      </c>
      <c r="I60" s="247" t="s">
        <v>155</v>
      </c>
      <c r="J60" s="137" t="s">
        <v>38</v>
      </c>
      <c r="K60" s="247" t="s">
        <v>156</v>
      </c>
      <c r="L60" s="247">
        <v>2</v>
      </c>
      <c r="M60" s="247"/>
      <c r="N60" s="247">
        <v>1</v>
      </c>
      <c r="O60" s="247">
        <v>0.6</v>
      </c>
      <c r="P60" s="247">
        <v>0.6</v>
      </c>
      <c r="Q60" s="139">
        <f t="shared" si="0"/>
        <v>0.6</v>
      </c>
      <c r="R60" s="247">
        <v>17.3</v>
      </c>
      <c r="S60" s="247">
        <v>154</v>
      </c>
      <c r="T60" s="140">
        <f t="shared" si="1"/>
        <v>18</v>
      </c>
      <c r="U60" s="247">
        <v>105</v>
      </c>
      <c r="V60" s="141">
        <f t="shared" si="2"/>
        <v>1890</v>
      </c>
      <c r="W60" s="247">
        <v>20</v>
      </c>
      <c r="X60" s="137" t="s">
        <v>46</v>
      </c>
      <c r="Y60" s="247" t="s">
        <v>78</v>
      </c>
      <c r="Z60" s="247" t="s">
        <v>88</v>
      </c>
      <c r="AA60" s="247" t="s">
        <v>97</v>
      </c>
      <c r="AB60" s="137" t="s">
        <v>432</v>
      </c>
      <c r="AC60" s="247"/>
    </row>
    <row r="61" spans="1:29" x14ac:dyDescent="0.15">
      <c r="A61" s="137" t="s">
        <v>61</v>
      </c>
      <c r="B61" s="137" t="s">
        <v>405</v>
      </c>
      <c r="C61" s="137">
        <v>2018</v>
      </c>
      <c r="D61" s="138" t="s">
        <v>406</v>
      </c>
      <c r="E61" s="137" t="s">
        <v>133</v>
      </c>
      <c r="F61" s="137" t="s">
        <v>264</v>
      </c>
      <c r="G61" s="137" t="s">
        <v>42</v>
      </c>
      <c r="H61" s="247" t="s">
        <v>157</v>
      </c>
      <c r="I61" s="247" t="s">
        <v>155</v>
      </c>
      <c r="J61" s="137" t="s">
        <v>38</v>
      </c>
      <c r="K61" s="247" t="s">
        <v>156</v>
      </c>
      <c r="L61" s="247">
        <v>3</v>
      </c>
      <c r="M61" s="247"/>
      <c r="N61" s="247">
        <v>1</v>
      </c>
      <c r="O61" s="247">
        <v>0.6</v>
      </c>
      <c r="P61" s="247">
        <v>0.6</v>
      </c>
      <c r="Q61" s="139">
        <f t="shared" si="0"/>
        <v>0.6</v>
      </c>
      <c r="R61" s="247">
        <v>17.8</v>
      </c>
      <c r="S61" s="247">
        <v>165</v>
      </c>
      <c r="T61" s="140">
        <f t="shared" si="1"/>
        <v>18</v>
      </c>
      <c r="U61" s="247">
        <v>105</v>
      </c>
      <c r="V61" s="141">
        <f t="shared" si="2"/>
        <v>1890</v>
      </c>
      <c r="W61" s="247">
        <v>20</v>
      </c>
      <c r="X61" s="137" t="s">
        <v>46</v>
      </c>
      <c r="Y61" s="247" t="s">
        <v>78</v>
      </c>
      <c r="Z61" s="247" t="s">
        <v>88</v>
      </c>
      <c r="AA61" s="247" t="s">
        <v>97</v>
      </c>
      <c r="AB61" s="137" t="s">
        <v>432</v>
      </c>
      <c r="AC61" s="247"/>
    </row>
    <row r="62" spans="1:29" x14ac:dyDescent="0.15">
      <c r="A62" s="137" t="s">
        <v>61</v>
      </c>
      <c r="B62" s="137" t="s">
        <v>405</v>
      </c>
      <c r="C62" s="137">
        <v>2018</v>
      </c>
      <c r="D62" s="138" t="s">
        <v>406</v>
      </c>
      <c r="E62" s="137" t="s">
        <v>133</v>
      </c>
      <c r="F62" s="137" t="s">
        <v>264</v>
      </c>
      <c r="G62" s="137" t="s">
        <v>42</v>
      </c>
      <c r="H62" s="247" t="s">
        <v>165</v>
      </c>
      <c r="I62" s="247" t="s">
        <v>158</v>
      </c>
      <c r="J62" s="137" t="s">
        <v>38</v>
      </c>
      <c r="K62" s="247" t="s">
        <v>156</v>
      </c>
      <c r="L62" s="247">
        <v>1</v>
      </c>
      <c r="M62" s="247"/>
      <c r="N62" s="247">
        <v>1</v>
      </c>
      <c r="O62" s="247">
        <v>0.5</v>
      </c>
      <c r="P62" s="247">
        <v>0.5</v>
      </c>
      <c r="Q62" s="139">
        <f>IF(OR(O62="",P62=""),"",AVERAGE(O62,P62))</f>
        <v>0.5</v>
      </c>
      <c r="R62" s="247">
        <v>18.100000000000001</v>
      </c>
      <c r="S62" s="247">
        <v>172</v>
      </c>
      <c r="T62" s="140">
        <f t="shared" si="1"/>
        <v>18</v>
      </c>
      <c r="U62" s="247">
        <v>149</v>
      </c>
      <c r="V62" s="141">
        <f t="shared" si="2"/>
        <v>2682</v>
      </c>
      <c r="W62" s="247">
        <v>20</v>
      </c>
      <c r="X62" s="137" t="s">
        <v>46</v>
      </c>
      <c r="Y62" s="247" t="s">
        <v>78</v>
      </c>
      <c r="Z62" s="247" t="s">
        <v>88</v>
      </c>
      <c r="AA62" s="247" t="s">
        <v>97</v>
      </c>
      <c r="AB62" s="137" t="s">
        <v>432</v>
      </c>
      <c r="AC62" s="247"/>
    </row>
    <row r="63" spans="1:29" x14ac:dyDescent="0.15">
      <c r="A63" s="137" t="s">
        <v>61</v>
      </c>
      <c r="B63" s="137" t="s">
        <v>405</v>
      </c>
      <c r="C63" s="137">
        <v>2018</v>
      </c>
      <c r="D63" s="138" t="s">
        <v>406</v>
      </c>
      <c r="E63" s="137" t="s">
        <v>133</v>
      </c>
      <c r="F63" s="137" t="s">
        <v>264</v>
      </c>
      <c r="G63" s="137" t="s">
        <v>42</v>
      </c>
      <c r="H63" s="247" t="s">
        <v>165</v>
      </c>
      <c r="I63" s="247" t="s">
        <v>158</v>
      </c>
      <c r="J63" s="137" t="s">
        <v>38</v>
      </c>
      <c r="K63" s="247" t="s">
        <v>156</v>
      </c>
      <c r="L63" s="247">
        <v>2</v>
      </c>
      <c r="M63" s="247"/>
      <c r="N63" s="247">
        <v>1</v>
      </c>
      <c r="O63" s="247">
        <v>0.7</v>
      </c>
      <c r="P63" s="247">
        <v>0.75</v>
      </c>
      <c r="Q63" s="139">
        <f t="shared" si="0"/>
        <v>0.72499999999999998</v>
      </c>
      <c r="R63" s="247">
        <v>18.3</v>
      </c>
      <c r="S63" s="247">
        <v>175</v>
      </c>
      <c r="T63" s="140">
        <f t="shared" si="1"/>
        <v>18</v>
      </c>
      <c r="U63" s="247">
        <v>149</v>
      </c>
      <c r="V63" s="141">
        <f t="shared" si="2"/>
        <v>2682</v>
      </c>
      <c r="W63" s="247">
        <v>20</v>
      </c>
      <c r="X63" s="137" t="s">
        <v>46</v>
      </c>
      <c r="Y63" s="247" t="s">
        <v>78</v>
      </c>
      <c r="Z63" s="247" t="s">
        <v>88</v>
      </c>
      <c r="AA63" s="247" t="s">
        <v>97</v>
      </c>
      <c r="AB63" s="137" t="s">
        <v>432</v>
      </c>
      <c r="AC63" s="247"/>
    </row>
    <row r="64" spans="1:29" x14ac:dyDescent="0.15">
      <c r="A64" s="137" t="s">
        <v>61</v>
      </c>
      <c r="B64" s="137" t="s">
        <v>405</v>
      </c>
      <c r="C64" s="137">
        <v>2018</v>
      </c>
      <c r="D64" s="138" t="s">
        <v>406</v>
      </c>
      <c r="E64" s="137" t="s">
        <v>133</v>
      </c>
      <c r="F64" s="137" t="s">
        <v>264</v>
      </c>
      <c r="G64" s="137" t="s">
        <v>42</v>
      </c>
      <c r="H64" s="247" t="s">
        <v>165</v>
      </c>
      <c r="I64" s="247" t="s">
        <v>158</v>
      </c>
      <c r="J64" s="137" t="s">
        <v>38</v>
      </c>
      <c r="K64" s="247" t="s">
        <v>156</v>
      </c>
      <c r="L64" s="247">
        <v>3</v>
      </c>
      <c r="M64" s="247"/>
      <c r="N64" s="247">
        <v>1</v>
      </c>
      <c r="O64" s="247">
        <v>0.5</v>
      </c>
      <c r="P64" s="247">
        <v>0.55000000000000004</v>
      </c>
      <c r="Q64" s="139">
        <f t="shared" si="0"/>
        <v>0.52500000000000002</v>
      </c>
      <c r="R64" s="247">
        <v>18.2</v>
      </c>
      <c r="S64" s="247">
        <v>178</v>
      </c>
      <c r="T64" s="140">
        <f t="shared" si="1"/>
        <v>18</v>
      </c>
      <c r="U64" s="247">
        <v>149</v>
      </c>
      <c r="V64" s="141">
        <f t="shared" si="2"/>
        <v>2682</v>
      </c>
      <c r="W64" s="247">
        <v>20</v>
      </c>
      <c r="X64" s="137" t="s">
        <v>46</v>
      </c>
      <c r="Y64" s="247" t="s">
        <v>78</v>
      </c>
      <c r="Z64" s="247" t="s">
        <v>88</v>
      </c>
      <c r="AA64" s="247" t="s">
        <v>97</v>
      </c>
      <c r="AB64" s="137" t="s">
        <v>432</v>
      </c>
      <c r="AC64" s="247"/>
    </row>
    <row r="65" spans="1:29" x14ac:dyDescent="0.15">
      <c r="A65" s="137" t="s">
        <v>61</v>
      </c>
      <c r="B65" s="137" t="s">
        <v>405</v>
      </c>
      <c r="C65" s="137">
        <v>2018</v>
      </c>
      <c r="D65" s="138" t="s">
        <v>406</v>
      </c>
      <c r="E65" s="137" t="s">
        <v>265</v>
      </c>
      <c r="F65" s="137" t="s">
        <v>266</v>
      </c>
      <c r="G65" s="137" t="s">
        <v>42</v>
      </c>
      <c r="H65" s="247" t="s">
        <v>157</v>
      </c>
      <c r="I65" s="247" t="s">
        <v>155</v>
      </c>
      <c r="J65" s="137" t="s">
        <v>38</v>
      </c>
      <c r="K65" s="247" t="s">
        <v>156</v>
      </c>
      <c r="L65" s="247">
        <v>1</v>
      </c>
      <c r="M65" s="247"/>
      <c r="N65" s="247">
        <v>4</v>
      </c>
      <c r="O65" s="247">
        <v>0.8</v>
      </c>
      <c r="P65" s="247">
        <v>0.8</v>
      </c>
      <c r="Q65" s="139">
        <f t="shared" si="0"/>
        <v>0.8</v>
      </c>
      <c r="R65" s="247">
        <v>17</v>
      </c>
      <c r="S65" s="247">
        <v>137</v>
      </c>
      <c r="T65" s="140">
        <f t="shared" si="1"/>
        <v>25</v>
      </c>
      <c r="U65" s="247">
        <v>398</v>
      </c>
      <c r="V65" s="141">
        <f t="shared" si="2"/>
        <v>2487.5</v>
      </c>
      <c r="W65" s="247">
        <v>18</v>
      </c>
      <c r="X65" s="137" t="s">
        <v>46</v>
      </c>
      <c r="Y65" s="247" t="s">
        <v>86</v>
      </c>
      <c r="Z65" s="247" t="s">
        <v>97</v>
      </c>
      <c r="AA65" s="247" t="s">
        <v>64</v>
      </c>
      <c r="AB65" s="137" t="s">
        <v>432</v>
      </c>
      <c r="AC65" s="142"/>
    </row>
    <row r="66" spans="1:29" x14ac:dyDescent="0.15">
      <c r="A66" s="137" t="s">
        <v>61</v>
      </c>
      <c r="B66" s="137" t="s">
        <v>405</v>
      </c>
      <c r="C66" s="137">
        <v>2018</v>
      </c>
      <c r="D66" s="138" t="s">
        <v>406</v>
      </c>
      <c r="E66" s="137" t="s">
        <v>265</v>
      </c>
      <c r="F66" s="137" t="s">
        <v>266</v>
      </c>
      <c r="G66" s="137" t="s">
        <v>42</v>
      </c>
      <c r="H66" s="247" t="s">
        <v>157</v>
      </c>
      <c r="I66" s="247" t="s">
        <v>155</v>
      </c>
      <c r="J66" s="137" t="s">
        <v>38</v>
      </c>
      <c r="K66" s="247" t="s">
        <v>156</v>
      </c>
      <c r="L66" s="247">
        <v>2</v>
      </c>
      <c r="M66" s="247"/>
      <c r="N66" s="247">
        <v>4</v>
      </c>
      <c r="O66" s="247">
        <v>0.75</v>
      </c>
      <c r="P66" s="247">
        <v>0.75</v>
      </c>
      <c r="Q66" s="139">
        <f t="shared" si="0"/>
        <v>0.75</v>
      </c>
      <c r="R66" s="247">
        <v>16.5</v>
      </c>
      <c r="S66" s="247">
        <v>135</v>
      </c>
      <c r="T66" s="140">
        <f t="shared" ref="T66:T85" si="3">IF(H66="","",IF(OR(H66="GREEN",H66="GK"),IF(S66&gt;=$AX$2,VLOOKUP(S66,$AX$2:$AY$15,2,1),""),IF(S66&gt;=$AZ$2,VLOOKUP(S66,$AZ$2:$BA$15,2,1),"")))</f>
        <v>25</v>
      </c>
      <c r="U66" s="247">
        <v>398</v>
      </c>
      <c r="V66" s="141">
        <f t="shared" si="2"/>
        <v>2487.5</v>
      </c>
      <c r="W66" s="247">
        <v>18</v>
      </c>
      <c r="X66" s="137" t="s">
        <v>46</v>
      </c>
      <c r="Y66" s="247" t="s">
        <v>86</v>
      </c>
      <c r="Z66" s="247" t="s">
        <v>97</v>
      </c>
      <c r="AA66" s="247" t="s">
        <v>64</v>
      </c>
      <c r="AB66" s="137" t="s">
        <v>432</v>
      </c>
      <c r="AC66" s="142"/>
    </row>
    <row r="67" spans="1:29" x14ac:dyDescent="0.15">
      <c r="A67" s="137" t="s">
        <v>61</v>
      </c>
      <c r="B67" s="137" t="s">
        <v>405</v>
      </c>
      <c r="C67" s="137">
        <v>2018</v>
      </c>
      <c r="D67" s="138" t="s">
        <v>406</v>
      </c>
      <c r="E67" s="137" t="s">
        <v>265</v>
      </c>
      <c r="F67" s="137" t="s">
        <v>266</v>
      </c>
      <c r="G67" s="137" t="s">
        <v>42</v>
      </c>
      <c r="H67" s="247" t="s">
        <v>157</v>
      </c>
      <c r="I67" s="247" t="s">
        <v>155</v>
      </c>
      <c r="J67" s="137" t="s">
        <v>38</v>
      </c>
      <c r="K67" s="247" t="s">
        <v>156</v>
      </c>
      <c r="L67" s="247">
        <v>3</v>
      </c>
      <c r="M67" s="247"/>
      <c r="N67" s="247">
        <v>4</v>
      </c>
      <c r="O67" s="247">
        <v>0.8</v>
      </c>
      <c r="P67" s="247">
        <v>0.85</v>
      </c>
      <c r="Q67" s="139">
        <f t="shared" ref="Q67:Q85" si="4">IF(OR(O67="",P67=""),"",AVERAGE(O67,P67))</f>
        <v>0.82499999999999996</v>
      </c>
      <c r="R67" s="142">
        <v>16.8</v>
      </c>
      <c r="S67" s="247">
        <v>141</v>
      </c>
      <c r="T67" s="140">
        <f t="shared" si="3"/>
        <v>22</v>
      </c>
      <c r="U67" s="247">
        <v>398</v>
      </c>
      <c r="V67" s="141">
        <f t="shared" ref="V67:V85" si="5">IF(OR(N67="",U67="",T67=""),"",U67/N67*T67)</f>
        <v>2189</v>
      </c>
      <c r="W67" s="247">
        <v>18</v>
      </c>
      <c r="X67" s="137" t="s">
        <v>46</v>
      </c>
      <c r="Y67" s="247" t="s">
        <v>86</v>
      </c>
      <c r="Z67" s="247" t="s">
        <v>97</v>
      </c>
      <c r="AA67" s="247" t="s">
        <v>64</v>
      </c>
      <c r="AB67" s="137" t="s">
        <v>432</v>
      </c>
      <c r="AC67" s="142"/>
    </row>
    <row r="68" spans="1:29" x14ac:dyDescent="0.15">
      <c r="A68" s="137" t="s">
        <v>61</v>
      </c>
      <c r="B68" s="137" t="s">
        <v>405</v>
      </c>
      <c r="C68" s="137">
        <v>2018</v>
      </c>
      <c r="D68" s="138" t="s">
        <v>406</v>
      </c>
      <c r="E68" s="137" t="s">
        <v>265</v>
      </c>
      <c r="F68" s="137" t="s">
        <v>266</v>
      </c>
      <c r="G68" s="137" t="s">
        <v>42</v>
      </c>
      <c r="H68" s="247" t="s">
        <v>165</v>
      </c>
      <c r="I68" s="247" t="s">
        <v>155</v>
      </c>
      <c r="J68" s="137" t="s">
        <v>38</v>
      </c>
      <c r="K68" s="247" t="s">
        <v>156</v>
      </c>
      <c r="L68" s="247">
        <v>1</v>
      </c>
      <c r="M68" s="247"/>
      <c r="N68" s="247">
        <v>1</v>
      </c>
      <c r="O68" s="247">
        <v>0.5</v>
      </c>
      <c r="P68" s="247">
        <v>0.5</v>
      </c>
      <c r="Q68" s="139">
        <f t="shared" si="4"/>
        <v>0.5</v>
      </c>
      <c r="R68" s="247">
        <v>17.8</v>
      </c>
      <c r="S68" s="247">
        <v>149</v>
      </c>
      <c r="T68" s="140">
        <f t="shared" si="3"/>
        <v>22</v>
      </c>
      <c r="U68" s="247">
        <v>198</v>
      </c>
      <c r="V68" s="141">
        <f t="shared" si="5"/>
        <v>4356</v>
      </c>
      <c r="W68" s="247">
        <v>18</v>
      </c>
      <c r="X68" s="137" t="s">
        <v>46</v>
      </c>
      <c r="Y68" s="247" t="s">
        <v>86</v>
      </c>
      <c r="Z68" s="247" t="s">
        <v>97</v>
      </c>
      <c r="AA68" s="247" t="s">
        <v>64</v>
      </c>
      <c r="AB68" s="137" t="s">
        <v>432</v>
      </c>
      <c r="AC68" s="142"/>
    </row>
    <row r="69" spans="1:29" x14ac:dyDescent="0.15">
      <c r="A69" s="137" t="s">
        <v>61</v>
      </c>
      <c r="B69" s="137" t="s">
        <v>405</v>
      </c>
      <c r="C69" s="137">
        <v>2018</v>
      </c>
      <c r="D69" s="138" t="s">
        <v>406</v>
      </c>
      <c r="E69" s="137" t="s">
        <v>265</v>
      </c>
      <c r="F69" s="137" t="s">
        <v>266</v>
      </c>
      <c r="G69" s="137" t="s">
        <v>42</v>
      </c>
      <c r="H69" s="247" t="s">
        <v>165</v>
      </c>
      <c r="I69" s="247" t="s">
        <v>155</v>
      </c>
      <c r="J69" s="137" t="s">
        <v>38</v>
      </c>
      <c r="K69" s="247" t="s">
        <v>156</v>
      </c>
      <c r="L69" s="247">
        <v>2</v>
      </c>
      <c r="M69" s="247"/>
      <c r="N69" s="247">
        <v>1</v>
      </c>
      <c r="O69" s="247">
        <v>0.55000000000000004</v>
      </c>
      <c r="P69" s="247">
        <v>0.55000000000000004</v>
      </c>
      <c r="Q69" s="139">
        <f t="shared" si="4"/>
        <v>0.55000000000000004</v>
      </c>
      <c r="R69" s="142">
        <v>17.7</v>
      </c>
      <c r="S69" s="247">
        <v>140</v>
      </c>
      <c r="T69" s="140">
        <f t="shared" si="3"/>
        <v>22</v>
      </c>
      <c r="U69" s="247">
        <v>198</v>
      </c>
      <c r="V69" s="141">
        <f t="shared" si="5"/>
        <v>4356</v>
      </c>
      <c r="W69" s="247">
        <v>18</v>
      </c>
      <c r="X69" s="137" t="s">
        <v>46</v>
      </c>
      <c r="Y69" s="247" t="s">
        <v>86</v>
      </c>
      <c r="Z69" s="247" t="s">
        <v>97</v>
      </c>
      <c r="AA69" s="247" t="s">
        <v>64</v>
      </c>
      <c r="AB69" s="137" t="s">
        <v>432</v>
      </c>
      <c r="AC69" s="142"/>
    </row>
    <row r="70" spans="1:29" x14ac:dyDescent="0.15">
      <c r="A70" s="137" t="s">
        <v>61</v>
      </c>
      <c r="B70" s="137" t="s">
        <v>405</v>
      </c>
      <c r="C70" s="137">
        <v>2018</v>
      </c>
      <c r="D70" s="138" t="s">
        <v>406</v>
      </c>
      <c r="E70" s="137" t="s">
        <v>265</v>
      </c>
      <c r="F70" s="137" t="s">
        <v>266</v>
      </c>
      <c r="G70" s="137" t="s">
        <v>42</v>
      </c>
      <c r="H70" s="247" t="s">
        <v>165</v>
      </c>
      <c r="I70" s="247" t="s">
        <v>155</v>
      </c>
      <c r="J70" s="137" t="s">
        <v>38</v>
      </c>
      <c r="K70" s="247" t="s">
        <v>156</v>
      </c>
      <c r="L70" s="247">
        <v>3</v>
      </c>
      <c r="M70" s="247"/>
      <c r="N70" s="247">
        <v>1</v>
      </c>
      <c r="O70" s="247">
        <v>0.5</v>
      </c>
      <c r="P70" s="247">
        <v>0.5</v>
      </c>
      <c r="Q70" s="139">
        <f t="shared" si="4"/>
        <v>0.5</v>
      </c>
      <c r="R70" s="142">
        <v>17.399999999999999</v>
      </c>
      <c r="S70" s="247">
        <v>141</v>
      </c>
      <c r="T70" s="140">
        <f t="shared" si="3"/>
        <v>22</v>
      </c>
      <c r="U70" s="247">
        <v>198</v>
      </c>
      <c r="V70" s="141">
        <f t="shared" si="5"/>
        <v>4356</v>
      </c>
      <c r="W70" s="247">
        <v>18</v>
      </c>
      <c r="X70" s="137" t="s">
        <v>46</v>
      </c>
      <c r="Y70" s="247" t="s">
        <v>86</v>
      </c>
      <c r="Z70" s="247" t="s">
        <v>97</v>
      </c>
      <c r="AA70" s="247" t="s">
        <v>64</v>
      </c>
      <c r="AB70" s="137" t="s">
        <v>432</v>
      </c>
      <c r="AC70" s="142"/>
    </row>
    <row r="71" spans="1:29" x14ac:dyDescent="0.15">
      <c r="A71" s="137" t="s">
        <v>61</v>
      </c>
      <c r="B71" s="137" t="s">
        <v>405</v>
      </c>
      <c r="C71" s="137">
        <v>2018</v>
      </c>
      <c r="D71" s="138" t="s">
        <v>406</v>
      </c>
      <c r="E71" s="137" t="s">
        <v>267</v>
      </c>
      <c r="F71" s="137" t="s">
        <v>266</v>
      </c>
      <c r="G71" s="137" t="s">
        <v>42</v>
      </c>
      <c r="H71" s="247" t="s">
        <v>157</v>
      </c>
      <c r="I71" s="247" t="s">
        <v>155</v>
      </c>
      <c r="J71" s="137" t="s">
        <v>38</v>
      </c>
      <c r="K71" s="247" t="s">
        <v>156</v>
      </c>
      <c r="L71" s="247">
        <v>1</v>
      </c>
      <c r="M71" s="247"/>
      <c r="N71" s="247">
        <v>1</v>
      </c>
      <c r="O71" s="247">
        <v>0.55000000000000004</v>
      </c>
      <c r="P71" s="247">
        <v>0.6</v>
      </c>
      <c r="Q71" s="139">
        <f t="shared" si="4"/>
        <v>0.57499999999999996</v>
      </c>
      <c r="R71" s="247">
        <v>17.2</v>
      </c>
      <c r="S71" s="247">
        <v>142</v>
      </c>
      <c r="T71" s="140">
        <f t="shared" si="3"/>
        <v>22</v>
      </c>
      <c r="U71" s="247">
        <v>149</v>
      </c>
      <c r="V71" s="141">
        <f t="shared" si="5"/>
        <v>3278</v>
      </c>
      <c r="W71" s="247">
        <v>24</v>
      </c>
      <c r="X71" s="137" t="s">
        <v>46</v>
      </c>
      <c r="Y71" s="247" t="s">
        <v>97</v>
      </c>
      <c r="Z71" s="247" t="s">
        <v>78</v>
      </c>
      <c r="AA71" s="247" t="s">
        <v>88</v>
      </c>
      <c r="AB71" s="137" t="s">
        <v>432</v>
      </c>
      <c r="AC71" s="142"/>
    </row>
    <row r="72" spans="1:29" x14ac:dyDescent="0.15">
      <c r="A72" s="137" t="s">
        <v>61</v>
      </c>
      <c r="B72" s="137" t="s">
        <v>405</v>
      </c>
      <c r="C72" s="137">
        <v>2018</v>
      </c>
      <c r="D72" s="138" t="s">
        <v>406</v>
      </c>
      <c r="E72" s="137" t="s">
        <v>267</v>
      </c>
      <c r="F72" s="137" t="s">
        <v>266</v>
      </c>
      <c r="G72" s="137" t="s">
        <v>42</v>
      </c>
      <c r="H72" s="247" t="s">
        <v>157</v>
      </c>
      <c r="I72" s="247" t="s">
        <v>155</v>
      </c>
      <c r="J72" s="137" t="s">
        <v>38</v>
      </c>
      <c r="K72" s="247" t="s">
        <v>156</v>
      </c>
      <c r="L72" s="247">
        <v>2</v>
      </c>
      <c r="M72" s="247"/>
      <c r="N72" s="247">
        <v>1</v>
      </c>
      <c r="O72" s="247">
        <v>0.55000000000000004</v>
      </c>
      <c r="P72" s="247">
        <v>0.55000000000000004</v>
      </c>
      <c r="Q72" s="139">
        <f t="shared" si="4"/>
        <v>0.55000000000000004</v>
      </c>
      <c r="R72" s="247">
        <v>17.100000000000001</v>
      </c>
      <c r="S72" s="247">
        <v>138</v>
      </c>
      <c r="T72" s="140">
        <f t="shared" si="3"/>
        <v>22</v>
      </c>
      <c r="U72" s="247">
        <v>149</v>
      </c>
      <c r="V72" s="141">
        <f t="shared" si="5"/>
        <v>3278</v>
      </c>
      <c r="W72" s="247">
        <v>24</v>
      </c>
      <c r="X72" s="137" t="s">
        <v>46</v>
      </c>
      <c r="Y72" s="247" t="s">
        <v>97</v>
      </c>
      <c r="Z72" s="247" t="s">
        <v>78</v>
      </c>
      <c r="AA72" s="247" t="s">
        <v>88</v>
      </c>
      <c r="AB72" s="137" t="s">
        <v>432</v>
      </c>
      <c r="AC72" s="142"/>
    </row>
    <row r="73" spans="1:29" x14ac:dyDescent="0.15">
      <c r="A73" s="137" t="s">
        <v>61</v>
      </c>
      <c r="B73" s="137" t="s">
        <v>405</v>
      </c>
      <c r="C73" s="137">
        <v>2018</v>
      </c>
      <c r="D73" s="138" t="s">
        <v>406</v>
      </c>
      <c r="E73" s="137" t="s">
        <v>267</v>
      </c>
      <c r="F73" s="137" t="s">
        <v>266</v>
      </c>
      <c r="G73" s="137" t="s">
        <v>42</v>
      </c>
      <c r="H73" s="247" t="s">
        <v>157</v>
      </c>
      <c r="I73" s="247" t="s">
        <v>155</v>
      </c>
      <c r="J73" s="137" t="s">
        <v>38</v>
      </c>
      <c r="K73" s="247" t="s">
        <v>156</v>
      </c>
      <c r="L73" s="247">
        <v>3</v>
      </c>
      <c r="M73" s="247"/>
      <c r="N73" s="247">
        <v>1</v>
      </c>
      <c r="O73" s="247">
        <v>0.6</v>
      </c>
      <c r="P73" s="247">
        <v>0.6</v>
      </c>
      <c r="Q73" s="139">
        <f t="shared" si="4"/>
        <v>0.6</v>
      </c>
      <c r="R73" s="247">
        <v>17</v>
      </c>
      <c r="S73" s="247">
        <v>141</v>
      </c>
      <c r="T73" s="140">
        <f t="shared" si="3"/>
        <v>22</v>
      </c>
      <c r="U73" s="247">
        <v>149</v>
      </c>
      <c r="V73" s="141">
        <f t="shared" si="5"/>
        <v>3278</v>
      </c>
      <c r="W73" s="247">
        <v>24</v>
      </c>
      <c r="X73" s="137" t="s">
        <v>46</v>
      </c>
      <c r="Y73" s="247" t="s">
        <v>97</v>
      </c>
      <c r="Z73" s="247" t="s">
        <v>78</v>
      </c>
      <c r="AA73" s="247" t="s">
        <v>88</v>
      </c>
      <c r="AB73" s="137" t="s">
        <v>432</v>
      </c>
      <c r="AC73" s="142"/>
    </row>
    <row r="74" spans="1:29" x14ac:dyDescent="0.15">
      <c r="A74" s="137" t="s">
        <v>61</v>
      </c>
      <c r="B74" s="137" t="s">
        <v>405</v>
      </c>
      <c r="C74" s="137">
        <v>2018</v>
      </c>
      <c r="D74" s="138" t="s">
        <v>406</v>
      </c>
      <c r="E74" s="137" t="s">
        <v>267</v>
      </c>
      <c r="F74" s="137" t="s">
        <v>266</v>
      </c>
      <c r="G74" s="137" t="s">
        <v>42</v>
      </c>
      <c r="H74" s="247" t="s">
        <v>217</v>
      </c>
      <c r="I74" s="247" t="s">
        <v>155</v>
      </c>
      <c r="J74" s="137" t="s">
        <v>38</v>
      </c>
      <c r="K74" s="247" t="s">
        <v>156</v>
      </c>
      <c r="L74" s="247">
        <v>1</v>
      </c>
      <c r="M74" s="247"/>
      <c r="N74" s="247">
        <v>4</v>
      </c>
      <c r="O74" s="247">
        <v>0.5</v>
      </c>
      <c r="P74" s="247">
        <v>0.55000000000000004</v>
      </c>
      <c r="Q74" s="139">
        <f t="shared" si="4"/>
        <v>0.52500000000000002</v>
      </c>
      <c r="R74" s="247">
        <v>18.7</v>
      </c>
      <c r="S74" s="247">
        <v>102</v>
      </c>
      <c r="T74" s="140">
        <f t="shared" si="3"/>
        <v>33</v>
      </c>
      <c r="U74" s="247">
        <v>321</v>
      </c>
      <c r="V74" s="141">
        <f t="shared" si="5"/>
        <v>2648.25</v>
      </c>
      <c r="W74" s="247">
        <v>24</v>
      </c>
      <c r="X74" s="137" t="s">
        <v>46</v>
      </c>
      <c r="Y74" s="247" t="s">
        <v>97</v>
      </c>
      <c r="Z74" s="247" t="s">
        <v>78</v>
      </c>
      <c r="AA74" s="247" t="s">
        <v>88</v>
      </c>
      <c r="AB74" s="137" t="s">
        <v>432</v>
      </c>
      <c r="AC74" s="247"/>
    </row>
    <row r="75" spans="1:29" x14ac:dyDescent="0.15">
      <c r="A75" s="137" t="s">
        <v>61</v>
      </c>
      <c r="B75" s="137" t="s">
        <v>405</v>
      </c>
      <c r="C75" s="137">
        <v>2018</v>
      </c>
      <c r="D75" s="138" t="s">
        <v>406</v>
      </c>
      <c r="E75" s="137" t="s">
        <v>267</v>
      </c>
      <c r="F75" s="137" t="s">
        <v>266</v>
      </c>
      <c r="G75" s="137" t="s">
        <v>42</v>
      </c>
      <c r="H75" s="247" t="s">
        <v>217</v>
      </c>
      <c r="I75" s="247" t="s">
        <v>155</v>
      </c>
      <c r="J75" s="137" t="s">
        <v>38</v>
      </c>
      <c r="K75" s="247" t="s">
        <v>156</v>
      </c>
      <c r="L75" s="247">
        <v>2</v>
      </c>
      <c r="M75" s="247"/>
      <c r="N75" s="247">
        <v>4</v>
      </c>
      <c r="O75" s="247">
        <v>0.5</v>
      </c>
      <c r="P75" s="247">
        <v>0.5</v>
      </c>
      <c r="Q75" s="139">
        <f t="shared" si="4"/>
        <v>0.5</v>
      </c>
      <c r="R75" s="247">
        <v>19</v>
      </c>
      <c r="S75" s="247">
        <v>106</v>
      </c>
      <c r="T75" s="140">
        <f t="shared" si="3"/>
        <v>33</v>
      </c>
      <c r="U75" s="247">
        <v>321</v>
      </c>
      <c r="V75" s="141">
        <f t="shared" si="5"/>
        <v>2648.25</v>
      </c>
      <c r="W75" s="247">
        <v>24</v>
      </c>
      <c r="X75" s="137" t="s">
        <v>46</v>
      </c>
      <c r="Y75" s="247" t="s">
        <v>97</v>
      </c>
      <c r="Z75" s="247" t="s">
        <v>78</v>
      </c>
      <c r="AA75" s="247" t="s">
        <v>88</v>
      </c>
      <c r="AB75" s="137" t="s">
        <v>432</v>
      </c>
      <c r="AC75" s="247"/>
    </row>
    <row r="76" spans="1:29" x14ac:dyDescent="0.15">
      <c r="A76" s="137" t="s">
        <v>61</v>
      </c>
      <c r="B76" s="137" t="s">
        <v>405</v>
      </c>
      <c r="C76" s="137">
        <v>2018</v>
      </c>
      <c r="D76" s="138" t="s">
        <v>406</v>
      </c>
      <c r="E76" s="137" t="s">
        <v>267</v>
      </c>
      <c r="F76" s="137" t="s">
        <v>266</v>
      </c>
      <c r="G76" s="137" t="s">
        <v>42</v>
      </c>
      <c r="H76" s="247" t="s">
        <v>217</v>
      </c>
      <c r="I76" s="247" t="s">
        <v>155</v>
      </c>
      <c r="J76" s="137" t="s">
        <v>38</v>
      </c>
      <c r="K76" s="247" t="s">
        <v>156</v>
      </c>
      <c r="L76" s="247">
        <v>3</v>
      </c>
      <c r="M76" s="247"/>
      <c r="N76" s="247">
        <v>4</v>
      </c>
      <c r="O76" s="247">
        <v>0.55000000000000004</v>
      </c>
      <c r="P76" s="247">
        <v>0.6</v>
      </c>
      <c r="Q76" s="139">
        <f t="shared" si="4"/>
        <v>0.57499999999999996</v>
      </c>
      <c r="R76" s="247">
        <v>18.899999999999999</v>
      </c>
      <c r="S76" s="247">
        <v>99</v>
      </c>
      <c r="T76" s="140">
        <f t="shared" si="3"/>
        <v>33</v>
      </c>
      <c r="U76" s="247">
        <v>321</v>
      </c>
      <c r="V76" s="141">
        <f t="shared" si="5"/>
        <v>2648.25</v>
      </c>
      <c r="W76" s="247">
        <v>24</v>
      </c>
      <c r="X76" s="137" t="s">
        <v>46</v>
      </c>
      <c r="Y76" s="247" t="s">
        <v>97</v>
      </c>
      <c r="Z76" s="247" t="s">
        <v>78</v>
      </c>
      <c r="AA76" s="247" t="s">
        <v>88</v>
      </c>
      <c r="AB76" s="137" t="s">
        <v>432</v>
      </c>
      <c r="AC76" s="247"/>
    </row>
    <row r="77" spans="1:29" x14ac:dyDescent="0.15">
      <c r="A77" s="137" t="s">
        <v>61</v>
      </c>
      <c r="B77" s="137" t="s">
        <v>405</v>
      </c>
      <c r="C77" s="137">
        <v>2018</v>
      </c>
      <c r="D77" s="138" t="s">
        <v>406</v>
      </c>
      <c r="E77" s="137" t="s">
        <v>267</v>
      </c>
      <c r="F77" s="137" t="s">
        <v>266</v>
      </c>
      <c r="G77" s="137" t="s">
        <v>42</v>
      </c>
      <c r="H77" s="247" t="s">
        <v>165</v>
      </c>
      <c r="I77" s="247" t="s">
        <v>155</v>
      </c>
      <c r="J77" s="137" t="s">
        <v>38</v>
      </c>
      <c r="K77" s="247" t="s">
        <v>156</v>
      </c>
      <c r="L77" s="247">
        <v>1</v>
      </c>
      <c r="M77" s="247"/>
      <c r="N77" s="247">
        <v>1</v>
      </c>
      <c r="O77" s="247">
        <v>0.6</v>
      </c>
      <c r="P77" s="247">
        <v>0.6</v>
      </c>
      <c r="Q77" s="139">
        <f t="shared" si="4"/>
        <v>0.6</v>
      </c>
      <c r="R77" s="247">
        <v>17.600000000000001</v>
      </c>
      <c r="S77" s="247">
        <v>140</v>
      </c>
      <c r="T77" s="140">
        <f t="shared" si="3"/>
        <v>22</v>
      </c>
      <c r="U77" s="247">
        <v>149</v>
      </c>
      <c r="V77" s="141">
        <f t="shared" si="5"/>
        <v>3278</v>
      </c>
      <c r="W77" s="247">
        <v>24</v>
      </c>
      <c r="X77" s="137" t="s">
        <v>46</v>
      </c>
      <c r="Y77" s="247" t="s">
        <v>97</v>
      </c>
      <c r="Z77" s="247" t="s">
        <v>78</v>
      </c>
      <c r="AA77" s="247" t="s">
        <v>88</v>
      </c>
      <c r="AB77" s="137" t="s">
        <v>432</v>
      </c>
      <c r="AC77" s="247"/>
    </row>
    <row r="78" spans="1:29" x14ac:dyDescent="0.15">
      <c r="A78" s="137" t="s">
        <v>61</v>
      </c>
      <c r="B78" s="137" t="s">
        <v>405</v>
      </c>
      <c r="C78" s="137">
        <v>2018</v>
      </c>
      <c r="D78" s="138" t="s">
        <v>406</v>
      </c>
      <c r="E78" s="137" t="s">
        <v>267</v>
      </c>
      <c r="F78" s="137" t="s">
        <v>266</v>
      </c>
      <c r="G78" s="137" t="s">
        <v>42</v>
      </c>
      <c r="H78" s="247" t="s">
        <v>165</v>
      </c>
      <c r="I78" s="247" t="s">
        <v>155</v>
      </c>
      <c r="J78" s="137" t="s">
        <v>38</v>
      </c>
      <c r="K78" s="247" t="s">
        <v>156</v>
      </c>
      <c r="L78" s="247">
        <v>2</v>
      </c>
      <c r="M78" s="247"/>
      <c r="N78" s="247">
        <v>1</v>
      </c>
      <c r="O78" s="247">
        <v>0.55000000000000004</v>
      </c>
      <c r="P78" s="247">
        <v>0.5</v>
      </c>
      <c r="Q78" s="139">
        <f t="shared" si="4"/>
        <v>0.52500000000000002</v>
      </c>
      <c r="R78" s="247">
        <v>17.8</v>
      </c>
      <c r="S78" s="247">
        <v>143</v>
      </c>
      <c r="T78" s="140">
        <f t="shared" si="3"/>
        <v>22</v>
      </c>
      <c r="U78" s="247">
        <v>149</v>
      </c>
      <c r="V78" s="141">
        <f t="shared" si="5"/>
        <v>3278</v>
      </c>
      <c r="W78" s="247">
        <v>24</v>
      </c>
      <c r="X78" s="137" t="s">
        <v>46</v>
      </c>
      <c r="Y78" s="247" t="s">
        <v>97</v>
      </c>
      <c r="Z78" s="247" t="s">
        <v>78</v>
      </c>
      <c r="AA78" s="247" t="s">
        <v>88</v>
      </c>
      <c r="AB78" s="137" t="s">
        <v>432</v>
      </c>
      <c r="AC78" s="247"/>
    </row>
    <row r="79" spans="1:29" x14ac:dyDescent="0.15">
      <c r="A79" s="137" t="s">
        <v>61</v>
      </c>
      <c r="B79" s="137" t="s">
        <v>405</v>
      </c>
      <c r="C79" s="137">
        <v>2018</v>
      </c>
      <c r="D79" s="138" t="s">
        <v>406</v>
      </c>
      <c r="E79" s="137" t="s">
        <v>267</v>
      </c>
      <c r="F79" s="137" t="s">
        <v>266</v>
      </c>
      <c r="G79" s="137" t="s">
        <v>42</v>
      </c>
      <c r="H79" s="247" t="s">
        <v>165</v>
      </c>
      <c r="I79" s="247" t="s">
        <v>155</v>
      </c>
      <c r="J79" s="137" t="s">
        <v>38</v>
      </c>
      <c r="K79" s="247" t="s">
        <v>156</v>
      </c>
      <c r="L79" s="247">
        <v>3</v>
      </c>
      <c r="M79" s="247"/>
      <c r="N79" s="247">
        <v>1</v>
      </c>
      <c r="O79" s="247">
        <v>0.6</v>
      </c>
      <c r="P79" s="247">
        <v>0.6</v>
      </c>
      <c r="Q79" s="139">
        <f t="shared" si="4"/>
        <v>0.6</v>
      </c>
      <c r="R79" s="247">
        <v>18</v>
      </c>
      <c r="S79" s="247">
        <v>137</v>
      </c>
      <c r="T79" s="140">
        <f t="shared" si="3"/>
        <v>25</v>
      </c>
      <c r="U79" s="247">
        <v>149</v>
      </c>
      <c r="V79" s="141">
        <f t="shared" si="5"/>
        <v>3725</v>
      </c>
      <c r="W79" s="247">
        <v>24</v>
      </c>
      <c r="X79" s="137" t="s">
        <v>46</v>
      </c>
      <c r="Y79" s="247" t="s">
        <v>97</v>
      </c>
      <c r="Z79" s="247" t="s">
        <v>78</v>
      </c>
      <c r="AA79" s="247" t="s">
        <v>88</v>
      </c>
      <c r="AB79" s="137" t="s">
        <v>432</v>
      </c>
      <c r="AC79" s="247"/>
    </row>
    <row r="80" spans="1:29" x14ac:dyDescent="0.15">
      <c r="A80" s="137"/>
      <c r="B80" s="137"/>
      <c r="C80" s="137"/>
      <c r="D80" s="138"/>
      <c r="E80" s="137"/>
      <c r="F80" s="137"/>
      <c r="G80" s="137"/>
      <c r="H80" s="247"/>
      <c r="I80" s="247"/>
      <c r="J80" s="137"/>
      <c r="K80" s="247"/>
      <c r="L80" s="247"/>
      <c r="M80" s="247"/>
      <c r="N80" s="247"/>
      <c r="O80" s="247"/>
      <c r="P80" s="247"/>
      <c r="Q80" s="139" t="str">
        <f t="shared" si="4"/>
        <v/>
      </c>
      <c r="R80" s="247"/>
      <c r="S80" s="247"/>
      <c r="T80" s="140" t="str">
        <f t="shared" si="3"/>
        <v/>
      </c>
      <c r="U80" s="247"/>
      <c r="V80" s="141" t="str">
        <f t="shared" si="5"/>
        <v/>
      </c>
      <c r="W80" s="247"/>
      <c r="X80" s="137"/>
      <c r="Y80" s="247"/>
      <c r="Z80" s="247"/>
      <c r="AA80" s="247"/>
      <c r="AB80" s="137"/>
      <c r="AC80" s="247"/>
    </row>
    <row r="81" spans="1:29" x14ac:dyDescent="0.15">
      <c r="A81" s="137"/>
      <c r="B81" s="137"/>
      <c r="C81" s="137"/>
      <c r="D81" s="138"/>
      <c r="E81" s="137"/>
      <c r="F81" s="137"/>
      <c r="G81" s="137"/>
      <c r="H81" s="247"/>
      <c r="I81" s="247"/>
      <c r="J81" s="137"/>
      <c r="K81" s="247"/>
      <c r="L81" s="247"/>
      <c r="M81" s="247"/>
      <c r="N81" s="247"/>
      <c r="O81" s="247"/>
      <c r="P81" s="247"/>
      <c r="Q81" s="139" t="str">
        <f t="shared" si="4"/>
        <v/>
      </c>
      <c r="R81" s="247"/>
      <c r="S81" s="247"/>
      <c r="T81" s="140" t="str">
        <f t="shared" si="3"/>
        <v/>
      </c>
      <c r="U81" s="247"/>
      <c r="V81" s="141" t="str">
        <f t="shared" si="5"/>
        <v/>
      </c>
      <c r="W81" s="247"/>
      <c r="X81" s="137"/>
      <c r="Y81" s="247"/>
      <c r="Z81" s="247"/>
      <c r="AA81" s="247"/>
      <c r="AB81" s="137"/>
      <c r="AC81" s="247"/>
    </row>
    <row r="82" spans="1:29" x14ac:dyDescent="0.15">
      <c r="A82" s="137"/>
      <c r="B82" s="137"/>
      <c r="C82" s="137"/>
      <c r="D82" s="138"/>
      <c r="E82" s="137"/>
      <c r="F82" s="137"/>
      <c r="G82" s="137"/>
      <c r="H82" s="247"/>
      <c r="I82" s="247"/>
      <c r="J82" s="137"/>
      <c r="K82" s="247"/>
      <c r="L82" s="247"/>
      <c r="M82" s="247"/>
      <c r="N82" s="247"/>
      <c r="O82" s="247"/>
      <c r="P82" s="247"/>
      <c r="Q82" s="139" t="str">
        <f t="shared" si="4"/>
        <v/>
      </c>
      <c r="R82" s="247"/>
      <c r="S82" s="247"/>
      <c r="T82" s="140" t="str">
        <f t="shared" si="3"/>
        <v/>
      </c>
      <c r="U82" s="247"/>
      <c r="V82" s="141" t="str">
        <f t="shared" si="5"/>
        <v/>
      </c>
      <c r="W82" s="247"/>
      <c r="X82" s="137"/>
      <c r="Y82" s="247"/>
      <c r="Z82" s="247"/>
      <c r="AA82" s="247"/>
      <c r="AB82" s="137"/>
      <c r="AC82" s="247"/>
    </row>
    <row r="83" spans="1:29" x14ac:dyDescent="0.15">
      <c r="A83" s="137"/>
      <c r="B83" s="137"/>
      <c r="C83" s="137"/>
      <c r="D83" s="138"/>
      <c r="E83" s="137"/>
      <c r="F83" s="137"/>
      <c r="G83" s="137"/>
      <c r="H83" s="247"/>
      <c r="I83" s="247"/>
      <c r="J83" s="137"/>
      <c r="K83" s="247"/>
      <c r="L83" s="247"/>
      <c r="M83" s="247"/>
      <c r="N83" s="247"/>
      <c r="O83" s="247"/>
      <c r="P83" s="247"/>
      <c r="Q83" s="139" t="str">
        <f t="shared" si="4"/>
        <v/>
      </c>
      <c r="R83" s="247"/>
      <c r="S83" s="247"/>
      <c r="T83" s="140" t="str">
        <f t="shared" si="3"/>
        <v/>
      </c>
      <c r="U83" s="247"/>
      <c r="V83" s="141" t="str">
        <f t="shared" si="5"/>
        <v/>
      </c>
      <c r="W83" s="247"/>
      <c r="X83" s="137"/>
      <c r="Y83" s="247"/>
      <c r="Z83" s="247"/>
      <c r="AA83" s="247"/>
      <c r="AB83" s="137"/>
      <c r="AC83" s="247"/>
    </row>
    <row r="84" spans="1:29" x14ac:dyDescent="0.15">
      <c r="A84" s="137"/>
      <c r="B84" s="137"/>
      <c r="C84" s="137"/>
      <c r="D84" s="138"/>
      <c r="E84" s="137"/>
      <c r="F84" s="137"/>
      <c r="G84" s="137"/>
      <c r="H84" s="247"/>
      <c r="I84" s="247"/>
      <c r="J84" s="137"/>
      <c r="K84" s="247"/>
      <c r="L84" s="247"/>
      <c r="M84" s="247"/>
      <c r="N84" s="247"/>
      <c r="O84" s="247"/>
      <c r="P84" s="247"/>
      <c r="Q84" s="139" t="str">
        <f t="shared" si="4"/>
        <v/>
      </c>
      <c r="R84" s="247"/>
      <c r="S84" s="247"/>
      <c r="T84" s="140" t="str">
        <f t="shared" si="3"/>
        <v/>
      </c>
      <c r="U84" s="247"/>
      <c r="V84" s="141" t="str">
        <f t="shared" si="5"/>
        <v/>
      </c>
      <c r="W84" s="247"/>
      <c r="X84" s="137"/>
      <c r="Y84" s="247"/>
      <c r="Z84" s="247"/>
      <c r="AA84" s="247"/>
      <c r="AB84" s="137"/>
      <c r="AC84" s="247"/>
    </row>
    <row r="85" spans="1:29" x14ac:dyDescent="0.15">
      <c r="A85" s="137"/>
      <c r="B85" s="137"/>
      <c r="C85" s="137"/>
      <c r="D85" s="138"/>
      <c r="E85" s="137"/>
      <c r="F85" s="137"/>
      <c r="G85" s="137"/>
      <c r="H85" s="247"/>
      <c r="I85" s="247"/>
      <c r="J85" s="137"/>
      <c r="K85" s="247"/>
      <c r="L85" s="247"/>
      <c r="M85" s="247"/>
      <c r="N85" s="247"/>
      <c r="O85" s="247"/>
      <c r="P85" s="247"/>
      <c r="Q85" s="139" t="str">
        <f t="shared" si="4"/>
        <v/>
      </c>
      <c r="R85" s="247"/>
      <c r="S85" s="247"/>
      <c r="T85" s="140" t="str">
        <f t="shared" si="3"/>
        <v/>
      </c>
      <c r="U85" s="247"/>
      <c r="V85" s="141" t="str">
        <f t="shared" si="5"/>
        <v/>
      </c>
      <c r="W85" s="247"/>
      <c r="X85" s="137"/>
      <c r="Y85" s="247"/>
      <c r="Z85" s="247"/>
      <c r="AA85" s="247"/>
      <c r="AB85" s="137"/>
      <c r="AC85" s="247"/>
    </row>
    <row r="86" spans="1:29" x14ac:dyDescent="0.15">
      <c r="A86" s="137"/>
      <c r="B86" s="137"/>
      <c r="C86" s="137"/>
      <c r="D86" s="138"/>
      <c r="E86" s="247"/>
      <c r="F86" s="247"/>
      <c r="G86" s="137"/>
      <c r="H86" s="247"/>
      <c r="I86" s="247"/>
      <c r="J86" s="137"/>
      <c r="K86" s="247"/>
      <c r="L86" s="247"/>
      <c r="M86" s="247"/>
      <c r="N86" s="247"/>
      <c r="O86" s="247"/>
      <c r="P86" s="247"/>
      <c r="Q86" s="139"/>
      <c r="R86" s="247"/>
      <c r="S86" s="247"/>
      <c r="T86" s="140"/>
      <c r="U86" s="247"/>
      <c r="V86" s="141"/>
      <c r="W86" s="247"/>
      <c r="X86" s="137"/>
      <c r="Y86" s="247"/>
      <c r="Z86" s="247"/>
      <c r="AA86" s="247"/>
      <c r="AB86" s="137"/>
      <c r="AC86" s="247"/>
    </row>
    <row r="87" spans="1:29" x14ac:dyDescent="0.15">
      <c r="A87" s="137"/>
      <c r="B87" s="137"/>
      <c r="C87" s="137"/>
      <c r="D87" s="138"/>
      <c r="E87" s="247"/>
      <c r="F87" s="247"/>
      <c r="G87" s="137"/>
      <c r="H87" s="247"/>
      <c r="I87" s="247"/>
      <c r="J87" s="137"/>
      <c r="K87" s="247"/>
      <c r="L87" s="247"/>
      <c r="M87" s="247"/>
      <c r="N87" s="247"/>
      <c r="O87" s="247"/>
      <c r="P87" s="247"/>
      <c r="Q87" s="139"/>
      <c r="R87" s="247"/>
      <c r="S87" s="247"/>
      <c r="T87" s="140"/>
      <c r="U87" s="247"/>
      <c r="V87" s="141"/>
      <c r="W87" s="247"/>
      <c r="X87" s="137"/>
      <c r="Y87" s="247"/>
      <c r="Z87" s="247"/>
      <c r="AA87" s="247"/>
      <c r="AB87" s="137"/>
      <c r="AC87" s="247"/>
    </row>
    <row r="88" spans="1:29" x14ac:dyDescent="0.15">
      <c r="A88" s="137"/>
      <c r="B88" s="137"/>
      <c r="C88" s="137"/>
      <c r="D88" s="138"/>
      <c r="E88" s="247"/>
      <c r="F88" s="247"/>
      <c r="G88" s="137"/>
      <c r="H88" s="247"/>
      <c r="I88" s="247"/>
      <c r="J88" s="137"/>
      <c r="K88" s="247"/>
      <c r="L88" s="247"/>
      <c r="M88" s="247"/>
      <c r="N88" s="247"/>
      <c r="O88" s="247"/>
      <c r="P88" s="247"/>
      <c r="Q88" s="139"/>
      <c r="R88" s="247"/>
      <c r="S88" s="247"/>
      <c r="T88" s="140"/>
      <c r="U88" s="247"/>
      <c r="V88" s="141"/>
      <c r="W88" s="247"/>
      <c r="X88" s="137"/>
      <c r="Y88" s="247"/>
      <c r="Z88" s="247"/>
      <c r="AA88" s="247"/>
      <c r="AB88" s="137"/>
      <c r="AC88" s="247"/>
    </row>
    <row r="89" spans="1:29" x14ac:dyDescent="0.15">
      <c r="A89" s="137"/>
      <c r="B89" s="137"/>
      <c r="C89" s="137"/>
      <c r="D89" s="138"/>
      <c r="E89" s="247"/>
      <c r="F89" s="247"/>
      <c r="G89" s="137"/>
      <c r="H89" s="247"/>
      <c r="I89" s="247"/>
      <c r="J89" s="137"/>
      <c r="K89" s="247"/>
      <c r="L89" s="247"/>
      <c r="M89" s="247"/>
      <c r="N89" s="247"/>
      <c r="O89" s="247"/>
      <c r="P89" s="247"/>
      <c r="Q89" s="139"/>
      <c r="R89" s="247"/>
      <c r="S89" s="247"/>
      <c r="T89" s="140"/>
      <c r="U89" s="247"/>
      <c r="V89" s="141"/>
      <c r="W89" s="247"/>
      <c r="X89" s="137"/>
      <c r="Y89" s="247"/>
      <c r="Z89" s="247"/>
      <c r="AA89" s="247"/>
      <c r="AB89" s="137"/>
      <c r="AC89" s="247"/>
    </row>
    <row r="90" spans="1:29" x14ac:dyDescent="0.15">
      <c r="A90" s="137"/>
      <c r="B90" s="137"/>
      <c r="C90" s="137"/>
      <c r="D90" s="138"/>
      <c r="E90" s="247"/>
      <c r="F90" s="247"/>
      <c r="G90" s="137"/>
      <c r="H90" s="247"/>
      <c r="I90" s="247"/>
      <c r="J90" s="137"/>
      <c r="K90" s="247"/>
      <c r="L90" s="247"/>
      <c r="M90" s="247"/>
      <c r="N90" s="247"/>
      <c r="O90" s="247"/>
      <c r="P90" s="247"/>
      <c r="Q90" s="139"/>
      <c r="R90" s="247"/>
      <c r="S90" s="247"/>
      <c r="T90" s="140"/>
      <c r="U90" s="247"/>
      <c r="V90" s="141"/>
      <c r="W90" s="247"/>
      <c r="X90" s="137"/>
      <c r="Y90" s="247"/>
      <c r="Z90" s="247"/>
      <c r="AA90" s="247"/>
      <c r="AB90" s="137"/>
      <c r="AC90" s="247"/>
    </row>
    <row r="91" spans="1:29" x14ac:dyDescent="0.15">
      <c r="A91" s="137"/>
      <c r="B91" s="137"/>
      <c r="C91" s="137"/>
      <c r="D91" s="138"/>
      <c r="E91" s="247"/>
      <c r="F91" s="247"/>
      <c r="G91" s="137"/>
      <c r="H91" s="247"/>
      <c r="I91" s="247"/>
      <c r="J91" s="137"/>
      <c r="K91" s="247"/>
      <c r="L91" s="247"/>
      <c r="M91" s="247"/>
      <c r="N91" s="247"/>
      <c r="O91" s="247"/>
      <c r="P91" s="247"/>
      <c r="Q91" s="139"/>
      <c r="R91" s="247"/>
      <c r="S91" s="247"/>
      <c r="T91" s="140"/>
      <c r="U91" s="247"/>
      <c r="V91" s="141"/>
      <c r="W91" s="247"/>
      <c r="X91" s="137"/>
      <c r="Y91" s="247"/>
      <c r="Z91" s="247"/>
      <c r="AA91" s="247"/>
      <c r="AB91" s="137"/>
      <c r="AC91" s="247"/>
    </row>
    <row r="92" spans="1:29" x14ac:dyDescent="0.15">
      <c r="A92" s="137"/>
      <c r="B92" s="137"/>
      <c r="C92" s="137"/>
      <c r="D92" s="138"/>
      <c r="E92" s="247"/>
      <c r="F92" s="247"/>
      <c r="G92" s="137"/>
      <c r="H92" s="247"/>
      <c r="I92" s="247"/>
      <c r="J92" s="137"/>
      <c r="K92" s="247"/>
      <c r="L92" s="247"/>
      <c r="M92" s="247"/>
      <c r="N92" s="247"/>
      <c r="O92" s="247"/>
      <c r="P92" s="247"/>
      <c r="Q92" s="139"/>
      <c r="R92" s="247"/>
      <c r="S92" s="247"/>
      <c r="T92" s="140"/>
      <c r="U92" s="247"/>
      <c r="V92" s="141"/>
      <c r="W92" s="247"/>
      <c r="X92" s="137"/>
      <c r="Y92" s="247"/>
      <c r="Z92" s="247"/>
      <c r="AA92" s="247"/>
      <c r="AB92" s="137"/>
      <c r="AC92" s="247"/>
    </row>
    <row r="93" spans="1:29" x14ac:dyDescent="0.15">
      <c r="A93" s="137"/>
      <c r="B93" s="137"/>
      <c r="C93" s="137"/>
      <c r="D93" s="138"/>
      <c r="E93" s="247"/>
      <c r="F93" s="247"/>
      <c r="G93" s="137"/>
      <c r="H93" s="247"/>
      <c r="I93" s="247"/>
      <c r="J93" s="137"/>
      <c r="K93" s="247"/>
      <c r="L93" s="247"/>
      <c r="M93" s="247"/>
      <c r="N93" s="247"/>
      <c r="O93" s="247"/>
      <c r="P93" s="247"/>
      <c r="Q93" s="139"/>
      <c r="R93" s="247"/>
      <c r="S93" s="247"/>
      <c r="T93" s="140"/>
      <c r="U93" s="247"/>
      <c r="V93" s="141"/>
      <c r="W93" s="247"/>
      <c r="X93" s="137"/>
      <c r="Y93" s="247"/>
      <c r="Z93" s="247"/>
      <c r="AA93" s="247"/>
      <c r="AB93" s="137"/>
      <c r="AC93" s="247"/>
    </row>
    <row r="94" spans="1:29" x14ac:dyDescent="0.15">
      <c r="A94" s="137"/>
      <c r="B94" s="137"/>
      <c r="C94" s="137"/>
      <c r="D94" s="138"/>
      <c r="E94" s="247"/>
      <c r="F94" s="247"/>
      <c r="G94" s="137"/>
      <c r="H94" s="247"/>
      <c r="I94" s="247"/>
      <c r="J94" s="137"/>
      <c r="K94" s="247"/>
      <c r="L94" s="247"/>
      <c r="M94" s="247"/>
      <c r="N94" s="247"/>
      <c r="O94" s="247"/>
      <c r="P94" s="247"/>
      <c r="Q94" s="139"/>
      <c r="R94" s="247"/>
      <c r="S94" s="247"/>
      <c r="T94" s="140"/>
      <c r="U94" s="247"/>
      <c r="V94" s="141"/>
      <c r="W94" s="247"/>
      <c r="X94" s="137"/>
      <c r="Y94" s="247"/>
      <c r="Z94" s="247"/>
      <c r="AA94" s="247"/>
      <c r="AB94" s="137"/>
      <c r="AC94" s="247"/>
    </row>
    <row r="95" spans="1:29" x14ac:dyDescent="0.15">
      <c r="K95" s="247"/>
      <c r="AC95" s="247"/>
    </row>
    <row r="96" spans="1:29" x14ac:dyDescent="0.15">
      <c r="A96" s="137"/>
      <c r="B96" s="137"/>
      <c r="C96" s="137"/>
      <c r="D96" s="138"/>
      <c r="E96" s="247"/>
      <c r="F96" s="247"/>
      <c r="G96" s="137"/>
      <c r="H96" s="247"/>
      <c r="I96" s="247"/>
      <c r="J96" s="137"/>
      <c r="K96" s="247"/>
      <c r="L96" s="247"/>
      <c r="M96" s="247"/>
      <c r="N96" s="247"/>
      <c r="O96" s="247"/>
      <c r="P96" s="247"/>
      <c r="Q96" s="139"/>
      <c r="R96" s="247"/>
      <c r="S96" s="247"/>
      <c r="T96" s="140"/>
      <c r="U96" s="247"/>
      <c r="V96" s="141"/>
      <c r="W96" s="247"/>
      <c r="X96" s="137"/>
      <c r="Y96" s="247"/>
      <c r="Z96" s="247"/>
      <c r="AA96" s="247"/>
      <c r="AB96" s="137"/>
      <c r="AC96" s="247"/>
    </row>
    <row r="97" spans="1:29" x14ac:dyDescent="0.15">
      <c r="A97" s="137"/>
      <c r="B97" s="137"/>
      <c r="C97" s="137"/>
      <c r="D97" s="138"/>
      <c r="E97" s="247"/>
      <c r="F97" s="247"/>
      <c r="G97" s="137"/>
      <c r="H97" s="247"/>
      <c r="I97" s="247"/>
      <c r="J97" s="137"/>
      <c r="K97" s="247"/>
      <c r="L97" s="247"/>
      <c r="M97" s="247"/>
      <c r="N97" s="247"/>
      <c r="O97" s="247"/>
      <c r="P97" s="247"/>
      <c r="Q97" s="139"/>
      <c r="R97" s="247"/>
      <c r="S97" s="247"/>
      <c r="T97" s="140"/>
      <c r="U97" s="247"/>
      <c r="V97" s="141"/>
      <c r="W97" s="247"/>
      <c r="X97" s="137"/>
      <c r="Y97" s="247"/>
      <c r="Z97" s="247"/>
      <c r="AA97" s="247"/>
      <c r="AB97" s="137"/>
      <c r="AC97" s="247"/>
    </row>
    <row r="98" spans="1:29" x14ac:dyDescent="0.15">
      <c r="A98" s="137"/>
      <c r="B98" s="137"/>
      <c r="C98" s="137"/>
      <c r="D98" s="138"/>
      <c r="E98" s="247"/>
      <c r="F98" s="247"/>
      <c r="G98" s="137"/>
      <c r="H98" s="247"/>
      <c r="I98" s="247"/>
      <c r="J98" s="137"/>
      <c r="K98" s="247"/>
      <c r="L98" s="247"/>
      <c r="M98" s="247"/>
      <c r="N98" s="247"/>
      <c r="O98" s="247"/>
      <c r="P98" s="247"/>
      <c r="Q98" s="139"/>
      <c r="R98" s="247"/>
      <c r="S98" s="247"/>
      <c r="T98" s="140"/>
      <c r="U98" s="247"/>
      <c r="V98" s="141"/>
      <c r="W98" s="247"/>
      <c r="X98" s="137"/>
      <c r="Y98" s="247"/>
      <c r="Z98" s="247"/>
      <c r="AA98" s="247"/>
      <c r="AB98" s="137"/>
      <c r="AC98" s="247"/>
    </row>
    <row r="99" spans="1:29" x14ac:dyDescent="0.15">
      <c r="A99" s="137"/>
      <c r="B99" s="137"/>
      <c r="C99" s="137"/>
      <c r="D99" s="138"/>
      <c r="E99" s="247"/>
      <c r="F99" s="247"/>
      <c r="G99" s="137"/>
      <c r="H99" s="247"/>
      <c r="I99" s="247"/>
      <c r="J99" s="137"/>
      <c r="K99" s="247"/>
      <c r="L99" s="247"/>
      <c r="M99" s="247"/>
      <c r="N99" s="247"/>
      <c r="O99" s="247"/>
      <c r="P99" s="247"/>
      <c r="Q99" s="139"/>
      <c r="R99" s="247"/>
      <c r="S99" s="247"/>
      <c r="T99" s="140"/>
      <c r="U99" s="247"/>
      <c r="V99" s="141"/>
      <c r="W99" s="247"/>
      <c r="X99" s="137"/>
      <c r="Y99" s="247"/>
      <c r="Z99" s="247"/>
      <c r="AA99" s="247"/>
      <c r="AB99" s="137"/>
      <c r="AC99" s="247"/>
    </row>
    <row r="100" spans="1:29" x14ac:dyDescent="0.15">
      <c r="A100" s="137"/>
      <c r="B100" s="137"/>
      <c r="C100" s="137"/>
      <c r="D100" s="138"/>
      <c r="E100" s="247"/>
      <c r="F100" s="247"/>
      <c r="G100" s="137"/>
      <c r="H100" s="247"/>
      <c r="I100" s="247"/>
      <c r="J100" s="137"/>
      <c r="K100" s="247"/>
      <c r="L100" s="247"/>
      <c r="M100" s="247"/>
      <c r="N100" s="247"/>
      <c r="O100" s="247"/>
      <c r="P100" s="247"/>
      <c r="Q100" s="139"/>
      <c r="R100" s="247"/>
      <c r="S100" s="247"/>
      <c r="T100" s="140"/>
      <c r="U100" s="247"/>
      <c r="V100" s="141"/>
      <c r="W100" s="247"/>
      <c r="X100" s="137"/>
      <c r="Y100" s="247"/>
      <c r="Z100" s="247"/>
      <c r="AA100" s="247"/>
      <c r="AB100" s="137"/>
      <c r="AC100" s="247"/>
    </row>
    <row r="101" spans="1:29" x14ac:dyDescent="0.15">
      <c r="A101" s="137"/>
      <c r="B101" s="137"/>
      <c r="C101" s="137"/>
      <c r="D101" s="138"/>
      <c r="E101" s="247"/>
      <c r="F101" s="247"/>
      <c r="G101" s="137"/>
      <c r="H101" s="247"/>
      <c r="I101" s="247"/>
      <c r="J101" s="137"/>
      <c r="K101" s="247"/>
      <c r="L101" s="247"/>
      <c r="M101" s="247"/>
      <c r="N101" s="247"/>
      <c r="O101" s="247"/>
      <c r="P101" s="247"/>
      <c r="Q101" s="139"/>
      <c r="R101" s="247"/>
      <c r="S101" s="247"/>
      <c r="T101" s="140"/>
      <c r="U101" s="247"/>
      <c r="V101" s="141"/>
      <c r="W101" s="247"/>
      <c r="X101" s="137"/>
      <c r="Y101" s="247"/>
      <c r="Z101" s="247"/>
      <c r="AA101" s="247"/>
      <c r="AB101" s="137"/>
      <c r="AC101" s="247"/>
    </row>
    <row r="102" spans="1:29" x14ac:dyDescent="0.15">
      <c r="A102" s="137"/>
      <c r="B102" s="137"/>
      <c r="C102" s="137"/>
      <c r="D102" s="138"/>
      <c r="E102" s="247"/>
      <c r="F102" s="247"/>
      <c r="G102" s="137"/>
      <c r="H102" s="247"/>
      <c r="I102" s="247"/>
      <c r="J102" s="137"/>
      <c r="K102" s="247"/>
      <c r="L102" s="247"/>
      <c r="M102" s="247"/>
      <c r="N102" s="247"/>
      <c r="O102" s="247"/>
      <c r="P102" s="247"/>
      <c r="Q102" s="139"/>
      <c r="R102" s="247"/>
      <c r="S102" s="247"/>
      <c r="T102" s="140"/>
      <c r="U102" s="247"/>
      <c r="V102" s="141"/>
      <c r="W102" s="247"/>
      <c r="X102" s="137"/>
      <c r="Y102" s="247"/>
      <c r="Z102" s="247"/>
      <c r="AA102" s="247"/>
      <c r="AB102" s="137"/>
      <c r="AC102" s="247"/>
    </row>
    <row r="103" spans="1:29" x14ac:dyDescent="0.15">
      <c r="A103" s="137"/>
      <c r="B103" s="137"/>
      <c r="C103" s="137"/>
      <c r="D103" s="138"/>
      <c r="E103" s="247"/>
      <c r="F103" s="247"/>
      <c r="G103" s="137"/>
      <c r="H103" s="247"/>
      <c r="I103" s="247"/>
      <c r="J103" s="137"/>
      <c r="K103" s="247"/>
      <c r="L103" s="247"/>
      <c r="M103" s="247"/>
      <c r="N103" s="247"/>
      <c r="O103" s="247"/>
      <c r="P103" s="247"/>
      <c r="Q103" s="139"/>
      <c r="R103" s="247"/>
      <c r="S103" s="247"/>
      <c r="T103" s="140"/>
      <c r="U103" s="247"/>
      <c r="V103" s="141"/>
      <c r="W103" s="247"/>
      <c r="X103" s="137"/>
      <c r="Y103" s="247"/>
      <c r="Z103" s="247"/>
      <c r="AA103" s="247"/>
      <c r="AB103" s="137"/>
      <c r="AC103" s="247"/>
    </row>
    <row r="104" spans="1:29" x14ac:dyDescent="0.15">
      <c r="A104" s="137"/>
      <c r="B104" s="137"/>
      <c r="C104" s="137"/>
      <c r="D104" s="138"/>
      <c r="E104" s="247"/>
      <c r="F104" s="247"/>
      <c r="G104" s="137"/>
      <c r="H104" s="247"/>
      <c r="I104" s="247"/>
      <c r="J104" s="137"/>
      <c r="K104" s="247"/>
      <c r="L104" s="247"/>
      <c r="M104" s="247"/>
      <c r="N104" s="247"/>
      <c r="O104" s="247"/>
      <c r="P104" s="247"/>
      <c r="Q104" s="139"/>
      <c r="R104" s="247"/>
      <c r="S104" s="247"/>
      <c r="T104" s="140"/>
      <c r="U104" s="247"/>
      <c r="V104" s="141"/>
      <c r="W104" s="247"/>
      <c r="X104" s="137"/>
      <c r="Y104" s="247"/>
      <c r="Z104" s="247"/>
      <c r="AA104" s="247"/>
      <c r="AB104" s="137"/>
      <c r="AC104" s="247"/>
    </row>
    <row r="105" spans="1:29" x14ac:dyDescent="0.15">
      <c r="A105" s="137"/>
      <c r="B105" s="137"/>
      <c r="C105" s="137"/>
      <c r="D105" s="138"/>
      <c r="E105" s="247"/>
      <c r="F105" s="247"/>
      <c r="G105" s="137"/>
      <c r="H105" s="247"/>
      <c r="I105" s="247"/>
      <c r="J105" s="137"/>
      <c r="K105" s="247"/>
      <c r="L105" s="247"/>
      <c r="M105" s="247"/>
      <c r="N105" s="247"/>
      <c r="O105" s="247"/>
      <c r="P105" s="247"/>
      <c r="Q105" s="139"/>
      <c r="R105" s="247"/>
      <c r="S105" s="247"/>
      <c r="T105" s="140"/>
      <c r="U105" s="247"/>
      <c r="V105" s="141"/>
      <c r="W105" s="247"/>
      <c r="X105" s="137"/>
      <c r="Y105" s="247"/>
      <c r="Z105" s="247"/>
      <c r="AA105" s="247"/>
      <c r="AB105" s="137"/>
      <c r="AC105" s="247"/>
    </row>
    <row r="106" spans="1:29" x14ac:dyDescent="0.15">
      <c r="A106" s="137"/>
      <c r="B106" s="137"/>
      <c r="C106" s="137"/>
      <c r="D106" s="138"/>
      <c r="E106" s="247"/>
      <c r="F106" s="247"/>
      <c r="G106" s="137"/>
      <c r="H106" s="247"/>
      <c r="I106" s="247"/>
      <c r="J106" s="137"/>
      <c r="K106" s="247"/>
      <c r="L106" s="247"/>
      <c r="M106" s="247"/>
      <c r="N106" s="247"/>
      <c r="O106" s="247"/>
      <c r="P106" s="247"/>
      <c r="Q106" s="139"/>
      <c r="R106" s="247"/>
      <c r="S106" s="247"/>
      <c r="T106" s="140"/>
      <c r="U106" s="247"/>
      <c r="V106" s="141"/>
      <c r="W106" s="247"/>
      <c r="X106" s="137"/>
      <c r="Y106" s="247"/>
      <c r="Z106" s="247"/>
      <c r="AA106" s="247"/>
      <c r="AB106" s="137"/>
      <c r="AC106" s="247"/>
    </row>
    <row r="107" spans="1:29" x14ac:dyDescent="0.15">
      <c r="A107" s="137"/>
      <c r="B107" s="137"/>
      <c r="C107" s="137"/>
      <c r="D107" s="138"/>
      <c r="E107" s="247"/>
      <c r="F107" s="247"/>
      <c r="G107" s="137"/>
      <c r="H107" s="247"/>
      <c r="I107" s="247"/>
      <c r="J107" s="137"/>
      <c r="K107" s="247"/>
      <c r="L107" s="247"/>
      <c r="M107" s="247"/>
      <c r="N107" s="247"/>
      <c r="O107" s="247"/>
      <c r="P107" s="247"/>
      <c r="Q107" s="139"/>
      <c r="R107" s="247"/>
      <c r="S107" s="247"/>
      <c r="T107" s="140"/>
      <c r="U107" s="247"/>
      <c r="V107" s="141"/>
      <c r="W107" s="247"/>
      <c r="X107" s="137"/>
      <c r="Y107" s="247"/>
      <c r="Z107" s="247"/>
      <c r="AA107" s="247"/>
      <c r="AB107" s="137"/>
      <c r="AC107" s="247"/>
    </row>
    <row r="108" spans="1:29" x14ac:dyDescent="0.15">
      <c r="A108" s="137"/>
      <c r="B108" s="137"/>
      <c r="C108" s="137"/>
      <c r="D108" s="138"/>
      <c r="E108" s="247"/>
      <c r="F108" s="247"/>
      <c r="G108" s="137"/>
      <c r="H108" s="247"/>
      <c r="I108" s="247"/>
      <c r="J108" s="137"/>
      <c r="K108" s="247"/>
      <c r="L108" s="247"/>
      <c r="M108" s="247"/>
      <c r="N108" s="247"/>
      <c r="O108" s="247"/>
      <c r="P108" s="247"/>
      <c r="Q108" s="139"/>
      <c r="R108" s="247"/>
      <c r="S108" s="247"/>
      <c r="T108" s="140"/>
      <c r="U108" s="247"/>
      <c r="V108" s="141"/>
      <c r="W108" s="247"/>
      <c r="X108" s="137"/>
      <c r="Y108" s="247"/>
      <c r="Z108" s="247"/>
      <c r="AA108" s="247"/>
      <c r="AB108" s="137"/>
      <c r="AC108" s="247"/>
    </row>
    <row r="109" spans="1:29" x14ac:dyDescent="0.15">
      <c r="A109" s="137"/>
      <c r="B109" s="137"/>
      <c r="C109" s="137"/>
      <c r="D109" s="138"/>
      <c r="E109" s="247"/>
      <c r="F109" s="247"/>
      <c r="G109" s="137"/>
      <c r="H109" s="247"/>
      <c r="I109" s="247"/>
      <c r="J109" s="137"/>
      <c r="K109" s="247"/>
      <c r="L109" s="247"/>
      <c r="M109" s="247"/>
      <c r="N109" s="247"/>
      <c r="O109" s="247"/>
      <c r="P109" s="247"/>
      <c r="Q109" s="139"/>
      <c r="R109" s="247"/>
      <c r="S109" s="247"/>
      <c r="T109" s="140"/>
      <c r="U109" s="247"/>
      <c r="V109" s="141"/>
      <c r="W109" s="247"/>
      <c r="X109" s="137"/>
      <c r="Y109" s="247"/>
      <c r="Z109" s="247"/>
      <c r="AA109" s="247"/>
      <c r="AB109" s="137"/>
      <c r="AC109" s="247"/>
    </row>
    <row r="110" spans="1:29" x14ac:dyDescent="0.15">
      <c r="A110" s="137"/>
      <c r="B110" s="137"/>
      <c r="C110" s="137"/>
      <c r="D110" s="138"/>
      <c r="E110" s="247"/>
      <c r="F110" s="247"/>
      <c r="G110" s="137"/>
      <c r="H110" s="247"/>
      <c r="I110" s="247"/>
      <c r="J110" s="137"/>
      <c r="K110" s="247"/>
      <c r="L110" s="247"/>
      <c r="M110" s="247"/>
      <c r="N110" s="247"/>
      <c r="O110" s="247"/>
      <c r="P110" s="247"/>
      <c r="Q110" s="139"/>
      <c r="R110" s="247"/>
      <c r="S110" s="247"/>
      <c r="T110" s="140"/>
      <c r="U110" s="247"/>
      <c r="V110" s="141"/>
      <c r="W110" s="247"/>
      <c r="X110" s="137"/>
      <c r="Y110" s="247"/>
      <c r="Z110" s="247"/>
      <c r="AA110" s="247"/>
      <c r="AB110" s="137"/>
      <c r="AC110" s="247"/>
    </row>
    <row r="111" spans="1:29" x14ac:dyDescent="0.15">
      <c r="A111" s="137"/>
      <c r="B111" s="137"/>
      <c r="C111" s="137"/>
      <c r="D111" s="138"/>
      <c r="E111" s="247"/>
      <c r="F111" s="247"/>
      <c r="G111" s="137"/>
      <c r="H111" s="247"/>
      <c r="I111" s="247"/>
      <c r="J111" s="137"/>
      <c r="K111" s="247"/>
      <c r="L111" s="247"/>
      <c r="M111" s="247"/>
      <c r="N111" s="247"/>
      <c r="O111" s="247"/>
      <c r="P111" s="247"/>
      <c r="Q111" s="139"/>
      <c r="R111" s="247"/>
      <c r="S111" s="247"/>
      <c r="T111" s="140"/>
      <c r="U111" s="247"/>
      <c r="V111" s="141"/>
      <c r="W111" s="247"/>
      <c r="X111" s="137"/>
      <c r="Y111" s="247"/>
      <c r="Z111" s="247"/>
      <c r="AA111" s="247"/>
      <c r="AB111" s="137"/>
      <c r="AC111" s="247"/>
    </row>
    <row r="112" spans="1:29" x14ac:dyDescent="0.15">
      <c r="A112" s="137"/>
      <c r="B112" s="137"/>
      <c r="C112" s="137"/>
      <c r="D112" s="138"/>
      <c r="E112" s="247"/>
      <c r="F112" s="247"/>
      <c r="G112" s="137"/>
      <c r="H112" s="247"/>
      <c r="I112" s="247"/>
      <c r="J112" s="137"/>
      <c r="K112" s="247"/>
      <c r="L112" s="247"/>
      <c r="M112" s="247"/>
      <c r="N112" s="247"/>
      <c r="O112" s="247"/>
      <c r="P112" s="247"/>
      <c r="Q112" s="139"/>
      <c r="R112" s="247"/>
      <c r="S112" s="247"/>
      <c r="T112" s="140"/>
      <c r="U112" s="247"/>
      <c r="V112" s="141"/>
      <c r="W112" s="247"/>
      <c r="X112" s="137"/>
      <c r="Y112" s="247"/>
      <c r="Z112" s="247"/>
      <c r="AA112" s="247"/>
      <c r="AB112" s="137"/>
      <c r="AC112" s="247"/>
    </row>
    <row r="113" spans="1:29" x14ac:dyDescent="0.15">
      <c r="A113" s="247"/>
      <c r="B113" s="247"/>
      <c r="C113" s="247"/>
      <c r="D113" s="247"/>
      <c r="E113" s="247"/>
      <c r="F113" s="247"/>
      <c r="G113" s="247"/>
      <c r="H113" s="247"/>
      <c r="I113" s="247"/>
      <c r="J113" s="247"/>
      <c r="K113" s="247"/>
      <c r="L113" s="247"/>
      <c r="M113" s="247"/>
      <c r="N113" s="247"/>
      <c r="O113" s="247"/>
      <c r="P113" s="247"/>
      <c r="Q113" s="140"/>
      <c r="R113" s="247"/>
      <c r="S113" s="247"/>
      <c r="T113" s="140"/>
      <c r="U113" s="247"/>
      <c r="V113" s="140"/>
      <c r="W113" s="247"/>
      <c r="X113" s="247"/>
      <c r="Y113" s="247"/>
      <c r="Z113" s="247"/>
      <c r="AA113" s="247"/>
      <c r="AB113" s="247"/>
      <c r="AC113" s="247"/>
    </row>
    <row r="114" spans="1:29" x14ac:dyDescent="0.15">
      <c r="A114" s="247"/>
      <c r="B114" s="247"/>
      <c r="C114" s="247"/>
      <c r="D114" s="247"/>
      <c r="E114" s="247"/>
      <c r="F114" s="247"/>
      <c r="G114" s="247"/>
      <c r="H114" s="247"/>
      <c r="I114" s="247"/>
      <c r="J114" s="247"/>
      <c r="K114" s="247"/>
      <c r="L114" s="247" t="s">
        <v>445</v>
      </c>
      <c r="M114" s="247"/>
      <c r="N114" s="247"/>
      <c r="O114" s="247"/>
      <c r="P114" s="247"/>
      <c r="Q114" s="140"/>
      <c r="R114" s="247"/>
      <c r="S114" s="247"/>
      <c r="T114" s="140"/>
      <c r="U114" s="247"/>
      <c r="V114" s="140"/>
      <c r="W114" s="247"/>
      <c r="X114" s="247"/>
      <c r="Y114" s="247"/>
      <c r="Z114" s="247"/>
      <c r="AA114" s="247"/>
      <c r="AB114" s="247"/>
      <c r="AC114" s="247"/>
    </row>
    <row r="115" spans="1:29" x14ac:dyDescent="0.15">
      <c r="K115" s="247"/>
    </row>
    <row r="116" spans="1:29" x14ac:dyDescent="0.15">
      <c r="K116" s="247"/>
    </row>
    <row r="117" spans="1:29" x14ac:dyDescent="0.15">
      <c r="K117" s="247"/>
    </row>
    <row r="118" spans="1:29" x14ac:dyDescent="0.15">
      <c r="K118" s="247"/>
    </row>
    <row r="119" spans="1:29" x14ac:dyDescent="0.15">
      <c r="K119" s="247"/>
    </row>
    <row r="120" spans="1:29" x14ac:dyDescent="0.15">
      <c r="K120" s="247"/>
    </row>
  </sheetData>
  <autoFilter ref="A1:BA1"/>
  <phoneticPr fontId="3"/>
  <dataValidations count="21">
    <dataValidation type="list" allowBlank="1" showInputMessage="1" showErrorMessage="1" sqref="K2:K120">
      <formula1>$AR$2:$AR$26</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K981814:K98190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K916278:K916367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K850742:K850831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K785206:K785295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K719670:K719759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K654134:K65422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K588598:K588687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K523062:K523151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K457526:K457615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K391990:K392079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K326454:K32654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K260918:K261007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K195382:K195471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K129846:K129935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K64310:K64399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RNW2:RNW73 RXS2:RXS73 SHO2:SHO73 SRK2:SRK73 TBG2:TBG73 TLC2:TLC73 TUY2:TUY73 UEU2:UEU73 UOQ2:UOQ73 UYM2:UYM73 VII2:VII73 VSE2:VSE73 WCA2:WCA73 WLW2:WLW73 WVS2:WVS73">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J981814:J98190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J916278:J916367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J850742:J850831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J785206:J785295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J719670:J719759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J654134:J65422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J588598:J588687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J523062:J523151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J457526:J457615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J391990:J392079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J326454:J32654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J260918:J261007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J195382:J195471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J129846:J129935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J64310:J64399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RNV2:RNV73 RXR2:RXR73 SHN2:SHN73 SRJ2:SRJ73 TBF2:TBF73 TLB2:TLB73 TUX2:TUX73 UET2:UET73 UOP2:UOP73 UYL2:UYL73 VIH2:VIH73 VSD2:VSD73 WBZ2:WBZ73 WLV2:WLV73 WVR2:WVR73">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96:X500 X2:X94">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B96:B112 B2:B94"/>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96:G500 G2:G94">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96:I500 I2:I94">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formula1>$AV$2:$AV$22</formula1>
    </dataValidation>
    <dataValidation type="list" allowBlank="1" showInputMessage="1" showErrorMessage="1" sqref="K121:K500">
      <formula1>$AR$2:$AR$25</formula1>
    </dataValidation>
    <dataValidation type="list" allowBlank="1" showInputMessage="1" showErrorMessage="1" sqref="J96:J500 J2:J94">
      <formula1>$AP$2:$AP$27</formula1>
    </dataValidation>
    <dataValidation type="list" allowBlank="1" showInputMessage="1" showErrorMessage="1" sqref="F96:F500 F2:F94">
      <formula1>$AH$2:$AH$10</formula1>
    </dataValidation>
    <dataValidation type="list" allowBlank="1" showInputMessage="1" showErrorMessage="1" sqref="E96:E500 E2:E94">
      <formula1>$AG$2:$AG$11</formula1>
    </dataValidation>
    <dataValidation type="list" allowBlank="1" showInputMessage="1" showErrorMessage="1" sqref="A96:A500 A2:A94">
      <formula1>$AE$2:$AE$19</formula1>
    </dataValidation>
    <dataValidation type="list" allowBlank="1" showInputMessage="1" showErrorMessage="1" sqref="H96:H500 H2:H94">
      <formula1>$AL$2:$AL$8</formula1>
    </dataValidation>
    <dataValidation type="list" allowBlank="1" showInputMessage="1" showErrorMessage="1" sqref="Y96:AA500 Y2:AA94">
      <formula1>$AV$2:$AV$21</formula1>
    </dataValidation>
    <dataValidation type="decimal" allowBlank="1" showInputMessage="1" showErrorMessage="1" error="硬度を正しく入力して下さい。" sqref="O96:P500 P35:P40 O17:P34 O5:O7 P5:P16 O41:P94">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52"/>
  <sheetViews>
    <sheetView zoomScale="70" zoomScaleNormal="70" workbookViewId="0">
      <selection activeCell="J76" sqref="J76"/>
    </sheetView>
  </sheetViews>
  <sheetFormatPr defaultColWidth="8.875" defaultRowHeight="13.5" x14ac:dyDescent="0.15"/>
  <cols>
    <col min="1" max="3" width="8.875" style="208"/>
    <col min="4" max="4" width="13.5" style="208" bestFit="1" customWidth="1"/>
    <col min="5" max="5" width="9.625" style="208" bestFit="1" customWidth="1"/>
    <col min="6" max="16" width="8.875" style="208"/>
    <col min="17" max="17" width="8.875" style="217"/>
    <col min="18" max="19" width="8.875" style="208"/>
    <col min="20" max="20" width="8.875" style="217"/>
    <col min="21" max="21" width="8.875" style="208"/>
    <col min="22" max="22" width="8.875" style="217"/>
    <col min="23" max="32" width="8.875" style="208"/>
    <col min="33" max="33" width="19.625" style="208" bestFit="1" customWidth="1"/>
    <col min="34" max="259" width="8.875" style="208"/>
    <col min="260" max="260" width="10.5" style="208" bestFit="1" customWidth="1"/>
    <col min="261" max="261" width="9.625" style="208" bestFit="1" customWidth="1"/>
    <col min="262" max="515" width="8.875" style="208"/>
    <col min="516" max="516" width="10.5" style="208" bestFit="1" customWidth="1"/>
    <col min="517" max="517" width="9.625" style="208" bestFit="1" customWidth="1"/>
    <col min="518" max="771" width="8.875" style="208"/>
    <col min="772" max="772" width="10.5" style="208" bestFit="1" customWidth="1"/>
    <col min="773" max="773" width="9.625" style="208" bestFit="1" customWidth="1"/>
    <col min="774" max="1027" width="8.875" style="208"/>
    <col min="1028" max="1028" width="10.5" style="208" bestFit="1" customWidth="1"/>
    <col min="1029" max="1029" width="9.625" style="208" bestFit="1" customWidth="1"/>
    <col min="1030" max="1283" width="8.875" style="208"/>
    <col min="1284" max="1284" width="10.5" style="208" bestFit="1" customWidth="1"/>
    <col min="1285" max="1285" width="9.625" style="208" bestFit="1" customWidth="1"/>
    <col min="1286" max="1539" width="8.875" style="208"/>
    <col min="1540" max="1540" width="10.5" style="208" bestFit="1" customWidth="1"/>
    <col min="1541" max="1541" width="9.625" style="208" bestFit="1" customWidth="1"/>
    <col min="1542" max="1795" width="8.875" style="208"/>
    <col min="1796" max="1796" width="10.5" style="208" bestFit="1" customWidth="1"/>
    <col min="1797" max="1797" width="9.625" style="208" bestFit="1" customWidth="1"/>
    <col min="1798" max="2051" width="8.875" style="208"/>
    <col min="2052" max="2052" width="10.5" style="208" bestFit="1" customWidth="1"/>
    <col min="2053" max="2053" width="9.625" style="208" bestFit="1" customWidth="1"/>
    <col min="2054" max="2307" width="8.875" style="208"/>
    <col min="2308" max="2308" width="10.5" style="208" bestFit="1" customWidth="1"/>
    <col min="2309" max="2309" width="9.625" style="208" bestFit="1" customWidth="1"/>
    <col min="2310" max="2563" width="8.875" style="208"/>
    <col min="2564" max="2564" width="10.5" style="208" bestFit="1" customWidth="1"/>
    <col min="2565" max="2565" width="9.625" style="208" bestFit="1" customWidth="1"/>
    <col min="2566" max="2819" width="8.875" style="208"/>
    <col min="2820" max="2820" width="10.5" style="208" bestFit="1" customWidth="1"/>
    <col min="2821" max="2821" width="9.625" style="208" bestFit="1" customWidth="1"/>
    <col min="2822" max="3075" width="8.875" style="208"/>
    <col min="3076" max="3076" width="10.5" style="208" bestFit="1" customWidth="1"/>
    <col min="3077" max="3077" width="9.625" style="208" bestFit="1" customWidth="1"/>
    <col min="3078" max="3331" width="8.875" style="208"/>
    <col min="3332" max="3332" width="10.5" style="208" bestFit="1" customWidth="1"/>
    <col min="3333" max="3333" width="9.625" style="208" bestFit="1" customWidth="1"/>
    <col min="3334" max="3587" width="8.875" style="208"/>
    <col min="3588" max="3588" width="10.5" style="208" bestFit="1" customWidth="1"/>
    <col min="3589" max="3589" width="9.625" style="208" bestFit="1" customWidth="1"/>
    <col min="3590" max="3843" width="8.875" style="208"/>
    <col min="3844" max="3844" width="10.5" style="208" bestFit="1" customWidth="1"/>
    <col min="3845" max="3845" width="9.625" style="208" bestFit="1" customWidth="1"/>
    <col min="3846" max="4099" width="8.875" style="208"/>
    <col min="4100" max="4100" width="10.5" style="208" bestFit="1" customWidth="1"/>
    <col min="4101" max="4101" width="9.625" style="208" bestFit="1" customWidth="1"/>
    <col min="4102" max="4355" width="8.875" style="208"/>
    <col min="4356" max="4356" width="10.5" style="208" bestFit="1" customWidth="1"/>
    <col min="4357" max="4357" width="9.625" style="208" bestFit="1" customWidth="1"/>
    <col min="4358" max="4611" width="8.875" style="208"/>
    <col min="4612" max="4612" width="10.5" style="208" bestFit="1" customWidth="1"/>
    <col min="4613" max="4613" width="9.625" style="208" bestFit="1" customWidth="1"/>
    <col min="4614" max="4867" width="8.875" style="208"/>
    <col min="4868" max="4868" width="10.5" style="208" bestFit="1" customWidth="1"/>
    <col min="4869" max="4869" width="9.625" style="208" bestFit="1" customWidth="1"/>
    <col min="4870" max="5123" width="8.875" style="208"/>
    <col min="5124" max="5124" width="10.5" style="208" bestFit="1" customWidth="1"/>
    <col min="5125" max="5125" width="9.625" style="208" bestFit="1" customWidth="1"/>
    <col min="5126" max="5379" width="8.875" style="208"/>
    <col min="5380" max="5380" width="10.5" style="208" bestFit="1" customWidth="1"/>
    <col min="5381" max="5381" width="9.625" style="208" bestFit="1" customWidth="1"/>
    <col min="5382" max="5635" width="8.875" style="208"/>
    <col min="5636" max="5636" width="10.5" style="208" bestFit="1" customWidth="1"/>
    <col min="5637" max="5637" width="9.625" style="208" bestFit="1" customWidth="1"/>
    <col min="5638" max="5891" width="8.875" style="208"/>
    <col min="5892" max="5892" width="10.5" style="208" bestFit="1" customWidth="1"/>
    <col min="5893" max="5893" width="9.625" style="208" bestFit="1" customWidth="1"/>
    <col min="5894" max="6147" width="8.875" style="208"/>
    <col min="6148" max="6148" width="10.5" style="208" bestFit="1" customWidth="1"/>
    <col min="6149" max="6149" width="9.625" style="208" bestFit="1" customWidth="1"/>
    <col min="6150" max="6403" width="8.875" style="208"/>
    <col min="6404" max="6404" width="10.5" style="208" bestFit="1" customWidth="1"/>
    <col min="6405" max="6405" width="9.625" style="208" bestFit="1" customWidth="1"/>
    <col min="6406" max="6659" width="8.875" style="208"/>
    <col min="6660" max="6660" width="10.5" style="208" bestFit="1" customWidth="1"/>
    <col min="6661" max="6661" width="9.625" style="208" bestFit="1" customWidth="1"/>
    <col min="6662" max="6915" width="8.875" style="208"/>
    <col min="6916" max="6916" width="10.5" style="208" bestFit="1" customWidth="1"/>
    <col min="6917" max="6917" width="9.625" style="208" bestFit="1" customWidth="1"/>
    <col min="6918" max="7171" width="8.875" style="208"/>
    <col min="7172" max="7172" width="10.5" style="208" bestFit="1" customWidth="1"/>
    <col min="7173" max="7173" width="9.625" style="208" bestFit="1" customWidth="1"/>
    <col min="7174" max="7427" width="8.875" style="208"/>
    <col min="7428" max="7428" width="10.5" style="208" bestFit="1" customWidth="1"/>
    <col min="7429" max="7429" width="9.625" style="208" bestFit="1" customWidth="1"/>
    <col min="7430" max="7683" width="8.875" style="208"/>
    <col min="7684" max="7684" width="10.5" style="208" bestFit="1" customWidth="1"/>
    <col min="7685" max="7685" width="9.625" style="208" bestFit="1" customWidth="1"/>
    <col min="7686" max="7939" width="8.875" style="208"/>
    <col min="7940" max="7940" width="10.5" style="208" bestFit="1" customWidth="1"/>
    <col min="7941" max="7941" width="9.625" style="208" bestFit="1" customWidth="1"/>
    <col min="7942" max="8195" width="8.875" style="208"/>
    <col min="8196" max="8196" width="10.5" style="208" bestFit="1" customWidth="1"/>
    <col min="8197" max="8197" width="9.625" style="208" bestFit="1" customWidth="1"/>
    <col min="8198" max="8451" width="8.875" style="208"/>
    <col min="8452" max="8452" width="10.5" style="208" bestFit="1" customWidth="1"/>
    <col min="8453" max="8453" width="9.625" style="208" bestFit="1" customWidth="1"/>
    <col min="8454" max="8707" width="8.875" style="208"/>
    <col min="8708" max="8708" width="10.5" style="208" bestFit="1" customWidth="1"/>
    <col min="8709" max="8709" width="9.625" style="208" bestFit="1" customWidth="1"/>
    <col min="8710" max="8963" width="8.875" style="208"/>
    <col min="8964" max="8964" width="10.5" style="208" bestFit="1" customWidth="1"/>
    <col min="8965" max="8965" width="9.625" style="208" bestFit="1" customWidth="1"/>
    <col min="8966" max="9219" width="8.875" style="208"/>
    <col min="9220" max="9220" width="10.5" style="208" bestFit="1" customWidth="1"/>
    <col min="9221" max="9221" width="9.625" style="208" bestFit="1" customWidth="1"/>
    <col min="9222" max="9475" width="8.875" style="208"/>
    <col min="9476" max="9476" width="10.5" style="208" bestFit="1" customWidth="1"/>
    <col min="9477" max="9477" width="9.625" style="208" bestFit="1" customWidth="1"/>
    <col min="9478" max="9731" width="8.875" style="208"/>
    <col min="9732" max="9732" width="10.5" style="208" bestFit="1" customWidth="1"/>
    <col min="9733" max="9733" width="9.625" style="208" bestFit="1" customWidth="1"/>
    <col min="9734" max="9987" width="8.875" style="208"/>
    <col min="9988" max="9988" width="10.5" style="208" bestFit="1" customWidth="1"/>
    <col min="9989" max="9989" width="9.625" style="208" bestFit="1" customWidth="1"/>
    <col min="9990" max="10243" width="8.875" style="208"/>
    <col min="10244" max="10244" width="10.5" style="208" bestFit="1" customWidth="1"/>
    <col min="10245" max="10245" width="9.625" style="208" bestFit="1" customWidth="1"/>
    <col min="10246" max="10499" width="8.875" style="208"/>
    <col min="10500" max="10500" width="10.5" style="208" bestFit="1" customWidth="1"/>
    <col min="10501" max="10501" width="9.625" style="208" bestFit="1" customWidth="1"/>
    <col min="10502" max="10755" width="8.875" style="208"/>
    <col min="10756" max="10756" width="10.5" style="208" bestFit="1" customWidth="1"/>
    <col min="10757" max="10757" width="9.625" style="208" bestFit="1" customWidth="1"/>
    <col min="10758" max="11011" width="8.875" style="208"/>
    <col min="11012" max="11012" width="10.5" style="208" bestFit="1" customWidth="1"/>
    <col min="11013" max="11013" width="9.625" style="208" bestFit="1" customWidth="1"/>
    <col min="11014" max="11267" width="8.875" style="208"/>
    <col min="11268" max="11268" width="10.5" style="208" bestFit="1" customWidth="1"/>
    <col min="11269" max="11269" width="9.625" style="208" bestFit="1" customWidth="1"/>
    <col min="11270" max="11523" width="8.875" style="208"/>
    <col min="11524" max="11524" width="10.5" style="208" bestFit="1" customWidth="1"/>
    <col min="11525" max="11525" width="9.625" style="208" bestFit="1" customWidth="1"/>
    <col min="11526" max="11779" width="8.875" style="208"/>
    <col min="11780" max="11780" width="10.5" style="208" bestFit="1" customWidth="1"/>
    <col min="11781" max="11781" width="9.625" style="208" bestFit="1" customWidth="1"/>
    <col min="11782" max="12035" width="8.875" style="208"/>
    <col min="12036" max="12036" width="10.5" style="208" bestFit="1" customWidth="1"/>
    <col min="12037" max="12037" width="9.625" style="208" bestFit="1" customWidth="1"/>
    <col min="12038" max="12291" width="8.875" style="208"/>
    <col min="12292" max="12292" width="10.5" style="208" bestFit="1" customWidth="1"/>
    <col min="12293" max="12293" width="9.625" style="208" bestFit="1" customWidth="1"/>
    <col min="12294" max="12547" width="8.875" style="208"/>
    <col min="12548" max="12548" width="10.5" style="208" bestFit="1" customWidth="1"/>
    <col min="12549" max="12549" width="9.625" style="208" bestFit="1" customWidth="1"/>
    <col min="12550" max="12803" width="8.875" style="208"/>
    <col min="12804" max="12804" width="10.5" style="208" bestFit="1" customWidth="1"/>
    <col min="12805" max="12805" width="9.625" style="208" bestFit="1" customWidth="1"/>
    <col min="12806" max="13059" width="8.875" style="208"/>
    <col min="13060" max="13060" width="10.5" style="208" bestFit="1" customWidth="1"/>
    <col min="13061" max="13061" width="9.625" style="208" bestFit="1" customWidth="1"/>
    <col min="13062" max="13315" width="8.875" style="208"/>
    <col min="13316" max="13316" width="10.5" style="208" bestFit="1" customWidth="1"/>
    <col min="13317" max="13317" width="9.625" style="208" bestFit="1" customWidth="1"/>
    <col min="13318" max="13571" width="8.875" style="208"/>
    <col min="13572" max="13572" width="10.5" style="208" bestFit="1" customWidth="1"/>
    <col min="13573" max="13573" width="9.625" style="208" bestFit="1" customWidth="1"/>
    <col min="13574" max="13827" width="8.875" style="208"/>
    <col min="13828" max="13828" width="10.5" style="208" bestFit="1" customWidth="1"/>
    <col min="13829" max="13829" width="9.625" style="208" bestFit="1" customWidth="1"/>
    <col min="13830" max="14083" width="8.875" style="208"/>
    <col min="14084" max="14084" width="10.5" style="208" bestFit="1" customWidth="1"/>
    <col min="14085" max="14085" width="9.625" style="208" bestFit="1" customWidth="1"/>
    <col min="14086" max="14339" width="8.875" style="208"/>
    <col min="14340" max="14340" width="10.5" style="208" bestFit="1" customWidth="1"/>
    <col min="14341" max="14341" width="9.625" style="208" bestFit="1" customWidth="1"/>
    <col min="14342" max="14595" width="8.875" style="208"/>
    <col min="14596" max="14596" width="10.5" style="208" bestFit="1" customWidth="1"/>
    <col min="14597" max="14597" width="9.625" style="208" bestFit="1" customWidth="1"/>
    <col min="14598" max="14851" width="8.875" style="208"/>
    <col min="14852" max="14852" width="10.5" style="208" bestFit="1" customWidth="1"/>
    <col min="14853" max="14853" width="9.625" style="208" bestFit="1" customWidth="1"/>
    <col min="14854" max="15107" width="8.875" style="208"/>
    <col min="15108" max="15108" width="10.5" style="208" bestFit="1" customWidth="1"/>
    <col min="15109" max="15109" width="9.625" style="208" bestFit="1" customWidth="1"/>
    <col min="15110" max="15363" width="8.875" style="208"/>
    <col min="15364" max="15364" width="10.5" style="208" bestFit="1" customWidth="1"/>
    <col min="15365" max="15365" width="9.625" style="208" bestFit="1" customWidth="1"/>
    <col min="15366" max="15619" width="8.875" style="208"/>
    <col min="15620" max="15620" width="10.5" style="208" bestFit="1" customWidth="1"/>
    <col min="15621" max="15621" width="9.625" style="208" bestFit="1" customWidth="1"/>
    <col min="15622" max="15875" width="8.875" style="208"/>
    <col min="15876" max="15876" width="10.5" style="208" bestFit="1" customWidth="1"/>
    <col min="15877" max="15877" width="9.625" style="208" bestFit="1" customWidth="1"/>
    <col min="15878" max="16131" width="8.875" style="208"/>
    <col min="16132" max="16132" width="10.5" style="208" bestFit="1" customWidth="1"/>
    <col min="16133" max="16133" width="9.625" style="208" bestFit="1" customWidth="1"/>
    <col min="16134" max="16384" width="8.875" style="208"/>
  </cols>
  <sheetData>
    <row r="1" spans="1:53" ht="45" x14ac:dyDescent="0.15">
      <c r="A1" s="240" t="s">
        <v>0</v>
      </c>
      <c r="B1" s="202" t="s">
        <v>1</v>
      </c>
      <c r="C1" s="202" t="s">
        <v>2</v>
      </c>
      <c r="D1" s="203" t="s">
        <v>3</v>
      </c>
      <c r="E1" s="241" t="s">
        <v>4</v>
      </c>
      <c r="F1" s="241" t="s">
        <v>5</v>
      </c>
      <c r="G1" s="241" t="s">
        <v>6</v>
      </c>
      <c r="H1" s="241" t="s">
        <v>7</v>
      </c>
      <c r="I1" s="241" t="s">
        <v>8</v>
      </c>
      <c r="J1" s="241" t="s">
        <v>9</v>
      </c>
      <c r="K1" s="241" t="s">
        <v>10</v>
      </c>
      <c r="L1" s="203" t="s">
        <v>159</v>
      </c>
      <c r="M1" s="203" t="s">
        <v>12</v>
      </c>
      <c r="N1" s="203" t="s">
        <v>268</v>
      </c>
      <c r="O1" s="203" t="s">
        <v>14</v>
      </c>
      <c r="P1" s="203" t="s">
        <v>160</v>
      </c>
      <c r="Q1" s="204" t="s">
        <v>16</v>
      </c>
      <c r="R1" s="203" t="s">
        <v>17</v>
      </c>
      <c r="S1" s="203" t="s">
        <v>18</v>
      </c>
      <c r="T1" s="204" t="s">
        <v>19</v>
      </c>
      <c r="U1" s="205" t="s">
        <v>269</v>
      </c>
      <c r="V1" s="206" t="s">
        <v>20</v>
      </c>
      <c r="W1" s="203" t="s">
        <v>21</v>
      </c>
      <c r="X1" s="241" t="s">
        <v>22</v>
      </c>
      <c r="Y1" s="241" t="s">
        <v>23</v>
      </c>
      <c r="Z1" s="241" t="s">
        <v>24</v>
      </c>
      <c r="AA1" s="242" t="s">
        <v>25</v>
      </c>
      <c r="AB1" s="207" t="s">
        <v>26</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30</v>
      </c>
      <c r="AY1" s="214" t="s">
        <v>161</v>
      </c>
      <c r="AZ1" s="214" t="s">
        <v>32</v>
      </c>
      <c r="BA1" s="215" t="s">
        <v>33</v>
      </c>
    </row>
    <row r="2" spans="1:53" x14ac:dyDescent="0.15">
      <c r="A2" s="208" t="s">
        <v>59</v>
      </c>
      <c r="B2" s="237" t="s">
        <v>387</v>
      </c>
      <c r="C2" s="152">
        <v>2018</v>
      </c>
      <c r="D2" s="153" t="s">
        <v>446</v>
      </c>
      <c r="E2" s="208" t="s">
        <v>447</v>
      </c>
      <c r="F2" s="208" t="s">
        <v>310</v>
      </c>
      <c r="G2" s="208" t="s">
        <v>36</v>
      </c>
      <c r="H2" s="208" t="s">
        <v>165</v>
      </c>
      <c r="I2" s="208" t="s">
        <v>155</v>
      </c>
      <c r="J2" s="208" t="s">
        <v>38</v>
      </c>
      <c r="K2" s="208" t="s">
        <v>156</v>
      </c>
      <c r="L2" s="208">
        <v>1</v>
      </c>
      <c r="N2" s="208">
        <v>4</v>
      </c>
      <c r="O2" s="208">
        <v>0.48</v>
      </c>
      <c r="P2" s="208">
        <v>0.45</v>
      </c>
      <c r="Q2" s="245">
        <f>IF(OR(O2="",P2=""),"",AVERAGE(O2,P2))</f>
        <v>0.46499999999999997</v>
      </c>
      <c r="R2" s="208">
        <v>16.7</v>
      </c>
      <c r="S2" s="208">
        <v>132</v>
      </c>
      <c r="T2" s="217">
        <f t="shared" ref="T2:T73" si="0">IF(H2="","",IF(OR(H2="GREEN",H2="GK"),IF(S2&gt;=$AX$2,VLOOKUP(S2,$AX$2:$AY$12,2,1),""),IF(S2&gt;=$AZ$2,VLOOKUP(S2,$AZ$2:$BA$12,2,1),"")))</f>
        <v>25</v>
      </c>
      <c r="U2" s="208">
        <v>480</v>
      </c>
      <c r="V2" s="217">
        <f t="shared" ref="V2:V70" si="1">IF(J2="","",IF(OR(J2="GREEN",J2="GK"),IF(U2&gt;=$AX$2,VLOOKUP(U2,$AX$2:$AY$12,2,1),""),IF(U2&gt;=$AZ$2,VLOOKUP(U2,$AZ$2:$BA$12,2,1),"")))</f>
        <v>16</v>
      </c>
      <c r="W2" s="208">
        <v>2</v>
      </c>
      <c r="X2" s="208" t="s">
        <v>39</v>
      </c>
      <c r="Y2" s="208" t="s">
        <v>69</v>
      </c>
      <c r="Z2" s="208" t="s">
        <v>97</v>
      </c>
      <c r="AA2" s="208" t="s">
        <v>88</v>
      </c>
      <c r="AB2" s="237" t="s">
        <v>448</v>
      </c>
      <c r="AE2" s="218" t="s">
        <v>35</v>
      </c>
      <c r="AG2" s="154" t="s">
        <v>317</v>
      </c>
      <c r="AH2" s="155" t="s">
        <v>309</v>
      </c>
      <c r="AJ2" s="248" t="s">
        <v>36</v>
      </c>
      <c r="AL2" s="219" t="s">
        <v>127</v>
      </c>
      <c r="AN2" s="156" t="s">
        <v>449</v>
      </c>
      <c r="AP2" s="219" t="s">
        <v>38</v>
      </c>
      <c r="AR2" s="219" t="s">
        <v>450</v>
      </c>
      <c r="AT2" s="248" t="s">
        <v>39</v>
      </c>
      <c r="AV2" s="224" t="s">
        <v>55</v>
      </c>
      <c r="AX2" s="157">
        <v>1</v>
      </c>
      <c r="AY2" s="158">
        <v>50</v>
      </c>
      <c r="AZ2" s="158">
        <v>1</v>
      </c>
      <c r="BA2" s="159">
        <v>50</v>
      </c>
    </row>
    <row r="3" spans="1:53" x14ac:dyDescent="0.15">
      <c r="A3" s="208" t="s">
        <v>59</v>
      </c>
      <c r="B3" s="237" t="s">
        <v>451</v>
      </c>
      <c r="C3" s="152">
        <v>2018</v>
      </c>
      <c r="D3" s="153" t="s">
        <v>452</v>
      </c>
      <c r="E3" s="208" t="s">
        <v>453</v>
      </c>
      <c r="F3" s="208" t="s">
        <v>310</v>
      </c>
      <c r="G3" s="208" t="s">
        <v>36</v>
      </c>
      <c r="H3" s="208" t="s">
        <v>165</v>
      </c>
      <c r="I3" s="208" t="s">
        <v>155</v>
      </c>
      <c r="J3" s="208" t="s">
        <v>38</v>
      </c>
      <c r="K3" s="208" t="s">
        <v>156</v>
      </c>
      <c r="L3" s="208">
        <v>2</v>
      </c>
      <c r="N3" s="208">
        <v>4</v>
      </c>
      <c r="O3" s="208">
        <v>0.45</v>
      </c>
      <c r="P3" s="208">
        <v>0.45</v>
      </c>
      <c r="Q3" s="245">
        <f t="shared" ref="Q3:Q73" si="2">IF(OR(O3="",P3=""),"",AVERAGE(O3,P3))</f>
        <v>0.45</v>
      </c>
      <c r="R3" s="208">
        <v>16.3</v>
      </c>
      <c r="S3" s="208">
        <v>136</v>
      </c>
      <c r="T3" s="217">
        <f t="shared" si="0"/>
        <v>25</v>
      </c>
      <c r="U3" s="208">
        <v>480</v>
      </c>
      <c r="V3" s="217">
        <f t="shared" si="1"/>
        <v>16</v>
      </c>
      <c r="W3" s="208">
        <v>2</v>
      </c>
      <c r="X3" s="208" t="s">
        <v>39</v>
      </c>
      <c r="Y3" s="208" t="s">
        <v>69</v>
      </c>
      <c r="Z3" s="208" t="s">
        <v>97</v>
      </c>
      <c r="AA3" s="208" t="s">
        <v>88</v>
      </c>
      <c r="AB3" s="237" t="s">
        <v>454</v>
      </c>
      <c r="AE3" s="223" t="s">
        <v>41</v>
      </c>
      <c r="AG3" s="154" t="s">
        <v>318</v>
      </c>
      <c r="AH3" s="155" t="s">
        <v>310</v>
      </c>
      <c r="AJ3" s="224" t="s">
        <v>42</v>
      </c>
      <c r="AL3" s="224" t="s">
        <v>128</v>
      </c>
      <c r="AN3" s="224" t="s">
        <v>43</v>
      </c>
      <c r="AP3" s="224" t="s">
        <v>44</v>
      </c>
      <c r="AR3" s="238" t="s">
        <v>45</v>
      </c>
      <c r="AT3" s="224" t="s">
        <v>46</v>
      </c>
      <c r="AV3" s="224" t="s">
        <v>455</v>
      </c>
      <c r="AX3" s="225">
        <v>72</v>
      </c>
      <c r="AY3" s="226">
        <v>46</v>
      </c>
      <c r="AZ3" s="226">
        <v>71</v>
      </c>
      <c r="BA3" s="227">
        <v>42</v>
      </c>
    </row>
    <row r="4" spans="1:53" x14ac:dyDescent="0.15">
      <c r="A4" s="208" t="s">
        <v>59</v>
      </c>
      <c r="B4" s="237" t="s">
        <v>451</v>
      </c>
      <c r="C4" s="152">
        <v>2018</v>
      </c>
      <c r="D4" s="153" t="s">
        <v>452</v>
      </c>
      <c r="E4" s="208" t="s">
        <v>453</v>
      </c>
      <c r="F4" s="208" t="s">
        <v>310</v>
      </c>
      <c r="G4" s="208" t="s">
        <v>36</v>
      </c>
      <c r="H4" s="208" t="s">
        <v>165</v>
      </c>
      <c r="I4" s="208" t="s">
        <v>456</v>
      </c>
      <c r="J4" s="208" t="s">
        <v>38</v>
      </c>
      <c r="K4" s="208" t="s">
        <v>156</v>
      </c>
      <c r="L4" s="208">
        <v>3</v>
      </c>
      <c r="N4" s="208">
        <v>4</v>
      </c>
      <c r="O4" s="208">
        <v>0.45</v>
      </c>
      <c r="P4" s="208">
        <v>0.52</v>
      </c>
      <c r="Q4" s="245">
        <f t="shared" si="2"/>
        <v>0.48499999999999999</v>
      </c>
      <c r="R4" s="208">
        <v>16.8</v>
      </c>
      <c r="S4" s="208">
        <v>130</v>
      </c>
      <c r="T4" s="217">
        <f t="shared" si="0"/>
        <v>25</v>
      </c>
      <c r="U4" s="208">
        <v>480</v>
      </c>
      <c r="V4" s="217">
        <f t="shared" si="1"/>
        <v>16</v>
      </c>
      <c r="W4" s="208">
        <v>2</v>
      </c>
      <c r="X4" s="208" t="s">
        <v>39</v>
      </c>
      <c r="Y4" s="208" t="s">
        <v>69</v>
      </c>
      <c r="Z4" s="208" t="s">
        <v>97</v>
      </c>
      <c r="AA4" s="208" t="s">
        <v>88</v>
      </c>
      <c r="AB4" s="237" t="s">
        <v>454</v>
      </c>
      <c r="AE4" s="223" t="s">
        <v>34</v>
      </c>
      <c r="AG4" s="154" t="s">
        <v>319</v>
      </c>
      <c r="AH4" s="155" t="s">
        <v>311</v>
      </c>
      <c r="AJ4" s="228" t="s">
        <v>48</v>
      </c>
      <c r="AL4" s="228" t="s">
        <v>129</v>
      </c>
      <c r="AN4" s="229" t="s">
        <v>49</v>
      </c>
      <c r="AP4" s="224" t="s">
        <v>457</v>
      </c>
      <c r="AR4" s="238" t="s">
        <v>270</v>
      </c>
      <c r="AT4" s="229"/>
      <c r="AV4" s="224" t="s">
        <v>458</v>
      </c>
      <c r="AX4" s="225">
        <v>75</v>
      </c>
      <c r="AY4" s="226">
        <v>42</v>
      </c>
      <c r="AZ4" s="226">
        <v>76</v>
      </c>
      <c r="BA4" s="227">
        <v>39</v>
      </c>
    </row>
    <row r="5" spans="1:53" x14ac:dyDescent="0.15">
      <c r="A5" s="208" t="s">
        <v>59</v>
      </c>
      <c r="B5" s="237" t="s">
        <v>451</v>
      </c>
      <c r="C5" s="152">
        <v>2018</v>
      </c>
      <c r="D5" s="153" t="s">
        <v>452</v>
      </c>
      <c r="E5" s="208" t="s">
        <v>453</v>
      </c>
      <c r="F5" s="208" t="s">
        <v>310</v>
      </c>
      <c r="G5" s="208" t="s">
        <v>36</v>
      </c>
      <c r="H5" s="208" t="s">
        <v>157</v>
      </c>
      <c r="I5" s="208" t="s">
        <v>155</v>
      </c>
      <c r="J5" s="208" t="s">
        <v>38</v>
      </c>
      <c r="K5" s="208" t="s">
        <v>156</v>
      </c>
      <c r="L5" s="208">
        <v>1</v>
      </c>
      <c r="N5" s="208">
        <v>4</v>
      </c>
      <c r="O5" s="208">
        <v>0.8</v>
      </c>
      <c r="P5" s="208">
        <v>0.73</v>
      </c>
      <c r="Q5" s="245">
        <f t="shared" si="2"/>
        <v>0.76500000000000001</v>
      </c>
      <c r="R5" s="208">
        <v>15.5</v>
      </c>
      <c r="S5" s="208">
        <v>135</v>
      </c>
      <c r="T5" s="217">
        <f t="shared" si="0"/>
        <v>25</v>
      </c>
      <c r="U5" s="208">
        <v>398</v>
      </c>
      <c r="V5" s="217">
        <f t="shared" si="1"/>
        <v>16</v>
      </c>
      <c r="W5" s="208">
        <v>2</v>
      </c>
      <c r="X5" s="208" t="s">
        <v>39</v>
      </c>
      <c r="Y5" s="208" t="s">
        <v>69</v>
      </c>
      <c r="Z5" s="208" t="s">
        <v>97</v>
      </c>
      <c r="AA5" s="208" t="s">
        <v>88</v>
      </c>
      <c r="AB5" s="237" t="s">
        <v>454</v>
      </c>
      <c r="AE5" s="223" t="s">
        <v>51</v>
      </c>
      <c r="AG5" s="154" t="s">
        <v>271</v>
      </c>
      <c r="AH5" s="155" t="s">
        <v>312</v>
      </c>
      <c r="AJ5" s="229"/>
      <c r="AL5" s="230" t="s">
        <v>459</v>
      </c>
      <c r="AN5" s="72" t="s">
        <v>460</v>
      </c>
      <c r="AP5" s="224" t="s">
        <v>461</v>
      </c>
      <c r="AR5" s="238" t="s">
        <v>54</v>
      </c>
      <c r="AV5" s="224" t="s">
        <v>462</v>
      </c>
      <c r="AX5" s="225">
        <v>84</v>
      </c>
      <c r="AY5" s="226">
        <v>39</v>
      </c>
      <c r="AZ5" s="226">
        <v>84</v>
      </c>
      <c r="BA5" s="227">
        <v>36</v>
      </c>
    </row>
    <row r="6" spans="1:53" x14ac:dyDescent="0.15">
      <c r="A6" s="208" t="s">
        <v>59</v>
      </c>
      <c r="B6" s="237" t="s">
        <v>451</v>
      </c>
      <c r="C6" s="152">
        <v>2018</v>
      </c>
      <c r="D6" s="153" t="s">
        <v>452</v>
      </c>
      <c r="E6" s="208" t="s">
        <v>453</v>
      </c>
      <c r="F6" s="208" t="s">
        <v>310</v>
      </c>
      <c r="G6" s="208" t="s">
        <v>36</v>
      </c>
      <c r="H6" s="208" t="s">
        <v>157</v>
      </c>
      <c r="I6" s="208" t="s">
        <v>155</v>
      </c>
      <c r="J6" s="208" t="s">
        <v>38</v>
      </c>
      <c r="K6" s="208" t="s">
        <v>156</v>
      </c>
      <c r="L6" s="208">
        <v>2</v>
      </c>
      <c r="N6" s="208">
        <v>4</v>
      </c>
      <c r="O6" s="208">
        <v>0.44</v>
      </c>
      <c r="P6" s="208">
        <v>0.38</v>
      </c>
      <c r="Q6" s="245">
        <f t="shared" si="2"/>
        <v>0.41000000000000003</v>
      </c>
      <c r="R6" s="208">
        <v>13.9</v>
      </c>
      <c r="S6" s="208">
        <v>142</v>
      </c>
      <c r="T6" s="217">
        <f t="shared" si="0"/>
        <v>22</v>
      </c>
      <c r="U6" s="208">
        <v>398</v>
      </c>
      <c r="V6" s="217">
        <f t="shared" si="1"/>
        <v>16</v>
      </c>
      <c r="W6" s="208">
        <v>2</v>
      </c>
      <c r="X6" s="208" t="s">
        <v>39</v>
      </c>
      <c r="Y6" s="208" t="s">
        <v>69</v>
      </c>
      <c r="Z6" s="208" t="s">
        <v>97</v>
      </c>
      <c r="AA6" s="208" t="s">
        <v>88</v>
      </c>
      <c r="AB6" s="237" t="s">
        <v>454</v>
      </c>
      <c r="AE6" s="223" t="s">
        <v>56</v>
      </c>
      <c r="AG6" s="154" t="s">
        <v>320</v>
      </c>
      <c r="AH6" s="155" t="s">
        <v>313</v>
      </c>
      <c r="AL6" s="230" t="s">
        <v>463</v>
      </c>
      <c r="AN6" s="230" t="s">
        <v>464</v>
      </c>
      <c r="AP6" s="224" t="s">
        <v>53</v>
      </c>
      <c r="AR6" s="238" t="s">
        <v>168</v>
      </c>
      <c r="AV6" s="224" t="s">
        <v>60</v>
      </c>
      <c r="AX6" s="225">
        <v>97</v>
      </c>
      <c r="AY6" s="226">
        <v>36</v>
      </c>
      <c r="AZ6" s="226">
        <v>99</v>
      </c>
      <c r="BA6" s="227">
        <v>33</v>
      </c>
    </row>
    <row r="7" spans="1:53" x14ac:dyDescent="0.15">
      <c r="A7" s="208" t="s">
        <v>59</v>
      </c>
      <c r="B7" s="237" t="s">
        <v>405</v>
      </c>
      <c r="C7" s="152">
        <v>2018</v>
      </c>
      <c r="D7" s="153" t="s">
        <v>465</v>
      </c>
      <c r="E7" s="208" t="s">
        <v>466</v>
      </c>
      <c r="F7" s="208" t="s">
        <v>310</v>
      </c>
      <c r="G7" s="208" t="s">
        <v>36</v>
      </c>
      <c r="H7" s="208" t="s">
        <v>157</v>
      </c>
      <c r="I7" s="208" t="s">
        <v>155</v>
      </c>
      <c r="J7" s="208" t="s">
        <v>38</v>
      </c>
      <c r="K7" s="208" t="s">
        <v>156</v>
      </c>
      <c r="L7" s="208">
        <v>3</v>
      </c>
      <c r="N7" s="208">
        <v>4</v>
      </c>
      <c r="O7" s="208">
        <v>0.7</v>
      </c>
      <c r="P7" s="208">
        <v>0.64</v>
      </c>
      <c r="Q7" s="245">
        <f t="shared" si="2"/>
        <v>0.66999999999999993</v>
      </c>
      <c r="R7" s="208">
        <v>14.1</v>
      </c>
      <c r="S7" s="208">
        <v>138</v>
      </c>
      <c r="T7" s="217">
        <f t="shared" si="0"/>
        <v>22</v>
      </c>
      <c r="U7" s="208">
        <v>398</v>
      </c>
      <c r="V7" s="217">
        <f t="shared" si="1"/>
        <v>16</v>
      </c>
      <c r="W7" s="208">
        <v>2</v>
      </c>
      <c r="X7" s="208" t="s">
        <v>39</v>
      </c>
      <c r="Y7" s="208" t="s">
        <v>69</v>
      </c>
      <c r="Z7" s="208" t="s">
        <v>97</v>
      </c>
      <c r="AA7" s="208" t="s">
        <v>88</v>
      </c>
      <c r="AB7" s="237" t="s">
        <v>467</v>
      </c>
      <c r="AE7" s="223" t="s">
        <v>61</v>
      </c>
      <c r="AG7" s="154" t="s">
        <v>321</v>
      </c>
      <c r="AH7" s="155" t="s">
        <v>314</v>
      </c>
      <c r="AL7" s="235" t="s">
        <v>468</v>
      </c>
      <c r="AP7" s="224" t="s">
        <v>58</v>
      </c>
      <c r="AR7" s="231" t="s">
        <v>272</v>
      </c>
      <c r="AV7" s="224" t="s">
        <v>64</v>
      </c>
      <c r="AX7" s="225">
        <v>109</v>
      </c>
      <c r="AY7" s="226">
        <v>33</v>
      </c>
      <c r="AZ7" s="226">
        <v>113</v>
      </c>
      <c r="BA7" s="227">
        <v>30</v>
      </c>
    </row>
    <row r="8" spans="1:53" x14ac:dyDescent="0.15">
      <c r="A8" s="208" t="s">
        <v>59</v>
      </c>
      <c r="B8" s="237" t="s">
        <v>469</v>
      </c>
      <c r="C8" s="152">
        <v>2018</v>
      </c>
      <c r="D8" s="153" t="s">
        <v>470</v>
      </c>
      <c r="E8" s="208" t="s">
        <v>317</v>
      </c>
      <c r="F8" s="208" t="s">
        <v>309</v>
      </c>
      <c r="G8" s="208" t="s">
        <v>36</v>
      </c>
      <c r="H8" s="208" t="s">
        <v>165</v>
      </c>
      <c r="I8" s="208" t="s">
        <v>155</v>
      </c>
      <c r="J8" s="208" t="s">
        <v>38</v>
      </c>
      <c r="K8" s="208" t="s">
        <v>156</v>
      </c>
      <c r="L8" s="208">
        <v>1</v>
      </c>
      <c r="N8" s="208">
        <v>4</v>
      </c>
      <c r="O8" s="208">
        <v>0.43</v>
      </c>
      <c r="P8" s="208">
        <v>0.5</v>
      </c>
      <c r="Q8" s="245">
        <f t="shared" si="2"/>
        <v>0.46499999999999997</v>
      </c>
      <c r="R8" s="208">
        <v>15</v>
      </c>
      <c r="S8" s="208">
        <v>110</v>
      </c>
      <c r="T8" s="217">
        <f t="shared" si="0"/>
        <v>33</v>
      </c>
      <c r="U8" s="208">
        <v>437</v>
      </c>
      <c r="V8" s="217">
        <f t="shared" si="1"/>
        <v>16</v>
      </c>
      <c r="W8" s="208">
        <v>8</v>
      </c>
      <c r="X8" s="208" t="s">
        <v>39</v>
      </c>
      <c r="Y8" s="208" t="s">
        <v>97</v>
      </c>
      <c r="Z8" s="208" t="s">
        <v>69</v>
      </c>
      <c r="AA8" s="208" t="s">
        <v>90</v>
      </c>
      <c r="AB8" s="237" t="s">
        <v>454</v>
      </c>
      <c r="AE8" s="223" t="s">
        <v>59</v>
      </c>
      <c r="AG8" s="160" t="s">
        <v>322</v>
      </c>
      <c r="AH8" s="155" t="s">
        <v>315</v>
      </c>
      <c r="AL8" s="235" t="s">
        <v>471</v>
      </c>
      <c r="AP8" s="224" t="s">
        <v>62</v>
      </c>
      <c r="AR8" s="238" t="s">
        <v>81</v>
      </c>
      <c r="AV8" s="224" t="s">
        <v>97</v>
      </c>
      <c r="AX8" s="225">
        <v>119</v>
      </c>
      <c r="AY8" s="226">
        <v>30</v>
      </c>
      <c r="AZ8" s="226">
        <v>121</v>
      </c>
      <c r="BA8" s="227">
        <v>27</v>
      </c>
    </row>
    <row r="9" spans="1:53" x14ac:dyDescent="0.15">
      <c r="A9" s="208" t="s">
        <v>59</v>
      </c>
      <c r="B9" s="237" t="s">
        <v>451</v>
      </c>
      <c r="C9" s="152">
        <v>2018</v>
      </c>
      <c r="D9" s="153" t="s">
        <v>452</v>
      </c>
      <c r="E9" s="208" t="s">
        <v>317</v>
      </c>
      <c r="F9" s="208" t="s">
        <v>309</v>
      </c>
      <c r="G9" s="208" t="s">
        <v>36</v>
      </c>
      <c r="H9" s="208" t="s">
        <v>165</v>
      </c>
      <c r="I9" s="208" t="s">
        <v>155</v>
      </c>
      <c r="J9" s="208" t="s">
        <v>38</v>
      </c>
      <c r="K9" s="208" t="s">
        <v>156</v>
      </c>
      <c r="L9" s="208">
        <v>2</v>
      </c>
      <c r="N9" s="208">
        <v>4</v>
      </c>
      <c r="O9" s="208">
        <v>0.55000000000000004</v>
      </c>
      <c r="P9" s="208">
        <v>0.53</v>
      </c>
      <c r="Q9" s="245">
        <f t="shared" si="2"/>
        <v>0.54</v>
      </c>
      <c r="R9" s="208">
        <v>16.100000000000001</v>
      </c>
      <c r="S9" s="208">
        <v>116</v>
      </c>
      <c r="T9" s="217">
        <f t="shared" si="0"/>
        <v>30</v>
      </c>
      <c r="U9" s="208">
        <v>437</v>
      </c>
      <c r="V9" s="217">
        <f t="shared" si="1"/>
        <v>16</v>
      </c>
      <c r="W9" s="208">
        <v>8</v>
      </c>
      <c r="X9" s="208" t="s">
        <v>39</v>
      </c>
      <c r="Y9" s="208" t="s">
        <v>97</v>
      </c>
      <c r="Z9" s="208" t="s">
        <v>69</v>
      </c>
      <c r="AA9" s="208" t="s">
        <v>90</v>
      </c>
      <c r="AB9" s="237" t="s">
        <v>454</v>
      </c>
      <c r="AE9" s="223" t="s">
        <v>98</v>
      </c>
      <c r="AG9" s="160" t="s">
        <v>323</v>
      </c>
      <c r="AH9" s="155" t="s">
        <v>315</v>
      </c>
      <c r="AL9" s="230"/>
      <c r="AP9" s="224" t="s">
        <v>274</v>
      </c>
      <c r="AR9" s="231" t="s">
        <v>89</v>
      </c>
      <c r="AV9" s="224" t="s">
        <v>102</v>
      </c>
      <c r="AX9" s="225">
        <v>128</v>
      </c>
      <c r="AY9" s="226">
        <v>27</v>
      </c>
      <c r="AZ9" s="226">
        <v>129</v>
      </c>
      <c r="BA9" s="227">
        <v>25</v>
      </c>
    </row>
    <row r="10" spans="1:53" x14ac:dyDescent="0.15">
      <c r="A10" s="208" t="s">
        <v>59</v>
      </c>
      <c r="B10" s="237" t="s">
        <v>400</v>
      </c>
      <c r="C10" s="152">
        <v>2018</v>
      </c>
      <c r="D10" s="153" t="s">
        <v>472</v>
      </c>
      <c r="E10" s="208" t="s">
        <v>317</v>
      </c>
      <c r="F10" s="208" t="s">
        <v>309</v>
      </c>
      <c r="G10" s="208" t="s">
        <v>36</v>
      </c>
      <c r="H10" s="208" t="s">
        <v>165</v>
      </c>
      <c r="I10" s="208" t="s">
        <v>155</v>
      </c>
      <c r="J10" s="208" t="s">
        <v>38</v>
      </c>
      <c r="K10" s="208" t="s">
        <v>156</v>
      </c>
      <c r="L10" s="208">
        <v>3</v>
      </c>
      <c r="N10" s="208">
        <v>4</v>
      </c>
      <c r="O10" s="208">
        <v>0.52</v>
      </c>
      <c r="P10" s="208">
        <v>0.5</v>
      </c>
      <c r="Q10" s="245">
        <f t="shared" si="2"/>
        <v>0.51</v>
      </c>
      <c r="R10" s="208">
        <v>15.9</v>
      </c>
      <c r="S10" s="208">
        <v>112</v>
      </c>
      <c r="T10" s="217">
        <f t="shared" si="0"/>
        <v>33</v>
      </c>
      <c r="U10" s="208">
        <v>437</v>
      </c>
      <c r="V10" s="217">
        <f t="shared" si="1"/>
        <v>16</v>
      </c>
      <c r="W10" s="208">
        <v>8</v>
      </c>
      <c r="X10" s="208" t="s">
        <v>39</v>
      </c>
      <c r="Y10" s="208" t="s">
        <v>97</v>
      </c>
      <c r="Z10" s="208" t="s">
        <v>69</v>
      </c>
      <c r="AA10" s="208" t="s">
        <v>90</v>
      </c>
      <c r="AB10" s="237" t="s">
        <v>454</v>
      </c>
      <c r="AE10" s="223" t="s">
        <v>103</v>
      </c>
      <c r="AG10" s="154" t="s">
        <v>324</v>
      </c>
      <c r="AH10" s="155" t="s">
        <v>312</v>
      </c>
      <c r="AL10" s="88"/>
      <c r="AP10" s="224" t="s">
        <v>100</v>
      </c>
      <c r="AR10" s="231" t="s">
        <v>123</v>
      </c>
      <c r="AV10" s="224" t="s">
        <v>106</v>
      </c>
      <c r="AX10" s="225">
        <v>138</v>
      </c>
      <c r="AY10" s="226">
        <v>25</v>
      </c>
      <c r="AZ10" s="226">
        <v>138</v>
      </c>
      <c r="BA10" s="227">
        <v>22</v>
      </c>
    </row>
    <row r="11" spans="1:53" x14ac:dyDescent="0.15">
      <c r="A11" s="208" t="s">
        <v>59</v>
      </c>
      <c r="B11" s="237" t="s">
        <v>451</v>
      </c>
      <c r="C11" s="152">
        <v>2018</v>
      </c>
      <c r="D11" s="153" t="s">
        <v>452</v>
      </c>
      <c r="E11" s="208" t="s">
        <v>317</v>
      </c>
      <c r="F11" s="208" t="s">
        <v>309</v>
      </c>
      <c r="G11" s="208" t="s">
        <v>36</v>
      </c>
      <c r="H11" s="208" t="s">
        <v>157</v>
      </c>
      <c r="I11" s="208" t="s">
        <v>155</v>
      </c>
      <c r="J11" s="208" t="s">
        <v>38</v>
      </c>
      <c r="K11" s="208" t="s">
        <v>156</v>
      </c>
      <c r="L11" s="208">
        <v>1</v>
      </c>
      <c r="N11" s="208">
        <v>8</v>
      </c>
      <c r="O11" s="208">
        <v>0.65</v>
      </c>
      <c r="P11" s="208">
        <v>0.6</v>
      </c>
      <c r="Q11" s="245">
        <f t="shared" si="2"/>
        <v>0.625</v>
      </c>
      <c r="R11" s="208">
        <v>13.4</v>
      </c>
      <c r="S11" s="208">
        <v>92</v>
      </c>
      <c r="T11" s="217">
        <f t="shared" si="0"/>
        <v>36</v>
      </c>
      <c r="U11" s="208">
        <v>497</v>
      </c>
      <c r="V11" s="217">
        <f t="shared" si="1"/>
        <v>16</v>
      </c>
      <c r="W11" s="208">
        <v>5</v>
      </c>
      <c r="X11" s="208" t="s">
        <v>39</v>
      </c>
      <c r="Y11" s="208" t="s">
        <v>97</v>
      </c>
      <c r="Z11" s="208" t="s">
        <v>69</v>
      </c>
      <c r="AA11" s="208" t="s">
        <v>90</v>
      </c>
      <c r="AB11" s="237" t="s">
        <v>454</v>
      </c>
      <c r="AE11" s="223" t="s">
        <v>65</v>
      </c>
      <c r="AG11" s="160" t="s">
        <v>325</v>
      </c>
      <c r="AH11" s="155" t="s">
        <v>316</v>
      </c>
      <c r="AL11" s="88"/>
      <c r="AP11" s="224" t="s">
        <v>273</v>
      </c>
      <c r="AR11" s="231" t="s">
        <v>275</v>
      </c>
      <c r="AV11" s="224" t="s">
        <v>473</v>
      </c>
      <c r="AX11" s="225">
        <v>151</v>
      </c>
      <c r="AY11" s="226">
        <v>22</v>
      </c>
      <c r="AZ11" s="226">
        <v>152</v>
      </c>
      <c r="BA11" s="227">
        <v>18</v>
      </c>
    </row>
    <row r="12" spans="1:53" x14ac:dyDescent="0.15">
      <c r="A12" s="208" t="s">
        <v>59</v>
      </c>
      <c r="B12" s="237" t="s">
        <v>474</v>
      </c>
      <c r="C12" s="152">
        <v>2018</v>
      </c>
      <c r="D12" s="153" t="s">
        <v>475</v>
      </c>
      <c r="E12" s="208" t="s">
        <v>317</v>
      </c>
      <c r="F12" s="208" t="s">
        <v>309</v>
      </c>
      <c r="G12" s="208" t="s">
        <v>36</v>
      </c>
      <c r="H12" s="208" t="s">
        <v>157</v>
      </c>
      <c r="I12" s="208" t="s">
        <v>155</v>
      </c>
      <c r="J12" s="208" t="s">
        <v>38</v>
      </c>
      <c r="K12" s="208" t="s">
        <v>156</v>
      </c>
      <c r="L12" s="208">
        <v>2</v>
      </c>
      <c r="N12" s="208">
        <v>8</v>
      </c>
      <c r="O12" s="208">
        <v>0.83</v>
      </c>
      <c r="P12" s="208">
        <v>0.83</v>
      </c>
      <c r="Q12" s="245">
        <f t="shared" si="2"/>
        <v>0.83</v>
      </c>
      <c r="R12" s="208">
        <v>14</v>
      </c>
      <c r="S12" s="208">
        <v>95</v>
      </c>
      <c r="T12" s="217">
        <f t="shared" si="0"/>
        <v>36</v>
      </c>
      <c r="U12" s="208">
        <v>497</v>
      </c>
      <c r="V12" s="217">
        <f t="shared" si="1"/>
        <v>16</v>
      </c>
      <c r="W12" s="208">
        <v>5</v>
      </c>
      <c r="X12" s="208" t="s">
        <v>39</v>
      </c>
      <c r="Y12" s="208" t="s">
        <v>97</v>
      </c>
      <c r="Z12" s="208" t="s">
        <v>69</v>
      </c>
      <c r="AA12" s="208" t="s">
        <v>90</v>
      </c>
      <c r="AB12" s="237" t="s">
        <v>454</v>
      </c>
      <c r="AE12" s="223" t="s">
        <v>70</v>
      </c>
      <c r="AG12" s="231"/>
      <c r="AH12" s="161"/>
      <c r="AL12" s="88"/>
      <c r="AP12" s="224" t="s">
        <v>67</v>
      </c>
      <c r="AR12" s="231" t="s">
        <v>124</v>
      </c>
      <c r="AV12" s="224" t="s">
        <v>72</v>
      </c>
      <c r="AX12" s="232">
        <v>180</v>
      </c>
      <c r="AY12" s="233">
        <v>18</v>
      </c>
      <c r="AZ12" s="233">
        <v>181</v>
      </c>
      <c r="BA12" s="234">
        <v>16</v>
      </c>
    </row>
    <row r="13" spans="1:53" x14ac:dyDescent="0.15">
      <c r="A13" s="208" t="s">
        <v>59</v>
      </c>
      <c r="B13" s="237" t="s">
        <v>409</v>
      </c>
      <c r="C13" s="152">
        <v>2018</v>
      </c>
      <c r="D13" s="153" t="s">
        <v>476</v>
      </c>
      <c r="E13" s="208" t="s">
        <v>317</v>
      </c>
      <c r="F13" s="208" t="s">
        <v>309</v>
      </c>
      <c r="G13" s="208" t="s">
        <v>36</v>
      </c>
      <c r="H13" s="208" t="s">
        <v>157</v>
      </c>
      <c r="I13" s="208" t="s">
        <v>155</v>
      </c>
      <c r="J13" s="208" t="s">
        <v>38</v>
      </c>
      <c r="K13" s="208" t="s">
        <v>156</v>
      </c>
      <c r="L13" s="208">
        <v>3</v>
      </c>
      <c r="N13" s="208">
        <v>8</v>
      </c>
      <c r="O13" s="208">
        <v>0.67</v>
      </c>
      <c r="P13" s="208">
        <v>0.65</v>
      </c>
      <c r="Q13" s="245">
        <f t="shared" si="2"/>
        <v>0.66</v>
      </c>
      <c r="R13" s="208">
        <v>14.2</v>
      </c>
      <c r="S13" s="208">
        <v>90</v>
      </c>
      <c r="T13" s="217">
        <f t="shared" si="0"/>
        <v>36</v>
      </c>
      <c r="U13" s="208">
        <v>497</v>
      </c>
      <c r="V13" s="217">
        <f t="shared" si="1"/>
        <v>16</v>
      </c>
      <c r="W13" s="208">
        <v>5</v>
      </c>
      <c r="X13" s="208" t="s">
        <v>39</v>
      </c>
      <c r="Y13" s="208" t="s">
        <v>97</v>
      </c>
      <c r="Z13" s="208" t="s">
        <v>69</v>
      </c>
      <c r="AA13" s="208" t="s">
        <v>90</v>
      </c>
      <c r="AB13" s="237" t="s">
        <v>454</v>
      </c>
      <c r="AE13" s="223" t="s">
        <v>73</v>
      </c>
      <c r="AG13" s="224"/>
      <c r="AH13" s="224"/>
      <c r="AP13" s="224" t="s">
        <v>71</v>
      </c>
      <c r="AR13" s="231" t="s">
        <v>103</v>
      </c>
      <c r="AV13" s="224" t="s">
        <v>75</v>
      </c>
    </row>
    <row r="14" spans="1:53" x14ac:dyDescent="0.15">
      <c r="A14" s="208" t="s">
        <v>59</v>
      </c>
      <c r="B14" s="237" t="s">
        <v>411</v>
      </c>
      <c r="C14" s="152">
        <v>2018</v>
      </c>
      <c r="D14" s="153" t="s">
        <v>477</v>
      </c>
      <c r="E14" s="208" t="s">
        <v>271</v>
      </c>
      <c r="F14" s="208" t="s">
        <v>312</v>
      </c>
      <c r="G14" s="208" t="s">
        <v>36</v>
      </c>
      <c r="H14" s="208" t="s">
        <v>165</v>
      </c>
      <c r="I14" s="208" t="s">
        <v>155</v>
      </c>
      <c r="J14" s="208" t="s">
        <v>38</v>
      </c>
      <c r="K14" s="208" t="s">
        <v>156</v>
      </c>
      <c r="L14" s="208">
        <v>1</v>
      </c>
      <c r="N14" s="208">
        <v>4</v>
      </c>
      <c r="O14" s="208">
        <v>0.55000000000000004</v>
      </c>
      <c r="P14" s="208">
        <v>0.56999999999999995</v>
      </c>
      <c r="Q14" s="245">
        <f t="shared" si="2"/>
        <v>0.56000000000000005</v>
      </c>
      <c r="R14" s="208">
        <v>15.9</v>
      </c>
      <c r="S14" s="208">
        <v>126</v>
      </c>
      <c r="T14" s="217">
        <f t="shared" si="0"/>
        <v>27</v>
      </c>
      <c r="U14" s="208">
        <v>499</v>
      </c>
      <c r="V14" s="217">
        <f t="shared" si="1"/>
        <v>16</v>
      </c>
      <c r="W14" s="208">
        <v>3</v>
      </c>
      <c r="X14" s="208" t="s">
        <v>46</v>
      </c>
      <c r="Y14" s="208" t="s">
        <v>69</v>
      </c>
      <c r="Z14" s="208" t="s">
        <v>55</v>
      </c>
      <c r="AA14" s="208" t="s">
        <v>47</v>
      </c>
      <c r="AB14" s="237" t="s">
        <v>478</v>
      </c>
      <c r="AE14" s="223" t="s">
        <v>76</v>
      </c>
      <c r="AG14" s="224"/>
      <c r="AH14" s="224"/>
      <c r="AP14" s="224" t="s">
        <v>276</v>
      </c>
      <c r="AR14" s="231" t="s">
        <v>125</v>
      </c>
      <c r="AV14" s="224" t="s">
        <v>78</v>
      </c>
    </row>
    <row r="15" spans="1:53" x14ac:dyDescent="0.15">
      <c r="A15" s="208" t="s">
        <v>59</v>
      </c>
      <c r="B15" s="237" t="s">
        <v>411</v>
      </c>
      <c r="C15" s="152">
        <v>2018</v>
      </c>
      <c r="D15" s="153" t="s">
        <v>477</v>
      </c>
      <c r="E15" s="208" t="s">
        <v>271</v>
      </c>
      <c r="F15" s="208" t="s">
        <v>312</v>
      </c>
      <c r="G15" s="208" t="s">
        <v>36</v>
      </c>
      <c r="H15" s="208" t="s">
        <v>165</v>
      </c>
      <c r="I15" s="208" t="s">
        <v>155</v>
      </c>
      <c r="J15" s="208" t="s">
        <v>38</v>
      </c>
      <c r="K15" s="208" t="s">
        <v>156</v>
      </c>
      <c r="L15" s="208">
        <v>2</v>
      </c>
      <c r="N15" s="208">
        <v>4</v>
      </c>
      <c r="O15" s="208">
        <v>0.56999999999999995</v>
      </c>
      <c r="P15" s="208">
        <v>0.57999999999999996</v>
      </c>
      <c r="Q15" s="245">
        <f t="shared" si="2"/>
        <v>0.57499999999999996</v>
      </c>
      <c r="R15" s="208">
        <v>15.4</v>
      </c>
      <c r="S15" s="208">
        <v>117</v>
      </c>
      <c r="T15" s="217">
        <f t="shared" si="0"/>
        <v>30</v>
      </c>
      <c r="U15" s="208">
        <v>499</v>
      </c>
      <c r="V15" s="217">
        <f t="shared" si="1"/>
        <v>16</v>
      </c>
      <c r="W15" s="208">
        <v>3</v>
      </c>
      <c r="X15" s="208" t="s">
        <v>46</v>
      </c>
      <c r="Y15" s="208" t="s">
        <v>69</v>
      </c>
      <c r="Z15" s="208" t="s">
        <v>55</v>
      </c>
      <c r="AA15" s="208" t="s">
        <v>47</v>
      </c>
      <c r="AB15" s="237" t="s">
        <v>478</v>
      </c>
      <c r="AE15" s="223" t="s">
        <v>79</v>
      </c>
      <c r="AG15" s="224"/>
      <c r="AH15" s="224"/>
      <c r="AP15" s="224" t="s">
        <v>277</v>
      </c>
      <c r="AR15" s="231" t="s">
        <v>94</v>
      </c>
      <c r="AV15" s="224" t="s">
        <v>107</v>
      </c>
    </row>
    <row r="16" spans="1:53" x14ac:dyDescent="0.15">
      <c r="A16" s="208" t="s">
        <v>59</v>
      </c>
      <c r="B16" s="237" t="s">
        <v>413</v>
      </c>
      <c r="C16" s="152">
        <v>2018</v>
      </c>
      <c r="D16" s="153" t="s">
        <v>479</v>
      </c>
      <c r="E16" s="208" t="s">
        <v>271</v>
      </c>
      <c r="F16" s="208" t="s">
        <v>312</v>
      </c>
      <c r="G16" s="208" t="s">
        <v>36</v>
      </c>
      <c r="H16" s="208" t="s">
        <v>165</v>
      </c>
      <c r="I16" s="208" t="s">
        <v>155</v>
      </c>
      <c r="J16" s="208" t="s">
        <v>38</v>
      </c>
      <c r="K16" s="208" t="s">
        <v>156</v>
      </c>
      <c r="L16" s="208">
        <v>3</v>
      </c>
      <c r="N16" s="208">
        <v>4</v>
      </c>
      <c r="O16" s="208">
        <v>0.53</v>
      </c>
      <c r="P16" s="208">
        <v>0.57999999999999996</v>
      </c>
      <c r="Q16" s="245">
        <f t="shared" si="2"/>
        <v>0.55499999999999994</v>
      </c>
      <c r="R16" s="208">
        <v>15.8</v>
      </c>
      <c r="S16" s="208">
        <v>120</v>
      </c>
      <c r="T16" s="217">
        <f t="shared" si="0"/>
        <v>30</v>
      </c>
      <c r="U16" s="208">
        <v>499</v>
      </c>
      <c r="V16" s="217">
        <f t="shared" si="1"/>
        <v>16</v>
      </c>
      <c r="W16" s="208">
        <v>3</v>
      </c>
      <c r="X16" s="208" t="s">
        <v>46</v>
      </c>
      <c r="Y16" s="208" t="s">
        <v>69</v>
      </c>
      <c r="Z16" s="208" t="s">
        <v>55</v>
      </c>
      <c r="AA16" s="208" t="s">
        <v>47</v>
      </c>
      <c r="AB16" s="237" t="s">
        <v>480</v>
      </c>
      <c r="AE16" s="223" t="s">
        <v>82</v>
      </c>
      <c r="AG16" s="229"/>
      <c r="AH16" s="229"/>
      <c r="AP16" s="224" t="s">
        <v>80</v>
      </c>
      <c r="AR16" s="238" t="s">
        <v>63</v>
      </c>
      <c r="AV16" s="224" t="s">
        <v>84</v>
      </c>
    </row>
    <row r="17" spans="1:48" x14ac:dyDescent="0.15">
      <c r="A17" s="208" t="s">
        <v>59</v>
      </c>
      <c r="B17" s="237" t="s">
        <v>413</v>
      </c>
      <c r="C17" s="152">
        <v>2018</v>
      </c>
      <c r="D17" s="153" t="s">
        <v>479</v>
      </c>
      <c r="E17" s="208" t="s">
        <v>271</v>
      </c>
      <c r="F17" s="208" t="s">
        <v>312</v>
      </c>
      <c r="G17" s="208" t="s">
        <v>36</v>
      </c>
      <c r="H17" s="208" t="s">
        <v>157</v>
      </c>
      <c r="I17" s="208" t="s">
        <v>155</v>
      </c>
      <c r="J17" s="208" t="s">
        <v>38</v>
      </c>
      <c r="K17" s="208" t="s">
        <v>156</v>
      </c>
      <c r="L17" s="208">
        <v>1</v>
      </c>
      <c r="N17" s="208">
        <v>5</v>
      </c>
      <c r="O17" s="208">
        <v>0.8</v>
      </c>
      <c r="P17" s="208">
        <v>0.7</v>
      </c>
      <c r="Q17" s="245">
        <f t="shared" si="2"/>
        <v>0.75</v>
      </c>
      <c r="R17" s="208">
        <v>13.2</v>
      </c>
      <c r="S17" s="208">
        <v>90</v>
      </c>
      <c r="T17" s="217">
        <f t="shared" si="0"/>
        <v>36</v>
      </c>
      <c r="U17" s="208">
        <v>399</v>
      </c>
      <c r="V17" s="217">
        <f t="shared" si="1"/>
        <v>16</v>
      </c>
      <c r="W17" s="208">
        <v>2</v>
      </c>
      <c r="X17" s="208" t="s">
        <v>46</v>
      </c>
      <c r="Y17" s="208" t="s">
        <v>69</v>
      </c>
      <c r="Z17" s="208" t="s">
        <v>55</v>
      </c>
      <c r="AA17" s="208" t="s">
        <v>47</v>
      </c>
      <c r="AB17" s="237" t="s">
        <v>480</v>
      </c>
      <c r="AE17" s="223" t="s">
        <v>85</v>
      </c>
      <c r="AP17" s="239" t="s">
        <v>110</v>
      </c>
      <c r="AR17" s="238" t="s">
        <v>96</v>
      </c>
      <c r="AV17" s="224" t="s">
        <v>86</v>
      </c>
    </row>
    <row r="18" spans="1:48" x14ac:dyDescent="0.15">
      <c r="A18" s="208" t="s">
        <v>59</v>
      </c>
      <c r="B18" s="237" t="s">
        <v>413</v>
      </c>
      <c r="C18" s="152">
        <v>2018</v>
      </c>
      <c r="D18" s="153" t="s">
        <v>479</v>
      </c>
      <c r="E18" s="208" t="s">
        <v>271</v>
      </c>
      <c r="F18" s="208" t="s">
        <v>312</v>
      </c>
      <c r="G18" s="208" t="s">
        <v>36</v>
      </c>
      <c r="H18" s="208" t="s">
        <v>157</v>
      </c>
      <c r="I18" s="208" t="s">
        <v>155</v>
      </c>
      <c r="J18" s="208" t="s">
        <v>38</v>
      </c>
      <c r="K18" s="208" t="s">
        <v>156</v>
      </c>
      <c r="L18" s="208">
        <v>2</v>
      </c>
      <c r="N18" s="208">
        <v>5</v>
      </c>
      <c r="O18" s="208">
        <v>0.5</v>
      </c>
      <c r="P18" s="208">
        <v>0.5</v>
      </c>
      <c r="Q18" s="245">
        <f t="shared" si="2"/>
        <v>0.5</v>
      </c>
      <c r="R18" s="208">
        <v>15.5</v>
      </c>
      <c r="S18" s="208">
        <v>91</v>
      </c>
      <c r="T18" s="217">
        <f t="shared" si="0"/>
        <v>36</v>
      </c>
      <c r="U18" s="208">
        <v>399</v>
      </c>
      <c r="V18" s="217">
        <f t="shared" si="1"/>
        <v>16</v>
      </c>
      <c r="W18" s="208">
        <v>2</v>
      </c>
      <c r="X18" s="208" t="s">
        <v>46</v>
      </c>
      <c r="Y18" s="208" t="s">
        <v>69</v>
      </c>
      <c r="Z18" s="208" t="s">
        <v>55</v>
      </c>
      <c r="AA18" s="208" t="s">
        <v>47</v>
      </c>
      <c r="AB18" s="237" t="s">
        <v>480</v>
      </c>
      <c r="AE18" s="223" t="s">
        <v>87</v>
      </c>
      <c r="AP18" s="239" t="s">
        <v>279</v>
      </c>
      <c r="AR18" s="238" t="s">
        <v>101</v>
      </c>
      <c r="AV18" s="224" t="s">
        <v>88</v>
      </c>
    </row>
    <row r="19" spans="1:48" x14ac:dyDescent="0.15">
      <c r="A19" s="208" t="s">
        <v>59</v>
      </c>
      <c r="B19" s="237" t="s">
        <v>405</v>
      </c>
      <c r="C19" s="152">
        <v>2018</v>
      </c>
      <c r="D19" s="153" t="s">
        <v>465</v>
      </c>
      <c r="E19" s="208" t="s">
        <v>271</v>
      </c>
      <c r="F19" s="208" t="s">
        <v>312</v>
      </c>
      <c r="G19" s="208" t="s">
        <v>36</v>
      </c>
      <c r="H19" s="208" t="s">
        <v>157</v>
      </c>
      <c r="I19" s="208" t="s">
        <v>155</v>
      </c>
      <c r="J19" s="208" t="s">
        <v>38</v>
      </c>
      <c r="K19" s="208" t="s">
        <v>156</v>
      </c>
      <c r="L19" s="208">
        <v>3</v>
      </c>
      <c r="N19" s="208">
        <v>5</v>
      </c>
      <c r="O19" s="208">
        <v>0.55000000000000004</v>
      </c>
      <c r="P19" s="208">
        <v>0.62</v>
      </c>
      <c r="Q19" s="245">
        <f t="shared" si="2"/>
        <v>0.58499999999999996</v>
      </c>
      <c r="R19" s="208">
        <v>15.2</v>
      </c>
      <c r="S19" s="208">
        <v>93</v>
      </c>
      <c r="T19" s="217">
        <f t="shared" si="0"/>
        <v>36</v>
      </c>
      <c r="U19" s="208">
        <v>399</v>
      </c>
      <c r="V19" s="217">
        <f t="shared" si="1"/>
        <v>16</v>
      </c>
      <c r="W19" s="208">
        <v>2</v>
      </c>
      <c r="X19" s="208" t="s">
        <v>46</v>
      </c>
      <c r="Y19" s="208" t="s">
        <v>69</v>
      </c>
      <c r="Z19" s="208" t="s">
        <v>55</v>
      </c>
      <c r="AA19" s="208" t="s">
        <v>47</v>
      </c>
      <c r="AB19" s="237" t="s">
        <v>467</v>
      </c>
      <c r="AD19" s="237"/>
      <c r="AE19" s="236" t="s">
        <v>89</v>
      </c>
      <c r="AP19" s="239" t="s">
        <v>112</v>
      </c>
      <c r="AR19" s="231" t="s">
        <v>126</v>
      </c>
      <c r="AV19" s="224" t="s">
        <v>280</v>
      </c>
    </row>
    <row r="20" spans="1:48" x14ac:dyDescent="0.15">
      <c r="A20" s="208" t="s">
        <v>59</v>
      </c>
      <c r="B20" s="237" t="s">
        <v>481</v>
      </c>
      <c r="C20" s="152">
        <v>2018</v>
      </c>
      <c r="D20" s="153" t="s">
        <v>482</v>
      </c>
      <c r="E20" s="208" t="s">
        <v>271</v>
      </c>
      <c r="F20" s="208" t="s">
        <v>312</v>
      </c>
      <c r="G20" s="208" t="s">
        <v>36</v>
      </c>
      <c r="H20" s="208" t="s">
        <v>217</v>
      </c>
      <c r="I20" s="208" t="s">
        <v>155</v>
      </c>
      <c r="J20" s="208" t="s">
        <v>38</v>
      </c>
      <c r="K20" s="208" t="s">
        <v>156</v>
      </c>
      <c r="L20" s="208">
        <v>1</v>
      </c>
      <c r="N20" s="208">
        <v>4</v>
      </c>
      <c r="O20" s="208">
        <v>0.6</v>
      </c>
      <c r="P20" s="208">
        <v>0.5</v>
      </c>
      <c r="Q20" s="245">
        <f t="shared" si="2"/>
        <v>0.55000000000000004</v>
      </c>
      <c r="R20" s="208">
        <v>16.5</v>
      </c>
      <c r="S20" s="208">
        <v>85</v>
      </c>
      <c r="T20" s="217">
        <f t="shared" si="0"/>
        <v>36</v>
      </c>
      <c r="U20" s="208">
        <v>399</v>
      </c>
      <c r="V20" s="217">
        <f t="shared" si="1"/>
        <v>16</v>
      </c>
      <c r="W20" s="208">
        <v>1</v>
      </c>
      <c r="X20" s="208" t="s">
        <v>46</v>
      </c>
      <c r="Y20" s="208" t="s">
        <v>69</v>
      </c>
      <c r="Z20" s="208" t="s">
        <v>55</v>
      </c>
      <c r="AA20" s="208" t="s">
        <v>47</v>
      </c>
      <c r="AB20" s="237" t="s">
        <v>483</v>
      </c>
      <c r="AD20" s="237"/>
      <c r="AE20" s="236"/>
      <c r="AP20" s="239" t="s">
        <v>113</v>
      </c>
      <c r="AR20" s="238" t="s">
        <v>105</v>
      </c>
      <c r="AV20" s="228" t="s">
        <v>484</v>
      </c>
    </row>
    <row r="21" spans="1:48" x14ac:dyDescent="0.15">
      <c r="A21" s="208" t="s">
        <v>59</v>
      </c>
      <c r="B21" s="237" t="s">
        <v>481</v>
      </c>
      <c r="C21" s="152">
        <v>2018</v>
      </c>
      <c r="D21" s="153" t="s">
        <v>482</v>
      </c>
      <c r="E21" s="208" t="s">
        <v>271</v>
      </c>
      <c r="F21" s="208" t="s">
        <v>312</v>
      </c>
      <c r="G21" s="208" t="s">
        <v>36</v>
      </c>
      <c r="H21" s="208" t="s">
        <v>217</v>
      </c>
      <c r="I21" s="208" t="s">
        <v>155</v>
      </c>
      <c r="J21" s="208" t="s">
        <v>38</v>
      </c>
      <c r="K21" s="208" t="s">
        <v>156</v>
      </c>
      <c r="L21" s="208">
        <v>2</v>
      </c>
      <c r="N21" s="208">
        <v>4</v>
      </c>
      <c r="O21" s="208">
        <v>0.63</v>
      </c>
      <c r="P21" s="208">
        <v>0.63</v>
      </c>
      <c r="Q21" s="245">
        <f t="shared" si="2"/>
        <v>0.63</v>
      </c>
      <c r="R21" s="208">
        <v>17</v>
      </c>
      <c r="S21" s="208">
        <v>90</v>
      </c>
      <c r="T21" s="217">
        <f t="shared" si="0"/>
        <v>36</v>
      </c>
      <c r="U21" s="208">
        <v>399</v>
      </c>
      <c r="V21" s="217">
        <f t="shared" si="1"/>
        <v>16</v>
      </c>
      <c r="W21" s="208">
        <v>1</v>
      </c>
      <c r="X21" s="208" t="s">
        <v>46</v>
      </c>
      <c r="Y21" s="208" t="s">
        <v>69</v>
      </c>
      <c r="Z21" s="208" t="s">
        <v>55</v>
      </c>
      <c r="AA21" s="208" t="s">
        <v>47</v>
      </c>
      <c r="AB21" s="237" t="s">
        <v>483</v>
      </c>
      <c r="AD21" s="237"/>
      <c r="AE21" s="229"/>
      <c r="AP21" s="239" t="s">
        <v>281</v>
      </c>
      <c r="AR21" s="238" t="s">
        <v>68</v>
      </c>
      <c r="AV21" s="228" t="s">
        <v>485</v>
      </c>
    </row>
    <row r="22" spans="1:48" x14ac:dyDescent="0.15">
      <c r="A22" s="208" t="s">
        <v>59</v>
      </c>
      <c r="B22" s="237" t="s">
        <v>481</v>
      </c>
      <c r="C22" s="152">
        <v>2018</v>
      </c>
      <c r="D22" s="153" t="s">
        <v>482</v>
      </c>
      <c r="E22" s="208" t="s">
        <v>271</v>
      </c>
      <c r="F22" s="208" t="s">
        <v>312</v>
      </c>
      <c r="G22" s="208" t="s">
        <v>36</v>
      </c>
      <c r="H22" s="208" t="s">
        <v>217</v>
      </c>
      <c r="I22" s="208" t="s">
        <v>155</v>
      </c>
      <c r="J22" s="208" t="s">
        <v>38</v>
      </c>
      <c r="K22" s="208" t="s">
        <v>156</v>
      </c>
      <c r="L22" s="208">
        <v>3</v>
      </c>
      <c r="N22" s="208">
        <v>4</v>
      </c>
      <c r="O22" s="208">
        <v>0.65</v>
      </c>
      <c r="P22" s="208">
        <v>0.62</v>
      </c>
      <c r="Q22" s="245">
        <f t="shared" si="2"/>
        <v>0.63500000000000001</v>
      </c>
      <c r="R22" s="208">
        <v>17.3</v>
      </c>
      <c r="S22" s="208">
        <v>87</v>
      </c>
      <c r="T22" s="217">
        <f t="shared" si="0"/>
        <v>36</v>
      </c>
      <c r="U22" s="208">
        <v>399</v>
      </c>
      <c r="V22" s="217">
        <f t="shared" si="1"/>
        <v>16</v>
      </c>
      <c r="W22" s="208">
        <v>1</v>
      </c>
      <c r="X22" s="208" t="s">
        <v>46</v>
      </c>
      <c r="Y22" s="208" t="s">
        <v>69</v>
      </c>
      <c r="Z22" s="208" t="s">
        <v>55</v>
      </c>
      <c r="AA22" s="208" t="s">
        <v>47</v>
      </c>
      <c r="AB22" s="237" t="s">
        <v>483</v>
      </c>
      <c r="AD22" s="237"/>
      <c r="AP22" s="239" t="s">
        <v>278</v>
      </c>
      <c r="AR22" s="238" t="s">
        <v>83</v>
      </c>
      <c r="AV22" s="228" t="s">
        <v>282</v>
      </c>
    </row>
    <row r="23" spans="1:48" x14ac:dyDescent="0.15">
      <c r="A23" s="208" t="s">
        <v>59</v>
      </c>
      <c r="B23" s="237" t="s">
        <v>481</v>
      </c>
      <c r="C23" s="152">
        <v>2018</v>
      </c>
      <c r="D23" s="153" t="s">
        <v>482</v>
      </c>
      <c r="E23" s="208" t="s">
        <v>271</v>
      </c>
      <c r="F23" s="208" t="s">
        <v>312</v>
      </c>
      <c r="G23" s="208" t="s">
        <v>36</v>
      </c>
      <c r="H23" s="208" t="s">
        <v>157</v>
      </c>
      <c r="I23" s="208" t="s">
        <v>158</v>
      </c>
      <c r="J23" s="208" t="s">
        <v>38</v>
      </c>
      <c r="K23" s="208" t="s">
        <v>156</v>
      </c>
      <c r="L23" s="208">
        <v>1</v>
      </c>
      <c r="N23" s="208">
        <v>3</v>
      </c>
      <c r="O23" s="208">
        <v>0.5</v>
      </c>
      <c r="P23" s="208">
        <v>0.55000000000000004</v>
      </c>
      <c r="Q23" s="245">
        <f t="shared" si="2"/>
        <v>0.52500000000000002</v>
      </c>
      <c r="R23" s="208">
        <v>15</v>
      </c>
      <c r="S23" s="208">
        <v>105</v>
      </c>
      <c r="T23" s="217">
        <f t="shared" si="0"/>
        <v>33</v>
      </c>
      <c r="U23" s="208">
        <v>399</v>
      </c>
      <c r="V23" s="217">
        <f t="shared" si="1"/>
        <v>16</v>
      </c>
      <c r="W23" s="208">
        <v>1</v>
      </c>
      <c r="X23" s="208" t="s">
        <v>46</v>
      </c>
      <c r="Y23" s="208" t="s">
        <v>69</v>
      </c>
      <c r="Z23" s="208" t="s">
        <v>55</v>
      </c>
      <c r="AA23" s="208" t="s">
        <v>47</v>
      </c>
      <c r="AB23" s="237" t="s">
        <v>483</v>
      </c>
      <c r="AP23" s="239" t="s">
        <v>486</v>
      </c>
      <c r="AR23" s="238" t="s">
        <v>61</v>
      </c>
      <c r="AV23" s="228" t="s">
        <v>487</v>
      </c>
    </row>
    <row r="24" spans="1:48" x14ac:dyDescent="0.15">
      <c r="A24" s="208" t="s">
        <v>59</v>
      </c>
      <c r="B24" s="237" t="s">
        <v>481</v>
      </c>
      <c r="C24" s="152">
        <v>2018</v>
      </c>
      <c r="D24" s="153" t="s">
        <v>482</v>
      </c>
      <c r="E24" s="208" t="s">
        <v>271</v>
      </c>
      <c r="F24" s="208" t="s">
        <v>312</v>
      </c>
      <c r="G24" s="208" t="s">
        <v>36</v>
      </c>
      <c r="H24" s="208" t="s">
        <v>157</v>
      </c>
      <c r="I24" s="208" t="s">
        <v>158</v>
      </c>
      <c r="J24" s="208" t="s">
        <v>38</v>
      </c>
      <c r="K24" s="208" t="s">
        <v>156</v>
      </c>
      <c r="L24" s="208">
        <v>2</v>
      </c>
      <c r="N24" s="208">
        <v>3</v>
      </c>
      <c r="O24" s="208">
        <v>0.8</v>
      </c>
      <c r="P24" s="208">
        <v>0.85</v>
      </c>
      <c r="Q24" s="245">
        <f t="shared" si="2"/>
        <v>0.82499999999999996</v>
      </c>
      <c r="R24" s="208">
        <v>15.3</v>
      </c>
      <c r="S24" s="208">
        <v>105</v>
      </c>
      <c r="T24" s="217">
        <f t="shared" si="0"/>
        <v>33</v>
      </c>
      <c r="U24" s="208">
        <v>399</v>
      </c>
      <c r="V24" s="217">
        <f t="shared" si="1"/>
        <v>16</v>
      </c>
      <c r="W24" s="208">
        <v>1</v>
      </c>
      <c r="X24" s="208" t="s">
        <v>46</v>
      </c>
      <c r="Y24" s="208" t="s">
        <v>69</v>
      </c>
      <c r="Z24" s="208" t="s">
        <v>55</v>
      </c>
      <c r="AA24" s="208" t="s">
        <v>47</v>
      </c>
      <c r="AB24" s="237" t="s">
        <v>483</v>
      </c>
      <c r="AP24" s="239" t="s">
        <v>488</v>
      </c>
      <c r="AR24" s="238" t="s">
        <v>91</v>
      </c>
      <c r="AV24" s="228" t="s">
        <v>489</v>
      </c>
    </row>
    <row r="25" spans="1:48" x14ac:dyDescent="0.15">
      <c r="A25" s="208" t="s">
        <v>59</v>
      </c>
      <c r="B25" s="237" t="s">
        <v>481</v>
      </c>
      <c r="C25" s="152">
        <v>2018</v>
      </c>
      <c r="D25" s="153" t="s">
        <v>482</v>
      </c>
      <c r="E25" s="208" t="s">
        <v>271</v>
      </c>
      <c r="F25" s="208" t="s">
        <v>312</v>
      </c>
      <c r="G25" s="208" t="s">
        <v>36</v>
      </c>
      <c r="H25" s="208" t="s">
        <v>157</v>
      </c>
      <c r="I25" s="208" t="s">
        <v>158</v>
      </c>
      <c r="J25" s="208" t="s">
        <v>38</v>
      </c>
      <c r="K25" s="208" t="s">
        <v>156</v>
      </c>
      <c r="L25" s="208">
        <v>3</v>
      </c>
      <c r="N25" s="208">
        <v>3</v>
      </c>
      <c r="O25" s="208">
        <v>0.7</v>
      </c>
      <c r="P25" s="208">
        <v>0.72</v>
      </c>
      <c r="Q25" s="245">
        <f t="shared" si="2"/>
        <v>0.71</v>
      </c>
      <c r="R25" s="208">
        <v>15.2</v>
      </c>
      <c r="S25" s="208">
        <v>109</v>
      </c>
      <c r="T25" s="217">
        <f t="shared" si="0"/>
        <v>33</v>
      </c>
      <c r="U25" s="208">
        <v>399</v>
      </c>
      <c r="V25" s="217">
        <f t="shared" si="1"/>
        <v>16</v>
      </c>
      <c r="W25" s="208">
        <v>1</v>
      </c>
      <c r="X25" s="208" t="s">
        <v>46</v>
      </c>
      <c r="Y25" s="208" t="s">
        <v>69</v>
      </c>
      <c r="Z25" s="208" t="s">
        <v>55</v>
      </c>
      <c r="AA25" s="208" t="s">
        <v>47</v>
      </c>
      <c r="AB25" s="237" t="s">
        <v>483</v>
      </c>
      <c r="AD25" s="237"/>
      <c r="AP25" s="239" t="s">
        <v>116</v>
      </c>
      <c r="AR25" s="42" t="s">
        <v>92</v>
      </c>
      <c r="AV25" s="228" t="s">
        <v>490</v>
      </c>
    </row>
    <row r="26" spans="1:48" x14ac:dyDescent="0.15">
      <c r="A26" s="208" t="s">
        <v>59</v>
      </c>
      <c r="B26" s="237" t="s">
        <v>481</v>
      </c>
      <c r="C26" s="152">
        <v>2018</v>
      </c>
      <c r="D26" s="153" t="s">
        <v>482</v>
      </c>
      <c r="E26" s="208" t="s">
        <v>324</v>
      </c>
      <c r="F26" s="208" t="s">
        <v>312</v>
      </c>
      <c r="G26" s="208" t="s">
        <v>36</v>
      </c>
      <c r="H26" s="208" t="s">
        <v>165</v>
      </c>
      <c r="I26" s="208" t="s">
        <v>155</v>
      </c>
      <c r="J26" s="208" t="s">
        <v>38</v>
      </c>
      <c r="K26" s="208" t="s">
        <v>156</v>
      </c>
      <c r="L26" s="208">
        <v>1</v>
      </c>
      <c r="N26" s="208">
        <v>2</v>
      </c>
      <c r="O26" s="208">
        <v>0.32</v>
      </c>
      <c r="P26" s="208">
        <v>0.4</v>
      </c>
      <c r="Q26" s="245">
        <f t="shared" si="2"/>
        <v>0.36</v>
      </c>
      <c r="R26" s="208">
        <v>16.8</v>
      </c>
      <c r="S26" s="208">
        <v>179</v>
      </c>
      <c r="T26" s="217">
        <f t="shared" si="0"/>
        <v>18</v>
      </c>
      <c r="U26" s="208">
        <v>410</v>
      </c>
      <c r="V26" s="217">
        <f t="shared" si="1"/>
        <v>16</v>
      </c>
      <c r="W26" s="208">
        <v>3</v>
      </c>
      <c r="X26" s="208" t="s">
        <v>46</v>
      </c>
      <c r="Y26" s="208" t="s">
        <v>88</v>
      </c>
      <c r="Z26" s="208" t="s">
        <v>69</v>
      </c>
      <c r="AA26" s="208" t="s">
        <v>78</v>
      </c>
      <c r="AB26" s="237" t="s">
        <v>483</v>
      </c>
      <c r="AD26" s="237"/>
      <c r="AP26" s="239" t="s">
        <v>117</v>
      </c>
      <c r="AR26" s="228" t="s">
        <v>283</v>
      </c>
      <c r="AV26" s="228"/>
    </row>
    <row r="27" spans="1:48" x14ac:dyDescent="0.15">
      <c r="A27" s="208" t="s">
        <v>59</v>
      </c>
      <c r="B27" s="237" t="s">
        <v>481</v>
      </c>
      <c r="C27" s="152">
        <v>2018</v>
      </c>
      <c r="D27" s="153" t="s">
        <v>482</v>
      </c>
      <c r="E27" s="208" t="s">
        <v>324</v>
      </c>
      <c r="F27" s="208" t="s">
        <v>312</v>
      </c>
      <c r="G27" s="208" t="s">
        <v>36</v>
      </c>
      <c r="H27" s="208" t="s">
        <v>165</v>
      </c>
      <c r="I27" s="208" t="s">
        <v>155</v>
      </c>
      <c r="J27" s="208" t="s">
        <v>38</v>
      </c>
      <c r="K27" s="208" t="s">
        <v>156</v>
      </c>
      <c r="L27" s="208">
        <v>2</v>
      </c>
      <c r="N27" s="208">
        <v>2</v>
      </c>
      <c r="O27" s="208">
        <v>0.32</v>
      </c>
      <c r="P27" s="208">
        <v>0.25</v>
      </c>
      <c r="Q27" s="245">
        <f t="shared" si="2"/>
        <v>0.28500000000000003</v>
      </c>
      <c r="R27" s="208">
        <v>16.3</v>
      </c>
      <c r="S27" s="208">
        <v>160</v>
      </c>
      <c r="T27" s="217">
        <f t="shared" si="0"/>
        <v>18</v>
      </c>
      <c r="U27" s="208">
        <v>410</v>
      </c>
      <c r="V27" s="217">
        <f t="shared" si="1"/>
        <v>16</v>
      </c>
      <c r="W27" s="208">
        <v>3</v>
      </c>
      <c r="X27" s="208" t="s">
        <v>46</v>
      </c>
      <c r="Y27" s="208" t="s">
        <v>88</v>
      </c>
      <c r="Z27" s="208" t="s">
        <v>69</v>
      </c>
      <c r="AA27" s="208" t="s">
        <v>78</v>
      </c>
      <c r="AB27" s="237" t="s">
        <v>483</v>
      </c>
      <c r="AD27" s="237"/>
      <c r="AP27" s="239" t="s">
        <v>118</v>
      </c>
      <c r="AR27" s="229" t="s">
        <v>296</v>
      </c>
      <c r="AV27" s="228"/>
    </row>
    <row r="28" spans="1:48" x14ac:dyDescent="0.15">
      <c r="A28" s="208" t="s">
        <v>59</v>
      </c>
      <c r="B28" s="237" t="s">
        <v>481</v>
      </c>
      <c r="C28" s="152">
        <v>2018</v>
      </c>
      <c r="D28" s="153" t="s">
        <v>482</v>
      </c>
      <c r="E28" s="208" t="s">
        <v>324</v>
      </c>
      <c r="F28" s="208" t="s">
        <v>312</v>
      </c>
      <c r="G28" s="208" t="s">
        <v>36</v>
      </c>
      <c r="H28" s="208" t="s">
        <v>165</v>
      </c>
      <c r="I28" s="208" t="s">
        <v>155</v>
      </c>
      <c r="J28" s="208" t="s">
        <v>38</v>
      </c>
      <c r="K28" s="208" t="s">
        <v>156</v>
      </c>
      <c r="L28" s="208">
        <v>3</v>
      </c>
      <c r="N28" s="208">
        <v>2</v>
      </c>
      <c r="O28" s="208">
        <v>0.35</v>
      </c>
      <c r="P28" s="208">
        <v>0.33</v>
      </c>
      <c r="Q28" s="245">
        <f t="shared" si="2"/>
        <v>0.33999999999999997</v>
      </c>
      <c r="R28" s="208">
        <v>16.399999999999999</v>
      </c>
      <c r="S28" s="208">
        <v>177</v>
      </c>
      <c r="T28" s="217">
        <f t="shared" si="0"/>
        <v>18</v>
      </c>
      <c r="U28" s="208">
        <v>410</v>
      </c>
      <c r="V28" s="217">
        <f t="shared" si="1"/>
        <v>16</v>
      </c>
      <c r="W28" s="208">
        <v>3</v>
      </c>
      <c r="X28" s="208" t="s">
        <v>46</v>
      </c>
      <c r="Y28" s="208" t="s">
        <v>88</v>
      </c>
      <c r="Z28" s="208" t="s">
        <v>69</v>
      </c>
      <c r="AA28" s="208" t="s">
        <v>78</v>
      </c>
      <c r="AB28" s="237" t="s">
        <v>483</v>
      </c>
      <c r="AD28" s="237"/>
      <c r="AV28" s="228"/>
    </row>
    <row r="29" spans="1:48" x14ac:dyDescent="0.15">
      <c r="A29" s="208" t="s">
        <v>59</v>
      </c>
      <c r="B29" s="237" t="s">
        <v>481</v>
      </c>
      <c r="C29" s="152">
        <v>2018</v>
      </c>
      <c r="D29" s="153" t="s">
        <v>482</v>
      </c>
      <c r="E29" s="208" t="s">
        <v>324</v>
      </c>
      <c r="F29" s="208" t="s">
        <v>312</v>
      </c>
      <c r="G29" s="208" t="s">
        <v>36</v>
      </c>
      <c r="H29" s="208" t="s">
        <v>157</v>
      </c>
      <c r="I29" s="208" t="s">
        <v>155</v>
      </c>
      <c r="J29" s="208" t="s">
        <v>38</v>
      </c>
      <c r="K29" s="208" t="s">
        <v>156</v>
      </c>
      <c r="L29" s="208">
        <v>1</v>
      </c>
      <c r="N29" s="208">
        <v>4</v>
      </c>
      <c r="O29" s="208">
        <v>0.75</v>
      </c>
      <c r="P29" s="208">
        <v>1</v>
      </c>
      <c r="Q29" s="245">
        <f t="shared" si="2"/>
        <v>0.875</v>
      </c>
      <c r="R29" s="208">
        <v>14.1</v>
      </c>
      <c r="S29" s="208">
        <v>102</v>
      </c>
      <c r="T29" s="217">
        <f t="shared" si="0"/>
        <v>33</v>
      </c>
      <c r="U29" s="208">
        <v>410</v>
      </c>
      <c r="V29" s="217">
        <f t="shared" si="1"/>
        <v>16</v>
      </c>
      <c r="W29" s="208">
        <v>2</v>
      </c>
      <c r="X29" s="208" t="s">
        <v>46</v>
      </c>
      <c r="Y29" s="208" t="s">
        <v>88</v>
      </c>
      <c r="Z29" s="208" t="s">
        <v>69</v>
      </c>
      <c r="AA29" s="208" t="s">
        <v>78</v>
      </c>
      <c r="AB29" s="237" t="s">
        <v>483</v>
      </c>
      <c r="AV29" s="228"/>
    </row>
    <row r="30" spans="1:48" x14ac:dyDescent="0.15">
      <c r="A30" s="208" t="s">
        <v>59</v>
      </c>
      <c r="B30" s="237" t="s">
        <v>481</v>
      </c>
      <c r="C30" s="152">
        <v>2018</v>
      </c>
      <c r="D30" s="153" t="s">
        <v>482</v>
      </c>
      <c r="E30" s="208" t="s">
        <v>324</v>
      </c>
      <c r="F30" s="208" t="s">
        <v>312</v>
      </c>
      <c r="G30" s="208" t="s">
        <v>36</v>
      </c>
      <c r="H30" s="208" t="s">
        <v>157</v>
      </c>
      <c r="I30" s="208" t="s">
        <v>155</v>
      </c>
      <c r="J30" s="208" t="s">
        <v>38</v>
      </c>
      <c r="K30" s="208" t="s">
        <v>156</v>
      </c>
      <c r="L30" s="208">
        <v>2</v>
      </c>
      <c r="N30" s="208">
        <v>4</v>
      </c>
      <c r="O30" s="208">
        <v>0.55000000000000004</v>
      </c>
      <c r="P30" s="208">
        <v>0.55000000000000004</v>
      </c>
      <c r="Q30" s="245">
        <f t="shared" si="2"/>
        <v>0.55000000000000004</v>
      </c>
      <c r="R30" s="208">
        <v>12.6</v>
      </c>
      <c r="S30" s="208">
        <v>99</v>
      </c>
      <c r="T30" s="217">
        <f t="shared" si="0"/>
        <v>33</v>
      </c>
      <c r="U30" s="208">
        <v>410</v>
      </c>
      <c r="V30" s="217">
        <f t="shared" si="1"/>
        <v>16</v>
      </c>
      <c r="W30" s="208">
        <v>2</v>
      </c>
      <c r="X30" s="208" t="s">
        <v>46</v>
      </c>
      <c r="Y30" s="208" t="s">
        <v>88</v>
      </c>
      <c r="Z30" s="208" t="s">
        <v>69</v>
      </c>
      <c r="AA30" s="208" t="s">
        <v>78</v>
      </c>
      <c r="AB30" s="237" t="s">
        <v>483</v>
      </c>
      <c r="AV30" s="228"/>
    </row>
    <row r="31" spans="1:48" x14ac:dyDescent="0.15">
      <c r="A31" s="208" t="s">
        <v>59</v>
      </c>
      <c r="B31" s="237" t="s">
        <v>481</v>
      </c>
      <c r="C31" s="152">
        <v>2018</v>
      </c>
      <c r="D31" s="153" t="s">
        <v>482</v>
      </c>
      <c r="E31" s="208" t="s">
        <v>324</v>
      </c>
      <c r="F31" s="208" t="s">
        <v>312</v>
      </c>
      <c r="G31" s="208" t="s">
        <v>36</v>
      </c>
      <c r="H31" s="208" t="s">
        <v>157</v>
      </c>
      <c r="I31" s="208" t="s">
        <v>155</v>
      </c>
      <c r="J31" s="208" t="s">
        <v>38</v>
      </c>
      <c r="K31" s="208" t="s">
        <v>156</v>
      </c>
      <c r="L31" s="208">
        <v>3</v>
      </c>
      <c r="N31" s="208">
        <v>4</v>
      </c>
      <c r="O31" s="208">
        <v>0.55000000000000004</v>
      </c>
      <c r="P31" s="208">
        <v>0.65</v>
      </c>
      <c r="Q31" s="245">
        <f t="shared" si="2"/>
        <v>0.60000000000000009</v>
      </c>
      <c r="R31" s="208">
        <v>12.9</v>
      </c>
      <c r="S31" s="208">
        <v>105</v>
      </c>
      <c r="T31" s="217">
        <f t="shared" si="0"/>
        <v>33</v>
      </c>
      <c r="U31" s="208">
        <v>410</v>
      </c>
      <c r="V31" s="217">
        <f t="shared" si="1"/>
        <v>16</v>
      </c>
      <c r="W31" s="208">
        <v>2</v>
      </c>
      <c r="X31" s="208" t="s">
        <v>46</v>
      </c>
      <c r="Y31" s="208" t="s">
        <v>88</v>
      </c>
      <c r="Z31" s="208" t="s">
        <v>69</v>
      </c>
      <c r="AA31" s="208" t="s">
        <v>78</v>
      </c>
      <c r="AB31" s="237" t="s">
        <v>483</v>
      </c>
      <c r="AV31" s="228"/>
    </row>
    <row r="32" spans="1:48" x14ac:dyDescent="0.15">
      <c r="A32" s="208" t="s">
        <v>59</v>
      </c>
      <c r="B32" s="237" t="s">
        <v>481</v>
      </c>
      <c r="C32" s="152">
        <v>2018</v>
      </c>
      <c r="D32" s="153" t="s">
        <v>482</v>
      </c>
      <c r="E32" s="208" t="s">
        <v>323</v>
      </c>
      <c r="F32" s="208" t="s">
        <v>315</v>
      </c>
      <c r="G32" s="208" t="s">
        <v>36</v>
      </c>
      <c r="H32" s="208" t="s">
        <v>165</v>
      </c>
      <c r="I32" s="208" t="s">
        <v>155</v>
      </c>
      <c r="J32" s="208" t="s">
        <v>38</v>
      </c>
      <c r="K32" s="208" t="s">
        <v>156</v>
      </c>
      <c r="L32" s="208">
        <v>1</v>
      </c>
      <c r="N32" s="208">
        <v>2</v>
      </c>
      <c r="O32" s="208">
        <v>0.75</v>
      </c>
      <c r="P32" s="208">
        <v>0.5</v>
      </c>
      <c r="Q32" s="245">
        <f t="shared" si="2"/>
        <v>0.625</v>
      </c>
      <c r="R32" s="208">
        <v>18.100000000000001</v>
      </c>
      <c r="S32" s="208">
        <v>192</v>
      </c>
      <c r="T32" s="217">
        <f t="shared" si="0"/>
        <v>16</v>
      </c>
      <c r="U32" s="208">
        <v>380</v>
      </c>
      <c r="V32" s="217">
        <f t="shared" si="1"/>
        <v>16</v>
      </c>
      <c r="W32" s="208">
        <v>2</v>
      </c>
      <c r="X32" s="208" t="s">
        <v>39</v>
      </c>
      <c r="Y32" s="208" t="s">
        <v>88</v>
      </c>
      <c r="Z32" s="208" t="s">
        <v>86</v>
      </c>
      <c r="AA32" s="208" t="s">
        <v>69</v>
      </c>
      <c r="AB32" s="237" t="s">
        <v>483</v>
      </c>
      <c r="AV32" s="228"/>
    </row>
    <row r="33" spans="1:48" x14ac:dyDescent="0.15">
      <c r="A33" s="208" t="s">
        <v>59</v>
      </c>
      <c r="B33" s="237" t="s">
        <v>481</v>
      </c>
      <c r="C33" s="152">
        <v>2018</v>
      </c>
      <c r="D33" s="153" t="s">
        <v>482</v>
      </c>
      <c r="E33" s="208" t="s">
        <v>323</v>
      </c>
      <c r="F33" s="208" t="s">
        <v>315</v>
      </c>
      <c r="G33" s="208" t="s">
        <v>36</v>
      </c>
      <c r="H33" s="208" t="s">
        <v>165</v>
      </c>
      <c r="I33" s="208" t="s">
        <v>155</v>
      </c>
      <c r="J33" s="208" t="s">
        <v>38</v>
      </c>
      <c r="K33" s="208" t="s">
        <v>156</v>
      </c>
      <c r="L33" s="208">
        <v>2</v>
      </c>
      <c r="N33" s="208">
        <v>2</v>
      </c>
      <c r="O33" s="208">
        <v>0.47</v>
      </c>
      <c r="P33" s="208">
        <v>0.49</v>
      </c>
      <c r="Q33" s="245">
        <f t="shared" si="2"/>
        <v>0.48</v>
      </c>
      <c r="R33" s="208">
        <v>16.100000000000001</v>
      </c>
      <c r="S33" s="208">
        <v>205</v>
      </c>
      <c r="T33" s="217">
        <f t="shared" si="0"/>
        <v>16</v>
      </c>
      <c r="U33" s="208">
        <v>380</v>
      </c>
      <c r="V33" s="217">
        <f t="shared" si="1"/>
        <v>16</v>
      </c>
      <c r="W33" s="208">
        <v>2</v>
      </c>
      <c r="X33" s="208" t="s">
        <v>39</v>
      </c>
      <c r="Y33" s="208" t="s">
        <v>88</v>
      </c>
      <c r="Z33" s="208" t="s">
        <v>86</v>
      </c>
      <c r="AA33" s="208" t="s">
        <v>69</v>
      </c>
      <c r="AB33" s="237" t="s">
        <v>483</v>
      </c>
      <c r="AV33" s="228"/>
    </row>
    <row r="34" spans="1:48" x14ac:dyDescent="0.15">
      <c r="A34" s="208" t="s">
        <v>59</v>
      </c>
      <c r="B34" s="237" t="s">
        <v>481</v>
      </c>
      <c r="C34" s="152">
        <v>2018</v>
      </c>
      <c r="D34" s="153" t="s">
        <v>482</v>
      </c>
      <c r="E34" s="208" t="s">
        <v>323</v>
      </c>
      <c r="F34" s="208" t="s">
        <v>315</v>
      </c>
      <c r="G34" s="208" t="s">
        <v>36</v>
      </c>
      <c r="H34" s="208" t="s">
        <v>165</v>
      </c>
      <c r="I34" s="208" t="s">
        <v>155</v>
      </c>
      <c r="J34" s="208" t="s">
        <v>38</v>
      </c>
      <c r="K34" s="208" t="s">
        <v>156</v>
      </c>
      <c r="L34" s="208">
        <v>3</v>
      </c>
      <c r="N34" s="208">
        <v>2</v>
      </c>
      <c r="O34" s="208">
        <v>0.55000000000000004</v>
      </c>
      <c r="P34" s="208">
        <v>0.63</v>
      </c>
      <c r="Q34" s="245">
        <f t="shared" si="2"/>
        <v>0.59000000000000008</v>
      </c>
      <c r="R34" s="208">
        <v>18.3</v>
      </c>
      <c r="S34" s="208">
        <v>209</v>
      </c>
      <c r="T34" s="217">
        <f t="shared" si="0"/>
        <v>16</v>
      </c>
      <c r="U34" s="208">
        <v>380</v>
      </c>
      <c r="V34" s="217">
        <f t="shared" si="1"/>
        <v>16</v>
      </c>
      <c r="W34" s="208">
        <v>2</v>
      </c>
      <c r="X34" s="208" t="s">
        <v>39</v>
      </c>
      <c r="Y34" s="208" t="s">
        <v>88</v>
      </c>
      <c r="Z34" s="208" t="s">
        <v>86</v>
      </c>
      <c r="AA34" s="208" t="s">
        <v>69</v>
      </c>
      <c r="AB34" s="237" t="s">
        <v>483</v>
      </c>
      <c r="AV34" s="228"/>
    </row>
    <row r="35" spans="1:48" x14ac:dyDescent="0.15">
      <c r="A35" s="208" t="s">
        <v>59</v>
      </c>
      <c r="B35" s="237" t="s">
        <v>481</v>
      </c>
      <c r="C35" s="152">
        <v>2018</v>
      </c>
      <c r="D35" s="153" t="s">
        <v>482</v>
      </c>
      <c r="E35" s="208" t="s">
        <v>323</v>
      </c>
      <c r="F35" s="208" t="s">
        <v>315</v>
      </c>
      <c r="G35" s="208" t="s">
        <v>36</v>
      </c>
      <c r="H35" s="208" t="s">
        <v>157</v>
      </c>
      <c r="I35" s="208" t="s">
        <v>155</v>
      </c>
      <c r="J35" s="208" t="s">
        <v>38</v>
      </c>
      <c r="K35" s="208" t="s">
        <v>156</v>
      </c>
      <c r="L35" s="208">
        <v>1</v>
      </c>
      <c r="N35" s="208">
        <v>6</v>
      </c>
      <c r="O35" s="208">
        <v>0.62</v>
      </c>
      <c r="P35" s="208">
        <v>0.65</v>
      </c>
      <c r="Q35" s="245">
        <f t="shared" si="2"/>
        <v>0.63500000000000001</v>
      </c>
      <c r="R35" s="208">
        <v>14.5</v>
      </c>
      <c r="S35" s="208">
        <v>120</v>
      </c>
      <c r="T35" s="217">
        <f t="shared" si="0"/>
        <v>30</v>
      </c>
      <c r="U35" s="208">
        <v>398</v>
      </c>
      <c r="V35" s="217">
        <f t="shared" si="1"/>
        <v>16</v>
      </c>
      <c r="W35" s="208">
        <v>2</v>
      </c>
      <c r="X35" s="208" t="s">
        <v>39</v>
      </c>
      <c r="Y35" s="208" t="s">
        <v>88</v>
      </c>
      <c r="Z35" s="208" t="s">
        <v>86</v>
      </c>
      <c r="AA35" s="208" t="s">
        <v>69</v>
      </c>
      <c r="AB35" s="237" t="s">
        <v>483</v>
      </c>
      <c r="AV35" s="228"/>
    </row>
    <row r="36" spans="1:48" x14ac:dyDescent="0.15">
      <c r="A36" s="208" t="s">
        <v>59</v>
      </c>
      <c r="B36" s="237" t="s">
        <v>481</v>
      </c>
      <c r="C36" s="152">
        <v>2018</v>
      </c>
      <c r="D36" s="153" t="s">
        <v>482</v>
      </c>
      <c r="E36" s="208" t="s">
        <v>323</v>
      </c>
      <c r="F36" s="208" t="s">
        <v>315</v>
      </c>
      <c r="G36" s="208" t="s">
        <v>36</v>
      </c>
      <c r="H36" s="208" t="s">
        <v>157</v>
      </c>
      <c r="I36" s="208" t="s">
        <v>155</v>
      </c>
      <c r="J36" s="208" t="s">
        <v>38</v>
      </c>
      <c r="K36" s="208" t="s">
        <v>156</v>
      </c>
      <c r="L36" s="208">
        <v>2</v>
      </c>
      <c r="N36" s="208">
        <v>6</v>
      </c>
      <c r="O36" s="208">
        <v>0.75</v>
      </c>
      <c r="P36" s="208">
        <v>0.68</v>
      </c>
      <c r="Q36" s="245">
        <f t="shared" si="2"/>
        <v>0.71500000000000008</v>
      </c>
      <c r="R36" s="208">
        <v>13</v>
      </c>
      <c r="S36" s="208">
        <v>113</v>
      </c>
      <c r="T36" s="217">
        <f t="shared" si="0"/>
        <v>30</v>
      </c>
      <c r="U36" s="208">
        <v>398</v>
      </c>
      <c r="V36" s="217">
        <f t="shared" si="1"/>
        <v>16</v>
      </c>
      <c r="W36" s="208">
        <v>2</v>
      </c>
      <c r="X36" s="208" t="s">
        <v>39</v>
      </c>
      <c r="Y36" s="208" t="s">
        <v>88</v>
      </c>
      <c r="Z36" s="208" t="s">
        <v>86</v>
      </c>
      <c r="AA36" s="208" t="s">
        <v>69</v>
      </c>
      <c r="AB36" s="237" t="s">
        <v>483</v>
      </c>
      <c r="AV36" s="228"/>
    </row>
    <row r="37" spans="1:48" x14ac:dyDescent="0.15">
      <c r="A37" s="208" t="s">
        <v>59</v>
      </c>
      <c r="B37" s="237" t="s">
        <v>481</v>
      </c>
      <c r="C37" s="152">
        <v>2018</v>
      </c>
      <c r="D37" s="153" t="s">
        <v>482</v>
      </c>
      <c r="E37" s="208" t="s">
        <v>323</v>
      </c>
      <c r="F37" s="208" t="s">
        <v>315</v>
      </c>
      <c r="G37" s="208" t="s">
        <v>36</v>
      </c>
      <c r="H37" s="208" t="s">
        <v>157</v>
      </c>
      <c r="I37" s="208" t="s">
        <v>155</v>
      </c>
      <c r="J37" s="208" t="s">
        <v>38</v>
      </c>
      <c r="K37" s="208" t="s">
        <v>156</v>
      </c>
      <c r="L37" s="208">
        <v>3</v>
      </c>
      <c r="N37" s="208">
        <v>6</v>
      </c>
      <c r="O37" s="208">
        <v>0.72</v>
      </c>
      <c r="P37" s="208">
        <v>0.65</v>
      </c>
      <c r="Q37" s="245">
        <f t="shared" si="2"/>
        <v>0.68500000000000005</v>
      </c>
      <c r="R37" s="208">
        <v>14.1</v>
      </c>
      <c r="S37" s="208">
        <v>115</v>
      </c>
      <c r="T37" s="217">
        <f t="shared" si="0"/>
        <v>30</v>
      </c>
      <c r="U37" s="208">
        <v>398</v>
      </c>
      <c r="V37" s="217">
        <f t="shared" si="1"/>
        <v>16</v>
      </c>
      <c r="W37" s="208">
        <v>2</v>
      </c>
      <c r="X37" s="208" t="s">
        <v>39</v>
      </c>
      <c r="Y37" s="208" t="s">
        <v>88</v>
      </c>
      <c r="Z37" s="208" t="s">
        <v>86</v>
      </c>
      <c r="AA37" s="208" t="s">
        <v>69</v>
      </c>
      <c r="AB37" s="237" t="s">
        <v>483</v>
      </c>
      <c r="AV37" s="228"/>
    </row>
    <row r="38" spans="1:48" x14ac:dyDescent="0.15">
      <c r="A38" s="208" t="s">
        <v>59</v>
      </c>
      <c r="B38" s="237" t="s">
        <v>481</v>
      </c>
      <c r="C38" s="152">
        <v>2018</v>
      </c>
      <c r="D38" s="153" t="s">
        <v>482</v>
      </c>
      <c r="E38" s="208" t="s">
        <v>322</v>
      </c>
      <c r="F38" s="208" t="s">
        <v>315</v>
      </c>
      <c r="G38" s="208" t="s">
        <v>36</v>
      </c>
      <c r="H38" s="208" t="s">
        <v>165</v>
      </c>
      <c r="I38" s="208" t="s">
        <v>155</v>
      </c>
      <c r="J38" s="208" t="s">
        <v>38</v>
      </c>
      <c r="K38" s="208" t="s">
        <v>156</v>
      </c>
      <c r="L38" s="208">
        <v>1</v>
      </c>
      <c r="N38" s="208">
        <v>1</v>
      </c>
      <c r="O38" s="208">
        <v>0.7</v>
      </c>
      <c r="P38" s="208">
        <v>0.68</v>
      </c>
      <c r="Q38" s="245">
        <f t="shared" si="2"/>
        <v>0.69</v>
      </c>
      <c r="R38" s="208">
        <v>15.9</v>
      </c>
      <c r="S38" s="208">
        <v>162</v>
      </c>
      <c r="T38" s="217">
        <f t="shared" si="0"/>
        <v>18</v>
      </c>
      <c r="U38" s="208">
        <v>149</v>
      </c>
      <c r="V38" s="217">
        <f t="shared" si="1"/>
        <v>22</v>
      </c>
      <c r="W38" s="208">
        <v>4</v>
      </c>
      <c r="X38" s="208" t="s">
        <v>46</v>
      </c>
      <c r="Y38" s="208" t="s">
        <v>69</v>
      </c>
      <c r="Z38" s="208" t="s">
        <v>47</v>
      </c>
      <c r="AA38" s="208" t="s">
        <v>90</v>
      </c>
      <c r="AB38" s="237" t="s">
        <v>483</v>
      </c>
      <c r="AV38" s="229"/>
    </row>
    <row r="39" spans="1:48" x14ac:dyDescent="0.15">
      <c r="A39" s="208" t="s">
        <v>59</v>
      </c>
      <c r="B39" s="237" t="s">
        <v>481</v>
      </c>
      <c r="C39" s="152">
        <v>2018</v>
      </c>
      <c r="D39" s="153" t="s">
        <v>482</v>
      </c>
      <c r="E39" s="208" t="s">
        <v>322</v>
      </c>
      <c r="F39" s="208" t="s">
        <v>315</v>
      </c>
      <c r="G39" s="208" t="s">
        <v>36</v>
      </c>
      <c r="H39" s="208" t="s">
        <v>165</v>
      </c>
      <c r="I39" s="208" t="s">
        <v>155</v>
      </c>
      <c r="J39" s="208" t="s">
        <v>38</v>
      </c>
      <c r="K39" s="208" t="s">
        <v>156</v>
      </c>
      <c r="L39" s="208">
        <v>2</v>
      </c>
      <c r="N39" s="208">
        <v>1</v>
      </c>
      <c r="O39" s="208">
        <v>0.65</v>
      </c>
      <c r="P39" s="208">
        <v>0.62</v>
      </c>
      <c r="Q39" s="245">
        <f t="shared" si="2"/>
        <v>0.63500000000000001</v>
      </c>
      <c r="R39" s="208">
        <v>16.399999999999999</v>
      </c>
      <c r="S39" s="208">
        <v>156</v>
      </c>
      <c r="T39" s="217">
        <f t="shared" si="0"/>
        <v>18</v>
      </c>
      <c r="U39" s="208">
        <v>149</v>
      </c>
      <c r="V39" s="217">
        <f t="shared" si="1"/>
        <v>22</v>
      </c>
      <c r="W39" s="208">
        <v>4</v>
      </c>
      <c r="X39" s="208" t="s">
        <v>46</v>
      </c>
      <c r="Y39" s="208" t="s">
        <v>69</v>
      </c>
      <c r="Z39" s="208" t="s">
        <v>47</v>
      </c>
      <c r="AA39" s="208" t="s">
        <v>90</v>
      </c>
      <c r="AB39" s="237" t="s">
        <v>483</v>
      </c>
    </row>
    <row r="40" spans="1:48" x14ac:dyDescent="0.15">
      <c r="A40" s="208" t="s">
        <v>59</v>
      </c>
      <c r="B40" s="237" t="s">
        <v>481</v>
      </c>
      <c r="C40" s="152">
        <v>2018</v>
      </c>
      <c r="D40" s="153" t="s">
        <v>482</v>
      </c>
      <c r="E40" s="208" t="s">
        <v>322</v>
      </c>
      <c r="F40" s="208" t="s">
        <v>315</v>
      </c>
      <c r="G40" s="208" t="s">
        <v>36</v>
      </c>
      <c r="H40" s="208" t="s">
        <v>165</v>
      </c>
      <c r="I40" s="208" t="s">
        <v>155</v>
      </c>
      <c r="J40" s="208" t="s">
        <v>38</v>
      </c>
      <c r="K40" s="208" t="s">
        <v>156</v>
      </c>
      <c r="L40" s="208">
        <v>3</v>
      </c>
      <c r="N40" s="208">
        <v>1</v>
      </c>
      <c r="O40" s="208">
        <v>0.68</v>
      </c>
      <c r="P40" s="208">
        <v>0.65</v>
      </c>
      <c r="Q40" s="245">
        <f t="shared" si="2"/>
        <v>0.66500000000000004</v>
      </c>
      <c r="R40" s="208">
        <v>16.600000000000001</v>
      </c>
      <c r="S40" s="208">
        <v>155</v>
      </c>
      <c r="T40" s="217">
        <f t="shared" si="0"/>
        <v>18</v>
      </c>
      <c r="U40" s="208">
        <v>149</v>
      </c>
      <c r="V40" s="217">
        <f t="shared" si="1"/>
        <v>22</v>
      </c>
      <c r="W40" s="208">
        <v>4</v>
      </c>
      <c r="X40" s="208" t="s">
        <v>46</v>
      </c>
      <c r="Y40" s="208" t="s">
        <v>69</v>
      </c>
      <c r="Z40" s="208" t="s">
        <v>47</v>
      </c>
      <c r="AA40" s="208" t="s">
        <v>90</v>
      </c>
      <c r="AB40" s="237" t="s">
        <v>483</v>
      </c>
    </row>
    <row r="41" spans="1:48" x14ac:dyDescent="0.15">
      <c r="A41" s="208" t="s">
        <v>59</v>
      </c>
      <c r="B41" s="237" t="s">
        <v>481</v>
      </c>
      <c r="C41" s="152">
        <v>2018</v>
      </c>
      <c r="D41" s="153" t="s">
        <v>482</v>
      </c>
      <c r="E41" s="208" t="s">
        <v>322</v>
      </c>
      <c r="F41" s="208" t="s">
        <v>315</v>
      </c>
      <c r="G41" s="208" t="s">
        <v>36</v>
      </c>
      <c r="H41" s="208" t="s">
        <v>157</v>
      </c>
      <c r="I41" s="208" t="s">
        <v>155</v>
      </c>
      <c r="J41" s="208" t="s">
        <v>38</v>
      </c>
      <c r="K41" s="208" t="s">
        <v>156</v>
      </c>
      <c r="L41" s="208">
        <v>1</v>
      </c>
      <c r="N41" s="208">
        <v>3</v>
      </c>
      <c r="O41" s="208">
        <v>0.7</v>
      </c>
      <c r="P41" s="208">
        <v>0.7</v>
      </c>
      <c r="Q41" s="245">
        <f t="shared" si="2"/>
        <v>0.7</v>
      </c>
      <c r="R41" s="208">
        <v>14.6</v>
      </c>
      <c r="S41" s="208">
        <v>109</v>
      </c>
      <c r="T41" s="217">
        <f t="shared" si="0"/>
        <v>33</v>
      </c>
      <c r="U41" s="208">
        <v>321</v>
      </c>
      <c r="V41" s="217">
        <f t="shared" si="1"/>
        <v>16</v>
      </c>
      <c r="W41" s="208">
        <v>4</v>
      </c>
      <c r="X41" s="208" t="s">
        <v>46</v>
      </c>
      <c r="Y41" s="208" t="s">
        <v>69</v>
      </c>
      <c r="Z41" s="208" t="s">
        <v>47</v>
      </c>
      <c r="AA41" s="208" t="s">
        <v>90</v>
      </c>
      <c r="AB41" s="237" t="s">
        <v>483</v>
      </c>
    </row>
    <row r="42" spans="1:48" x14ac:dyDescent="0.15">
      <c r="A42" s="208" t="s">
        <v>59</v>
      </c>
      <c r="B42" s="237" t="s">
        <v>481</v>
      </c>
      <c r="C42" s="152">
        <v>2018</v>
      </c>
      <c r="D42" s="153" t="s">
        <v>482</v>
      </c>
      <c r="E42" s="208" t="s">
        <v>322</v>
      </c>
      <c r="F42" s="208" t="s">
        <v>315</v>
      </c>
      <c r="G42" s="208" t="s">
        <v>36</v>
      </c>
      <c r="H42" s="208" t="s">
        <v>157</v>
      </c>
      <c r="I42" s="208" t="s">
        <v>155</v>
      </c>
      <c r="J42" s="208" t="s">
        <v>38</v>
      </c>
      <c r="K42" s="208" t="s">
        <v>156</v>
      </c>
      <c r="L42" s="208">
        <v>2</v>
      </c>
      <c r="N42" s="208">
        <v>3</v>
      </c>
      <c r="O42" s="208">
        <v>0.75</v>
      </c>
      <c r="P42" s="208">
        <v>0.83</v>
      </c>
      <c r="Q42" s="245">
        <f t="shared" si="2"/>
        <v>0.79</v>
      </c>
      <c r="R42" s="208">
        <v>15</v>
      </c>
      <c r="S42" s="208">
        <v>110</v>
      </c>
      <c r="T42" s="217">
        <f t="shared" si="0"/>
        <v>33</v>
      </c>
      <c r="U42" s="208">
        <v>321</v>
      </c>
      <c r="V42" s="217">
        <f t="shared" si="1"/>
        <v>16</v>
      </c>
      <c r="W42" s="208">
        <v>4</v>
      </c>
      <c r="X42" s="208" t="s">
        <v>46</v>
      </c>
      <c r="Y42" s="208" t="s">
        <v>69</v>
      </c>
      <c r="Z42" s="208" t="s">
        <v>47</v>
      </c>
      <c r="AA42" s="208" t="s">
        <v>90</v>
      </c>
      <c r="AB42" s="237" t="s">
        <v>483</v>
      </c>
    </row>
    <row r="43" spans="1:48" x14ac:dyDescent="0.15">
      <c r="A43" s="208" t="s">
        <v>59</v>
      </c>
      <c r="B43" s="237" t="s">
        <v>481</v>
      </c>
      <c r="C43" s="152">
        <v>2018</v>
      </c>
      <c r="D43" s="153" t="s">
        <v>482</v>
      </c>
      <c r="E43" s="208" t="s">
        <v>322</v>
      </c>
      <c r="F43" s="208" t="s">
        <v>315</v>
      </c>
      <c r="G43" s="208" t="s">
        <v>36</v>
      </c>
      <c r="H43" s="208" t="s">
        <v>157</v>
      </c>
      <c r="I43" s="208" t="s">
        <v>155</v>
      </c>
      <c r="J43" s="208" t="s">
        <v>38</v>
      </c>
      <c r="K43" s="208" t="s">
        <v>156</v>
      </c>
      <c r="L43" s="208">
        <v>3</v>
      </c>
      <c r="N43" s="208">
        <v>3</v>
      </c>
      <c r="O43" s="208">
        <v>0.72</v>
      </c>
      <c r="P43" s="208">
        <v>0.77</v>
      </c>
      <c r="Q43" s="245">
        <f t="shared" si="2"/>
        <v>0.745</v>
      </c>
      <c r="R43" s="208">
        <v>14.3</v>
      </c>
      <c r="S43" s="208">
        <v>113</v>
      </c>
      <c r="T43" s="217">
        <f t="shared" si="0"/>
        <v>30</v>
      </c>
      <c r="U43" s="208">
        <v>321</v>
      </c>
      <c r="V43" s="217">
        <f t="shared" si="1"/>
        <v>16</v>
      </c>
      <c r="W43" s="208">
        <v>4</v>
      </c>
      <c r="X43" s="208" t="s">
        <v>46</v>
      </c>
      <c r="Y43" s="208" t="s">
        <v>69</v>
      </c>
      <c r="Z43" s="208" t="s">
        <v>47</v>
      </c>
      <c r="AA43" s="208" t="s">
        <v>90</v>
      </c>
      <c r="AB43" s="237" t="s">
        <v>483</v>
      </c>
    </row>
    <row r="44" spans="1:48" x14ac:dyDescent="0.15">
      <c r="A44" s="208" t="s">
        <v>59</v>
      </c>
      <c r="B44" s="237" t="s">
        <v>481</v>
      </c>
      <c r="C44" s="152">
        <v>2018</v>
      </c>
      <c r="D44" s="153" t="s">
        <v>482</v>
      </c>
      <c r="E44" s="208" t="s">
        <v>321</v>
      </c>
      <c r="F44" s="208" t="s">
        <v>314</v>
      </c>
      <c r="G44" s="208" t="s">
        <v>36</v>
      </c>
      <c r="H44" s="208" t="s">
        <v>165</v>
      </c>
      <c r="I44" s="208" t="s">
        <v>155</v>
      </c>
      <c r="J44" s="208" t="s">
        <v>38</v>
      </c>
      <c r="K44" s="208" t="s">
        <v>156</v>
      </c>
      <c r="L44" s="208">
        <v>1</v>
      </c>
      <c r="N44" s="208">
        <v>2</v>
      </c>
      <c r="O44" s="208">
        <v>0.5</v>
      </c>
      <c r="P44" s="208">
        <v>0.5</v>
      </c>
      <c r="Q44" s="245">
        <f t="shared" si="2"/>
        <v>0.5</v>
      </c>
      <c r="R44" s="208">
        <v>17.399999999999999</v>
      </c>
      <c r="S44" s="208">
        <v>172</v>
      </c>
      <c r="T44" s="217">
        <f t="shared" si="0"/>
        <v>18</v>
      </c>
      <c r="U44" s="208">
        <v>399</v>
      </c>
      <c r="V44" s="217">
        <f t="shared" si="1"/>
        <v>16</v>
      </c>
      <c r="W44" s="208">
        <v>20</v>
      </c>
      <c r="X44" s="208" t="s">
        <v>46</v>
      </c>
      <c r="Y44" s="208" t="s">
        <v>55</v>
      </c>
      <c r="Z44" s="208" t="s">
        <v>69</v>
      </c>
      <c r="AA44" s="208" t="s">
        <v>97</v>
      </c>
      <c r="AB44" s="237" t="s">
        <v>491</v>
      </c>
    </row>
    <row r="45" spans="1:48" x14ac:dyDescent="0.15">
      <c r="A45" s="208" t="s">
        <v>59</v>
      </c>
      <c r="B45" s="237" t="s">
        <v>469</v>
      </c>
      <c r="C45" s="152">
        <v>2018</v>
      </c>
      <c r="D45" s="153" t="s">
        <v>470</v>
      </c>
      <c r="E45" s="208" t="s">
        <v>321</v>
      </c>
      <c r="F45" s="208" t="s">
        <v>314</v>
      </c>
      <c r="G45" s="208" t="s">
        <v>36</v>
      </c>
      <c r="H45" s="208" t="s">
        <v>165</v>
      </c>
      <c r="I45" s="208" t="s">
        <v>155</v>
      </c>
      <c r="J45" s="208" t="s">
        <v>38</v>
      </c>
      <c r="K45" s="208" t="s">
        <v>156</v>
      </c>
      <c r="L45" s="208">
        <v>2</v>
      </c>
      <c r="N45" s="208">
        <v>2</v>
      </c>
      <c r="O45" s="208">
        <v>0.39</v>
      </c>
      <c r="P45" s="208">
        <v>0.35</v>
      </c>
      <c r="Q45" s="245">
        <f t="shared" si="2"/>
        <v>0.37</v>
      </c>
      <c r="R45" s="208">
        <v>19.3</v>
      </c>
      <c r="S45" s="208">
        <v>167</v>
      </c>
      <c r="T45" s="217">
        <f t="shared" si="0"/>
        <v>18</v>
      </c>
      <c r="U45" s="208">
        <v>399</v>
      </c>
      <c r="V45" s="217">
        <f t="shared" si="1"/>
        <v>16</v>
      </c>
      <c r="W45" s="208">
        <v>20</v>
      </c>
      <c r="X45" s="208" t="s">
        <v>46</v>
      </c>
      <c r="Y45" s="208" t="s">
        <v>55</v>
      </c>
      <c r="Z45" s="208" t="s">
        <v>69</v>
      </c>
      <c r="AA45" s="208" t="s">
        <v>97</v>
      </c>
      <c r="AB45" s="237" t="s">
        <v>491</v>
      </c>
    </row>
    <row r="46" spans="1:48" x14ac:dyDescent="0.15">
      <c r="A46" s="208" t="s">
        <v>59</v>
      </c>
      <c r="B46" s="237" t="s">
        <v>469</v>
      </c>
      <c r="C46" s="152">
        <v>2018</v>
      </c>
      <c r="D46" s="153" t="s">
        <v>470</v>
      </c>
      <c r="E46" s="208" t="s">
        <v>321</v>
      </c>
      <c r="F46" s="208" t="s">
        <v>314</v>
      </c>
      <c r="G46" s="208" t="s">
        <v>36</v>
      </c>
      <c r="H46" s="208" t="s">
        <v>165</v>
      </c>
      <c r="I46" s="208" t="s">
        <v>155</v>
      </c>
      <c r="J46" s="208" t="s">
        <v>38</v>
      </c>
      <c r="K46" s="208" t="s">
        <v>156</v>
      </c>
      <c r="L46" s="208">
        <v>3</v>
      </c>
      <c r="N46" s="208">
        <v>2</v>
      </c>
      <c r="O46" s="208">
        <v>0.56000000000000005</v>
      </c>
      <c r="P46" s="208">
        <v>0.53</v>
      </c>
      <c r="Q46" s="245">
        <f t="shared" si="2"/>
        <v>0.54500000000000004</v>
      </c>
      <c r="R46" s="208">
        <v>18.2</v>
      </c>
      <c r="S46" s="208">
        <v>176</v>
      </c>
      <c r="T46" s="217">
        <f t="shared" si="0"/>
        <v>18</v>
      </c>
      <c r="U46" s="208">
        <v>399</v>
      </c>
      <c r="V46" s="217">
        <f t="shared" si="1"/>
        <v>16</v>
      </c>
      <c r="W46" s="208">
        <v>20</v>
      </c>
      <c r="X46" s="208" t="s">
        <v>46</v>
      </c>
      <c r="Y46" s="208" t="s">
        <v>55</v>
      </c>
      <c r="Z46" s="208" t="s">
        <v>69</v>
      </c>
      <c r="AA46" s="208" t="s">
        <v>97</v>
      </c>
      <c r="AB46" s="237" t="s">
        <v>491</v>
      </c>
    </row>
    <row r="47" spans="1:48" x14ac:dyDescent="0.15">
      <c r="A47" s="208" t="s">
        <v>59</v>
      </c>
      <c r="B47" s="237" t="s">
        <v>469</v>
      </c>
      <c r="C47" s="152">
        <v>2018</v>
      </c>
      <c r="D47" s="153" t="s">
        <v>470</v>
      </c>
      <c r="E47" s="208" t="s">
        <v>321</v>
      </c>
      <c r="F47" s="208" t="s">
        <v>314</v>
      </c>
      <c r="G47" s="208" t="s">
        <v>36</v>
      </c>
      <c r="H47" s="208" t="s">
        <v>157</v>
      </c>
      <c r="I47" s="208" t="s">
        <v>155</v>
      </c>
      <c r="J47" s="208" t="s">
        <v>38</v>
      </c>
      <c r="K47" s="208" t="s">
        <v>156</v>
      </c>
      <c r="L47" s="208">
        <v>1</v>
      </c>
      <c r="N47" s="208">
        <v>3</v>
      </c>
      <c r="O47" s="208">
        <v>0.4</v>
      </c>
      <c r="P47" s="208">
        <v>0.26</v>
      </c>
      <c r="Q47" s="245">
        <f t="shared" si="2"/>
        <v>0.33</v>
      </c>
      <c r="R47" s="208">
        <v>14.9</v>
      </c>
      <c r="S47" s="208">
        <v>126</v>
      </c>
      <c r="T47" s="217">
        <f t="shared" si="0"/>
        <v>27</v>
      </c>
      <c r="U47" s="208">
        <v>399</v>
      </c>
      <c r="V47" s="217">
        <f t="shared" si="1"/>
        <v>16</v>
      </c>
      <c r="W47" s="208">
        <v>9</v>
      </c>
      <c r="X47" s="208" t="s">
        <v>46</v>
      </c>
      <c r="Y47" s="208" t="s">
        <v>55</v>
      </c>
      <c r="Z47" s="208" t="s">
        <v>69</v>
      </c>
      <c r="AA47" s="208" t="s">
        <v>97</v>
      </c>
      <c r="AB47" s="237" t="s">
        <v>491</v>
      </c>
    </row>
    <row r="48" spans="1:48" x14ac:dyDescent="0.15">
      <c r="A48" s="208" t="s">
        <v>59</v>
      </c>
      <c r="B48" s="237" t="s">
        <v>469</v>
      </c>
      <c r="C48" s="152">
        <v>2018</v>
      </c>
      <c r="D48" s="153" t="s">
        <v>470</v>
      </c>
      <c r="E48" s="208" t="s">
        <v>321</v>
      </c>
      <c r="F48" s="208" t="s">
        <v>314</v>
      </c>
      <c r="G48" s="208" t="s">
        <v>36</v>
      </c>
      <c r="H48" s="208" t="s">
        <v>157</v>
      </c>
      <c r="I48" s="208" t="s">
        <v>155</v>
      </c>
      <c r="J48" s="208" t="s">
        <v>38</v>
      </c>
      <c r="K48" s="208" t="s">
        <v>156</v>
      </c>
      <c r="L48" s="208">
        <v>2</v>
      </c>
      <c r="N48" s="208">
        <v>3</v>
      </c>
      <c r="O48" s="208">
        <v>0.41</v>
      </c>
      <c r="P48" s="208">
        <v>0.41</v>
      </c>
      <c r="Q48" s="245">
        <f t="shared" si="2"/>
        <v>0.41</v>
      </c>
      <c r="R48" s="208">
        <v>14.5</v>
      </c>
      <c r="S48" s="208">
        <v>131</v>
      </c>
      <c r="T48" s="217">
        <f t="shared" si="0"/>
        <v>25</v>
      </c>
      <c r="U48" s="208">
        <v>399</v>
      </c>
      <c r="V48" s="217">
        <f t="shared" si="1"/>
        <v>16</v>
      </c>
      <c r="W48" s="208">
        <v>9</v>
      </c>
      <c r="X48" s="208" t="s">
        <v>46</v>
      </c>
      <c r="Y48" s="208" t="s">
        <v>55</v>
      </c>
      <c r="Z48" s="208" t="s">
        <v>69</v>
      </c>
      <c r="AA48" s="208" t="s">
        <v>97</v>
      </c>
      <c r="AB48" s="237" t="s">
        <v>491</v>
      </c>
    </row>
    <row r="49" spans="1:28" x14ac:dyDescent="0.15">
      <c r="A49" s="208" t="s">
        <v>59</v>
      </c>
      <c r="B49" s="237" t="s">
        <v>469</v>
      </c>
      <c r="C49" s="152">
        <v>2018</v>
      </c>
      <c r="D49" s="153" t="s">
        <v>470</v>
      </c>
      <c r="E49" s="208" t="s">
        <v>321</v>
      </c>
      <c r="F49" s="208" t="s">
        <v>314</v>
      </c>
      <c r="G49" s="208" t="s">
        <v>36</v>
      </c>
      <c r="H49" s="208" t="s">
        <v>157</v>
      </c>
      <c r="I49" s="208" t="s">
        <v>155</v>
      </c>
      <c r="J49" s="208" t="s">
        <v>38</v>
      </c>
      <c r="K49" s="208" t="s">
        <v>156</v>
      </c>
      <c r="L49" s="208">
        <v>3</v>
      </c>
      <c r="N49" s="208">
        <v>3</v>
      </c>
      <c r="O49" s="208">
        <v>0.36</v>
      </c>
      <c r="P49" s="208">
        <v>0.4</v>
      </c>
      <c r="Q49" s="245">
        <f t="shared" si="2"/>
        <v>0.38</v>
      </c>
      <c r="R49" s="208">
        <v>14.6</v>
      </c>
      <c r="S49" s="208">
        <v>126</v>
      </c>
      <c r="T49" s="217">
        <f t="shared" si="0"/>
        <v>27</v>
      </c>
      <c r="U49" s="208">
        <v>399</v>
      </c>
      <c r="V49" s="217">
        <f t="shared" si="1"/>
        <v>16</v>
      </c>
      <c r="W49" s="208">
        <v>9</v>
      </c>
      <c r="X49" s="208" t="s">
        <v>46</v>
      </c>
      <c r="Y49" s="208" t="s">
        <v>55</v>
      </c>
      <c r="Z49" s="208" t="s">
        <v>69</v>
      </c>
      <c r="AA49" s="208" t="s">
        <v>97</v>
      </c>
      <c r="AB49" s="237" t="s">
        <v>491</v>
      </c>
    </row>
    <row r="50" spans="1:28" x14ac:dyDescent="0.15">
      <c r="A50" s="208" t="s">
        <v>59</v>
      </c>
      <c r="B50" s="237" t="s">
        <v>469</v>
      </c>
      <c r="C50" s="152">
        <v>2018</v>
      </c>
      <c r="D50" s="153" t="s">
        <v>470</v>
      </c>
      <c r="E50" s="208" t="s">
        <v>321</v>
      </c>
      <c r="F50" s="208" t="s">
        <v>314</v>
      </c>
      <c r="G50" s="208" t="s">
        <v>36</v>
      </c>
      <c r="H50" s="208" t="s">
        <v>217</v>
      </c>
      <c r="I50" s="208" t="s">
        <v>155</v>
      </c>
      <c r="J50" s="208" t="s">
        <v>38</v>
      </c>
      <c r="K50" s="208" t="s">
        <v>156</v>
      </c>
      <c r="L50" s="208">
        <v>1</v>
      </c>
      <c r="N50" s="208">
        <v>4</v>
      </c>
      <c r="O50" s="208">
        <v>0.3</v>
      </c>
      <c r="P50" s="208">
        <v>0.31</v>
      </c>
      <c r="Q50" s="245">
        <f t="shared" si="2"/>
        <v>0.30499999999999999</v>
      </c>
      <c r="R50" s="208">
        <v>16.100000000000001</v>
      </c>
      <c r="S50" s="208">
        <v>92</v>
      </c>
      <c r="T50" s="217">
        <f t="shared" si="0"/>
        <v>36</v>
      </c>
      <c r="U50" s="208">
        <v>380</v>
      </c>
      <c r="V50" s="217">
        <f t="shared" si="1"/>
        <v>16</v>
      </c>
      <c r="W50" s="208">
        <v>2</v>
      </c>
      <c r="X50" s="208" t="s">
        <v>39</v>
      </c>
      <c r="Y50" s="208" t="s">
        <v>55</v>
      </c>
      <c r="Z50" s="208" t="s">
        <v>69</v>
      </c>
      <c r="AA50" s="208" t="s">
        <v>97</v>
      </c>
      <c r="AB50" s="237" t="s">
        <v>491</v>
      </c>
    </row>
    <row r="51" spans="1:28" x14ac:dyDescent="0.15">
      <c r="A51" s="208" t="s">
        <v>59</v>
      </c>
      <c r="B51" s="237" t="s">
        <v>469</v>
      </c>
      <c r="C51" s="152">
        <v>2018</v>
      </c>
      <c r="D51" s="153" t="s">
        <v>470</v>
      </c>
      <c r="E51" s="208" t="s">
        <v>321</v>
      </c>
      <c r="F51" s="208" t="s">
        <v>314</v>
      </c>
      <c r="G51" s="208" t="s">
        <v>36</v>
      </c>
      <c r="H51" s="208" t="s">
        <v>217</v>
      </c>
      <c r="I51" s="208" t="s">
        <v>155</v>
      </c>
      <c r="J51" s="208" t="s">
        <v>38</v>
      </c>
      <c r="K51" s="208" t="s">
        <v>156</v>
      </c>
      <c r="L51" s="208">
        <v>2</v>
      </c>
      <c r="N51" s="208">
        <v>4</v>
      </c>
      <c r="O51" s="208">
        <v>0.37</v>
      </c>
      <c r="P51" s="208">
        <v>0.35</v>
      </c>
      <c r="Q51" s="245">
        <f t="shared" si="2"/>
        <v>0.36</v>
      </c>
      <c r="R51" s="208">
        <v>16.8</v>
      </c>
      <c r="S51" s="208">
        <v>90</v>
      </c>
      <c r="T51" s="217">
        <f t="shared" si="0"/>
        <v>36</v>
      </c>
      <c r="U51" s="208">
        <v>380</v>
      </c>
      <c r="V51" s="217">
        <f t="shared" si="1"/>
        <v>16</v>
      </c>
      <c r="W51" s="208">
        <v>2</v>
      </c>
      <c r="X51" s="208" t="s">
        <v>39</v>
      </c>
      <c r="Y51" s="208" t="s">
        <v>55</v>
      </c>
      <c r="Z51" s="208" t="s">
        <v>69</v>
      </c>
      <c r="AA51" s="208" t="s">
        <v>97</v>
      </c>
      <c r="AB51" s="237" t="s">
        <v>491</v>
      </c>
    </row>
    <row r="52" spans="1:28" x14ac:dyDescent="0.15">
      <c r="A52" s="208" t="s">
        <v>59</v>
      </c>
      <c r="B52" s="237" t="s">
        <v>469</v>
      </c>
      <c r="C52" s="152">
        <v>2018</v>
      </c>
      <c r="D52" s="153" t="s">
        <v>470</v>
      </c>
      <c r="E52" s="208" t="s">
        <v>321</v>
      </c>
      <c r="F52" s="208" t="s">
        <v>314</v>
      </c>
      <c r="G52" s="208" t="s">
        <v>36</v>
      </c>
      <c r="H52" s="208" t="s">
        <v>217</v>
      </c>
      <c r="I52" s="208" t="s">
        <v>155</v>
      </c>
      <c r="J52" s="208" t="s">
        <v>38</v>
      </c>
      <c r="K52" s="208" t="s">
        <v>156</v>
      </c>
      <c r="L52" s="208">
        <v>3</v>
      </c>
      <c r="N52" s="208">
        <v>4</v>
      </c>
      <c r="O52" s="208">
        <v>0.39</v>
      </c>
      <c r="P52" s="208">
        <v>0.42</v>
      </c>
      <c r="Q52" s="245">
        <f t="shared" si="2"/>
        <v>0.40500000000000003</v>
      </c>
      <c r="R52" s="208">
        <v>16.399999999999999</v>
      </c>
      <c r="S52" s="208">
        <v>90</v>
      </c>
      <c r="T52" s="217">
        <f t="shared" si="0"/>
        <v>36</v>
      </c>
      <c r="U52" s="208">
        <v>380</v>
      </c>
      <c r="V52" s="217">
        <f t="shared" si="1"/>
        <v>16</v>
      </c>
      <c r="W52" s="208">
        <v>2</v>
      </c>
      <c r="X52" s="208" t="s">
        <v>39</v>
      </c>
      <c r="Y52" s="208" t="s">
        <v>55</v>
      </c>
      <c r="Z52" s="208" t="s">
        <v>69</v>
      </c>
      <c r="AA52" s="208" t="s">
        <v>97</v>
      </c>
      <c r="AB52" s="237" t="s">
        <v>491</v>
      </c>
    </row>
    <row r="53" spans="1:28" x14ac:dyDescent="0.15">
      <c r="A53" s="208" t="s">
        <v>59</v>
      </c>
      <c r="B53" s="237" t="s">
        <v>469</v>
      </c>
      <c r="C53" s="152">
        <v>2018</v>
      </c>
      <c r="D53" s="153" t="s">
        <v>470</v>
      </c>
      <c r="E53" s="208" t="s">
        <v>319</v>
      </c>
      <c r="F53" s="208" t="s">
        <v>311</v>
      </c>
      <c r="G53" s="208" t="s">
        <v>36</v>
      </c>
      <c r="H53" s="208" t="s">
        <v>165</v>
      </c>
      <c r="I53" s="208" t="s">
        <v>155</v>
      </c>
      <c r="J53" s="208" t="s">
        <v>38</v>
      </c>
      <c r="K53" s="208" t="s">
        <v>156</v>
      </c>
      <c r="L53" s="208">
        <v>1</v>
      </c>
      <c r="N53" s="208">
        <v>4</v>
      </c>
      <c r="O53" s="208">
        <v>0.6</v>
      </c>
      <c r="P53" s="208">
        <v>0.55000000000000004</v>
      </c>
      <c r="Q53" s="245">
        <f t="shared" si="2"/>
        <v>0.57499999999999996</v>
      </c>
      <c r="R53" s="208">
        <v>16.2</v>
      </c>
      <c r="S53" s="208">
        <v>109</v>
      </c>
      <c r="T53" s="217">
        <f t="shared" si="0"/>
        <v>33</v>
      </c>
      <c r="U53" s="208">
        <v>518</v>
      </c>
      <c r="V53" s="217">
        <f t="shared" si="1"/>
        <v>16</v>
      </c>
      <c r="W53" s="208">
        <v>3</v>
      </c>
      <c r="X53" s="208" t="s">
        <v>46</v>
      </c>
      <c r="Y53" s="208" t="s">
        <v>97</v>
      </c>
      <c r="Z53" s="208" t="s">
        <v>90</v>
      </c>
      <c r="AA53" s="208" t="s">
        <v>55</v>
      </c>
      <c r="AB53" s="237" t="s">
        <v>491</v>
      </c>
    </row>
    <row r="54" spans="1:28" x14ac:dyDescent="0.15">
      <c r="A54" s="208" t="s">
        <v>59</v>
      </c>
      <c r="B54" s="237" t="s">
        <v>469</v>
      </c>
      <c r="C54" s="152">
        <v>2018</v>
      </c>
      <c r="D54" s="153" t="s">
        <v>470</v>
      </c>
      <c r="E54" s="208" t="s">
        <v>319</v>
      </c>
      <c r="F54" s="208" t="s">
        <v>311</v>
      </c>
      <c r="G54" s="208" t="s">
        <v>36</v>
      </c>
      <c r="H54" s="208" t="s">
        <v>165</v>
      </c>
      <c r="I54" s="208" t="s">
        <v>155</v>
      </c>
      <c r="J54" s="208" t="s">
        <v>38</v>
      </c>
      <c r="K54" s="208" t="s">
        <v>156</v>
      </c>
      <c r="L54" s="208">
        <v>2</v>
      </c>
      <c r="N54" s="208">
        <v>4</v>
      </c>
      <c r="O54" s="208">
        <v>0.62</v>
      </c>
      <c r="P54" s="208">
        <v>0.68</v>
      </c>
      <c r="Q54" s="245">
        <f t="shared" si="2"/>
        <v>0.65</v>
      </c>
      <c r="R54" s="208">
        <v>15.3</v>
      </c>
      <c r="S54" s="208">
        <v>111</v>
      </c>
      <c r="T54" s="217">
        <f t="shared" si="0"/>
        <v>33</v>
      </c>
      <c r="U54" s="208">
        <v>518</v>
      </c>
      <c r="V54" s="217">
        <f t="shared" si="1"/>
        <v>16</v>
      </c>
      <c r="W54" s="208">
        <v>3</v>
      </c>
      <c r="X54" s="208" t="s">
        <v>46</v>
      </c>
      <c r="Y54" s="208" t="s">
        <v>97</v>
      </c>
      <c r="Z54" s="208" t="s">
        <v>90</v>
      </c>
      <c r="AA54" s="208" t="s">
        <v>55</v>
      </c>
      <c r="AB54" s="237" t="s">
        <v>491</v>
      </c>
    </row>
    <row r="55" spans="1:28" x14ac:dyDescent="0.15">
      <c r="A55" s="208" t="s">
        <v>59</v>
      </c>
      <c r="B55" s="237" t="s">
        <v>469</v>
      </c>
      <c r="C55" s="152">
        <v>2018</v>
      </c>
      <c r="D55" s="153" t="s">
        <v>470</v>
      </c>
      <c r="E55" s="208" t="s">
        <v>319</v>
      </c>
      <c r="F55" s="208" t="s">
        <v>311</v>
      </c>
      <c r="G55" s="208" t="s">
        <v>36</v>
      </c>
      <c r="H55" s="208" t="s">
        <v>165</v>
      </c>
      <c r="I55" s="208" t="s">
        <v>155</v>
      </c>
      <c r="J55" s="208" t="s">
        <v>38</v>
      </c>
      <c r="K55" s="208" t="s">
        <v>156</v>
      </c>
      <c r="L55" s="208">
        <v>3</v>
      </c>
      <c r="N55" s="208">
        <v>4</v>
      </c>
      <c r="O55" s="208">
        <v>0.63</v>
      </c>
      <c r="P55" s="208">
        <v>0.55000000000000004</v>
      </c>
      <c r="Q55" s="245">
        <f t="shared" si="2"/>
        <v>0.59000000000000008</v>
      </c>
      <c r="R55" s="208">
        <v>16.5</v>
      </c>
      <c r="S55" s="208">
        <v>110</v>
      </c>
      <c r="T55" s="217">
        <f t="shared" si="0"/>
        <v>33</v>
      </c>
      <c r="U55" s="208">
        <v>518</v>
      </c>
      <c r="V55" s="217">
        <f t="shared" si="1"/>
        <v>16</v>
      </c>
      <c r="W55" s="208">
        <v>3</v>
      </c>
      <c r="X55" s="208" t="s">
        <v>46</v>
      </c>
      <c r="Y55" s="208" t="s">
        <v>97</v>
      </c>
      <c r="Z55" s="208" t="s">
        <v>90</v>
      </c>
      <c r="AA55" s="208" t="s">
        <v>55</v>
      </c>
      <c r="AB55" s="237" t="s">
        <v>491</v>
      </c>
    </row>
    <row r="56" spans="1:28" x14ac:dyDescent="0.15">
      <c r="A56" s="208" t="s">
        <v>59</v>
      </c>
      <c r="B56" s="237" t="s">
        <v>469</v>
      </c>
      <c r="C56" s="152">
        <v>2018</v>
      </c>
      <c r="D56" s="153" t="s">
        <v>470</v>
      </c>
      <c r="E56" s="208" t="s">
        <v>319</v>
      </c>
      <c r="F56" s="208" t="s">
        <v>311</v>
      </c>
      <c r="G56" s="208" t="s">
        <v>36</v>
      </c>
      <c r="H56" s="208" t="s">
        <v>157</v>
      </c>
      <c r="I56" s="208" t="s">
        <v>155</v>
      </c>
      <c r="J56" s="208" t="s">
        <v>38</v>
      </c>
      <c r="K56" s="208" t="s">
        <v>156</v>
      </c>
      <c r="L56" s="208">
        <v>1</v>
      </c>
      <c r="N56" s="208">
        <v>5</v>
      </c>
      <c r="O56" s="208">
        <v>0.48</v>
      </c>
      <c r="P56" s="208">
        <v>0.48</v>
      </c>
      <c r="Q56" s="245">
        <f t="shared" si="2"/>
        <v>0.48</v>
      </c>
      <c r="R56" s="208">
        <v>13.4</v>
      </c>
      <c r="S56" s="208">
        <v>83</v>
      </c>
      <c r="T56" s="217">
        <f t="shared" si="0"/>
        <v>39</v>
      </c>
      <c r="U56" s="208">
        <v>429</v>
      </c>
      <c r="V56" s="217">
        <f t="shared" si="1"/>
        <v>16</v>
      </c>
      <c r="W56" s="208">
        <v>3</v>
      </c>
      <c r="X56" s="208" t="s">
        <v>46</v>
      </c>
      <c r="Y56" s="208" t="s">
        <v>97</v>
      </c>
      <c r="Z56" s="208" t="s">
        <v>90</v>
      </c>
      <c r="AA56" s="208" t="s">
        <v>55</v>
      </c>
      <c r="AB56" s="237" t="s">
        <v>491</v>
      </c>
    </row>
    <row r="57" spans="1:28" x14ac:dyDescent="0.15">
      <c r="A57" s="208" t="s">
        <v>59</v>
      </c>
      <c r="B57" s="237" t="s">
        <v>469</v>
      </c>
      <c r="C57" s="152">
        <v>2018</v>
      </c>
      <c r="D57" s="153" t="s">
        <v>470</v>
      </c>
      <c r="E57" s="208" t="s">
        <v>319</v>
      </c>
      <c r="F57" s="208" t="s">
        <v>311</v>
      </c>
      <c r="G57" s="208" t="s">
        <v>36</v>
      </c>
      <c r="H57" s="208" t="s">
        <v>157</v>
      </c>
      <c r="I57" s="208" t="s">
        <v>155</v>
      </c>
      <c r="J57" s="208" t="s">
        <v>38</v>
      </c>
      <c r="K57" s="208" t="s">
        <v>156</v>
      </c>
      <c r="L57" s="208">
        <v>2</v>
      </c>
      <c r="N57" s="208">
        <v>5</v>
      </c>
      <c r="O57" s="208">
        <v>0.44</v>
      </c>
      <c r="P57" s="208">
        <v>0.47</v>
      </c>
      <c r="Q57" s="245">
        <f t="shared" si="2"/>
        <v>0.45499999999999996</v>
      </c>
      <c r="R57" s="208">
        <v>14</v>
      </c>
      <c r="S57" s="208">
        <v>90</v>
      </c>
      <c r="T57" s="217">
        <f t="shared" si="0"/>
        <v>36</v>
      </c>
      <c r="U57" s="208">
        <v>429</v>
      </c>
      <c r="V57" s="217">
        <f t="shared" si="1"/>
        <v>16</v>
      </c>
      <c r="W57" s="208">
        <v>3</v>
      </c>
      <c r="X57" s="208" t="s">
        <v>46</v>
      </c>
      <c r="Y57" s="208" t="s">
        <v>97</v>
      </c>
      <c r="Z57" s="208" t="s">
        <v>90</v>
      </c>
      <c r="AA57" s="208" t="s">
        <v>55</v>
      </c>
      <c r="AB57" s="237" t="s">
        <v>491</v>
      </c>
    </row>
    <row r="58" spans="1:28" x14ac:dyDescent="0.15">
      <c r="A58" s="208" t="s">
        <v>59</v>
      </c>
      <c r="B58" s="237" t="s">
        <v>469</v>
      </c>
      <c r="C58" s="152">
        <v>2018</v>
      </c>
      <c r="D58" s="153" t="s">
        <v>470</v>
      </c>
      <c r="E58" s="208" t="s">
        <v>319</v>
      </c>
      <c r="F58" s="208" t="s">
        <v>311</v>
      </c>
      <c r="G58" s="208" t="s">
        <v>36</v>
      </c>
      <c r="H58" s="208" t="s">
        <v>157</v>
      </c>
      <c r="I58" s="208" t="s">
        <v>155</v>
      </c>
      <c r="J58" s="208" t="s">
        <v>38</v>
      </c>
      <c r="K58" s="208" t="s">
        <v>156</v>
      </c>
      <c r="L58" s="208">
        <v>3</v>
      </c>
      <c r="N58" s="208">
        <v>5</v>
      </c>
      <c r="O58" s="208">
        <v>0.47</v>
      </c>
      <c r="P58" s="208">
        <v>0.5</v>
      </c>
      <c r="Q58" s="245">
        <f t="shared" si="2"/>
        <v>0.48499999999999999</v>
      </c>
      <c r="R58" s="208">
        <v>13.8</v>
      </c>
      <c r="S58" s="208">
        <v>84</v>
      </c>
      <c r="T58" s="217">
        <f t="shared" si="0"/>
        <v>36</v>
      </c>
      <c r="U58" s="208">
        <v>429</v>
      </c>
      <c r="V58" s="217">
        <f t="shared" si="1"/>
        <v>16</v>
      </c>
      <c r="W58" s="208">
        <v>3</v>
      </c>
      <c r="X58" s="208" t="s">
        <v>46</v>
      </c>
      <c r="Y58" s="208" t="s">
        <v>97</v>
      </c>
      <c r="Z58" s="208" t="s">
        <v>90</v>
      </c>
      <c r="AA58" s="208" t="s">
        <v>55</v>
      </c>
      <c r="AB58" s="237" t="s">
        <v>491</v>
      </c>
    </row>
    <row r="59" spans="1:28" x14ac:dyDescent="0.15">
      <c r="A59" s="208" t="s">
        <v>59</v>
      </c>
      <c r="B59" s="237" t="s">
        <v>469</v>
      </c>
      <c r="C59" s="152">
        <v>2018</v>
      </c>
      <c r="D59" s="153" t="s">
        <v>470</v>
      </c>
      <c r="E59" s="208" t="s">
        <v>325</v>
      </c>
      <c r="F59" s="208" t="s">
        <v>316</v>
      </c>
      <c r="G59" s="208" t="s">
        <v>36</v>
      </c>
      <c r="H59" s="208" t="s">
        <v>165</v>
      </c>
      <c r="I59" s="208" t="s">
        <v>155</v>
      </c>
      <c r="J59" s="208" t="s">
        <v>38</v>
      </c>
      <c r="K59" s="208" t="s">
        <v>156</v>
      </c>
      <c r="L59" s="208">
        <v>1</v>
      </c>
      <c r="N59" s="208">
        <v>4</v>
      </c>
      <c r="O59" s="208">
        <v>0.62</v>
      </c>
      <c r="P59" s="208">
        <v>0.59</v>
      </c>
      <c r="Q59" s="245">
        <f t="shared" si="2"/>
        <v>0.60499999999999998</v>
      </c>
      <c r="R59" s="208">
        <v>16.899999999999999</v>
      </c>
      <c r="S59" s="208">
        <v>114</v>
      </c>
      <c r="T59" s="217">
        <f t="shared" si="0"/>
        <v>30</v>
      </c>
      <c r="U59" s="208">
        <v>480</v>
      </c>
      <c r="V59" s="217">
        <f t="shared" si="1"/>
        <v>16</v>
      </c>
      <c r="W59" s="208">
        <v>8</v>
      </c>
      <c r="X59" s="208" t="s">
        <v>46</v>
      </c>
      <c r="Y59" s="208" t="s">
        <v>86</v>
      </c>
      <c r="Z59" s="208" t="s">
        <v>97</v>
      </c>
      <c r="AA59" s="208" t="s">
        <v>55</v>
      </c>
      <c r="AB59" s="237" t="s">
        <v>491</v>
      </c>
    </row>
    <row r="60" spans="1:28" x14ac:dyDescent="0.15">
      <c r="A60" s="208" t="s">
        <v>59</v>
      </c>
      <c r="B60" s="237" t="s">
        <v>469</v>
      </c>
      <c r="C60" s="152">
        <v>2018</v>
      </c>
      <c r="D60" s="153" t="s">
        <v>470</v>
      </c>
      <c r="E60" s="208" t="s">
        <v>325</v>
      </c>
      <c r="F60" s="208" t="s">
        <v>316</v>
      </c>
      <c r="G60" s="208" t="s">
        <v>36</v>
      </c>
      <c r="H60" s="208" t="s">
        <v>165</v>
      </c>
      <c r="I60" s="208" t="s">
        <v>155</v>
      </c>
      <c r="J60" s="208" t="s">
        <v>38</v>
      </c>
      <c r="K60" s="208" t="s">
        <v>156</v>
      </c>
      <c r="L60" s="208">
        <v>2</v>
      </c>
      <c r="N60" s="208">
        <v>4</v>
      </c>
      <c r="O60" s="208">
        <v>0.5</v>
      </c>
      <c r="P60" s="208">
        <v>0.5</v>
      </c>
      <c r="Q60" s="245">
        <f t="shared" si="2"/>
        <v>0.5</v>
      </c>
      <c r="R60" s="208">
        <v>16.3</v>
      </c>
      <c r="S60" s="208">
        <v>110</v>
      </c>
      <c r="T60" s="217">
        <f t="shared" si="0"/>
        <v>33</v>
      </c>
      <c r="U60" s="208">
        <v>480</v>
      </c>
      <c r="V60" s="217">
        <f t="shared" si="1"/>
        <v>16</v>
      </c>
      <c r="W60" s="208">
        <v>8</v>
      </c>
      <c r="X60" s="208" t="s">
        <v>46</v>
      </c>
      <c r="Y60" s="208" t="s">
        <v>86</v>
      </c>
      <c r="Z60" s="208" t="s">
        <v>97</v>
      </c>
      <c r="AA60" s="208" t="s">
        <v>55</v>
      </c>
      <c r="AB60" s="237" t="s">
        <v>491</v>
      </c>
    </row>
    <row r="61" spans="1:28" x14ac:dyDescent="0.15">
      <c r="A61" s="208" t="s">
        <v>59</v>
      </c>
      <c r="B61" s="237" t="s">
        <v>469</v>
      </c>
      <c r="C61" s="152">
        <v>2018</v>
      </c>
      <c r="D61" s="153" t="s">
        <v>470</v>
      </c>
      <c r="E61" s="208" t="s">
        <v>325</v>
      </c>
      <c r="F61" s="208" t="s">
        <v>316</v>
      </c>
      <c r="G61" s="208" t="s">
        <v>36</v>
      </c>
      <c r="H61" s="208" t="s">
        <v>165</v>
      </c>
      <c r="I61" s="208" t="s">
        <v>155</v>
      </c>
      <c r="J61" s="208" t="s">
        <v>38</v>
      </c>
      <c r="K61" s="208" t="s">
        <v>156</v>
      </c>
      <c r="L61" s="208">
        <v>3</v>
      </c>
      <c r="N61" s="208">
        <v>4</v>
      </c>
      <c r="O61" s="208">
        <v>0.6</v>
      </c>
      <c r="P61" s="208">
        <v>0.56999999999999995</v>
      </c>
      <c r="Q61" s="245">
        <f t="shared" si="2"/>
        <v>0.58499999999999996</v>
      </c>
      <c r="R61" s="208">
        <v>16.600000000000001</v>
      </c>
      <c r="S61" s="208">
        <v>115</v>
      </c>
      <c r="T61" s="217">
        <f t="shared" si="0"/>
        <v>30</v>
      </c>
      <c r="U61" s="208">
        <v>480</v>
      </c>
      <c r="V61" s="217">
        <f t="shared" si="1"/>
        <v>16</v>
      </c>
      <c r="W61" s="208">
        <v>8</v>
      </c>
      <c r="X61" s="208" t="s">
        <v>46</v>
      </c>
      <c r="Y61" s="208" t="s">
        <v>86</v>
      </c>
      <c r="Z61" s="208" t="s">
        <v>97</v>
      </c>
      <c r="AA61" s="208" t="s">
        <v>55</v>
      </c>
      <c r="AB61" s="237" t="s">
        <v>491</v>
      </c>
    </row>
    <row r="62" spans="1:28" x14ac:dyDescent="0.15">
      <c r="A62" s="208" t="s">
        <v>59</v>
      </c>
      <c r="B62" s="237" t="s">
        <v>469</v>
      </c>
      <c r="C62" s="152">
        <v>2018</v>
      </c>
      <c r="D62" s="153" t="s">
        <v>470</v>
      </c>
      <c r="E62" s="208" t="s">
        <v>325</v>
      </c>
      <c r="F62" s="208" t="s">
        <v>316</v>
      </c>
      <c r="G62" s="208" t="s">
        <v>36</v>
      </c>
      <c r="H62" s="208" t="s">
        <v>157</v>
      </c>
      <c r="I62" s="208" t="s">
        <v>155</v>
      </c>
      <c r="J62" s="208" t="s">
        <v>38</v>
      </c>
      <c r="K62" s="208" t="s">
        <v>156</v>
      </c>
      <c r="L62" s="208">
        <v>1</v>
      </c>
      <c r="N62" s="208">
        <v>4</v>
      </c>
      <c r="O62" s="208">
        <v>0.75</v>
      </c>
      <c r="P62" s="208">
        <v>0.75</v>
      </c>
      <c r="Q62" s="245">
        <f t="shared" si="2"/>
        <v>0.75</v>
      </c>
      <c r="R62" s="208">
        <v>13.7</v>
      </c>
      <c r="S62" s="208">
        <v>140</v>
      </c>
      <c r="T62" s="217">
        <f t="shared" si="0"/>
        <v>22</v>
      </c>
      <c r="U62" s="208">
        <v>348</v>
      </c>
      <c r="V62" s="217">
        <f t="shared" si="1"/>
        <v>16</v>
      </c>
      <c r="W62" s="208">
        <v>4</v>
      </c>
      <c r="X62" s="208" t="s">
        <v>46</v>
      </c>
      <c r="Y62" s="208" t="s">
        <v>86</v>
      </c>
      <c r="Z62" s="208" t="s">
        <v>97</v>
      </c>
      <c r="AA62" s="208" t="s">
        <v>55</v>
      </c>
      <c r="AB62" s="237" t="s">
        <v>491</v>
      </c>
    </row>
    <row r="63" spans="1:28" x14ac:dyDescent="0.15">
      <c r="A63" s="208" t="s">
        <v>59</v>
      </c>
      <c r="B63" s="237" t="s">
        <v>469</v>
      </c>
      <c r="C63" s="152">
        <v>2018</v>
      </c>
      <c r="D63" s="153" t="s">
        <v>470</v>
      </c>
      <c r="E63" s="208" t="s">
        <v>325</v>
      </c>
      <c r="F63" s="208" t="s">
        <v>316</v>
      </c>
      <c r="G63" s="208" t="s">
        <v>36</v>
      </c>
      <c r="H63" s="208" t="s">
        <v>157</v>
      </c>
      <c r="I63" s="208" t="s">
        <v>155</v>
      </c>
      <c r="J63" s="208" t="s">
        <v>38</v>
      </c>
      <c r="K63" s="208" t="s">
        <v>156</v>
      </c>
      <c r="L63" s="208">
        <v>2</v>
      </c>
      <c r="N63" s="208">
        <v>4</v>
      </c>
      <c r="O63" s="208">
        <v>0.74</v>
      </c>
      <c r="P63" s="208">
        <v>0.8</v>
      </c>
      <c r="Q63" s="245">
        <f t="shared" si="2"/>
        <v>0.77</v>
      </c>
      <c r="R63" s="208">
        <v>14.5</v>
      </c>
      <c r="S63" s="208">
        <v>150</v>
      </c>
      <c r="T63" s="217">
        <f t="shared" si="0"/>
        <v>22</v>
      </c>
      <c r="U63" s="208">
        <v>348</v>
      </c>
      <c r="V63" s="217">
        <f t="shared" si="1"/>
        <v>16</v>
      </c>
      <c r="W63" s="208">
        <v>4</v>
      </c>
      <c r="X63" s="208" t="s">
        <v>46</v>
      </c>
      <c r="Y63" s="208" t="s">
        <v>86</v>
      </c>
      <c r="Z63" s="208" t="s">
        <v>97</v>
      </c>
      <c r="AA63" s="208" t="s">
        <v>55</v>
      </c>
      <c r="AB63" s="237" t="s">
        <v>491</v>
      </c>
    </row>
    <row r="64" spans="1:28" x14ac:dyDescent="0.15">
      <c r="A64" s="208" t="s">
        <v>59</v>
      </c>
      <c r="B64" s="237" t="s">
        <v>469</v>
      </c>
      <c r="C64" s="152">
        <v>2018</v>
      </c>
      <c r="D64" s="153" t="s">
        <v>470</v>
      </c>
      <c r="E64" s="208" t="s">
        <v>325</v>
      </c>
      <c r="F64" s="208" t="s">
        <v>316</v>
      </c>
      <c r="G64" s="208" t="s">
        <v>36</v>
      </c>
      <c r="H64" s="208" t="s">
        <v>157</v>
      </c>
      <c r="I64" s="208" t="s">
        <v>155</v>
      </c>
      <c r="J64" s="208" t="s">
        <v>38</v>
      </c>
      <c r="K64" s="208" t="s">
        <v>156</v>
      </c>
      <c r="L64" s="208">
        <v>3</v>
      </c>
      <c r="N64" s="208">
        <v>4</v>
      </c>
      <c r="O64" s="208">
        <v>0.72</v>
      </c>
      <c r="P64" s="208">
        <v>0.75</v>
      </c>
      <c r="Q64" s="245">
        <f t="shared" si="2"/>
        <v>0.73499999999999999</v>
      </c>
      <c r="R64" s="208">
        <v>13.9</v>
      </c>
      <c r="S64" s="208">
        <v>145</v>
      </c>
      <c r="T64" s="217">
        <f t="shared" si="0"/>
        <v>22</v>
      </c>
      <c r="U64" s="208">
        <v>348</v>
      </c>
      <c r="V64" s="217">
        <f t="shared" si="1"/>
        <v>16</v>
      </c>
      <c r="W64" s="208">
        <v>4</v>
      </c>
      <c r="X64" s="208" t="s">
        <v>46</v>
      </c>
      <c r="Y64" s="208" t="s">
        <v>86</v>
      </c>
      <c r="Z64" s="208" t="s">
        <v>97</v>
      </c>
      <c r="AA64" s="208" t="s">
        <v>55</v>
      </c>
      <c r="AB64" s="237" t="s">
        <v>491</v>
      </c>
    </row>
    <row r="65" spans="1:28" x14ac:dyDescent="0.15">
      <c r="A65" s="208" t="s">
        <v>59</v>
      </c>
      <c r="B65" s="237" t="s">
        <v>469</v>
      </c>
      <c r="C65" s="152">
        <v>2018</v>
      </c>
      <c r="D65" s="153" t="s">
        <v>470</v>
      </c>
      <c r="E65" s="208" t="s">
        <v>320</v>
      </c>
      <c r="F65" s="208" t="s">
        <v>313</v>
      </c>
      <c r="G65" s="208" t="s">
        <v>36</v>
      </c>
      <c r="H65" s="208" t="s">
        <v>165</v>
      </c>
      <c r="I65" s="208" t="s">
        <v>155</v>
      </c>
      <c r="J65" s="208" t="s">
        <v>38</v>
      </c>
      <c r="K65" s="208" t="s">
        <v>156</v>
      </c>
      <c r="L65" s="208">
        <v>1</v>
      </c>
      <c r="N65" s="208">
        <v>4</v>
      </c>
      <c r="O65" s="208">
        <v>0.52</v>
      </c>
      <c r="P65" s="208">
        <v>0.52</v>
      </c>
      <c r="Q65" s="245">
        <f t="shared" si="2"/>
        <v>0.52</v>
      </c>
      <c r="R65" s="208">
        <v>15.4</v>
      </c>
      <c r="S65" s="208">
        <v>120</v>
      </c>
      <c r="T65" s="217">
        <f t="shared" si="0"/>
        <v>30</v>
      </c>
      <c r="U65" s="208">
        <v>429</v>
      </c>
      <c r="V65" s="217">
        <f t="shared" si="1"/>
        <v>16</v>
      </c>
      <c r="W65" s="208">
        <v>3</v>
      </c>
      <c r="X65" s="208" t="s">
        <v>39</v>
      </c>
      <c r="Y65" s="208" t="s">
        <v>97</v>
      </c>
      <c r="Z65" s="208" t="s">
        <v>69</v>
      </c>
      <c r="AA65" s="208" t="s">
        <v>88</v>
      </c>
      <c r="AB65" s="237" t="s">
        <v>491</v>
      </c>
    </row>
    <row r="66" spans="1:28" x14ac:dyDescent="0.15">
      <c r="A66" s="208" t="s">
        <v>59</v>
      </c>
      <c r="B66" s="237" t="s">
        <v>469</v>
      </c>
      <c r="C66" s="152">
        <v>2018</v>
      </c>
      <c r="D66" s="153" t="s">
        <v>470</v>
      </c>
      <c r="E66" s="208" t="s">
        <v>320</v>
      </c>
      <c r="F66" s="208" t="s">
        <v>313</v>
      </c>
      <c r="G66" s="208" t="s">
        <v>36</v>
      </c>
      <c r="H66" s="208" t="s">
        <v>165</v>
      </c>
      <c r="I66" s="208" t="s">
        <v>155</v>
      </c>
      <c r="J66" s="208" t="s">
        <v>38</v>
      </c>
      <c r="K66" s="208" t="s">
        <v>156</v>
      </c>
      <c r="L66" s="208">
        <v>2</v>
      </c>
      <c r="N66" s="208">
        <v>4</v>
      </c>
      <c r="O66" s="208">
        <v>0.57999999999999996</v>
      </c>
      <c r="P66" s="208">
        <v>0.6</v>
      </c>
      <c r="Q66" s="245">
        <f t="shared" si="2"/>
        <v>0.59</v>
      </c>
      <c r="R66" s="208">
        <v>15.7</v>
      </c>
      <c r="S66" s="208">
        <v>120</v>
      </c>
      <c r="T66" s="217">
        <f t="shared" si="0"/>
        <v>30</v>
      </c>
      <c r="U66" s="208">
        <v>429</v>
      </c>
      <c r="V66" s="217">
        <f t="shared" si="1"/>
        <v>16</v>
      </c>
      <c r="W66" s="208">
        <v>3</v>
      </c>
      <c r="X66" s="208" t="s">
        <v>39</v>
      </c>
      <c r="Y66" s="208" t="s">
        <v>97</v>
      </c>
      <c r="Z66" s="208" t="s">
        <v>69</v>
      </c>
      <c r="AA66" s="208" t="s">
        <v>88</v>
      </c>
      <c r="AB66" s="237" t="s">
        <v>491</v>
      </c>
    </row>
    <row r="67" spans="1:28" x14ac:dyDescent="0.15">
      <c r="A67" s="208" t="s">
        <v>59</v>
      </c>
      <c r="B67" s="237" t="s">
        <v>469</v>
      </c>
      <c r="C67" s="152">
        <v>2018</v>
      </c>
      <c r="D67" s="153" t="s">
        <v>470</v>
      </c>
      <c r="E67" s="208" t="s">
        <v>320</v>
      </c>
      <c r="F67" s="208" t="s">
        <v>313</v>
      </c>
      <c r="G67" s="208" t="s">
        <v>36</v>
      </c>
      <c r="H67" s="208" t="s">
        <v>165</v>
      </c>
      <c r="I67" s="208" t="s">
        <v>155</v>
      </c>
      <c r="J67" s="208" t="s">
        <v>38</v>
      </c>
      <c r="K67" s="208" t="s">
        <v>156</v>
      </c>
      <c r="L67" s="208">
        <v>3</v>
      </c>
      <c r="N67" s="208">
        <v>4</v>
      </c>
      <c r="O67" s="208">
        <v>0.55000000000000004</v>
      </c>
      <c r="P67" s="208">
        <v>0.6</v>
      </c>
      <c r="Q67" s="245">
        <f t="shared" si="2"/>
        <v>0.57499999999999996</v>
      </c>
      <c r="R67" s="208">
        <v>16.3</v>
      </c>
      <c r="S67" s="208">
        <v>122</v>
      </c>
      <c r="T67" s="217">
        <f t="shared" si="0"/>
        <v>27</v>
      </c>
      <c r="U67" s="208">
        <v>429</v>
      </c>
      <c r="V67" s="217">
        <f t="shared" si="1"/>
        <v>16</v>
      </c>
      <c r="W67" s="208">
        <v>3</v>
      </c>
      <c r="X67" s="208" t="s">
        <v>39</v>
      </c>
      <c r="Y67" s="208" t="s">
        <v>97</v>
      </c>
      <c r="Z67" s="208" t="s">
        <v>69</v>
      </c>
      <c r="AA67" s="208" t="s">
        <v>88</v>
      </c>
      <c r="AB67" s="237" t="s">
        <v>491</v>
      </c>
    </row>
    <row r="68" spans="1:28" x14ac:dyDescent="0.15">
      <c r="A68" s="208" t="s">
        <v>59</v>
      </c>
      <c r="B68" s="237" t="s">
        <v>469</v>
      </c>
      <c r="C68" s="152">
        <v>2018</v>
      </c>
      <c r="D68" s="153" t="s">
        <v>470</v>
      </c>
      <c r="E68" s="208" t="s">
        <v>320</v>
      </c>
      <c r="F68" s="208" t="s">
        <v>313</v>
      </c>
      <c r="G68" s="208" t="s">
        <v>36</v>
      </c>
      <c r="H68" s="208" t="s">
        <v>157</v>
      </c>
      <c r="I68" s="208" t="s">
        <v>155</v>
      </c>
      <c r="J68" s="208" t="s">
        <v>38</v>
      </c>
      <c r="K68" s="208" t="s">
        <v>156</v>
      </c>
      <c r="L68" s="208">
        <v>1</v>
      </c>
      <c r="N68" s="208">
        <v>4</v>
      </c>
      <c r="O68" s="208">
        <v>0.65</v>
      </c>
      <c r="P68" s="208">
        <v>0.67</v>
      </c>
      <c r="Q68" s="245">
        <f t="shared" si="2"/>
        <v>0.66</v>
      </c>
      <c r="R68" s="208">
        <v>13.5</v>
      </c>
      <c r="S68" s="208">
        <v>95</v>
      </c>
      <c r="T68" s="217">
        <f t="shared" si="0"/>
        <v>36</v>
      </c>
      <c r="U68" s="208">
        <v>386</v>
      </c>
      <c r="V68" s="217">
        <f t="shared" si="1"/>
        <v>16</v>
      </c>
      <c r="W68" s="208">
        <v>3</v>
      </c>
      <c r="X68" s="208" t="s">
        <v>39</v>
      </c>
      <c r="Y68" s="208" t="s">
        <v>97</v>
      </c>
      <c r="Z68" s="208" t="s">
        <v>69</v>
      </c>
      <c r="AA68" s="208" t="s">
        <v>88</v>
      </c>
      <c r="AB68" s="237" t="s">
        <v>491</v>
      </c>
    </row>
    <row r="69" spans="1:28" x14ac:dyDescent="0.15">
      <c r="A69" s="208" t="s">
        <v>59</v>
      </c>
      <c r="B69" s="237" t="s">
        <v>469</v>
      </c>
      <c r="C69" s="152">
        <v>2018</v>
      </c>
      <c r="D69" s="153" t="s">
        <v>470</v>
      </c>
      <c r="E69" s="208" t="s">
        <v>320</v>
      </c>
      <c r="F69" s="208" t="s">
        <v>313</v>
      </c>
      <c r="G69" s="208" t="s">
        <v>36</v>
      </c>
      <c r="H69" s="208" t="s">
        <v>157</v>
      </c>
      <c r="I69" s="208" t="s">
        <v>155</v>
      </c>
      <c r="J69" s="208" t="s">
        <v>38</v>
      </c>
      <c r="K69" s="208" t="s">
        <v>156</v>
      </c>
      <c r="L69" s="208">
        <v>2</v>
      </c>
      <c r="N69" s="208">
        <v>4</v>
      </c>
      <c r="O69" s="208">
        <v>0.7</v>
      </c>
      <c r="P69" s="208">
        <v>0.72</v>
      </c>
      <c r="Q69" s="245">
        <f t="shared" si="2"/>
        <v>0.71</v>
      </c>
      <c r="R69" s="208">
        <v>13.6</v>
      </c>
      <c r="S69" s="208">
        <v>100</v>
      </c>
      <c r="T69" s="217">
        <f t="shared" si="0"/>
        <v>33</v>
      </c>
      <c r="U69" s="208">
        <v>386</v>
      </c>
      <c r="V69" s="217">
        <f t="shared" si="1"/>
        <v>16</v>
      </c>
      <c r="W69" s="208">
        <v>3</v>
      </c>
      <c r="X69" s="208" t="s">
        <v>39</v>
      </c>
      <c r="Y69" s="208" t="s">
        <v>97</v>
      </c>
      <c r="Z69" s="208" t="s">
        <v>69</v>
      </c>
      <c r="AA69" s="208" t="s">
        <v>88</v>
      </c>
      <c r="AB69" s="237" t="s">
        <v>491</v>
      </c>
    </row>
    <row r="70" spans="1:28" x14ac:dyDescent="0.15">
      <c r="A70" s="208" t="s">
        <v>59</v>
      </c>
      <c r="B70" s="237" t="s">
        <v>469</v>
      </c>
      <c r="C70" s="152">
        <v>2018</v>
      </c>
      <c r="D70" s="153" t="s">
        <v>470</v>
      </c>
      <c r="E70" s="208" t="s">
        <v>320</v>
      </c>
      <c r="F70" s="208" t="s">
        <v>313</v>
      </c>
      <c r="G70" s="208" t="s">
        <v>36</v>
      </c>
      <c r="H70" s="208" t="s">
        <v>157</v>
      </c>
      <c r="I70" s="208" t="s">
        <v>155</v>
      </c>
      <c r="J70" s="208" t="s">
        <v>38</v>
      </c>
      <c r="K70" s="208" t="s">
        <v>156</v>
      </c>
      <c r="L70" s="208">
        <v>3</v>
      </c>
      <c r="N70" s="208">
        <v>4</v>
      </c>
      <c r="O70" s="208">
        <v>0.73</v>
      </c>
      <c r="P70" s="208">
        <v>0.68</v>
      </c>
      <c r="Q70" s="245">
        <f t="shared" si="2"/>
        <v>0.70500000000000007</v>
      </c>
      <c r="R70" s="208">
        <v>13.1</v>
      </c>
      <c r="S70" s="208">
        <v>97</v>
      </c>
      <c r="T70" s="217">
        <f t="shared" si="0"/>
        <v>36</v>
      </c>
      <c r="U70" s="208">
        <v>386</v>
      </c>
      <c r="V70" s="217">
        <f t="shared" si="1"/>
        <v>16</v>
      </c>
      <c r="W70" s="208">
        <v>3</v>
      </c>
      <c r="X70" s="208" t="s">
        <v>39</v>
      </c>
      <c r="Y70" s="208" t="s">
        <v>97</v>
      </c>
      <c r="Z70" s="208" t="s">
        <v>69</v>
      </c>
      <c r="AA70" s="208" t="s">
        <v>88</v>
      </c>
      <c r="AB70" s="237" t="s">
        <v>491</v>
      </c>
    </row>
    <row r="71" spans="1:28" x14ac:dyDescent="0.15">
      <c r="B71" s="237"/>
      <c r="C71" s="152"/>
      <c r="D71" s="153"/>
      <c r="Q71" s="245" t="str">
        <f t="shared" si="2"/>
        <v/>
      </c>
      <c r="T71" s="217" t="str">
        <f t="shared" si="0"/>
        <v/>
      </c>
      <c r="AB71" s="237"/>
    </row>
    <row r="72" spans="1:28" x14ac:dyDescent="0.15">
      <c r="B72" s="237"/>
      <c r="C72" s="152"/>
      <c r="D72" s="153"/>
      <c r="Q72" s="245" t="str">
        <f t="shared" si="2"/>
        <v/>
      </c>
      <c r="T72" s="217" t="str">
        <f t="shared" si="0"/>
        <v/>
      </c>
      <c r="AB72" s="237"/>
    </row>
    <row r="73" spans="1:28" x14ac:dyDescent="0.15">
      <c r="B73" s="237"/>
      <c r="C73" s="152"/>
      <c r="D73" s="153"/>
      <c r="Q73" s="245" t="str">
        <f t="shared" si="2"/>
        <v/>
      </c>
      <c r="T73" s="217" t="str">
        <f t="shared" si="0"/>
        <v/>
      </c>
      <c r="AB73" s="237"/>
    </row>
    <row r="74" spans="1:28" x14ac:dyDescent="0.15">
      <c r="B74" s="237"/>
      <c r="C74" s="152"/>
      <c r="D74" s="153"/>
      <c r="Q74" s="245"/>
      <c r="AB74" s="237"/>
    </row>
    <row r="75" spans="1:28" x14ac:dyDescent="0.15">
      <c r="B75" s="237"/>
      <c r="C75" s="152"/>
      <c r="D75" s="153"/>
      <c r="Q75" s="245"/>
      <c r="AB75" s="237"/>
    </row>
    <row r="76" spans="1:28" x14ac:dyDescent="0.15">
      <c r="B76" s="237"/>
      <c r="C76" s="152"/>
      <c r="D76" s="153"/>
      <c r="Q76" s="245"/>
      <c r="AB76" s="237"/>
    </row>
    <row r="77" spans="1:28" x14ac:dyDescent="0.15">
      <c r="B77" s="237"/>
      <c r="C77" s="152"/>
      <c r="D77" s="153"/>
      <c r="Q77" s="245"/>
      <c r="AB77" s="237"/>
    </row>
    <row r="78" spans="1:28" x14ac:dyDescent="0.15">
      <c r="B78" s="237"/>
      <c r="C78" s="152"/>
      <c r="D78" s="153"/>
      <c r="Q78" s="245"/>
      <c r="AB78" s="237"/>
    </row>
    <row r="79" spans="1:28" x14ac:dyDescent="0.15">
      <c r="B79" s="237"/>
      <c r="C79" s="152"/>
      <c r="D79" s="153"/>
      <c r="Q79" s="245"/>
      <c r="AB79" s="237"/>
    </row>
    <row r="80" spans="1:28" x14ac:dyDescent="0.15">
      <c r="B80" s="237"/>
      <c r="C80" s="152"/>
      <c r="D80" s="153"/>
      <c r="Q80" s="245"/>
      <c r="AB80" s="237"/>
    </row>
    <row r="81" spans="2:28" x14ac:dyDescent="0.15">
      <c r="B81" s="237"/>
      <c r="C81" s="152"/>
      <c r="D81" s="153"/>
      <c r="Q81" s="245"/>
      <c r="AB81" s="237"/>
    </row>
    <row r="82" spans="2:28" x14ac:dyDescent="0.15">
      <c r="B82" s="237"/>
      <c r="C82" s="152"/>
      <c r="D82" s="153"/>
      <c r="Q82" s="245"/>
      <c r="AB82" s="237"/>
    </row>
    <row r="83" spans="2:28" x14ac:dyDescent="0.15">
      <c r="B83" s="237"/>
      <c r="C83" s="152"/>
      <c r="Q83" s="245"/>
      <c r="AB83" s="237"/>
    </row>
    <row r="84" spans="2:28" x14ac:dyDescent="0.15">
      <c r="B84" s="237"/>
      <c r="C84" s="152"/>
      <c r="Q84" s="245"/>
      <c r="AB84" s="237"/>
    </row>
    <row r="85" spans="2:28" x14ac:dyDescent="0.15">
      <c r="B85" s="237"/>
      <c r="C85" s="152"/>
      <c r="Q85" s="245"/>
      <c r="AB85" s="237"/>
    </row>
    <row r="86" spans="2:28" x14ac:dyDescent="0.15">
      <c r="B86" s="237"/>
      <c r="C86" s="152"/>
      <c r="Q86" s="245"/>
      <c r="AB86" s="237"/>
    </row>
    <row r="87" spans="2:28" x14ac:dyDescent="0.15">
      <c r="B87" s="237"/>
      <c r="C87" s="152"/>
      <c r="Q87" s="245"/>
      <c r="AB87" s="237"/>
    </row>
    <row r="88" spans="2:28" x14ac:dyDescent="0.15">
      <c r="B88" s="237"/>
      <c r="C88" s="152"/>
      <c r="Q88" s="245"/>
      <c r="AB88" s="237"/>
    </row>
    <row r="89" spans="2:28" x14ac:dyDescent="0.15">
      <c r="B89" s="237"/>
      <c r="C89" s="152"/>
      <c r="Q89" s="245"/>
      <c r="AB89" s="237"/>
    </row>
    <row r="90" spans="2:28" x14ac:dyDescent="0.15">
      <c r="B90" s="237"/>
      <c r="C90" s="152"/>
      <c r="Q90" s="245"/>
      <c r="AB90" s="237"/>
    </row>
    <row r="91" spans="2:28" x14ac:dyDescent="0.15">
      <c r="B91" s="237"/>
      <c r="C91" s="152"/>
      <c r="Q91" s="245"/>
      <c r="AB91" s="237"/>
    </row>
    <row r="92" spans="2:28" x14ac:dyDescent="0.15">
      <c r="B92" s="237"/>
      <c r="C92" s="152"/>
      <c r="Q92" s="245"/>
      <c r="AB92" s="237"/>
    </row>
    <row r="93" spans="2:28" x14ac:dyDescent="0.15">
      <c r="B93" s="237"/>
      <c r="C93" s="152"/>
      <c r="Q93" s="245"/>
      <c r="AB93" s="237"/>
    </row>
    <row r="94" spans="2:28" x14ac:dyDescent="0.15">
      <c r="B94" s="237"/>
      <c r="C94" s="152"/>
      <c r="Q94" s="245"/>
      <c r="AB94" s="237"/>
    </row>
    <row r="95" spans="2:28" x14ac:dyDescent="0.15">
      <c r="B95" s="237"/>
      <c r="C95" s="152"/>
      <c r="Q95" s="245"/>
      <c r="AB95" s="237"/>
    </row>
    <row r="96" spans="2:28" x14ac:dyDescent="0.15">
      <c r="B96" s="237"/>
      <c r="C96" s="152"/>
      <c r="Q96" s="245"/>
      <c r="AB96" s="237"/>
    </row>
    <row r="97" spans="2:28" x14ac:dyDescent="0.15">
      <c r="B97" s="237"/>
      <c r="C97" s="152"/>
      <c r="Q97" s="245"/>
      <c r="AB97" s="237"/>
    </row>
    <row r="98" spans="2:28" x14ac:dyDescent="0.15">
      <c r="B98" s="237"/>
      <c r="C98" s="152"/>
      <c r="Q98" s="245"/>
      <c r="AB98" s="237"/>
    </row>
    <row r="99" spans="2:28" x14ac:dyDescent="0.15">
      <c r="B99" s="237"/>
      <c r="C99" s="152"/>
      <c r="AB99" s="237"/>
    </row>
    <row r="100" spans="2:28" x14ac:dyDescent="0.15">
      <c r="B100" s="237"/>
      <c r="C100" s="152"/>
      <c r="AB100" s="237"/>
    </row>
    <row r="101" spans="2:28" x14ac:dyDescent="0.15">
      <c r="Q101" s="217" t="str">
        <f t="shared" ref="Q101:Q152" si="3">IF(OR(O101="",P101=""),"",AVERAGE(O101,P101))</f>
        <v/>
      </c>
      <c r="T101" s="217" t="str">
        <f t="shared" ref="T101:T152" si="4">IF(H101="","",IF(OR(H101="GREEN",H101="GK"),IF(S101&gt;=$AX$2,VLOOKUP(S101,$AX$2:$AY$12,2,1),""),IF(S101&gt;=$AZ$2,VLOOKUP(S101,$AZ$2:$BA$12,2,1),"")))</f>
        <v/>
      </c>
      <c r="V101" s="217" t="str">
        <f t="shared" ref="V101:V152" si="5">IF(J101="","",IF(OR(J101="GREEN",J101="GK"),IF(U101&gt;=$AX$2,VLOOKUP(U101,$AX$2:$AY$12,2,1),""),IF(U101&gt;=$AZ$2,VLOOKUP(U101,$AZ$2:$BA$12,2,1),"")))</f>
        <v/>
      </c>
      <c r="AB101" s="237"/>
    </row>
    <row r="102" spans="2:28" x14ac:dyDescent="0.15">
      <c r="Q102" s="217" t="str">
        <f t="shared" si="3"/>
        <v/>
      </c>
      <c r="T102" s="217" t="str">
        <f t="shared" si="4"/>
        <v/>
      </c>
      <c r="V102" s="217" t="str">
        <f t="shared" si="5"/>
        <v/>
      </c>
    </row>
    <row r="103" spans="2:28" x14ac:dyDescent="0.15">
      <c r="Q103" s="217" t="str">
        <f t="shared" si="3"/>
        <v/>
      </c>
      <c r="T103" s="217" t="str">
        <f t="shared" si="4"/>
        <v/>
      </c>
      <c r="V103" s="217" t="str">
        <f t="shared" si="5"/>
        <v/>
      </c>
    </row>
    <row r="104" spans="2:28" x14ac:dyDescent="0.15">
      <c r="Q104" s="217" t="str">
        <f t="shared" si="3"/>
        <v/>
      </c>
      <c r="T104" s="217" t="str">
        <f t="shared" si="4"/>
        <v/>
      </c>
      <c r="V104" s="217" t="str">
        <f t="shared" si="5"/>
        <v/>
      </c>
    </row>
    <row r="105" spans="2:28" x14ac:dyDescent="0.15">
      <c r="Q105" s="217" t="str">
        <f t="shared" si="3"/>
        <v/>
      </c>
      <c r="T105" s="217" t="str">
        <f t="shared" si="4"/>
        <v/>
      </c>
      <c r="V105" s="217" t="str">
        <f t="shared" si="5"/>
        <v/>
      </c>
    </row>
    <row r="106" spans="2:28" x14ac:dyDescent="0.15">
      <c r="Q106" s="217" t="str">
        <f t="shared" si="3"/>
        <v/>
      </c>
      <c r="T106" s="217" t="str">
        <f t="shared" si="4"/>
        <v/>
      </c>
      <c r="V106" s="217" t="str">
        <f t="shared" si="5"/>
        <v/>
      </c>
    </row>
    <row r="107" spans="2:28" x14ac:dyDescent="0.15">
      <c r="Q107" s="217" t="str">
        <f t="shared" si="3"/>
        <v/>
      </c>
      <c r="T107" s="217" t="str">
        <f t="shared" si="4"/>
        <v/>
      </c>
      <c r="V107" s="217" t="str">
        <f t="shared" si="5"/>
        <v/>
      </c>
    </row>
    <row r="108" spans="2:28" x14ac:dyDescent="0.15">
      <c r="Q108" s="217" t="str">
        <f t="shared" si="3"/>
        <v/>
      </c>
      <c r="T108" s="217" t="str">
        <f t="shared" si="4"/>
        <v/>
      </c>
      <c r="V108" s="217" t="str">
        <f t="shared" si="5"/>
        <v/>
      </c>
    </row>
    <row r="109" spans="2:28" x14ac:dyDescent="0.15">
      <c r="Q109" s="217" t="str">
        <f t="shared" si="3"/>
        <v/>
      </c>
      <c r="T109" s="217" t="str">
        <f t="shared" si="4"/>
        <v/>
      </c>
      <c r="V109" s="217" t="str">
        <f t="shared" si="5"/>
        <v/>
      </c>
    </row>
    <row r="110" spans="2:28" x14ac:dyDescent="0.15">
      <c r="Q110" s="217" t="str">
        <f t="shared" si="3"/>
        <v/>
      </c>
      <c r="T110" s="217" t="str">
        <f t="shared" si="4"/>
        <v/>
      </c>
      <c r="V110" s="217" t="str">
        <f t="shared" si="5"/>
        <v/>
      </c>
    </row>
    <row r="111" spans="2:28" x14ac:dyDescent="0.15">
      <c r="Q111" s="217" t="str">
        <f t="shared" si="3"/>
        <v/>
      </c>
      <c r="T111" s="217" t="str">
        <f t="shared" si="4"/>
        <v/>
      </c>
      <c r="V111" s="217" t="str">
        <f t="shared" si="5"/>
        <v/>
      </c>
    </row>
    <row r="112" spans="2:28" x14ac:dyDescent="0.15">
      <c r="Q112" s="217" t="str">
        <f t="shared" si="3"/>
        <v/>
      </c>
      <c r="T112" s="217" t="str">
        <f t="shared" si="4"/>
        <v/>
      </c>
      <c r="V112" s="217" t="str">
        <f t="shared" si="5"/>
        <v/>
      </c>
    </row>
    <row r="113" spans="17:22" x14ac:dyDescent="0.15">
      <c r="Q113" s="217" t="str">
        <f t="shared" si="3"/>
        <v/>
      </c>
      <c r="T113" s="217" t="str">
        <f t="shared" si="4"/>
        <v/>
      </c>
      <c r="V113" s="217" t="str">
        <f t="shared" si="5"/>
        <v/>
      </c>
    </row>
    <row r="114" spans="17:22" x14ac:dyDescent="0.15">
      <c r="Q114" s="217" t="str">
        <f t="shared" si="3"/>
        <v/>
      </c>
      <c r="T114" s="217" t="str">
        <f t="shared" si="4"/>
        <v/>
      </c>
      <c r="V114" s="217" t="str">
        <f t="shared" si="5"/>
        <v/>
      </c>
    </row>
    <row r="115" spans="17:22" x14ac:dyDescent="0.15">
      <c r="Q115" s="217" t="str">
        <f t="shared" si="3"/>
        <v/>
      </c>
      <c r="T115" s="217" t="str">
        <f t="shared" si="4"/>
        <v/>
      </c>
      <c r="V115" s="217" t="str">
        <f t="shared" si="5"/>
        <v/>
      </c>
    </row>
    <row r="116" spans="17:22" x14ac:dyDescent="0.15">
      <c r="Q116" s="217" t="str">
        <f t="shared" si="3"/>
        <v/>
      </c>
      <c r="T116" s="217" t="str">
        <f t="shared" si="4"/>
        <v/>
      </c>
      <c r="V116" s="217" t="str">
        <f t="shared" si="5"/>
        <v/>
      </c>
    </row>
    <row r="117" spans="17:22" x14ac:dyDescent="0.15">
      <c r="Q117" s="217" t="str">
        <f t="shared" si="3"/>
        <v/>
      </c>
      <c r="T117" s="217" t="str">
        <f t="shared" si="4"/>
        <v/>
      </c>
      <c r="V117" s="217" t="str">
        <f t="shared" si="5"/>
        <v/>
      </c>
    </row>
    <row r="118" spans="17:22" x14ac:dyDescent="0.15">
      <c r="Q118" s="217" t="str">
        <f t="shared" si="3"/>
        <v/>
      </c>
      <c r="T118" s="217" t="str">
        <f t="shared" si="4"/>
        <v/>
      </c>
      <c r="V118" s="217" t="str">
        <f t="shared" si="5"/>
        <v/>
      </c>
    </row>
    <row r="119" spans="17:22" x14ac:dyDescent="0.15">
      <c r="Q119" s="217" t="str">
        <f t="shared" si="3"/>
        <v/>
      </c>
      <c r="T119" s="217" t="str">
        <f t="shared" si="4"/>
        <v/>
      </c>
      <c r="V119" s="217" t="str">
        <f t="shared" si="5"/>
        <v/>
      </c>
    </row>
    <row r="120" spans="17:22" x14ac:dyDescent="0.15">
      <c r="Q120" s="217" t="str">
        <f t="shared" si="3"/>
        <v/>
      </c>
      <c r="T120" s="217" t="str">
        <f t="shared" si="4"/>
        <v/>
      </c>
      <c r="V120" s="217" t="str">
        <f t="shared" si="5"/>
        <v/>
      </c>
    </row>
    <row r="121" spans="17:22" x14ac:dyDescent="0.15">
      <c r="Q121" s="217" t="str">
        <f t="shared" si="3"/>
        <v/>
      </c>
      <c r="T121" s="217" t="str">
        <f t="shared" si="4"/>
        <v/>
      </c>
      <c r="V121" s="217" t="str">
        <f t="shared" si="5"/>
        <v/>
      </c>
    </row>
    <row r="122" spans="17:22" x14ac:dyDescent="0.15">
      <c r="Q122" s="217" t="str">
        <f t="shared" si="3"/>
        <v/>
      </c>
      <c r="T122" s="217" t="str">
        <f t="shared" si="4"/>
        <v/>
      </c>
      <c r="V122" s="217" t="str">
        <f t="shared" si="5"/>
        <v/>
      </c>
    </row>
    <row r="123" spans="17:22" x14ac:dyDescent="0.15">
      <c r="Q123" s="217" t="str">
        <f t="shared" si="3"/>
        <v/>
      </c>
      <c r="T123" s="217" t="str">
        <f t="shared" si="4"/>
        <v/>
      </c>
      <c r="V123" s="217" t="str">
        <f t="shared" si="5"/>
        <v/>
      </c>
    </row>
    <row r="124" spans="17:22" x14ac:dyDescent="0.15">
      <c r="Q124" s="217" t="str">
        <f t="shared" si="3"/>
        <v/>
      </c>
      <c r="T124" s="217" t="str">
        <f t="shared" si="4"/>
        <v/>
      </c>
      <c r="V124" s="217" t="str">
        <f t="shared" si="5"/>
        <v/>
      </c>
    </row>
    <row r="125" spans="17:22" x14ac:dyDescent="0.15">
      <c r="Q125" s="217" t="str">
        <f t="shared" si="3"/>
        <v/>
      </c>
      <c r="T125" s="217" t="str">
        <f t="shared" si="4"/>
        <v/>
      </c>
      <c r="V125" s="217" t="str">
        <f t="shared" si="5"/>
        <v/>
      </c>
    </row>
    <row r="126" spans="17:22" x14ac:dyDescent="0.15">
      <c r="Q126" s="217" t="str">
        <f t="shared" si="3"/>
        <v/>
      </c>
      <c r="T126" s="217" t="str">
        <f t="shared" si="4"/>
        <v/>
      </c>
      <c r="V126" s="217" t="str">
        <f t="shared" si="5"/>
        <v/>
      </c>
    </row>
    <row r="127" spans="17:22" x14ac:dyDescent="0.15">
      <c r="Q127" s="217" t="str">
        <f t="shared" si="3"/>
        <v/>
      </c>
      <c r="T127" s="217" t="str">
        <f t="shared" si="4"/>
        <v/>
      </c>
      <c r="V127" s="217" t="str">
        <f t="shared" si="5"/>
        <v/>
      </c>
    </row>
    <row r="128" spans="17:22" x14ac:dyDescent="0.15">
      <c r="Q128" s="217" t="str">
        <f t="shared" si="3"/>
        <v/>
      </c>
      <c r="T128" s="217" t="str">
        <f t="shared" si="4"/>
        <v/>
      </c>
      <c r="V128" s="217" t="str">
        <f t="shared" si="5"/>
        <v/>
      </c>
    </row>
    <row r="129" spans="17:22" x14ac:dyDescent="0.15">
      <c r="Q129" s="217" t="str">
        <f t="shared" si="3"/>
        <v/>
      </c>
      <c r="T129" s="217" t="str">
        <f t="shared" si="4"/>
        <v/>
      </c>
      <c r="V129" s="217" t="str">
        <f t="shared" si="5"/>
        <v/>
      </c>
    </row>
    <row r="130" spans="17:22" x14ac:dyDescent="0.15">
      <c r="Q130" s="217" t="str">
        <f t="shared" si="3"/>
        <v/>
      </c>
      <c r="T130" s="217" t="str">
        <f t="shared" si="4"/>
        <v/>
      </c>
      <c r="V130" s="217" t="str">
        <f t="shared" si="5"/>
        <v/>
      </c>
    </row>
    <row r="131" spans="17:22" x14ac:dyDescent="0.15">
      <c r="Q131" s="217" t="str">
        <f t="shared" si="3"/>
        <v/>
      </c>
      <c r="T131" s="217" t="str">
        <f t="shared" si="4"/>
        <v/>
      </c>
      <c r="V131" s="217" t="str">
        <f t="shared" si="5"/>
        <v/>
      </c>
    </row>
    <row r="132" spans="17:22" x14ac:dyDescent="0.15">
      <c r="Q132" s="217" t="str">
        <f t="shared" si="3"/>
        <v/>
      </c>
      <c r="T132" s="217" t="str">
        <f t="shared" si="4"/>
        <v/>
      </c>
      <c r="V132" s="217" t="str">
        <f t="shared" si="5"/>
        <v/>
      </c>
    </row>
    <row r="133" spans="17:22" x14ac:dyDescent="0.15">
      <c r="Q133" s="217" t="str">
        <f t="shared" si="3"/>
        <v/>
      </c>
      <c r="T133" s="217" t="str">
        <f t="shared" si="4"/>
        <v/>
      </c>
      <c r="V133" s="217" t="str">
        <f t="shared" si="5"/>
        <v/>
      </c>
    </row>
    <row r="134" spans="17:22" x14ac:dyDescent="0.15">
      <c r="Q134" s="217" t="str">
        <f t="shared" si="3"/>
        <v/>
      </c>
      <c r="T134" s="217" t="str">
        <f t="shared" si="4"/>
        <v/>
      </c>
      <c r="V134" s="217" t="str">
        <f t="shared" si="5"/>
        <v/>
      </c>
    </row>
    <row r="135" spans="17:22" x14ac:dyDescent="0.15">
      <c r="Q135" s="217" t="str">
        <f t="shared" si="3"/>
        <v/>
      </c>
      <c r="T135" s="217" t="str">
        <f t="shared" si="4"/>
        <v/>
      </c>
      <c r="V135" s="217" t="str">
        <f t="shared" si="5"/>
        <v/>
      </c>
    </row>
    <row r="136" spans="17:22" x14ac:dyDescent="0.15">
      <c r="Q136" s="217" t="str">
        <f t="shared" si="3"/>
        <v/>
      </c>
      <c r="T136" s="217" t="str">
        <f t="shared" si="4"/>
        <v/>
      </c>
      <c r="V136" s="217" t="str">
        <f t="shared" si="5"/>
        <v/>
      </c>
    </row>
    <row r="137" spans="17:22" x14ac:dyDescent="0.15">
      <c r="Q137" s="217" t="str">
        <f t="shared" si="3"/>
        <v/>
      </c>
      <c r="T137" s="217" t="str">
        <f t="shared" si="4"/>
        <v/>
      </c>
      <c r="V137" s="217" t="str">
        <f t="shared" si="5"/>
        <v/>
      </c>
    </row>
    <row r="138" spans="17:22" x14ac:dyDescent="0.15">
      <c r="Q138" s="217" t="str">
        <f t="shared" si="3"/>
        <v/>
      </c>
      <c r="T138" s="217" t="str">
        <f t="shared" si="4"/>
        <v/>
      </c>
      <c r="V138" s="217" t="str">
        <f t="shared" si="5"/>
        <v/>
      </c>
    </row>
    <row r="139" spans="17:22" x14ac:dyDescent="0.15">
      <c r="Q139" s="217" t="str">
        <f t="shared" si="3"/>
        <v/>
      </c>
      <c r="T139" s="217" t="str">
        <f t="shared" si="4"/>
        <v/>
      </c>
      <c r="V139" s="217" t="str">
        <f t="shared" si="5"/>
        <v/>
      </c>
    </row>
    <row r="140" spans="17:22" x14ac:dyDescent="0.15">
      <c r="Q140" s="217" t="str">
        <f t="shared" si="3"/>
        <v/>
      </c>
      <c r="T140" s="217" t="str">
        <f t="shared" si="4"/>
        <v/>
      </c>
      <c r="V140" s="217" t="str">
        <f t="shared" si="5"/>
        <v/>
      </c>
    </row>
    <row r="141" spans="17:22" x14ac:dyDescent="0.15">
      <c r="Q141" s="217" t="str">
        <f t="shared" si="3"/>
        <v/>
      </c>
      <c r="T141" s="217" t="str">
        <f t="shared" si="4"/>
        <v/>
      </c>
      <c r="V141" s="217" t="str">
        <f t="shared" si="5"/>
        <v/>
      </c>
    </row>
    <row r="142" spans="17:22" x14ac:dyDescent="0.15">
      <c r="Q142" s="217" t="str">
        <f t="shared" si="3"/>
        <v/>
      </c>
      <c r="T142" s="217" t="str">
        <f t="shared" si="4"/>
        <v/>
      </c>
      <c r="V142" s="217" t="str">
        <f t="shared" si="5"/>
        <v/>
      </c>
    </row>
    <row r="143" spans="17:22" x14ac:dyDescent="0.15">
      <c r="Q143" s="217" t="str">
        <f t="shared" si="3"/>
        <v/>
      </c>
      <c r="T143" s="217" t="str">
        <f t="shared" si="4"/>
        <v/>
      </c>
      <c r="V143" s="217" t="str">
        <f t="shared" si="5"/>
        <v/>
      </c>
    </row>
    <row r="144" spans="17:22" x14ac:dyDescent="0.15">
      <c r="Q144" s="217" t="str">
        <f t="shared" si="3"/>
        <v/>
      </c>
      <c r="T144" s="217" t="str">
        <f t="shared" si="4"/>
        <v/>
      </c>
      <c r="V144" s="217" t="str">
        <f t="shared" si="5"/>
        <v/>
      </c>
    </row>
    <row r="145" spans="17:22" x14ac:dyDescent="0.15">
      <c r="Q145" s="217" t="str">
        <f t="shared" si="3"/>
        <v/>
      </c>
      <c r="T145" s="217" t="str">
        <f t="shared" si="4"/>
        <v/>
      </c>
      <c r="V145" s="217" t="str">
        <f t="shared" si="5"/>
        <v/>
      </c>
    </row>
    <row r="146" spans="17:22" x14ac:dyDescent="0.15">
      <c r="Q146" s="217" t="str">
        <f t="shared" si="3"/>
        <v/>
      </c>
      <c r="T146" s="217" t="str">
        <f t="shared" si="4"/>
        <v/>
      </c>
      <c r="V146" s="217" t="str">
        <f t="shared" si="5"/>
        <v/>
      </c>
    </row>
    <row r="147" spans="17:22" x14ac:dyDescent="0.15">
      <c r="Q147" s="217" t="str">
        <f t="shared" si="3"/>
        <v/>
      </c>
      <c r="T147" s="217" t="str">
        <f t="shared" si="4"/>
        <v/>
      </c>
      <c r="V147" s="217" t="str">
        <f t="shared" si="5"/>
        <v/>
      </c>
    </row>
    <row r="148" spans="17:22" x14ac:dyDescent="0.15">
      <c r="Q148" s="217" t="str">
        <f t="shared" si="3"/>
        <v/>
      </c>
      <c r="T148" s="217" t="str">
        <f t="shared" si="4"/>
        <v/>
      </c>
      <c r="V148" s="217" t="str">
        <f t="shared" si="5"/>
        <v/>
      </c>
    </row>
    <row r="149" spans="17:22" x14ac:dyDescent="0.15">
      <c r="Q149" s="217" t="str">
        <f t="shared" si="3"/>
        <v/>
      </c>
      <c r="T149" s="217" t="str">
        <f t="shared" si="4"/>
        <v/>
      </c>
      <c r="V149" s="217" t="str">
        <f t="shared" si="5"/>
        <v/>
      </c>
    </row>
    <row r="150" spans="17:22" x14ac:dyDescent="0.15">
      <c r="Q150" s="217" t="str">
        <f t="shared" si="3"/>
        <v/>
      </c>
      <c r="T150" s="217" t="str">
        <f t="shared" si="4"/>
        <v/>
      </c>
      <c r="V150" s="217" t="str">
        <f t="shared" si="5"/>
        <v/>
      </c>
    </row>
    <row r="151" spans="17:22" x14ac:dyDescent="0.15">
      <c r="Q151" s="217" t="str">
        <f t="shared" si="3"/>
        <v/>
      </c>
      <c r="T151" s="217" t="str">
        <f t="shared" si="4"/>
        <v/>
      </c>
      <c r="V151" s="217" t="str">
        <f t="shared" si="5"/>
        <v/>
      </c>
    </row>
    <row r="152" spans="17:22" x14ac:dyDescent="0.15">
      <c r="Q152" s="217" t="str">
        <f t="shared" si="3"/>
        <v/>
      </c>
      <c r="T152" s="217" t="str">
        <f t="shared" si="4"/>
        <v/>
      </c>
      <c r="V152" s="217" t="str">
        <f t="shared" si="5"/>
        <v/>
      </c>
    </row>
  </sheetData>
  <autoFilter ref="A1:BA152"/>
  <phoneticPr fontId="3"/>
  <dataValidations count="19">
    <dataValidation type="list" allowBlank="1" showInputMessage="1" showErrorMessage="1" sqref="K2:K434">
      <formula1>$AR$2:$AR$27</formula1>
    </dataValidation>
    <dataValidation type="list" allowBlank="1" showInputMessage="1" showErrorMessage="1" sqref="WVS983034:WVS983099 K65530:K65595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K131066:K131131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K196602:K196667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K262138:K262203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K327674:K32773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K393210:K393275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K458746:K458811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K524282:K524347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K589818:K589883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K655354:K65541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K720890:K720955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K786426:K786491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K851962:K852027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K917498:K917563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K983034:K98309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JG2:JG59 WVS2:WVS59 WLW2:WLW59 WCA2:WCA59 VSE2:VSE59 VII2:VII59 UYM2:UYM59 UOQ2:UOQ59 UEU2:UEU59 TUY2:TUY59 TLC2:TLC59 TBG2:TBG59 SRK2:SRK59 SHO2:SHO59 RXS2:RXS59 RNW2:RNW59 REA2:REA59 QUE2:QUE59 QKI2:QKI59 QAM2:QAM59 PQQ2:PQQ59 PGU2:PGU59 OWY2:OWY59 ONC2:ONC59 ODG2:ODG59 NTK2:NTK59 NJO2:NJO59 MZS2:MZS59 MPW2:MPW59 MGA2:MGA59 LWE2:LWE59 LMI2:LMI59 LCM2:LCM59 KSQ2:KSQ59 KIU2:KIU59 JYY2:JYY59 JPC2:JPC59 JFG2:JFG59 IVK2:IVK59 ILO2:ILO59 IBS2:IBS59 HRW2:HRW59 HIA2:HIA59 GYE2:GYE59 GOI2:GOI59 GEM2:GEM59 FUQ2:FUQ59 FKU2:FKU59 FAY2:FAY59 ERC2:ERC59 EHG2:EHG59 DXK2:DXK59 DNO2:DNO59 DDS2:DDS59 CTW2:CTW59 CKA2:CKA59 CAE2:CAE59 BQI2:BQI59 BGM2:BGM59 AWQ2:AWQ59 AMU2:AMU59 ACY2:ACY59 TC2:TC59 K435:K492">
      <formula1>$AR$2:$AR$25</formula1>
    </dataValidation>
    <dataValidation type="list" allowBlank="1" showInputMessage="1" showErrorMessage="1" sqref="WVR983034:WVR983099 J65530:J65595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J131066:J131131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J196602:J196667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J262138:J262203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J327674:J32773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J393210:J393275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J458746:J458811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J524282:J524347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J589818:J589883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J655354:J65541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J720890:J720955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J786426:J786491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J851962:J852027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J917498:J917563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983034:J98309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VR2:WVR59 WLV2:WLV59 WBZ2:WBZ59 VSD2:VSD59 VIH2:VIH59 UYL2:UYL59 UOP2:UOP59 UET2:UET59 TUX2:TUX59 TLB2:TLB59 TBF2:TBF59 SRJ2:SRJ59 SHN2:SHN59 RXR2:RXR59 RNV2:RNV59 RDZ2:RDZ59 QUD2:QUD59 QKH2:QKH59 QAL2:QAL59 PQP2:PQP59 PGT2:PGT59 OWX2:OWX59 ONB2:ONB59 ODF2:ODF59 NTJ2:NTJ59 NJN2:NJN59 MZR2:MZR59 MPV2:MPV59 MFZ2:MFZ59 LWD2:LWD59 LMH2:LMH59 LCL2:LCL59 KSP2:KSP59 KIT2:KIT59 JYX2:JYX59 JPB2:JPB59 JFF2:JFF59 IVJ2:IVJ59 ILN2:ILN59 IBR2:IBR59 HRV2:HRV59 HHZ2:HHZ59 GYD2:GYD59 GOH2:GOH59 GEL2:GEL59 FUP2:FUP59 FKT2:FKT59 FAX2:FAX59 ERB2:ERB59 EHF2:EHF59 DXJ2:DXJ59 DNN2:DNN59 DDR2:DDR59 CTV2:CTV59 CJZ2:CJZ59 CAD2:CAD59 BQH2:BQH59 BGL2:BGL59 AWP2:AWP59 AMT2:AMT59 ACX2:ACX59 TB2:TB59 JF2:JF59 J44:J492">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VP2:WVP59 WLT2:WLT59 WBX2:WBX59 VSB2:VSB59 VIF2:VIF59 UYJ2:UYJ59 UON2:UON59 UER2:UER59 TUV2:TUV59 TKZ2:TKZ59 TBD2:TBD59 SRH2:SRH59 SHL2:SHL59 RXP2:RXP59 RNT2:RNT59 RDX2:RDX59 QUB2:QUB59 QKF2:QKF59 QAJ2:QAJ59 PQN2:PQN59 PGR2:PGR59 OWV2:OWV59 OMZ2:OMZ59 ODD2:ODD59 NTH2:NTH59 NJL2:NJL59 MZP2:MZP59 MPT2:MPT59 MFX2:MFX59 LWB2:LWB59 LMF2:LMF59 LCJ2:LCJ59 KSN2:KSN59 KIR2:KIR59 JYV2:JYV59 JOZ2:JOZ59 JFD2:JFD59 IVH2:IVH59 ILL2:ILL59 IBP2:IBP59 HRT2:HRT59 HHX2:HHX59 GYB2:GYB59 GOF2:GOF59 GEJ2:GEJ59 FUN2:FUN59 FKR2:FKR59 FAV2:FAV59 EQZ2:EQZ59 EHD2:EHD59 DXH2:DXH59 DNL2:DNL59 DDP2:DDP59 CTT2:CTT59 CJX2:CJX59 CAB2:CAB59 BQF2:BQF59 BGJ2:BGJ59 AWN2:AWN59 AMR2:AMR59 ACV2:ACV59 SZ2:SZ59 JD2:JD59">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A2:A492">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JT2:JT59 WWF2:WWF59 WMJ2:WMJ59 WCN2:WCN59 VSR2:VSR59 VIV2:VIV59 UYZ2:UYZ59 UPD2:UPD59 UFH2:UFH59 TVL2:TVL59 TLP2:TLP59 TBT2:TBT59 SRX2:SRX59 SIB2:SIB59 RYF2:RYF59 ROJ2:ROJ59 REN2:REN59 QUR2:QUR59 QKV2:QKV59 QAZ2:QAZ59 PRD2:PRD59 PHH2:PHH59 OXL2:OXL59 ONP2:ONP59 ODT2:ODT59 NTX2:NTX59 NKB2:NKB59 NAF2:NAF59 MQJ2:MQJ59 MGN2:MGN59 LWR2:LWR59 LMV2:LMV59 LCZ2:LCZ59 KTD2:KTD59 KJH2:KJH59 JZL2:JZL59 JPP2:JPP59 JFT2:JFT59 IVX2:IVX59 IMB2:IMB59 ICF2:ICF59 HSJ2:HSJ59 HIN2:HIN59 GYR2:GYR59 GOV2:GOV59 GEZ2:GEZ59 FVD2:FVD59 FLH2:FLH59 FBL2:FBL59 ERP2:ERP59 EHT2:EHT59 DXX2:DXX59 DOB2:DOB59 DEF2:DEF59 CUJ2:CUJ59 CKN2:CKN59 CAR2:CAR59 BQV2:BQV59 BGZ2:BGZ59 AXD2:AXD59 ANH2:ANH59 ADL2:ADL59 TP2:TP59 X2:X492">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G2:G492">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JE2:JE59 WVQ2:WVQ59 WLU2:WLU59 WBY2:WBY59 VSC2:VSC59 VIG2:VIG59 UYK2:UYK59 UOO2:UOO59 UES2:UES59 TUW2:TUW59 TLA2:TLA59 TBE2:TBE59 SRI2:SRI59 SHM2:SHM59 RXQ2:RXQ59 RNU2:RNU59 RDY2:RDY59 QUC2:QUC59 QKG2:QKG59 QAK2:QAK59 PQO2:PQO59 PGS2:PGS59 OWW2:OWW59 ONA2:ONA59 ODE2:ODE59 NTI2:NTI59 NJM2:NJM59 MZQ2:MZQ59 MPU2:MPU59 MFY2:MFY59 LWC2:LWC59 LMG2:LMG59 LCK2:LCK59 KSO2:KSO59 KIS2:KIS59 JYW2:JYW59 JPA2:JPA59 JFE2:JFE59 IVI2:IVI59 ILM2:ILM59 IBQ2:IBQ59 HRU2:HRU59 HHY2:HHY59 GYC2:GYC59 GOG2:GOG59 GEK2:GEK59 FUO2:FUO59 FKS2:FKS59 FAW2:FAW59 ERA2:ERA59 EHE2:EHE59 DXI2:DXI59 DNM2:DNM59 DDQ2:DDQ59 CTU2:CTU59 CJY2:CJY59 CAC2:CAC59 BQG2:BQG59 BGK2:BGK59 AWO2:AWO59 AMS2:AMS59 ACW2:ACW59 TA2:TA59 I2:I492">
      <formula1>$AN$5:$AN$6</formula1>
    </dataValidation>
    <dataValidation type="list" allowBlank="1" showInputMessage="1" showErrorMessage="1" sqref="J64355:J6442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J129891:J129956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J195427:J195492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J260963:J261028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J326499:J326564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J392035:J39210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J457571:J457636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J523107:J523172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J588643:J588708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J654179:J654244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J719715:J71978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J785251:J785316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J850787:J850852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J916323:J916388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J981859:J981924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J1047395:J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RDZ1047395:RDZ1047460 RNV1047395:RNV1047460 RXR1047395:RXR1047460 SHN1047395:SHN1047460 SRJ1047395:SRJ1047460 TBF1047395:TBF1047460 TLB1047395:TLB1047460 TUX1047395:TUX1047460 UET1047395:UET1047460 UOP1047395:UOP1047460 UYL1047395:UYL1047460 VIH1047395:VIH1047460 VSD1047395:VSD1047460 WBZ1047395:WBZ1047460 WLV1047395:WLV1047460 WVR1047395:WVR1047460">
      <formula1>$AP$2:$AP$15</formula1>
    </dataValidation>
    <dataValidation type="list" allowBlank="1" showInputMessage="1" showErrorMessage="1" sqref="K64355:K6442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K129891:K129956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K195427:K195492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K260963:K261028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K326499:K326564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K392035:K39210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K457571:K457636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K523107:K523172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K588643:K588708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K654179:K654244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K719715:K71978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K785251:K785316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K850787:K850852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K916323:K916388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K981859:K981924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K1047395:K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REA1047395:REA1047460 RNW1047395:RNW1047460 RXS1047395:RXS1047460 SHO1047395:SHO1047460 SRK1047395:SRK1047460 TBG1047395:TBG1047460 TLC1047395:TLC1047460 TUY1047395:TUY1047460 UEU1047395:UEU1047460 UOQ1047395:UOQ1047460 UYM1047395:UYM1047460 VII1047395:VII1047460 VSE1047395:VSE1047460 WCA1047395:WCA1047460 WLW1047395:WLW1047460 WVS1047395:WVS1047460">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WG2:WWI59 WMK2:WMM59 WCO2:WCQ59 VSS2:VSU59 VIW2:VIY59 UZA2:UZC59 UPE2:UPG59 UFI2:UFK59 TVM2:TVO59 TLQ2:TLS59 TBU2:TBW59 SRY2:SSA59 SIC2:SIE59 RYG2:RYI59 ROK2:ROM59 REO2:REQ59 QUS2:QUU59 QKW2:QKY59 QBA2:QBC59 PRE2:PRG59 PHI2:PHK59 OXM2:OXO59 ONQ2:ONS59 ODU2:ODW59 NTY2:NUA59 NKC2:NKE59 NAG2:NAI59 MQK2:MQM59 MGO2:MGQ59 LWS2:LWU59 LMW2:LMY59 LDA2:LDC59 KTE2:KTG59 KJI2:KJK59 JZM2:JZO59 JPQ2:JPS59 JFU2:JFW59 IVY2:IWA59 IMC2:IME59 ICG2:ICI59 HSK2:HSM59 HIO2:HIQ59 GYS2:GYU59 GOW2:GOY59 GFA2:GFC59 FVE2:FVG59 FLI2:FLK59 FBM2:FBO59 ERQ2:ERS59 EHU2:EHW59 DXY2:DYA59 DOC2:DOE59 DEG2:DEI59 CUK2:CUM59 CKO2:CKQ59 CAS2:CAU59 BQW2:BQY59 BHA2:BHC59 AXE2:AXG59 ANI2:ANK59 ADM2:ADO59 TQ2:TS59 JU2:JW59">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formula1>#REF!</formula1>
    </dataValidation>
    <dataValidation type="list" allowBlank="1" showInputMessage="1" showErrorMessage="1" sqref="E2:E492">
      <formula1>$AG$2:$AG$11</formula1>
    </dataValidation>
    <dataValidation type="list" allowBlank="1" showInputMessage="1" showErrorMessage="1" sqref="H2:H492">
      <formula1>$AL$2:$AL$8</formula1>
    </dataValidation>
    <dataValidation type="decimal" allowBlank="1" showInputMessage="1" showErrorMessage="1" error="硬度を正しく入力して下さい。" sqref="O2:P492">
      <formula1>0</formula1>
      <formula2>7</formula2>
    </dataValidation>
    <dataValidation type="list" allowBlank="1" showInputMessage="1" showErrorMessage="1" sqref="F2:F1446">
      <formula1>$AH$2:$AH$11</formula1>
    </dataValidation>
    <dataValidation type="list" allowBlank="1" showInputMessage="1" showErrorMessage="1" sqref="AC38 Y2:AA583">
      <formula1>$AV$2:$AV$38</formula1>
    </dataValidation>
    <dataValidation type="list" allowBlank="1" showInputMessage="1" showErrorMessage="1" sqref="J2:J43">
      <formula1>$AP$2:$AP$38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43"/>
  <sheetViews>
    <sheetView tabSelected="1" topLeftCell="F1" zoomScale="70" zoomScaleNormal="70" zoomScaleSheetLayoutView="100" workbookViewId="0">
      <selection activeCell="J28" sqref="J28"/>
    </sheetView>
  </sheetViews>
  <sheetFormatPr defaultRowHeight="13.5" x14ac:dyDescent="0.15"/>
  <cols>
    <col min="1" max="3" width="9" style="208"/>
    <col min="4" max="4" width="10.5" style="208" bestFit="1" customWidth="1"/>
    <col min="5" max="16" width="9" style="208"/>
    <col min="17" max="17" width="9" style="217"/>
    <col min="18" max="19" width="9" style="208"/>
    <col min="20" max="20" width="9" style="217"/>
    <col min="21" max="21" width="9" style="208"/>
    <col min="22" max="22" width="9" style="217"/>
    <col min="23" max="32" width="9" style="208"/>
    <col min="33" max="33" width="16.875" style="208" bestFit="1" customWidth="1"/>
    <col min="34" max="34" width="15.625" style="208" customWidth="1"/>
    <col min="35" max="39" width="9" style="143"/>
    <col min="40" max="16384" width="9" style="208"/>
  </cols>
  <sheetData>
    <row r="1" spans="1:53" ht="45" x14ac:dyDescent="0.15">
      <c r="A1" s="240" t="s">
        <v>0</v>
      </c>
      <c r="B1" s="202" t="s">
        <v>1</v>
      </c>
      <c r="C1" s="202" t="s">
        <v>492</v>
      </c>
      <c r="D1" s="203" t="s">
        <v>3</v>
      </c>
      <c r="E1" s="241" t="s">
        <v>4</v>
      </c>
      <c r="F1" s="241" t="s">
        <v>5</v>
      </c>
      <c r="G1" s="241" t="s">
        <v>6</v>
      </c>
      <c r="H1" s="241" t="s">
        <v>7</v>
      </c>
      <c r="I1" s="241" t="s">
        <v>8</v>
      </c>
      <c r="J1" s="241" t="s">
        <v>9</v>
      </c>
      <c r="K1" s="201" t="s">
        <v>10</v>
      </c>
      <c r="L1" s="203" t="s">
        <v>493</v>
      </c>
      <c r="M1" s="203" t="s">
        <v>12</v>
      </c>
      <c r="N1" s="203" t="s">
        <v>13</v>
      </c>
      <c r="O1" s="203" t="s">
        <v>494</v>
      </c>
      <c r="P1" s="203" t="s">
        <v>495</v>
      </c>
      <c r="Q1" s="204" t="s">
        <v>16</v>
      </c>
      <c r="R1" s="203" t="s">
        <v>496</v>
      </c>
      <c r="S1" s="203" t="s">
        <v>497</v>
      </c>
      <c r="T1" s="204" t="s">
        <v>19</v>
      </c>
      <c r="U1" s="205" t="s">
        <v>108</v>
      </c>
      <c r="V1" s="206" t="s">
        <v>20</v>
      </c>
      <c r="W1" s="203" t="s">
        <v>21</v>
      </c>
      <c r="X1" s="241" t="s">
        <v>22</v>
      </c>
      <c r="Y1" s="241" t="s">
        <v>23</v>
      </c>
      <c r="Z1" s="241" t="s">
        <v>24</v>
      </c>
      <c r="AA1" s="242" t="s">
        <v>25</v>
      </c>
      <c r="AB1" s="207" t="s">
        <v>498</v>
      </c>
      <c r="AE1" s="209" t="s">
        <v>0</v>
      </c>
      <c r="AF1" s="210"/>
      <c r="AG1" s="209" t="s">
        <v>4</v>
      </c>
      <c r="AH1" s="209" t="s">
        <v>5</v>
      </c>
      <c r="AI1" s="162"/>
      <c r="AJ1" s="163" t="s">
        <v>6</v>
      </c>
      <c r="AK1" s="162"/>
      <c r="AL1" s="164" t="s">
        <v>7</v>
      </c>
      <c r="AM1" s="162"/>
      <c r="AN1" s="211" t="s">
        <v>8</v>
      </c>
      <c r="AO1" s="210"/>
      <c r="AP1" s="211" t="s">
        <v>27</v>
      </c>
      <c r="AQ1" s="210"/>
      <c r="AR1" s="211" t="s">
        <v>10</v>
      </c>
      <c r="AS1" s="210"/>
      <c r="AT1" s="212" t="s">
        <v>28</v>
      </c>
      <c r="AU1" s="210"/>
      <c r="AV1" s="211" t="s">
        <v>29</v>
      </c>
      <c r="AX1" s="213" t="s">
        <v>499</v>
      </c>
      <c r="AY1" s="214" t="s">
        <v>500</v>
      </c>
      <c r="AZ1" s="214" t="s">
        <v>501</v>
      </c>
      <c r="BA1" s="215" t="s">
        <v>502</v>
      </c>
    </row>
    <row r="2" spans="1:53" x14ac:dyDescent="0.15">
      <c r="A2" s="165" t="s">
        <v>34</v>
      </c>
      <c r="B2" s="165" t="s">
        <v>503</v>
      </c>
      <c r="C2" s="165">
        <v>2018</v>
      </c>
      <c r="D2" s="166" t="s">
        <v>504</v>
      </c>
      <c r="E2" s="165" t="s">
        <v>505</v>
      </c>
      <c r="F2" s="165" t="s">
        <v>284</v>
      </c>
      <c r="G2" s="167" t="s">
        <v>36</v>
      </c>
      <c r="H2" s="168" t="s">
        <v>157</v>
      </c>
      <c r="I2" s="137" t="s">
        <v>155</v>
      </c>
      <c r="J2" s="200" t="s">
        <v>38</v>
      </c>
      <c r="K2" s="137" t="s">
        <v>156</v>
      </c>
      <c r="L2" s="169">
        <v>1</v>
      </c>
      <c r="M2" s="170"/>
      <c r="N2" s="170">
        <v>1</v>
      </c>
      <c r="O2" s="170">
        <v>0.85</v>
      </c>
      <c r="P2" s="170">
        <v>0.7</v>
      </c>
      <c r="Q2" s="171">
        <f t="shared" ref="Q2:Q65" si="0">IF(OR(O2="",P2=""),"",AVERAGE(O2,P2))</f>
        <v>0.77499999999999991</v>
      </c>
      <c r="R2" s="172">
        <v>14.2</v>
      </c>
      <c r="S2" s="168">
        <v>128</v>
      </c>
      <c r="T2" s="173">
        <f t="shared" ref="T2:T65" si="1">IF(H2="","",IF(OR(H2="GREEN",H2="GK"),IF(S2&gt;=$AX$2,VLOOKUP(S2,$AX$2:$AY$7,2,1),""),IF(S2&gt;=$AZ$2,VLOOKUP(S2,$AZ$2:$BA$7,2,1),"")))</f>
        <v>30</v>
      </c>
      <c r="U2" s="137">
        <v>84</v>
      </c>
      <c r="V2" s="173">
        <f t="shared" ref="V2:V65" si="2">IF(OR(N2="",U2="",T2=""),"",U2/N2*T2)</f>
        <v>2520</v>
      </c>
      <c r="W2" s="174">
        <v>6</v>
      </c>
      <c r="X2" s="175" t="s">
        <v>46</v>
      </c>
      <c r="Y2" s="175" t="s">
        <v>64</v>
      </c>
      <c r="Z2" s="175" t="s">
        <v>97</v>
      </c>
      <c r="AA2" s="176" t="s">
        <v>78</v>
      </c>
      <c r="AB2" s="55" t="s">
        <v>506</v>
      </c>
      <c r="AE2" s="218" t="s">
        <v>35</v>
      </c>
      <c r="AG2" s="243" t="s">
        <v>507</v>
      </c>
      <c r="AH2" s="243" t="s">
        <v>285</v>
      </c>
      <c r="AJ2" s="144" t="s">
        <v>36</v>
      </c>
      <c r="AL2" s="219" t="s">
        <v>127</v>
      </c>
      <c r="AN2" s="219" t="s">
        <v>37</v>
      </c>
      <c r="AO2" s="216"/>
      <c r="AP2" s="219" t="s">
        <v>38</v>
      </c>
      <c r="AQ2" s="216"/>
      <c r="AR2" s="219" t="s">
        <v>508</v>
      </c>
      <c r="AS2" s="216"/>
      <c r="AT2" s="219" t="s">
        <v>39</v>
      </c>
      <c r="AU2" s="216"/>
      <c r="AV2" s="248" t="s">
        <v>40</v>
      </c>
      <c r="AW2" s="216"/>
      <c r="AX2" s="220">
        <v>1</v>
      </c>
      <c r="AY2" s="221">
        <v>50</v>
      </c>
      <c r="AZ2" s="221">
        <v>1</v>
      </c>
      <c r="BA2" s="222">
        <v>50</v>
      </c>
    </row>
    <row r="3" spans="1:53" x14ac:dyDescent="0.15">
      <c r="A3" s="177" t="s">
        <v>34</v>
      </c>
      <c r="B3" s="177" t="s">
        <v>344</v>
      </c>
      <c r="C3" s="178">
        <v>2018</v>
      </c>
      <c r="D3" s="254" t="s">
        <v>504</v>
      </c>
      <c r="E3" s="177" t="s">
        <v>505</v>
      </c>
      <c r="F3" s="177" t="s">
        <v>284</v>
      </c>
      <c r="G3" s="180" t="s">
        <v>36</v>
      </c>
      <c r="H3" s="137" t="s">
        <v>157</v>
      </c>
      <c r="I3" s="137" t="s">
        <v>155</v>
      </c>
      <c r="J3" s="137" t="s">
        <v>38</v>
      </c>
      <c r="K3" s="137" t="s">
        <v>156</v>
      </c>
      <c r="L3" s="208">
        <v>2</v>
      </c>
      <c r="N3" s="208">
        <v>1</v>
      </c>
      <c r="O3" s="208">
        <v>0.6</v>
      </c>
      <c r="P3" s="235">
        <v>0.75</v>
      </c>
      <c r="Q3" s="181">
        <f t="shared" si="0"/>
        <v>0.67500000000000004</v>
      </c>
      <c r="R3" s="182">
        <v>13.8</v>
      </c>
      <c r="S3" s="182">
        <v>124</v>
      </c>
      <c r="T3" s="217">
        <f t="shared" si="1"/>
        <v>30</v>
      </c>
      <c r="U3" s="183">
        <v>84</v>
      </c>
      <c r="V3" s="184">
        <f t="shared" si="2"/>
        <v>2520</v>
      </c>
      <c r="W3" s="185">
        <v>6</v>
      </c>
      <c r="X3" s="186" t="s">
        <v>46</v>
      </c>
      <c r="Y3" s="186" t="s">
        <v>64</v>
      </c>
      <c r="Z3" s="186" t="s">
        <v>97</v>
      </c>
      <c r="AA3" s="176" t="s">
        <v>78</v>
      </c>
      <c r="AB3" s="55" t="s">
        <v>346</v>
      </c>
      <c r="AE3" s="223" t="s">
        <v>41</v>
      </c>
      <c r="AG3" s="243" t="s">
        <v>286</v>
      </c>
      <c r="AH3" s="243" t="s">
        <v>287</v>
      </c>
      <c r="AJ3" s="187" t="s">
        <v>42</v>
      </c>
      <c r="AL3" s="224" t="s">
        <v>128</v>
      </c>
      <c r="AN3" s="224" t="s">
        <v>43</v>
      </c>
      <c r="AP3" s="224" t="s">
        <v>44</v>
      </c>
      <c r="AR3" s="238" t="s">
        <v>45</v>
      </c>
      <c r="AT3" s="224" t="s">
        <v>46</v>
      </c>
      <c r="AV3" s="224" t="s">
        <v>47</v>
      </c>
      <c r="AX3" s="225">
        <v>72</v>
      </c>
      <c r="AY3" s="226">
        <v>46</v>
      </c>
      <c r="AZ3" s="226">
        <v>71</v>
      </c>
      <c r="BA3" s="227">
        <v>42</v>
      </c>
    </row>
    <row r="4" spans="1:53" x14ac:dyDescent="0.15">
      <c r="A4" s="177" t="s">
        <v>34</v>
      </c>
      <c r="B4" s="177" t="s">
        <v>344</v>
      </c>
      <c r="C4" s="177">
        <v>2018</v>
      </c>
      <c r="D4" s="179" t="s">
        <v>424</v>
      </c>
      <c r="E4" s="177" t="s">
        <v>505</v>
      </c>
      <c r="F4" s="177" t="s">
        <v>284</v>
      </c>
      <c r="G4" s="180" t="s">
        <v>36</v>
      </c>
      <c r="H4" s="137" t="s">
        <v>157</v>
      </c>
      <c r="I4" s="137" t="s">
        <v>155</v>
      </c>
      <c r="J4" s="137" t="s">
        <v>38</v>
      </c>
      <c r="K4" s="137" t="s">
        <v>156</v>
      </c>
      <c r="L4" s="208">
        <v>3</v>
      </c>
      <c r="N4" s="208">
        <v>1</v>
      </c>
      <c r="O4" s="208">
        <v>0.7</v>
      </c>
      <c r="P4" s="235">
        <v>0.6</v>
      </c>
      <c r="Q4" s="245">
        <f t="shared" si="0"/>
        <v>0.64999999999999991</v>
      </c>
      <c r="R4" s="188">
        <v>14.4</v>
      </c>
      <c r="S4" s="188">
        <v>125</v>
      </c>
      <c r="T4" s="217">
        <f t="shared" si="1"/>
        <v>30</v>
      </c>
      <c r="U4" s="189">
        <v>84</v>
      </c>
      <c r="V4" s="184">
        <f t="shared" si="2"/>
        <v>2520</v>
      </c>
      <c r="W4" s="190">
        <v>6</v>
      </c>
      <c r="X4" s="186" t="s">
        <v>46</v>
      </c>
      <c r="Y4" s="186" t="s">
        <v>64</v>
      </c>
      <c r="Z4" s="186" t="s">
        <v>97</v>
      </c>
      <c r="AA4" s="176" t="s">
        <v>78</v>
      </c>
      <c r="AB4" s="55" t="s">
        <v>346</v>
      </c>
      <c r="AE4" s="223" t="s">
        <v>34</v>
      </c>
      <c r="AG4" s="243" t="s">
        <v>509</v>
      </c>
      <c r="AH4" s="243" t="s">
        <v>288</v>
      </c>
      <c r="AJ4" s="191" t="s">
        <v>48</v>
      </c>
      <c r="AL4" s="228" t="s">
        <v>129</v>
      </c>
      <c r="AN4" s="229" t="s">
        <v>49</v>
      </c>
      <c r="AP4" s="224" t="s">
        <v>510</v>
      </c>
      <c r="AR4" s="238" t="s">
        <v>511</v>
      </c>
      <c r="AT4" s="229"/>
      <c r="AV4" s="224" t="s">
        <v>50</v>
      </c>
      <c r="AX4" s="225">
        <v>75</v>
      </c>
      <c r="AY4" s="226">
        <v>42</v>
      </c>
      <c r="AZ4" s="226">
        <v>76</v>
      </c>
      <c r="BA4" s="227">
        <v>39</v>
      </c>
    </row>
    <row r="5" spans="1:53" x14ac:dyDescent="0.15">
      <c r="A5" s="177" t="s">
        <v>34</v>
      </c>
      <c r="B5" s="177" t="s">
        <v>344</v>
      </c>
      <c r="C5" s="178">
        <v>2018</v>
      </c>
      <c r="D5" s="179" t="s">
        <v>424</v>
      </c>
      <c r="E5" s="177" t="s">
        <v>505</v>
      </c>
      <c r="F5" s="177" t="s">
        <v>284</v>
      </c>
      <c r="G5" s="180" t="s">
        <v>36</v>
      </c>
      <c r="H5" s="137" t="s">
        <v>165</v>
      </c>
      <c r="I5" s="137" t="s">
        <v>155</v>
      </c>
      <c r="J5" s="137" t="s">
        <v>38</v>
      </c>
      <c r="K5" s="137" t="s">
        <v>156</v>
      </c>
      <c r="L5" s="208">
        <v>1</v>
      </c>
      <c r="N5" s="208">
        <v>1</v>
      </c>
      <c r="O5" s="208">
        <v>0.45</v>
      </c>
      <c r="P5" s="237">
        <v>0.5</v>
      </c>
      <c r="Q5" s="245">
        <f t="shared" si="0"/>
        <v>0.47499999999999998</v>
      </c>
      <c r="R5" s="188">
        <v>15.7</v>
      </c>
      <c r="S5" s="188">
        <v>125</v>
      </c>
      <c r="T5" s="217">
        <f t="shared" si="1"/>
        <v>30</v>
      </c>
      <c r="U5" s="189">
        <v>138</v>
      </c>
      <c r="V5" s="184">
        <f t="shared" si="2"/>
        <v>4140</v>
      </c>
      <c r="W5" s="190">
        <v>6</v>
      </c>
      <c r="X5" s="186" t="s">
        <v>46</v>
      </c>
      <c r="Y5" s="186" t="s">
        <v>64</v>
      </c>
      <c r="Z5" s="186" t="s">
        <v>97</v>
      </c>
      <c r="AA5" s="176" t="s">
        <v>78</v>
      </c>
      <c r="AB5" s="55" t="s">
        <v>346</v>
      </c>
      <c r="AE5" s="223" t="s">
        <v>51</v>
      </c>
      <c r="AG5" s="243" t="s">
        <v>512</v>
      </c>
      <c r="AH5" s="243" t="s">
        <v>291</v>
      </c>
      <c r="AJ5" s="192"/>
      <c r="AL5" s="230" t="s">
        <v>513</v>
      </c>
      <c r="AN5" s="230" t="s">
        <v>514</v>
      </c>
      <c r="AP5" s="224" t="s">
        <v>515</v>
      </c>
      <c r="AR5" s="238" t="s">
        <v>54</v>
      </c>
      <c r="AT5" s="247"/>
      <c r="AV5" s="224" t="s">
        <v>55</v>
      </c>
      <c r="AX5" s="225">
        <v>84</v>
      </c>
      <c r="AY5" s="226">
        <v>39</v>
      </c>
      <c r="AZ5" s="226">
        <v>84</v>
      </c>
      <c r="BA5" s="227">
        <v>36</v>
      </c>
    </row>
    <row r="6" spans="1:53" x14ac:dyDescent="0.15">
      <c r="A6" s="177" t="s">
        <v>34</v>
      </c>
      <c r="B6" s="177" t="s">
        <v>344</v>
      </c>
      <c r="C6" s="177">
        <v>2018</v>
      </c>
      <c r="D6" s="179" t="s">
        <v>424</v>
      </c>
      <c r="E6" s="177" t="s">
        <v>505</v>
      </c>
      <c r="F6" s="177" t="s">
        <v>284</v>
      </c>
      <c r="G6" s="180" t="s">
        <v>36</v>
      </c>
      <c r="H6" s="137" t="s">
        <v>165</v>
      </c>
      <c r="I6" s="137" t="s">
        <v>155</v>
      </c>
      <c r="J6" s="137" t="s">
        <v>38</v>
      </c>
      <c r="K6" s="137" t="s">
        <v>156</v>
      </c>
      <c r="L6" s="208">
        <v>2</v>
      </c>
      <c r="N6" s="208">
        <v>1</v>
      </c>
      <c r="O6" s="208">
        <v>0.45</v>
      </c>
      <c r="P6" s="237">
        <v>0.5</v>
      </c>
      <c r="Q6" s="245">
        <f t="shared" si="0"/>
        <v>0.47499999999999998</v>
      </c>
      <c r="R6" s="188">
        <v>16.600000000000001</v>
      </c>
      <c r="S6" s="188">
        <v>128</v>
      </c>
      <c r="T6" s="217">
        <f t="shared" si="1"/>
        <v>30</v>
      </c>
      <c r="U6" s="189">
        <v>138</v>
      </c>
      <c r="V6" s="184">
        <f t="shared" si="2"/>
        <v>4140</v>
      </c>
      <c r="W6" s="190">
        <v>6</v>
      </c>
      <c r="X6" s="186" t="s">
        <v>46</v>
      </c>
      <c r="Y6" s="186" t="s">
        <v>64</v>
      </c>
      <c r="Z6" s="186" t="s">
        <v>97</v>
      </c>
      <c r="AA6" s="176" t="s">
        <v>78</v>
      </c>
      <c r="AB6" s="55" t="s">
        <v>346</v>
      </c>
      <c r="AE6" s="223" t="s">
        <v>56</v>
      </c>
      <c r="AG6" s="243" t="s">
        <v>516</v>
      </c>
      <c r="AH6" s="243" t="s">
        <v>290</v>
      </c>
      <c r="AL6" s="230" t="s">
        <v>517</v>
      </c>
      <c r="AN6" s="230" t="s">
        <v>518</v>
      </c>
      <c r="AP6" s="224" t="s">
        <v>53</v>
      </c>
      <c r="AR6" s="238" t="s">
        <v>59</v>
      </c>
      <c r="AV6" s="224" t="s">
        <v>60</v>
      </c>
      <c r="AX6" s="225">
        <v>97</v>
      </c>
      <c r="AY6" s="226">
        <v>36</v>
      </c>
      <c r="AZ6" s="226">
        <v>99</v>
      </c>
      <c r="BA6" s="227">
        <v>33</v>
      </c>
    </row>
    <row r="7" spans="1:53" x14ac:dyDescent="0.15">
      <c r="A7" s="177" t="s">
        <v>34</v>
      </c>
      <c r="B7" s="177" t="s">
        <v>344</v>
      </c>
      <c r="C7" s="178">
        <v>2018</v>
      </c>
      <c r="D7" s="179" t="s">
        <v>424</v>
      </c>
      <c r="E7" s="177" t="s">
        <v>505</v>
      </c>
      <c r="F7" s="177" t="s">
        <v>284</v>
      </c>
      <c r="G7" s="180" t="s">
        <v>36</v>
      </c>
      <c r="H7" s="137" t="s">
        <v>165</v>
      </c>
      <c r="I7" s="137" t="s">
        <v>155</v>
      </c>
      <c r="J7" s="137" t="s">
        <v>38</v>
      </c>
      <c r="K7" s="137" t="s">
        <v>156</v>
      </c>
      <c r="L7" s="208">
        <v>3</v>
      </c>
      <c r="N7" s="208">
        <v>1</v>
      </c>
      <c r="O7" s="208">
        <v>0.5</v>
      </c>
      <c r="P7" s="237">
        <v>0.4</v>
      </c>
      <c r="Q7" s="245">
        <f t="shared" si="0"/>
        <v>0.45</v>
      </c>
      <c r="R7" s="188">
        <v>16.8</v>
      </c>
      <c r="S7" s="188">
        <v>131</v>
      </c>
      <c r="T7" s="217">
        <f t="shared" si="1"/>
        <v>30</v>
      </c>
      <c r="U7" s="189">
        <v>138</v>
      </c>
      <c r="V7" s="184">
        <f t="shared" si="2"/>
        <v>4140</v>
      </c>
      <c r="W7" s="190">
        <v>6</v>
      </c>
      <c r="X7" s="186" t="s">
        <v>46</v>
      </c>
      <c r="Y7" s="186" t="s">
        <v>64</v>
      </c>
      <c r="Z7" s="186" t="s">
        <v>97</v>
      </c>
      <c r="AA7" s="176" t="s">
        <v>78</v>
      </c>
      <c r="AB7" s="55" t="s">
        <v>346</v>
      </c>
      <c r="AE7" s="223" t="s">
        <v>61</v>
      </c>
      <c r="AG7" s="243" t="s">
        <v>289</v>
      </c>
      <c r="AH7" s="243" t="s">
        <v>284</v>
      </c>
      <c r="AL7" s="235" t="s">
        <v>519</v>
      </c>
      <c r="AP7" s="224" t="s">
        <v>58</v>
      </c>
      <c r="AR7" s="231" t="s">
        <v>122</v>
      </c>
      <c r="AV7" s="224" t="s">
        <v>64</v>
      </c>
      <c r="AX7" s="225">
        <v>109</v>
      </c>
      <c r="AY7" s="226">
        <v>33</v>
      </c>
      <c r="AZ7" s="226">
        <v>113</v>
      </c>
      <c r="BA7" s="227">
        <v>30</v>
      </c>
    </row>
    <row r="8" spans="1:53" x14ac:dyDescent="0.15">
      <c r="A8" s="177" t="s">
        <v>34</v>
      </c>
      <c r="B8" s="177" t="s">
        <v>344</v>
      </c>
      <c r="C8" s="177">
        <v>2018</v>
      </c>
      <c r="D8" s="179" t="s">
        <v>424</v>
      </c>
      <c r="E8" s="178" t="s">
        <v>289</v>
      </c>
      <c r="F8" s="177" t="s">
        <v>290</v>
      </c>
      <c r="G8" s="180" t="s">
        <v>36</v>
      </c>
      <c r="H8" s="137" t="s">
        <v>157</v>
      </c>
      <c r="I8" s="137" t="s">
        <v>155</v>
      </c>
      <c r="J8" s="137" t="s">
        <v>38</v>
      </c>
      <c r="K8" s="137" t="s">
        <v>156</v>
      </c>
      <c r="L8" s="208">
        <v>1</v>
      </c>
      <c r="N8" s="208">
        <v>6</v>
      </c>
      <c r="O8" s="208">
        <v>0.55000000000000004</v>
      </c>
      <c r="P8" s="208">
        <v>0.6</v>
      </c>
      <c r="Q8" s="245">
        <f t="shared" si="0"/>
        <v>0.57499999999999996</v>
      </c>
      <c r="R8" s="188">
        <v>12.9</v>
      </c>
      <c r="S8" s="188">
        <v>109</v>
      </c>
      <c r="T8" s="217">
        <f t="shared" si="1"/>
        <v>33</v>
      </c>
      <c r="U8" s="193">
        <v>398</v>
      </c>
      <c r="V8" s="184">
        <f t="shared" si="2"/>
        <v>2189</v>
      </c>
      <c r="W8" s="190">
        <v>2</v>
      </c>
      <c r="X8" s="186" t="s">
        <v>46</v>
      </c>
      <c r="Y8" s="194" t="s">
        <v>64</v>
      </c>
      <c r="Z8" s="186" t="s">
        <v>78</v>
      </c>
      <c r="AA8" s="176" t="s">
        <v>75</v>
      </c>
      <c r="AB8" s="55" t="s">
        <v>346</v>
      </c>
      <c r="AE8" s="223" t="s">
        <v>59</v>
      </c>
      <c r="AG8" s="243" t="s">
        <v>520</v>
      </c>
      <c r="AH8" s="243" t="s">
        <v>293</v>
      </c>
      <c r="AL8" s="235" t="s">
        <v>372</v>
      </c>
      <c r="AP8" s="224" t="s">
        <v>62</v>
      </c>
      <c r="AR8" s="238" t="s">
        <v>81</v>
      </c>
      <c r="AV8" s="224" t="s">
        <v>97</v>
      </c>
      <c r="AX8" s="225">
        <v>151</v>
      </c>
      <c r="AY8" s="226">
        <v>22</v>
      </c>
      <c r="AZ8" s="226">
        <v>152</v>
      </c>
      <c r="BA8" s="227">
        <v>18</v>
      </c>
    </row>
    <row r="9" spans="1:53" x14ac:dyDescent="0.15">
      <c r="A9" s="177" t="s">
        <v>34</v>
      </c>
      <c r="B9" s="177" t="s">
        <v>344</v>
      </c>
      <c r="C9" s="178">
        <v>2018</v>
      </c>
      <c r="D9" s="179" t="s">
        <v>424</v>
      </c>
      <c r="E9" s="178" t="s">
        <v>289</v>
      </c>
      <c r="F9" s="177" t="s">
        <v>290</v>
      </c>
      <c r="G9" s="180" t="s">
        <v>36</v>
      </c>
      <c r="H9" s="137" t="s">
        <v>157</v>
      </c>
      <c r="I9" s="137" t="s">
        <v>155</v>
      </c>
      <c r="J9" s="137" t="s">
        <v>38</v>
      </c>
      <c r="K9" s="137" t="s">
        <v>156</v>
      </c>
      <c r="L9" s="208">
        <v>2</v>
      </c>
      <c r="N9" s="208">
        <v>6</v>
      </c>
      <c r="O9" s="208">
        <v>0.6</v>
      </c>
      <c r="P9" s="208">
        <v>0.6</v>
      </c>
      <c r="Q9" s="245">
        <f t="shared" si="0"/>
        <v>0.6</v>
      </c>
      <c r="R9" s="188">
        <v>13.5</v>
      </c>
      <c r="S9" s="188">
        <v>114</v>
      </c>
      <c r="T9" s="217">
        <f t="shared" si="1"/>
        <v>30</v>
      </c>
      <c r="U9" s="193">
        <v>398</v>
      </c>
      <c r="V9" s="184">
        <f t="shared" si="2"/>
        <v>1989.9999999999998</v>
      </c>
      <c r="W9" s="190">
        <v>2</v>
      </c>
      <c r="X9" s="186" t="s">
        <v>46</v>
      </c>
      <c r="Y9" s="194" t="s">
        <v>64</v>
      </c>
      <c r="Z9" s="186" t="s">
        <v>78</v>
      </c>
      <c r="AA9" s="176" t="s">
        <v>75</v>
      </c>
      <c r="AB9" s="55" t="s">
        <v>346</v>
      </c>
      <c r="AE9" s="223" t="s">
        <v>98</v>
      </c>
      <c r="AG9" s="243" t="s">
        <v>521</v>
      </c>
      <c r="AH9" s="243" t="s">
        <v>294</v>
      </c>
      <c r="AL9" s="230"/>
      <c r="AP9" s="224" t="s">
        <v>95</v>
      </c>
      <c r="AR9" s="231" t="s">
        <v>89</v>
      </c>
      <c r="AV9" s="224" t="s">
        <v>102</v>
      </c>
      <c r="AX9" s="232">
        <v>180</v>
      </c>
      <c r="AY9" s="233">
        <v>18</v>
      </c>
      <c r="AZ9" s="233">
        <v>181</v>
      </c>
      <c r="BA9" s="234">
        <v>16</v>
      </c>
    </row>
    <row r="10" spans="1:53" x14ac:dyDescent="0.15">
      <c r="A10" s="177" t="s">
        <v>34</v>
      </c>
      <c r="B10" s="177" t="s">
        <v>344</v>
      </c>
      <c r="C10" s="177">
        <v>2018</v>
      </c>
      <c r="D10" s="179" t="s">
        <v>424</v>
      </c>
      <c r="E10" s="178" t="s">
        <v>289</v>
      </c>
      <c r="F10" s="177" t="s">
        <v>290</v>
      </c>
      <c r="G10" s="180" t="s">
        <v>36</v>
      </c>
      <c r="H10" s="137" t="s">
        <v>157</v>
      </c>
      <c r="I10" s="137" t="s">
        <v>155</v>
      </c>
      <c r="J10" s="137" t="s">
        <v>38</v>
      </c>
      <c r="K10" s="137" t="s">
        <v>156</v>
      </c>
      <c r="L10" s="208">
        <v>3</v>
      </c>
      <c r="N10" s="208">
        <v>6</v>
      </c>
      <c r="O10" s="208">
        <v>0.65</v>
      </c>
      <c r="P10" s="208">
        <v>0.65</v>
      </c>
      <c r="Q10" s="245">
        <f t="shared" si="0"/>
        <v>0.65</v>
      </c>
      <c r="R10" s="188">
        <v>13.4</v>
      </c>
      <c r="S10" s="188">
        <v>114</v>
      </c>
      <c r="T10" s="217">
        <f t="shared" si="1"/>
        <v>30</v>
      </c>
      <c r="U10" s="193">
        <v>398</v>
      </c>
      <c r="V10" s="184">
        <f t="shared" si="2"/>
        <v>1989.9999999999998</v>
      </c>
      <c r="W10" s="190">
        <v>2</v>
      </c>
      <c r="X10" s="186" t="s">
        <v>46</v>
      </c>
      <c r="Y10" s="194" t="s">
        <v>64</v>
      </c>
      <c r="Z10" s="186" t="s">
        <v>78</v>
      </c>
      <c r="AA10" s="176" t="s">
        <v>75</v>
      </c>
      <c r="AB10" s="55" t="s">
        <v>346</v>
      </c>
      <c r="AE10" s="223" t="s">
        <v>103</v>
      </c>
      <c r="AG10" s="243" t="s">
        <v>522</v>
      </c>
      <c r="AH10" s="243" t="s">
        <v>523</v>
      </c>
      <c r="AL10" s="235"/>
      <c r="AP10" s="224" t="s">
        <v>100</v>
      </c>
      <c r="AR10" s="231" t="s">
        <v>123</v>
      </c>
      <c r="AV10" s="224" t="s">
        <v>106</v>
      </c>
    </row>
    <row r="11" spans="1:53" x14ac:dyDescent="0.15">
      <c r="A11" s="177" t="s">
        <v>34</v>
      </c>
      <c r="B11" s="177" t="s">
        <v>344</v>
      </c>
      <c r="C11" s="178">
        <v>2018</v>
      </c>
      <c r="D11" s="179" t="s">
        <v>424</v>
      </c>
      <c r="E11" s="178" t="s">
        <v>289</v>
      </c>
      <c r="F11" s="177" t="s">
        <v>290</v>
      </c>
      <c r="G11" s="180" t="s">
        <v>36</v>
      </c>
      <c r="H11" s="137" t="s">
        <v>165</v>
      </c>
      <c r="I11" s="137" t="s">
        <v>155</v>
      </c>
      <c r="J11" s="137" t="s">
        <v>38</v>
      </c>
      <c r="K11" s="137" t="s">
        <v>156</v>
      </c>
      <c r="L11" s="208">
        <v>1</v>
      </c>
      <c r="N11" s="208">
        <v>1</v>
      </c>
      <c r="O11" s="208">
        <v>0.5</v>
      </c>
      <c r="P11" s="208">
        <v>0.45</v>
      </c>
      <c r="Q11" s="245">
        <f t="shared" si="0"/>
        <v>0.47499999999999998</v>
      </c>
      <c r="R11" s="188">
        <v>16.5</v>
      </c>
      <c r="S11" s="188">
        <v>144</v>
      </c>
      <c r="T11" s="217">
        <f t="shared" si="1"/>
        <v>30</v>
      </c>
      <c r="U11" s="193">
        <v>148</v>
      </c>
      <c r="V11" s="184">
        <f t="shared" si="2"/>
        <v>4440</v>
      </c>
      <c r="W11" s="190">
        <v>2</v>
      </c>
      <c r="X11" s="186" t="s">
        <v>46</v>
      </c>
      <c r="Y11" s="194" t="s">
        <v>64</v>
      </c>
      <c r="Z11" s="186" t="s">
        <v>78</v>
      </c>
      <c r="AA11" s="195" t="s">
        <v>75</v>
      </c>
      <c r="AB11" s="55" t="s">
        <v>346</v>
      </c>
      <c r="AE11" s="223" t="s">
        <v>65</v>
      </c>
      <c r="AG11" s="238"/>
      <c r="AH11" s="238"/>
      <c r="AL11" s="235"/>
      <c r="AP11" s="224" t="s">
        <v>104</v>
      </c>
      <c r="AR11" s="231" t="s">
        <v>87</v>
      </c>
      <c r="AV11" s="224" t="s">
        <v>69</v>
      </c>
    </row>
    <row r="12" spans="1:53" x14ac:dyDescent="0.15">
      <c r="A12" s="177" t="s">
        <v>34</v>
      </c>
      <c r="B12" s="177" t="s">
        <v>344</v>
      </c>
      <c r="C12" s="177">
        <v>2018</v>
      </c>
      <c r="D12" s="179" t="s">
        <v>424</v>
      </c>
      <c r="E12" s="178" t="s">
        <v>289</v>
      </c>
      <c r="F12" s="177" t="s">
        <v>290</v>
      </c>
      <c r="G12" s="180" t="s">
        <v>36</v>
      </c>
      <c r="H12" s="137" t="s">
        <v>165</v>
      </c>
      <c r="I12" s="137" t="s">
        <v>155</v>
      </c>
      <c r="J12" s="137" t="s">
        <v>38</v>
      </c>
      <c r="K12" s="137" t="s">
        <v>156</v>
      </c>
      <c r="L12" s="208">
        <v>2</v>
      </c>
      <c r="N12" s="208">
        <v>1</v>
      </c>
      <c r="O12" s="208">
        <v>0.45</v>
      </c>
      <c r="P12" s="208">
        <v>0.45</v>
      </c>
      <c r="Q12" s="245">
        <f t="shared" si="0"/>
        <v>0.45</v>
      </c>
      <c r="R12" s="188">
        <v>17</v>
      </c>
      <c r="S12" s="188">
        <v>146</v>
      </c>
      <c r="T12" s="217">
        <f t="shared" si="1"/>
        <v>30</v>
      </c>
      <c r="U12" s="193">
        <v>148</v>
      </c>
      <c r="V12" s="184">
        <f t="shared" si="2"/>
        <v>4440</v>
      </c>
      <c r="W12" s="190">
        <v>2</v>
      </c>
      <c r="X12" s="186" t="s">
        <v>46</v>
      </c>
      <c r="Y12" s="194" t="s">
        <v>64</v>
      </c>
      <c r="Z12" s="186" t="s">
        <v>78</v>
      </c>
      <c r="AA12" s="195" t="s">
        <v>75</v>
      </c>
      <c r="AB12" s="55" t="s">
        <v>346</v>
      </c>
      <c r="AE12" s="223" t="s">
        <v>70</v>
      </c>
      <c r="AG12" s="238"/>
      <c r="AH12" s="238"/>
      <c r="AL12" s="235"/>
      <c r="AP12" s="224" t="s">
        <v>67</v>
      </c>
      <c r="AR12" s="231" t="s">
        <v>124</v>
      </c>
      <c r="AV12" s="224" t="s">
        <v>72</v>
      </c>
    </row>
    <row r="13" spans="1:53" x14ac:dyDescent="0.15">
      <c r="A13" s="177" t="s">
        <v>34</v>
      </c>
      <c r="B13" s="177" t="s">
        <v>344</v>
      </c>
      <c r="C13" s="178">
        <v>2018</v>
      </c>
      <c r="D13" s="179" t="s">
        <v>424</v>
      </c>
      <c r="E13" s="178" t="s">
        <v>289</v>
      </c>
      <c r="F13" s="177" t="s">
        <v>290</v>
      </c>
      <c r="G13" s="180" t="s">
        <v>36</v>
      </c>
      <c r="H13" s="137" t="s">
        <v>165</v>
      </c>
      <c r="I13" s="137" t="s">
        <v>155</v>
      </c>
      <c r="J13" s="137" t="s">
        <v>38</v>
      </c>
      <c r="K13" s="137" t="s">
        <v>156</v>
      </c>
      <c r="L13" s="208">
        <v>3</v>
      </c>
      <c r="N13" s="208">
        <v>1</v>
      </c>
      <c r="O13" s="208">
        <v>0.55000000000000004</v>
      </c>
      <c r="P13" s="208">
        <v>0.5</v>
      </c>
      <c r="Q13" s="245">
        <f t="shared" si="0"/>
        <v>0.52500000000000002</v>
      </c>
      <c r="R13" s="188">
        <v>16.100000000000001</v>
      </c>
      <c r="S13" s="188">
        <v>141</v>
      </c>
      <c r="T13" s="217">
        <f t="shared" si="1"/>
        <v>30</v>
      </c>
      <c r="U13" s="193">
        <v>148</v>
      </c>
      <c r="V13" s="184">
        <f t="shared" si="2"/>
        <v>4440</v>
      </c>
      <c r="W13" s="190">
        <v>2</v>
      </c>
      <c r="X13" s="186" t="s">
        <v>46</v>
      </c>
      <c r="Y13" s="194" t="s">
        <v>64</v>
      </c>
      <c r="Z13" s="186" t="s">
        <v>78</v>
      </c>
      <c r="AA13" s="195" t="s">
        <v>75</v>
      </c>
      <c r="AB13" s="55" t="s">
        <v>346</v>
      </c>
      <c r="AE13" s="223" t="s">
        <v>73</v>
      </c>
      <c r="AG13" s="196"/>
      <c r="AH13" s="196"/>
      <c r="AP13" s="224" t="s">
        <v>71</v>
      </c>
      <c r="AR13" s="231" t="s">
        <v>103</v>
      </c>
      <c r="AV13" s="224" t="s">
        <v>75</v>
      </c>
    </row>
    <row r="14" spans="1:53" x14ac:dyDescent="0.15">
      <c r="A14" s="177" t="s">
        <v>34</v>
      </c>
      <c r="B14" s="177" t="s">
        <v>344</v>
      </c>
      <c r="C14" s="177">
        <v>2018</v>
      </c>
      <c r="D14" s="179" t="s">
        <v>424</v>
      </c>
      <c r="E14" s="178" t="s">
        <v>292</v>
      </c>
      <c r="F14" s="177" t="s">
        <v>290</v>
      </c>
      <c r="G14" s="180" t="s">
        <v>36</v>
      </c>
      <c r="H14" s="137" t="s">
        <v>157</v>
      </c>
      <c r="I14" s="137" t="s">
        <v>155</v>
      </c>
      <c r="J14" s="137" t="s">
        <v>38</v>
      </c>
      <c r="K14" s="137" t="s">
        <v>156</v>
      </c>
      <c r="L14" s="208">
        <v>1</v>
      </c>
      <c r="N14" s="208">
        <v>1</v>
      </c>
      <c r="O14" s="208">
        <v>0.5</v>
      </c>
      <c r="P14" s="208">
        <v>0.55000000000000004</v>
      </c>
      <c r="Q14" s="245">
        <f t="shared" si="0"/>
        <v>0.52500000000000002</v>
      </c>
      <c r="R14" s="188">
        <v>14.7</v>
      </c>
      <c r="S14" s="188">
        <v>129</v>
      </c>
      <c r="T14" s="217">
        <f t="shared" si="1"/>
        <v>30</v>
      </c>
      <c r="U14" s="193">
        <v>79</v>
      </c>
      <c r="V14" s="184">
        <f t="shared" si="2"/>
        <v>2370</v>
      </c>
      <c r="W14" s="190">
        <v>8</v>
      </c>
      <c r="X14" s="186" t="s">
        <v>46</v>
      </c>
      <c r="Y14" s="194" t="s">
        <v>97</v>
      </c>
      <c r="Z14" s="194" t="s">
        <v>88</v>
      </c>
      <c r="AA14" s="195" t="s">
        <v>64</v>
      </c>
      <c r="AB14" s="55" t="s">
        <v>346</v>
      </c>
      <c r="AC14" s="235"/>
      <c r="AE14" s="223" t="s">
        <v>76</v>
      </c>
      <c r="AG14" s="247"/>
      <c r="AH14" s="247"/>
      <c r="AP14" s="224" t="s">
        <v>74</v>
      </c>
      <c r="AR14" s="231" t="s">
        <v>125</v>
      </c>
      <c r="AV14" s="224" t="s">
        <v>78</v>
      </c>
    </row>
    <row r="15" spans="1:53" x14ac:dyDescent="0.15">
      <c r="A15" s="177" t="s">
        <v>34</v>
      </c>
      <c r="B15" s="177" t="s">
        <v>344</v>
      </c>
      <c r="C15" s="178">
        <v>2018</v>
      </c>
      <c r="D15" s="179" t="s">
        <v>424</v>
      </c>
      <c r="E15" s="178" t="s">
        <v>292</v>
      </c>
      <c r="F15" s="177" t="s">
        <v>290</v>
      </c>
      <c r="G15" s="180" t="s">
        <v>36</v>
      </c>
      <c r="H15" s="137" t="s">
        <v>157</v>
      </c>
      <c r="I15" s="137" t="s">
        <v>155</v>
      </c>
      <c r="J15" s="137" t="s">
        <v>38</v>
      </c>
      <c r="K15" s="137" t="s">
        <v>156</v>
      </c>
      <c r="L15" s="208">
        <v>2</v>
      </c>
      <c r="N15" s="208">
        <v>1</v>
      </c>
      <c r="O15" s="208">
        <v>0.4</v>
      </c>
      <c r="P15" s="208">
        <v>0.45</v>
      </c>
      <c r="Q15" s="245">
        <f t="shared" si="0"/>
        <v>0.42500000000000004</v>
      </c>
      <c r="R15" s="188">
        <v>15.2</v>
      </c>
      <c r="S15" s="188">
        <v>126</v>
      </c>
      <c r="T15" s="217">
        <f t="shared" si="1"/>
        <v>30</v>
      </c>
      <c r="U15" s="193">
        <v>79</v>
      </c>
      <c r="V15" s="184">
        <f t="shared" si="2"/>
        <v>2370</v>
      </c>
      <c r="W15" s="190">
        <v>8</v>
      </c>
      <c r="X15" s="186" t="s">
        <v>46</v>
      </c>
      <c r="Y15" s="194" t="s">
        <v>97</v>
      </c>
      <c r="Z15" s="194" t="s">
        <v>88</v>
      </c>
      <c r="AA15" s="195" t="s">
        <v>64</v>
      </c>
      <c r="AB15" s="55" t="s">
        <v>346</v>
      </c>
      <c r="AC15" s="235"/>
      <c r="AE15" s="223" t="s">
        <v>79</v>
      </c>
      <c r="AP15" s="224" t="s">
        <v>77</v>
      </c>
      <c r="AR15" s="231" t="s">
        <v>94</v>
      </c>
      <c r="AV15" s="224" t="s">
        <v>107</v>
      </c>
    </row>
    <row r="16" spans="1:53" x14ac:dyDescent="0.15">
      <c r="A16" s="177" t="s">
        <v>34</v>
      </c>
      <c r="B16" s="177" t="s">
        <v>344</v>
      </c>
      <c r="C16" s="177">
        <v>2018</v>
      </c>
      <c r="D16" s="179" t="s">
        <v>424</v>
      </c>
      <c r="E16" s="178" t="s">
        <v>292</v>
      </c>
      <c r="F16" s="177" t="s">
        <v>290</v>
      </c>
      <c r="G16" s="180" t="s">
        <v>36</v>
      </c>
      <c r="H16" s="137" t="s">
        <v>157</v>
      </c>
      <c r="I16" s="137" t="s">
        <v>155</v>
      </c>
      <c r="J16" s="137" t="s">
        <v>38</v>
      </c>
      <c r="K16" s="137" t="s">
        <v>156</v>
      </c>
      <c r="L16" s="208">
        <v>3</v>
      </c>
      <c r="N16" s="208">
        <v>1</v>
      </c>
      <c r="O16" s="208">
        <v>0.45</v>
      </c>
      <c r="P16" s="208">
        <v>0.4</v>
      </c>
      <c r="Q16" s="245">
        <f t="shared" si="0"/>
        <v>0.42500000000000004</v>
      </c>
      <c r="R16" s="188">
        <v>14.8</v>
      </c>
      <c r="S16" s="188">
        <v>134</v>
      </c>
      <c r="T16" s="217">
        <f t="shared" si="1"/>
        <v>30</v>
      </c>
      <c r="U16" s="193">
        <v>79</v>
      </c>
      <c r="V16" s="184">
        <f t="shared" si="2"/>
        <v>2370</v>
      </c>
      <c r="W16" s="190">
        <v>8</v>
      </c>
      <c r="X16" s="186" t="s">
        <v>46</v>
      </c>
      <c r="Y16" s="194" t="s">
        <v>97</v>
      </c>
      <c r="Z16" s="194" t="s">
        <v>88</v>
      </c>
      <c r="AA16" s="195" t="s">
        <v>64</v>
      </c>
      <c r="AB16" s="55" t="s">
        <v>346</v>
      </c>
      <c r="AC16" s="235"/>
      <c r="AE16" s="223" t="s">
        <v>82</v>
      </c>
      <c r="AP16" s="224" t="s">
        <v>80</v>
      </c>
      <c r="AR16" s="238" t="s">
        <v>63</v>
      </c>
      <c r="AV16" s="224" t="s">
        <v>84</v>
      </c>
    </row>
    <row r="17" spans="1:48" x14ac:dyDescent="0.15">
      <c r="A17" s="177" t="s">
        <v>34</v>
      </c>
      <c r="B17" s="177" t="s">
        <v>344</v>
      </c>
      <c r="C17" s="178">
        <v>2018</v>
      </c>
      <c r="D17" s="179" t="s">
        <v>424</v>
      </c>
      <c r="E17" s="178" t="s">
        <v>292</v>
      </c>
      <c r="F17" s="177" t="s">
        <v>290</v>
      </c>
      <c r="G17" s="180" t="s">
        <v>36</v>
      </c>
      <c r="H17" s="137" t="s">
        <v>165</v>
      </c>
      <c r="I17" s="137" t="s">
        <v>158</v>
      </c>
      <c r="J17" s="137" t="s">
        <v>38</v>
      </c>
      <c r="K17" s="137" t="s">
        <v>156</v>
      </c>
      <c r="L17" s="208">
        <v>1</v>
      </c>
      <c r="N17" s="208">
        <v>1</v>
      </c>
      <c r="O17" s="208">
        <v>0.55000000000000004</v>
      </c>
      <c r="P17" s="208">
        <v>0.6</v>
      </c>
      <c r="Q17" s="245">
        <f t="shared" si="0"/>
        <v>0.57499999999999996</v>
      </c>
      <c r="R17" s="188">
        <v>15.6</v>
      </c>
      <c r="S17" s="188">
        <v>157</v>
      </c>
      <c r="T17" s="217">
        <f t="shared" si="1"/>
        <v>30</v>
      </c>
      <c r="U17" s="193">
        <v>158</v>
      </c>
      <c r="V17" s="184">
        <f t="shared" si="2"/>
        <v>4740</v>
      </c>
      <c r="W17" s="190">
        <v>8</v>
      </c>
      <c r="X17" s="186" t="s">
        <v>46</v>
      </c>
      <c r="Y17" s="194" t="s">
        <v>97</v>
      </c>
      <c r="Z17" s="194" t="s">
        <v>88</v>
      </c>
      <c r="AA17" s="195" t="s">
        <v>64</v>
      </c>
      <c r="AB17" s="55" t="s">
        <v>346</v>
      </c>
      <c r="AC17" s="235"/>
      <c r="AE17" s="223" t="s">
        <v>85</v>
      </c>
      <c r="AP17" s="239" t="s">
        <v>110</v>
      </c>
      <c r="AR17" s="238" t="s">
        <v>96</v>
      </c>
      <c r="AV17" s="224" t="s">
        <v>86</v>
      </c>
    </row>
    <row r="18" spans="1:48" x14ac:dyDescent="0.15">
      <c r="A18" s="177" t="s">
        <v>34</v>
      </c>
      <c r="B18" s="177" t="s">
        <v>344</v>
      </c>
      <c r="C18" s="177">
        <v>2018</v>
      </c>
      <c r="D18" s="179" t="s">
        <v>424</v>
      </c>
      <c r="E18" s="178" t="s">
        <v>292</v>
      </c>
      <c r="F18" s="177" t="s">
        <v>290</v>
      </c>
      <c r="G18" s="180" t="s">
        <v>36</v>
      </c>
      <c r="H18" s="137" t="s">
        <v>165</v>
      </c>
      <c r="I18" s="137" t="s">
        <v>158</v>
      </c>
      <c r="J18" s="137" t="s">
        <v>38</v>
      </c>
      <c r="K18" s="137" t="s">
        <v>156</v>
      </c>
      <c r="L18" s="208">
        <v>2</v>
      </c>
      <c r="N18" s="208">
        <v>1</v>
      </c>
      <c r="O18" s="208">
        <v>0.4</v>
      </c>
      <c r="P18" s="208">
        <v>0.5</v>
      </c>
      <c r="Q18" s="245">
        <f t="shared" si="0"/>
        <v>0.45</v>
      </c>
      <c r="R18" s="188">
        <v>16.2</v>
      </c>
      <c r="S18" s="188">
        <v>148</v>
      </c>
      <c r="T18" s="217">
        <f t="shared" si="1"/>
        <v>30</v>
      </c>
      <c r="U18" s="193">
        <v>158</v>
      </c>
      <c r="V18" s="184">
        <f t="shared" si="2"/>
        <v>4740</v>
      </c>
      <c r="W18" s="190">
        <v>8</v>
      </c>
      <c r="X18" s="186" t="s">
        <v>46</v>
      </c>
      <c r="Y18" s="194" t="s">
        <v>97</v>
      </c>
      <c r="Z18" s="194" t="s">
        <v>88</v>
      </c>
      <c r="AA18" s="195" t="s">
        <v>64</v>
      </c>
      <c r="AB18" s="55" t="s">
        <v>346</v>
      </c>
      <c r="AC18" s="235"/>
      <c r="AE18" s="223" t="s">
        <v>87</v>
      </c>
      <c r="AP18" s="239" t="s">
        <v>111</v>
      </c>
      <c r="AR18" s="238" t="s">
        <v>101</v>
      </c>
      <c r="AV18" s="224" t="s">
        <v>88</v>
      </c>
    </row>
    <row r="19" spans="1:48" x14ac:dyDescent="0.15">
      <c r="A19" s="177" t="s">
        <v>34</v>
      </c>
      <c r="B19" s="177" t="s">
        <v>344</v>
      </c>
      <c r="C19" s="178">
        <v>2018</v>
      </c>
      <c r="D19" s="179" t="s">
        <v>424</v>
      </c>
      <c r="E19" s="178" t="s">
        <v>292</v>
      </c>
      <c r="F19" s="177" t="s">
        <v>290</v>
      </c>
      <c r="G19" s="180" t="s">
        <v>36</v>
      </c>
      <c r="H19" s="137" t="s">
        <v>165</v>
      </c>
      <c r="I19" s="137" t="s">
        <v>158</v>
      </c>
      <c r="J19" s="137" t="s">
        <v>38</v>
      </c>
      <c r="K19" s="137" t="s">
        <v>156</v>
      </c>
      <c r="L19" s="208">
        <v>3</v>
      </c>
      <c r="N19" s="208">
        <v>1</v>
      </c>
      <c r="O19" s="208">
        <v>0.55000000000000004</v>
      </c>
      <c r="P19" s="208">
        <v>0.5</v>
      </c>
      <c r="Q19" s="245">
        <f t="shared" si="0"/>
        <v>0.52500000000000002</v>
      </c>
      <c r="R19" s="188">
        <v>16.399999999999999</v>
      </c>
      <c r="S19" s="188">
        <v>151</v>
      </c>
      <c r="T19" s="217">
        <f t="shared" si="1"/>
        <v>30</v>
      </c>
      <c r="U19" s="193">
        <v>158</v>
      </c>
      <c r="V19" s="184">
        <f t="shared" si="2"/>
        <v>4740</v>
      </c>
      <c r="W19" s="190">
        <v>8</v>
      </c>
      <c r="X19" s="186" t="s">
        <v>46</v>
      </c>
      <c r="Y19" s="194" t="s">
        <v>97</v>
      </c>
      <c r="Z19" s="194" t="s">
        <v>88</v>
      </c>
      <c r="AA19" s="195" t="s">
        <v>64</v>
      </c>
      <c r="AB19" s="55" t="s">
        <v>346</v>
      </c>
      <c r="AC19" s="235"/>
      <c r="AE19" s="236" t="s">
        <v>89</v>
      </c>
      <c r="AP19" s="239" t="s">
        <v>112</v>
      </c>
      <c r="AR19" s="231" t="s">
        <v>126</v>
      </c>
      <c r="AV19" s="224" t="s">
        <v>90</v>
      </c>
    </row>
    <row r="20" spans="1:48" x14ac:dyDescent="0.15">
      <c r="A20" s="177" t="s">
        <v>34</v>
      </c>
      <c r="B20" s="177" t="s">
        <v>344</v>
      </c>
      <c r="C20" s="177">
        <v>2018</v>
      </c>
      <c r="D20" s="179" t="s">
        <v>424</v>
      </c>
      <c r="E20" s="178" t="s">
        <v>505</v>
      </c>
      <c r="F20" s="177" t="s">
        <v>524</v>
      </c>
      <c r="G20" s="180" t="s">
        <v>36</v>
      </c>
      <c r="H20" s="137" t="s">
        <v>157</v>
      </c>
      <c r="I20" s="137" t="s">
        <v>155</v>
      </c>
      <c r="J20" s="137" t="s">
        <v>38</v>
      </c>
      <c r="K20" s="137" t="s">
        <v>156</v>
      </c>
      <c r="L20" s="208">
        <v>1</v>
      </c>
      <c r="N20" s="208">
        <v>1</v>
      </c>
      <c r="O20" s="208">
        <v>0.7</v>
      </c>
      <c r="P20" s="208">
        <v>0.8</v>
      </c>
      <c r="Q20" s="245">
        <f t="shared" si="0"/>
        <v>0.75</v>
      </c>
      <c r="R20" s="188">
        <v>13.4</v>
      </c>
      <c r="S20" s="197">
        <v>124</v>
      </c>
      <c r="T20" s="217">
        <f t="shared" si="1"/>
        <v>30</v>
      </c>
      <c r="U20" s="193">
        <v>84</v>
      </c>
      <c r="V20" s="184">
        <f t="shared" si="2"/>
        <v>2520</v>
      </c>
      <c r="W20" s="190">
        <v>10</v>
      </c>
      <c r="X20" s="186" t="s">
        <v>46</v>
      </c>
      <c r="Y20" s="194" t="s">
        <v>64</v>
      </c>
      <c r="Z20" s="194" t="s">
        <v>55</v>
      </c>
      <c r="AA20" s="195" t="s">
        <v>97</v>
      </c>
      <c r="AB20" s="55" t="s">
        <v>346</v>
      </c>
      <c r="AE20" s="236"/>
      <c r="AP20" s="239" t="s">
        <v>113</v>
      </c>
      <c r="AR20" s="238" t="s">
        <v>105</v>
      </c>
      <c r="AV20" s="228" t="s">
        <v>373</v>
      </c>
    </row>
    <row r="21" spans="1:48" x14ac:dyDescent="0.15">
      <c r="A21" s="177" t="s">
        <v>34</v>
      </c>
      <c r="B21" s="177" t="s">
        <v>344</v>
      </c>
      <c r="C21" s="178">
        <v>2018</v>
      </c>
      <c r="D21" s="179" t="s">
        <v>424</v>
      </c>
      <c r="E21" s="178" t="s">
        <v>505</v>
      </c>
      <c r="F21" s="177" t="s">
        <v>524</v>
      </c>
      <c r="G21" s="180" t="s">
        <v>36</v>
      </c>
      <c r="H21" s="137" t="s">
        <v>157</v>
      </c>
      <c r="I21" s="137" t="s">
        <v>155</v>
      </c>
      <c r="J21" s="137" t="s">
        <v>38</v>
      </c>
      <c r="K21" s="137" t="s">
        <v>156</v>
      </c>
      <c r="L21" s="208">
        <v>2</v>
      </c>
      <c r="N21" s="208">
        <v>1</v>
      </c>
      <c r="O21" s="208">
        <v>0.75</v>
      </c>
      <c r="P21" s="208">
        <v>0.6</v>
      </c>
      <c r="Q21" s="245">
        <f t="shared" si="0"/>
        <v>0.67500000000000004</v>
      </c>
      <c r="R21" s="197">
        <v>14.5</v>
      </c>
      <c r="S21" s="188">
        <v>120</v>
      </c>
      <c r="T21" s="217">
        <f t="shared" si="1"/>
        <v>30</v>
      </c>
      <c r="U21" s="193">
        <v>84</v>
      </c>
      <c r="V21" s="184">
        <f t="shared" si="2"/>
        <v>2520</v>
      </c>
      <c r="W21" s="190">
        <v>10</v>
      </c>
      <c r="X21" s="186" t="s">
        <v>46</v>
      </c>
      <c r="Y21" s="194" t="s">
        <v>64</v>
      </c>
      <c r="Z21" s="194" t="s">
        <v>55</v>
      </c>
      <c r="AA21" s="195" t="s">
        <v>97</v>
      </c>
      <c r="AB21" s="55" t="s">
        <v>346</v>
      </c>
      <c r="AE21" s="229"/>
      <c r="AP21" s="239" t="s">
        <v>114</v>
      </c>
      <c r="AR21" s="238" t="s">
        <v>68</v>
      </c>
      <c r="AV21" s="228" t="s">
        <v>374</v>
      </c>
    </row>
    <row r="22" spans="1:48" x14ac:dyDescent="0.15">
      <c r="A22" s="177" t="s">
        <v>34</v>
      </c>
      <c r="B22" s="177" t="s">
        <v>344</v>
      </c>
      <c r="C22" s="177">
        <v>2018</v>
      </c>
      <c r="D22" s="179" t="s">
        <v>424</v>
      </c>
      <c r="E22" s="178" t="s">
        <v>505</v>
      </c>
      <c r="F22" s="177" t="s">
        <v>524</v>
      </c>
      <c r="G22" s="180" t="s">
        <v>36</v>
      </c>
      <c r="H22" s="137" t="s">
        <v>157</v>
      </c>
      <c r="I22" s="137" t="s">
        <v>155</v>
      </c>
      <c r="J22" s="137" t="s">
        <v>38</v>
      </c>
      <c r="K22" s="137" t="s">
        <v>156</v>
      </c>
      <c r="L22" s="208">
        <v>3</v>
      </c>
      <c r="N22" s="208">
        <v>1</v>
      </c>
      <c r="O22" s="208">
        <v>0.6</v>
      </c>
      <c r="P22" s="235">
        <v>0.55000000000000004</v>
      </c>
      <c r="Q22" s="245">
        <f t="shared" si="0"/>
        <v>0.57499999999999996</v>
      </c>
      <c r="R22" s="188">
        <v>13.9</v>
      </c>
      <c r="S22" s="188">
        <v>120</v>
      </c>
      <c r="T22" s="217">
        <f t="shared" si="1"/>
        <v>30</v>
      </c>
      <c r="U22" s="193">
        <v>84</v>
      </c>
      <c r="V22" s="184">
        <f t="shared" si="2"/>
        <v>2520</v>
      </c>
      <c r="W22" s="190">
        <v>10</v>
      </c>
      <c r="X22" s="186" t="s">
        <v>46</v>
      </c>
      <c r="Y22" s="194" t="s">
        <v>64</v>
      </c>
      <c r="Z22" s="194" t="s">
        <v>55</v>
      </c>
      <c r="AA22" s="195" t="s">
        <v>97</v>
      </c>
      <c r="AB22" s="55" t="s">
        <v>346</v>
      </c>
      <c r="AP22" s="239" t="s">
        <v>115</v>
      </c>
      <c r="AR22" s="238" t="s">
        <v>83</v>
      </c>
      <c r="AV22" s="224"/>
    </row>
    <row r="23" spans="1:48" x14ac:dyDescent="0.15">
      <c r="A23" s="177" t="s">
        <v>34</v>
      </c>
      <c r="B23" s="177" t="s">
        <v>344</v>
      </c>
      <c r="C23" s="178">
        <v>2018</v>
      </c>
      <c r="D23" s="179" t="s">
        <v>424</v>
      </c>
      <c r="E23" s="178" t="s">
        <v>505</v>
      </c>
      <c r="F23" s="177" t="s">
        <v>524</v>
      </c>
      <c r="G23" s="180" t="s">
        <v>36</v>
      </c>
      <c r="H23" s="137" t="s">
        <v>165</v>
      </c>
      <c r="I23" s="137" t="s">
        <v>155</v>
      </c>
      <c r="J23" s="137" t="s">
        <v>38</v>
      </c>
      <c r="K23" s="137" t="s">
        <v>156</v>
      </c>
      <c r="L23" s="208">
        <v>1</v>
      </c>
      <c r="N23" s="208">
        <v>1</v>
      </c>
      <c r="O23" s="208">
        <v>0.4</v>
      </c>
      <c r="P23" s="235">
        <v>0.45</v>
      </c>
      <c r="Q23" s="245">
        <f t="shared" si="0"/>
        <v>0.42500000000000004</v>
      </c>
      <c r="R23" s="188">
        <v>16.2</v>
      </c>
      <c r="S23" s="188">
        <v>136</v>
      </c>
      <c r="T23" s="217">
        <f t="shared" si="1"/>
        <v>30</v>
      </c>
      <c r="U23" s="193">
        <v>108</v>
      </c>
      <c r="V23" s="184">
        <f t="shared" si="2"/>
        <v>3240</v>
      </c>
      <c r="W23" s="190">
        <v>10</v>
      </c>
      <c r="X23" s="186" t="s">
        <v>46</v>
      </c>
      <c r="Y23" s="194" t="s">
        <v>64</v>
      </c>
      <c r="Z23" s="194" t="s">
        <v>55</v>
      </c>
      <c r="AA23" s="195" t="s">
        <v>97</v>
      </c>
      <c r="AB23" s="55" t="s">
        <v>346</v>
      </c>
      <c r="AP23" s="239" t="s">
        <v>418</v>
      </c>
      <c r="AR23" s="238" t="s">
        <v>61</v>
      </c>
      <c r="AV23" s="224"/>
    </row>
    <row r="24" spans="1:48" x14ac:dyDescent="0.15">
      <c r="A24" s="177" t="s">
        <v>34</v>
      </c>
      <c r="B24" s="177" t="s">
        <v>344</v>
      </c>
      <c r="C24" s="177">
        <v>2018</v>
      </c>
      <c r="D24" s="179" t="s">
        <v>424</v>
      </c>
      <c r="E24" s="178" t="s">
        <v>505</v>
      </c>
      <c r="F24" s="177" t="s">
        <v>524</v>
      </c>
      <c r="G24" s="180" t="s">
        <v>36</v>
      </c>
      <c r="H24" s="137" t="s">
        <v>165</v>
      </c>
      <c r="I24" s="137" t="s">
        <v>155</v>
      </c>
      <c r="J24" s="137" t="s">
        <v>38</v>
      </c>
      <c r="K24" s="137" t="s">
        <v>156</v>
      </c>
      <c r="L24" s="208">
        <v>2</v>
      </c>
      <c r="N24" s="208">
        <v>1</v>
      </c>
      <c r="O24" s="208">
        <v>0.5</v>
      </c>
      <c r="P24" s="235">
        <v>0.45</v>
      </c>
      <c r="Q24" s="245">
        <f t="shared" si="0"/>
        <v>0.47499999999999998</v>
      </c>
      <c r="R24" s="188">
        <v>15.5</v>
      </c>
      <c r="S24" s="188">
        <v>134</v>
      </c>
      <c r="T24" s="217">
        <f t="shared" si="1"/>
        <v>30</v>
      </c>
      <c r="U24" s="193">
        <v>108</v>
      </c>
      <c r="V24" s="184">
        <f t="shared" si="2"/>
        <v>3240</v>
      </c>
      <c r="W24" s="190">
        <v>10</v>
      </c>
      <c r="X24" s="186" t="s">
        <v>46</v>
      </c>
      <c r="Y24" s="194" t="s">
        <v>64</v>
      </c>
      <c r="Z24" s="194" t="s">
        <v>55</v>
      </c>
      <c r="AA24" s="195" t="s">
        <v>97</v>
      </c>
      <c r="AB24" s="55" t="s">
        <v>346</v>
      </c>
      <c r="AP24" s="239" t="s">
        <v>419</v>
      </c>
      <c r="AR24" s="238" t="s">
        <v>91</v>
      </c>
      <c r="AV24" s="224"/>
    </row>
    <row r="25" spans="1:48" x14ac:dyDescent="0.15">
      <c r="A25" s="177" t="s">
        <v>34</v>
      </c>
      <c r="B25" s="177" t="s">
        <v>344</v>
      </c>
      <c r="C25" s="178">
        <v>2018</v>
      </c>
      <c r="D25" s="179" t="s">
        <v>424</v>
      </c>
      <c r="E25" s="178" t="s">
        <v>505</v>
      </c>
      <c r="F25" s="177" t="s">
        <v>524</v>
      </c>
      <c r="G25" s="180" t="s">
        <v>36</v>
      </c>
      <c r="H25" s="137" t="s">
        <v>165</v>
      </c>
      <c r="I25" s="137" t="s">
        <v>155</v>
      </c>
      <c r="J25" s="137" t="s">
        <v>38</v>
      </c>
      <c r="K25" s="137" t="s">
        <v>156</v>
      </c>
      <c r="L25" s="208">
        <v>3</v>
      </c>
      <c r="N25" s="208">
        <v>1</v>
      </c>
      <c r="O25" s="208">
        <v>0.5</v>
      </c>
      <c r="P25" s="235">
        <v>0.55000000000000004</v>
      </c>
      <c r="Q25" s="245">
        <f t="shared" si="0"/>
        <v>0.52500000000000002</v>
      </c>
      <c r="R25" s="188">
        <v>15.6</v>
      </c>
      <c r="S25" s="188">
        <v>133</v>
      </c>
      <c r="T25" s="217">
        <f t="shared" si="1"/>
        <v>30</v>
      </c>
      <c r="U25" s="193">
        <v>108</v>
      </c>
      <c r="V25" s="184">
        <f t="shared" si="2"/>
        <v>3240</v>
      </c>
      <c r="W25" s="190">
        <v>10</v>
      </c>
      <c r="X25" s="186" t="s">
        <v>46</v>
      </c>
      <c r="Y25" s="194" t="s">
        <v>64</v>
      </c>
      <c r="Z25" s="194" t="s">
        <v>55</v>
      </c>
      <c r="AA25" s="195" t="s">
        <v>97</v>
      </c>
      <c r="AB25" s="55" t="s">
        <v>346</v>
      </c>
      <c r="AP25" s="239" t="s">
        <v>116</v>
      </c>
      <c r="AR25" s="42" t="s">
        <v>92</v>
      </c>
      <c r="AV25" s="224"/>
    </row>
    <row r="26" spans="1:48" x14ac:dyDescent="0.15">
      <c r="A26" s="177" t="s">
        <v>34</v>
      </c>
      <c r="B26" s="177" t="s">
        <v>344</v>
      </c>
      <c r="C26" s="177">
        <v>2018</v>
      </c>
      <c r="D26" s="179" t="s">
        <v>424</v>
      </c>
      <c r="E26" s="178" t="s">
        <v>286</v>
      </c>
      <c r="F26" s="177" t="s">
        <v>287</v>
      </c>
      <c r="G26" s="180" t="s">
        <v>42</v>
      </c>
      <c r="H26" s="137" t="s">
        <v>157</v>
      </c>
      <c r="I26" s="137" t="s">
        <v>155</v>
      </c>
      <c r="J26" s="137" t="s">
        <v>38</v>
      </c>
      <c r="K26" s="137" t="s">
        <v>156</v>
      </c>
      <c r="L26" s="208">
        <v>1</v>
      </c>
      <c r="N26" s="208">
        <v>1</v>
      </c>
      <c r="O26" s="208">
        <v>0.55000000000000004</v>
      </c>
      <c r="P26" s="237">
        <v>0.6</v>
      </c>
      <c r="Q26" s="245">
        <f t="shared" si="0"/>
        <v>0.57499999999999996</v>
      </c>
      <c r="R26" s="188">
        <v>14.5</v>
      </c>
      <c r="S26" s="188">
        <v>145</v>
      </c>
      <c r="T26" s="217">
        <f t="shared" si="1"/>
        <v>30</v>
      </c>
      <c r="U26" s="193">
        <v>127</v>
      </c>
      <c r="V26" s="184">
        <f t="shared" si="2"/>
        <v>3810</v>
      </c>
      <c r="W26" s="190">
        <v>12</v>
      </c>
      <c r="X26" s="186" t="s">
        <v>46</v>
      </c>
      <c r="Y26" s="195" t="s">
        <v>64</v>
      </c>
      <c r="Z26" s="194" t="s">
        <v>69</v>
      </c>
      <c r="AA26" s="195" t="s">
        <v>88</v>
      </c>
      <c r="AB26" s="55" t="s">
        <v>346</v>
      </c>
      <c r="AP26" s="239" t="s">
        <v>117</v>
      </c>
      <c r="AR26" s="224" t="s">
        <v>296</v>
      </c>
      <c r="AV26" s="228"/>
    </row>
    <row r="27" spans="1:48" x14ac:dyDescent="0.15">
      <c r="A27" s="177" t="s">
        <v>34</v>
      </c>
      <c r="B27" s="177" t="s">
        <v>344</v>
      </c>
      <c r="C27" s="178">
        <v>2018</v>
      </c>
      <c r="D27" s="179" t="s">
        <v>424</v>
      </c>
      <c r="E27" s="178" t="s">
        <v>286</v>
      </c>
      <c r="F27" s="177" t="s">
        <v>287</v>
      </c>
      <c r="G27" s="180" t="s">
        <v>42</v>
      </c>
      <c r="H27" s="137" t="s">
        <v>157</v>
      </c>
      <c r="I27" s="137" t="s">
        <v>155</v>
      </c>
      <c r="J27" s="137" t="s">
        <v>38</v>
      </c>
      <c r="K27" s="137" t="s">
        <v>156</v>
      </c>
      <c r="L27" s="208">
        <v>2</v>
      </c>
      <c r="N27" s="208">
        <v>1</v>
      </c>
      <c r="O27" s="235">
        <v>0.45</v>
      </c>
      <c r="P27" s="237">
        <v>0.4</v>
      </c>
      <c r="Q27" s="245">
        <f t="shared" si="0"/>
        <v>0.42500000000000004</v>
      </c>
      <c r="R27" s="188">
        <v>14.7</v>
      </c>
      <c r="S27" s="188">
        <v>146</v>
      </c>
      <c r="T27" s="217">
        <f t="shared" si="1"/>
        <v>30</v>
      </c>
      <c r="U27" s="193">
        <v>127</v>
      </c>
      <c r="V27" s="184">
        <f t="shared" si="2"/>
        <v>3810</v>
      </c>
      <c r="W27" s="190">
        <v>12</v>
      </c>
      <c r="X27" s="186" t="s">
        <v>46</v>
      </c>
      <c r="Y27" s="195" t="s">
        <v>64</v>
      </c>
      <c r="Z27" s="194" t="s">
        <v>69</v>
      </c>
      <c r="AA27" s="195" t="s">
        <v>88</v>
      </c>
      <c r="AB27" s="55" t="s">
        <v>346</v>
      </c>
      <c r="AP27" s="239" t="s">
        <v>118</v>
      </c>
      <c r="AR27" s="224"/>
    </row>
    <row r="28" spans="1:48" x14ac:dyDescent="0.15">
      <c r="A28" s="177" t="s">
        <v>34</v>
      </c>
      <c r="B28" s="177" t="s">
        <v>344</v>
      </c>
      <c r="C28" s="177">
        <v>2018</v>
      </c>
      <c r="D28" s="179" t="s">
        <v>424</v>
      </c>
      <c r="E28" s="178" t="s">
        <v>286</v>
      </c>
      <c r="F28" s="177" t="s">
        <v>287</v>
      </c>
      <c r="G28" s="180" t="s">
        <v>42</v>
      </c>
      <c r="H28" s="137" t="s">
        <v>157</v>
      </c>
      <c r="I28" s="137" t="s">
        <v>155</v>
      </c>
      <c r="J28" s="137" t="s">
        <v>38</v>
      </c>
      <c r="K28" s="137" t="s">
        <v>156</v>
      </c>
      <c r="L28" s="208">
        <v>3</v>
      </c>
      <c r="N28" s="208">
        <v>1</v>
      </c>
      <c r="O28" s="235">
        <v>0.45</v>
      </c>
      <c r="P28" s="208">
        <v>0.45</v>
      </c>
      <c r="Q28" s="245">
        <f t="shared" si="0"/>
        <v>0.45</v>
      </c>
      <c r="R28" s="188">
        <v>15.1</v>
      </c>
      <c r="S28" s="188">
        <v>135</v>
      </c>
      <c r="T28" s="217">
        <f t="shared" si="1"/>
        <v>30</v>
      </c>
      <c r="U28" s="193">
        <v>127</v>
      </c>
      <c r="V28" s="184">
        <f t="shared" si="2"/>
        <v>3810</v>
      </c>
      <c r="W28" s="190">
        <v>12</v>
      </c>
      <c r="X28" s="186" t="s">
        <v>46</v>
      </c>
      <c r="Y28" s="195" t="s">
        <v>64</v>
      </c>
      <c r="Z28" s="194" t="s">
        <v>69</v>
      </c>
      <c r="AA28" s="195" t="s">
        <v>88</v>
      </c>
      <c r="AB28" s="55" t="s">
        <v>346</v>
      </c>
      <c r="AR28" s="224"/>
    </row>
    <row r="29" spans="1:48" x14ac:dyDescent="0.15">
      <c r="A29" s="177" t="s">
        <v>34</v>
      </c>
      <c r="B29" s="177" t="s">
        <v>344</v>
      </c>
      <c r="C29" s="177">
        <v>2018</v>
      </c>
      <c r="D29" s="179" t="s">
        <v>424</v>
      </c>
      <c r="E29" s="178" t="s">
        <v>286</v>
      </c>
      <c r="F29" s="177" t="s">
        <v>287</v>
      </c>
      <c r="G29" s="180" t="s">
        <v>42</v>
      </c>
      <c r="H29" s="137" t="s">
        <v>165</v>
      </c>
      <c r="I29" s="137" t="s">
        <v>155</v>
      </c>
      <c r="J29" s="137" t="s">
        <v>38</v>
      </c>
      <c r="K29" s="137" t="s">
        <v>156</v>
      </c>
      <c r="L29" s="208">
        <v>1</v>
      </c>
      <c r="N29" s="208">
        <v>1</v>
      </c>
      <c r="O29" s="208">
        <v>0.5</v>
      </c>
      <c r="P29" s="208">
        <v>0.45</v>
      </c>
      <c r="Q29" s="245">
        <f t="shared" si="0"/>
        <v>0.47499999999999998</v>
      </c>
      <c r="R29" s="188">
        <v>16.600000000000001</v>
      </c>
      <c r="S29" s="188">
        <v>158</v>
      </c>
      <c r="T29" s="217">
        <f t="shared" si="1"/>
        <v>30</v>
      </c>
      <c r="U29" s="193">
        <v>127</v>
      </c>
      <c r="V29" s="184">
        <f t="shared" si="2"/>
        <v>3810</v>
      </c>
      <c r="W29" s="190">
        <v>12</v>
      </c>
      <c r="X29" s="186" t="s">
        <v>46</v>
      </c>
      <c r="Y29" s="195" t="s">
        <v>64</v>
      </c>
      <c r="Z29" s="194" t="s">
        <v>69</v>
      </c>
      <c r="AA29" s="195" t="s">
        <v>88</v>
      </c>
      <c r="AB29" s="55" t="s">
        <v>346</v>
      </c>
      <c r="AR29" s="229"/>
    </row>
    <row r="30" spans="1:48" x14ac:dyDescent="0.15">
      <c r="A30" s="177" t="s">
        <v>34</v>
      </c>
      <c r="B30" s="177" t="s">
        <v>344</v>
      </c>
      <c r="C30" s="178">
        <v>2018</v>
      </c>
      <c r="D30" s="179" t="s">
        <v>424</v>
      </c>
      <c r="E30" s="178" t="s">
        <v>286</v>
      </c>
      <c r="F30" s="177" t="s">
        <v>287</v>
      </c>
      <c r="G30" s="180" t="s">
        <v>42</v>
      </c>
      <c r="H30" s="137" t="s">
        <v>165</v>
      </c>
      <c r="I30" s="137" t="s">
        <v>155</v>
      </c>
      <c r="J30" s="137" t="s">
        <v>38</v>
      </c>
      <c r="K30" s="137" t="s">
        <v>156</v>
      </c>
      <c r="L30" s="208">
        <v>2</v>
      </c>
      <c r="N30" s="208">
        <v>1</v>
      </c>
      <c r="O30" s="208">
        <v>0.4</v>
      </c>
      <c r="P30" s="208">
        <v>0.35</v>
      </c>
      <c r="Q30" s="245">
        <f t="shared" si="0"/>
        <v>0.375</v>
      </c>
      <c r="R30" s="188">
        <v>17.3</v>
      </c>
      <c r="S30" s="188">
        <v>157</v>
      </c>
      <c r="T30" s="217">
        <f t="shared" si="1"/>
        <v>30</v>
      </c>
      <c r="U30" s="193">
        <v>127</v>
      </c>
      <c r="V30" s="184">
        <f t="shared" si="2"/>
        <v>3810</v>
      </c>
      <c r="W30" s="190">
        <v>12</v>
      </c>
      <c r="X30" s="186" t="s">
        <v>46</v>
      </c>
      <c r="Y30" s="195" t="s">
        <v>64</v>
      </c>
      <c r="Z30" s="194" t="s">
        <v>69</v>
      </c>
      <c r="AA30" s="195" t="s">
        <v>88</v>
      </c>
      <c r="AB30" s="55" t="s">
        <v>346</v>
      </c>
    </row>
    <row r="31" spans="1:48" x14ac:dyDescent="0.15">
      <c r="A31" s="177" t="s">
        <v>34</v>
      </c>
      <c r="B31" s="177" t="s">
        <v>344</v>
      </c>
      <c r="C31" s="177">
        <v>2018</v>
      </c>
      <c r="D31" s="179" t="s">
        <v>424</v>
      </c>
      <c r="E31" s="178" t="s">
        <v>286</v>
      </c>
      <c r="F31" s="177" t="s">
        <v>287</v>
      </c>
      <c r="G31" s="180" t="s">
        <v>42</v>
      </c>
      <c r="H31" s="137" t="s">
        <v>165</v>
      </c>
      <c r="I31" s="137" t="s">
        <v>155</v>
      </c>
      <c r="J31" s="137" t="s">
        <v>38</v>
      </c>
      <c r="K31" s="137" t="s">
        <v>156</v>
      </c>
      <c r="L31" s="208">
        <v>3</v>
      </c>
      <c r="N31" s="208">
        <v>1</v>
      </c>
      <c r="O31" s="208">
        <v>0.4</v>
      </c>
      <c r="P31" s="208">
        <v>0.45</v>
      </c>
      <c r="Q31" s="245">
        <f t="shared" si="0"/>
        <v>0.42500000000000004</v>
      </c>
      <c r="R31" s="188">
        <v>16.399999999999999</v>
      </c>
      <c r="S31" s="188">
        <v>158</v>
      </c>
      <c r="T31" s="217">
        <f t="shared" si="1"/>
        <v>30</v>
      </c>
      <c r="U31" s="193">
        <v>127</v>
      </c>
      <c r="V31" s="184">
        <f t="shared" si="2"/>
        <v>3810</v>
      </c>
      <c r="W31" s="190">
        <v>12</v>
      </c>
      <c r="X31" s="186" t="s">
        <v>46</v>
      </c>
      <c r="Y31" s="195" t="s">
        <v>64</v>
      </c>
      <c r="Z31" s="194" t="s">
        <v>69</v>
      </c>
      <c r="AA31" s="195" t="s">
        <v>88</v>
      </c>
      <c r="AB31" s="55" t="s">
        <v>346</v>
      </c>
    </row>
    <row r="32" spans="1:48" ht="14.25" customHeight="1" x14ac:dyDescent="0.15">
      <c r="A32" s="177" t="s">
        <v>34</v>
      </c>
      <c r="B32" s="177" t="s">
        <v>344</v>
      </c>
      <c r="C32" s="178">
        <v>2018</v>
      </c>
      <c r="D32" s="179" t="s">
        <v>424</v>
      </c>
      <c r="E32" s="178" t="s">
        <v>525</v>
      </c>
      <c r="F32" s="177" t="s">
        <v>287</v>
      </c>
      <c r="G32" s="180" t="s">
        <v>42</v>
      </c>
      <c r="H32" s="137" t="s">
        <v>157</v>
      </c>
      <c r="I32" s="137" t="s">
        <v>155</v>
      </c>
      <c r="J32" s="137" t="s">
        <v>38</v>
      </c>
      <c r="K32" s="137" t="s">
        <v>156</v>
      </c>
      <c r="L32" s="208">
        <v>1</v>
      </c>
      <c r="N32" s="208">
        <v>1</v>
      </c>
      <c r="O32" s="208">
        <v>0.85</v>
      </c>
      <c r="P32" s="208">
        <v>0.95</v>
      </c>
      <c r="Q32" s="245">
        <f t="shared" si="0"/>
        <v>0.89999999999999991</v>
      </c>
      <c r="R32" s="188">
        <v>14.1</v>
      </c>
      <c r="S32" s="188">
        <v>145</v>
      </c>
      <c r="T32" s="217">
        <f t="shared" si="1"/>
        <v>30</v>
      </c>
      <c r="U32" s="193">
        <v>119</v>
      </c>
      <c r="V32" s="184">
        <f t="shared" si="2"/>
        <v>3570</v>
      </c>
      <c r="W32" s="190">
        <v>2</v>
      </c>
      <c r="X32" s="186" t="s">
        <v>46</v>
      </c>
      <c r="Y32" s="195" t="s">
        <v>97</v>
      </c>
      <c r="Z32" s="194" t="s">
        <v>78</v>
      </c>
      <c r="AA32" s="194" t="s">
        <v>107</v>
      </c>
      <c r="AB32" s="55" t="s">
        <v>346</v>
      </c>
    </row>
    <row r="33" spans="1:28" x14ac:dyDescent="0.15">
      <c r="A33" s="177" t="s">
        <v>34</v>
      </c>
      <c r="B33" s="177" t="s">
        <v>344</v>
      </c>
      <c r="C33" s="177">
        <v>2018</v>
      </c>
      <c r="D33" s="179" t="s">
        <v>424</v>
      </c>
      <c r="E33" s="178" t="s">
        <v>525</v>
      </c>
      <c r="F33" s="177" t="s">
        <v>287</v>
      </c>
      <c r="G33" s="180" t="s">
        <v>42</v>
      </c>
      <c r="H33" s="137" t="s">
        <v>157</v>
      </c>
      <c r="I33" s="137" t="s">
        <v>155</v>
      </c>
      <c r="J33" s="137" t="s">
        <v>38</v>
      </c>
      <c r="K33" s="137" t="s">
        <v>156</v>
      </c>
      <c r="L33" s="208">
        <v>2</v>
      </c>
      <c r="N33" s="208">
        <v>1</v>
      </c>
      <c r="O33" s="208">
        <v>0.8</v>
      </c>
      <c r="P33" s="208">
        <v>0.7</v>
      </c>
      <c r="Q33" s="245">
        <f t="shared" si="0"/>
        <v>0.75</v>
      </c>
      <c r="R33" s="188">
        <v>14.6</v>
      </c>
      <c r="S33" s="188">
        <v>147</v>
      </c>
      <c r="T33" s="217">
        <f t="shared" si="1"/>
        <v>30</v>
      </c>
      <c r="U33" s="193">
        <v>119</v>
      </c>
      <c r="V33" s="184">
        <f t="shared" si="2"/>
        <v>3570</v>
      </c>
      <c r="W33" s="190">
        <v>2</v>
      </c>
      <c r="X33" s="186" t="s">
        <v>46</v>
      </c>
      <c r="Y33" s="195" t="s">
        <v>97</v>
      </c>
      <c r="Z33" s="194" t="s">
        <v>78</v>
      </c>
      <c r="AA33" s="194" t="s">
        <v>107</v>
      </c>
      <c r="AB33" s="55" t="s">
        <v>346</v>
      </c>
    </row>
    <row r="34" spans="1:28" x14ac:dyDescent="0.15">
      <c r="A34" s="177" t="s">
        <v>34</v>
      </c>
      <c r="B34" s="177" t="s">
        <v>344</v>
      </c>
      <c r="C34" s="178">
        <v>2018</v>
      </c>
      <c r="D34" s="179" t="s">
        <v>424</v>
      </c>
      <c r="E34" s="178" t="s">
        <v>525</v>
      </c>
      <c r="F34" s="177" t="s">
        <v>287</v>
      </c>
      <c r="G34" s="180" t="s">
        <v>42</v>
      </c>
      <c r="H34" s="137" t="s">
        <v>157</v>
      </c>
      <c r="I34" s="137" t="s">
        <v>155</v>
      </c>
      <c r="J34" s="137" t="s">
        <v>38</v>
      </c>
      <c r="K34" s="137" t="s">
        <v>156</v>
      </c>
      <c r="L34" s="208">
        <v>3</v>
      </c>
      <c r="N34" s="208">
        <v>1</v>
      </c>
      <c r="O34" s="208">
        <v>0.75</v>
      </c>
      <c r="P34" s="235">
        <v>0.6</v>
      </c>
      <c r="Q34" s="245">
        <f t="shared" si="0"/>
        <v>0.67500000000000004</v>
      </c>
      <c r="R34" s="188">
        <v>14.4</v>
      </c>
      <c r="S34" s="188">
        <v>146</v>
      </c>
      <c r="T34" s="217">
        <f t="shared" si="1"/>
        <v>30</v>
      </c>
      <c r="U34" s="193">
        <v>119</v>
      </c>
      <c r="V34" s="184">
        <f t="shared" si="2"/>
        <v>3570</v>
      </c>
      <c r="W34" s="190">
        <v>2</v>
      </c>
      <c r="X34" s="186" t="s">
        <v>46</v>
      </c>
      <c r="Y34" s="195" t="s">
        <v>97</v>
      </c>
      <c r="Z34" s="194" t="s">
        <v>78</v>
      </c>
      <c r="AA34" s="194" t="s">
        <v>107</v>
      </c>
      <c r="AB34" s="55" t="s">
        <v>346</v>
      </c>
    </row>
    <row r="35" spans="1:28" x14ac:dyDescent="0.15">
      <c r="A35" s="177" t="s">
        <v>34</v>
      </c>
      <c r="B35" s="177" t="s">
        <v>344</v>
      </c>
      <c r="C35" s="177">
        <v>2018</v>
      </c>
      <c r="D35" s="179" t="s">
        <v>424</v>
      </c>
      <c r="E35" s="178" t="s">
        <v>525</v>
      </c>
      <c r="F35" s="177" t="s">
        <v>287</v>
      </c>
      <c r="G35" s="180" t="s">
        <v>42</v>
      </c>
      <c r="H35" s="137" t="s">
        <v>165</v>
      </c>
      <c r="I35" s="137" t="s">
        <v>155</v>
      </c>
      <c r="J35" s="137" t="s">
        <v>38</v>
      </c>
      <c r="K35" s="137" t="s">
        <v>156</v>
      </c>
      <c r="L35" s="208">
        <v>1</v>
      </c>
      <c r="N35" s="208">
        <v>1</v>
      </c>
      <c r="O35" s="208">
        <v>0.5</v>
      </c>
      <c r="P35" s="208">
        <v>0.55000000000000004</v>
      </c>
      <c r="Q35" s="245">
        <f t="shared" si="0"/>
        <v>0.52500000000000002</v>
      </c>
      <c r="R35" s="188">
        <v>15.3</v>
      </c>
      <c r="S35" s="188">
        <v>144</v>
      </c>
      <c r="T35" s="217">
        <f t="shared" si="1"/>
        <v>30</v>
      </c>
      <c r="U35" s="193">
        <v>119</v>
      </c>
      <c r="V35" s="184">
        <f t="shared" si="2"/>
        <v>3570</v>
      </c>
      <c r="W35" s="190">
        <v>2</v>
      </c>
      <c r="X35" s="186" t="s">
        <v>46</v>
      </c>
      <c r="Y35" s="194" t="s">
        <v>97</v>
      </c>
      <c r="Z35" s="194" t="s">
        <v>78</v>
      </c>
      <c r="AA35" s="194" t="s">
        <v>107</v>
      </c>
      <c r="AB35" s="55" t="s">
        <v>346</v>
      </c>
    </row>
    <row r="36" spans="1:28" x14ac:dyDescent="0.15">
      <c r="A36" s="177" t="s">
        <v>34</v>
      </c>
      <c r="B36" s="177" t="s">
        <v>344</v>
      </c>
      <c r="C36" s="178">
        <v>2018</v>
      </c>
      <c r="D36" s="179" t="s">
        <v>424</v>
      </c>
      <c r="E36" s="178" t="s">
        <v>525</v>
      </c>
      <c r="F36" s="177" t="s">
        <v>287</v>
      </c>
      <c r="G36" s="180" t="s">
        <v>42</v>
      </c>
      <c r="H36" s="137" t="s">
        <v>165</v>
      </c>
      <c r="I36" s="137" t="s">
        <v>155</v>
      </c>
      <c r="J36" s="137" t="s">
        <v>38</v>
      </c>
      <c r="K36" s="137" t="s">
        <v>156</v>
      </c>
      <c r="L36" s="208">
        <v>2</v>
      </c>
      <c r="N36" s="208">
        <v>1</v>
      </c>
      <c r="O36" s="208">
        <v>0.4</v>
      </c>
      <c r="P36" s="208">
        <v>0.35</v>
      </c>
      <c r="Q36" s="245">
        <f t="shared" si="0"/>
        <v>0.375</v>
      </c>
      <c r="R36" s="188">
        <v>16.100000000000001</v>
      </c>
      <c r="S36" s="188">
        <v>141</v>
      </c>
      <c r="T36" s="217">
        <f t="shared" si="1"/>
        <v>30</v>
      </c>
      <c r="U36" s="193">
        <v>119</v>
      </c>
      <c r="V36" s="184">
        <f t="shared" si="2"/>
        <v>3570</v>
      </c>
      <c r="W36" s="190">
        <v>2</v>
      </c>
      <c r="X36" s="186" t="s">
        <v>46</v>
      </c>
      <c r="Y36" s="194" t="s">
        <v>97</v>
      </c>
      <c r="Z36" s="194" t="s">
        <v>78</v>
      </c>
      <c r="AA36" s="194" t="s">
        <v>107</v>
      </c>
      <c r="AB36" s="55" t="s">
        <v>346</v>
      </c>
    </row>
    <row r="37" spans="1:28" x14ac:dyDescent="0.15">
      <c r="A37" s="177" t="s">
        <v>34</v>
      </c>
      <c r="B37" s="177" t="s">
        <v>344</v>
      </c>
      <c r="C37" s="177">
        <v>2018</v>
      </c>
      <c r="D37" s="179" t="s">
        <v>424</v>
      </c>
      <c r="E37" s="178" t="s">
        <v>525</v>
      </c>
      <c r="F37" s="177" t="s">
        <v>287</v>
      </c>
      <c r="G37" s="180" t="s">
        <v>42</v>
      </c>
      <c r="H37" s="137" t="s">
        <v>165</v>
      </c>
      <c r="I37" s="137" t="s">
        <v>155</v>
      </c>
      <c r="J37" s="137" t="s">
        <v>38</v>
      </c>
      <c r="K37" s="137" t="s">
        <v>156</v>
      </c>
      <c r="L37" s="208">
        <v>3</v>
      </c>
      <c r="N37" s="208">
        <v>1</v>
      </c>
      <c r="O37" s="208">
        <v>0.45</v>
      </c>
      <c r="P37" s="208">
        <v>0.5</v>
      </c>
      <c r="Q37" s="245">
        <f t="shared" si="0"/>
        <v>0.47499999999999998</v>
      </c>
      <c r="R37" s="188">
        <v>16.2</v>
      </c>
      <c r="S37" s="188">
        <v>143</v>
      </c>
      <c r="T37" s="217">
        <f t="shared" si="1"/>
        <v>30</v>
      </c>
      <c r="U37" s="193">
        <v>119</v>
      </c>
      <c r="V37" s="184">
        <f t="shared" si="2"/>
        <v>3570</v>
      </c>
      <c r="W37" s="190">
        <v>2</v>
      </c>
      <c r="X37" s="186" t="s">
        <v>46</v>
      </c>
      <c r="Y37" s="194" t="s">
        <v>97</v>
      </c>
      <c r="Z37" s="194" t="s">
        <v>78</v>
      </c>
      <c r="AA37" s="194" t="s">
        <v>107</v>
      </c>
      <c r="AB37" s="55" t="s">
        <v>346</v>
      </c>
    </row>
    <row r="38" spans="1:28" x14ac:dyDescent="0.15">
      <c r="A38" s="177" t="s">
        <v>34</v>
      </c>
      <c r="B38" s="177" t="s">
        <v>344</v>
      </c>
      <c r="C38" s="178">
        <v>2018</v>
      </c>
      <c r="D38" s="179" t="s">
        <v>424</v>
      </c>
      <c r="E38" s="178" t="s">
        <v>286</v>
      </c>
      <c r="F38" s="177" t="s">
        <v>294</v>
      </c>
      <c r="G38" s="180" t="s">
        <v>42</v>
      </c>
      <c r="H38" s="137" t="s">
        <v>157</v>
      </c>
      <c r="I38" s="137" t="s">
        <v>155</v>
      </c>
      <c r="J38" s="137" t="s">
        <v>38</v>
      </c>
      <c r="K38" s="137" t="s">
        <v>156</v>
      </c>
      <c r="L38" s="208">
        <v>1</v>
      </c>
      <c r="N38" s="208">
        <v>1</v>
      </c>
      <c r="O38" s="208">
        <v>0.45</v>
      </c>
      <c r="P38" s="208">
        <v>0.6</v>
      </c>
      <c r="Q38" s="245">
        <f t="shared" si="0"/>
        <v>0.52500000000000002</v>
      </c>
      <c r="R38" s="188">
        <v>15.1</v>
      </c>
      <c r="S38" s="188">
        <v>144</v>
      </c>
      <c r="T38" s="217">
        <f t="shared" si="1"/>
        <v>30</v>
      </c>
      <c r="U38" s="193">
        <v>127</v>
      </c>
      <c r="V38" s="184">
        <f t="shared" si="2"/>
        <v>3810</v>
      </c>
      <c r="W38" s="190">
        <v>8</v>
      </c>
      <c r="X38" s="186" t="s">
        <v>46</v>
      </c>
      <c r="Y38" s="194" t="s">
        <v>64</v>
      </c>
      <c r="Z38" s="194" t="s">
        <v>69</v>
      </c>
      <c r="AA38" s="194" t="s">
        <v>97</v>
      </c>
      <c r="AB38" s="55" t="s">
        <v>346</v>
      </c>
    </row>
    <row r="39" spans="1:28" x14ac:dyDescent="0.15">
      <c r="A39" s="177" t="s">
        <v>34</v>
      </c>
      <c r="B39" s="177" t="s">
        <v>344</v>
      </c>
      <c r="C39" s="177">
        <v>2018</v>
      </c>
      <c r="D39" s="179" t="s">
        <v>424</v>
      </c>
      <c r="E39" s="178" t="s">
        <v>286</v>
      </c>
      <c r="F39" s="177" t="s">
        <v>294</v>
      </c>
      <c r="G39" s="180" t="s">
        <v>42</v>
      </c>
      <c r="H39" s="137" t="s">
        <v>157</v>
      </c>
      <c r="I39" s="137" t="s">
        <v>155</v>
      </c>
      <c r="J39" s="137" t="s">
        <v>38</v>
      </c>
      <c r="K39" s="137" t="s">
        <v>156</v>
      </c>
      <c r="L39" s="208">
        <v>2</v>
      </c>
      <c r="N39" s="208">
        <v>1</v>
      </c>
      <c r="O39" s="208">
        <v>0.5</v>
      </c>
      <c r="P39" s="208">
        <v>0.55000000000000004</v>
      </c>
      <c r="Q39" s="245">
        <f t="shared" si="0"/>
        <v>0.52500000000000002</v>
      </c>
      <c r="R39" s="188">
        <v>14.8</v>
      </c>
      <c r="S39" s="188">
        <v>148</v>
      </c>
      <c r="T39" s="217">
        <f t="shared" si="1"/>
        <v>30</v>
      </c>
      <c r="U39" s="193">
        <v>127</v>
      </c>
      <c r="V39" s="184">
        <f t="shared" si="2"/>
        <v>3810</v>
      </c>
      <c r="W39" s="190">
        <v>8</v>
      </c>
      <c r="X39" s="186" t="s">
        <v>46</v>
      </c>
      <c r="Y39" s="194" t="s">
        <v>64</v>
      </c>
      <c r="Z39" s="194" t="s">
        <v>69</v>
      </c>
      <c r="AA39" s="194" t="s">
        <v>97</v>
      </c>
      <c r="AB39" s="55" t="s">
        <v>346</v>
      </c>
    </row>
    <row r="40" spans="1:28" ht="12.75" customHeight="1" x14ac:dyDescent="0.15">
      <c r="A40" s="177" t="s">
        <v>34</v>
      </c>
      <c r="B40" s="177" t="s">
        <v>344</v>
      </c>
      <c r="C40" s="178">
        <v>2018</v>
      </c>
      <c r="D40" s="179" t="s">
        <v>424</v>
      </c>
      <c r="E40" s="178" t="s">
        <v>286</v>
      </c>
      <c r="F40" s="177" t="s">
        <v>294</v>
      </c>
      <c r="G40" s="180" t="s">
        <v>42</v>
      </c>
      <c r="H40" s="137" t="s">
        <v>157</v>
      </c>
      <c r="I40" s="137" t="s">
        <v>155</v>
      </c>
      <c r="J40" s="137" t="s">
        <v>38</v>
      </c>
      <c r="K40" s="137" t="s">
        <v>156</v>
      </c>
      <c r="L40" s="208">
        <v>3</v>
      </c>
      <c r="N40" s="208">
        <v>1</v>
      </c>
      <c r="O40" s="208">
        <v>0.5</v>
      </c>
      <c r="P40" s="208">
        <v>0.45</v>
      </c>
      <c r="Q40" s="245">
        <f t="shared" si="0"/>
        <v>0.47499999999999998</v>
      </c>
      <c r="R40" s="188">
        <v>15.2</v>
      </c>
      <c r="S40" s="188">
        <v>143</v>
      </c>
      <c r="T40" s="217">
        <f t="shared" si="1"/>
        <v>30</v>
      </c>
      <c r="U40" s="193">
        <v>127</v>
      </c>
      <c r="V40" s="184">
        <f t="shared" si="2"/>
        <v>3810</v>
      </c>
      <c r="W40" s="190">
        <v>8</v>
      </c>
      <c r="X40" s="186" t="s">
        <v>46</v>
      </c>
      <c r="Y40" s="194" t="s">
        <v>64</v>
      </c>
      <c r="Z40" s="194" t="s">
        <v>69</v>
      </c>
      <c r="AA40" s="194" t="s">
        <v>97</v>
      </c>
      <c r="AB40" s="55" t="s">
        <v>346</v>
      </c>
    </row>
    <row r="41" spans="1:28" ht="12.75" customHeight="1" x14ac:dyDescent="0.15">
      <c r="A41" s="137" t="s">
        <v>34</v>
      </c>
      <c r="B41" s="177" t="s">
        <v>344</v>
      </c>
      <c r="C41" s="178">
        <v>2018</v>
      </c>
      <c r="D41" s="179" t="s">
        <v>424</v>
      </c>
      <c r="E41" s="178" t="s">
        <v>286</v>
      </c>
      <c r="F41" s="177" t="s">
        <v>294</v>
      </c>
      <c r="G41" s="180" t="s">
        <v>42</v>
      </c>
      <c r="H41" s="137" t="s">
        <v>165</v>
      </c>
      <c r="I41" s="137" t="s">
        <v>155</v>
      </c>
      <c r="J41" s="137" t="s">
        <v>38</v>
      </c>
      <c r="K41" s="137" t="s">
        <v>156</v>
      </c>
      <c r="L41" s="208">
        <v>1</v>
      </c>
      <c r="N41" s="208">
        <v>1</v>
      </c>
      <c r="O41" s="208">
        <v>0.45</v>
      </c>
      <c r="P41" s="208">
        <v>0.5</v>
      </c>
      <c r="Q41" s="245">
        <f t="shared" si="0"/>
        <v>0.47499999999999998</v>
      </c>
      <c r="R41" s="188">
        <v>16.5</v>
      </c>
      <c r="S41" s="188">
        <v>152</v>
      </c>
      <c r="T41" s="217">
        <f t="shared" si="1"/>
        <v>30</v>
      </c>
      <c r="U41" s="193">
        <v>127</v>
      </c>
      <c r="V41" s="184">
        <f t="shared" si="2"/>
        <v>3810</v>
      </c>
      <c r="W41" s="247">
        <v>8</v>
      </c>
      <c r="X41" s="186" t="s">
        <v>46</v>
      </c>
      <c r="Y41" s="198" t="s">
        <v>64</v>
      </c>
      <c r="Z41" s="198" t="s">
        <v>69</v>
      </c>
      <c r="AA41" s="198" t="s">
        <v>97</v>
      </c>
      <c r="AB41" s="55" t="s">
        <v>346</v>
      </c>
    </row>
    <row r="42" spans="1:28" ht="12.75" customHeight="1" x14ac:dyDescent="0.15">
      <c r="A42" s="137" t="s">
        <v>34</v>
      </c>
      <c r="B42" s="177" t="s">
        <v>344</v>
      </c>
      <c r="C42" s="178">
        <v>2018</v>
      </c>
      <c r="D42" s="179" t="s">
        <v>424</v>
      </c>
      <c r="E42" s="178" t="s">
        <v>286</v>
      </c>
      <c r="F42" s="177" t="s">
        <v>294</v>
      </c>
      <c r="G42" s="180" t="s">
        <v>42</v>
      </c>
      <c r="H42" s="137" t="s">
        <v>165</v>
      </c>
      <c r="I42" s="137" t="s">
        <v>155</v>
      </c>
      <c r="J42" s="137" t="s">
        <v>38</v>
      </c>
      <c r="K42" s="137" t="s">
        <v>156</v>
      </c>
      <c r="L42" s="208">
        <v>2</v>
      </c>
      <c r="N42" s="208">
        <v>1</v>
      </c>
      <c r="O42" s="208">
        <v>0.45</v>
      </c>
      <c r="P42" s="208">
        <v>0.4</v>
      </c>
      <c r="Q42" s="245">
        <f t="shared" si="0"/>
        <v>0.42500000000000004</v>
      </c>
      <c r="R42" s="188">
        <v>17</v>
      </c>
      <c r="S42" s="188">
        <v>153</v>
      </c>
      <c r="T42" s="217">
        <f t="shared" si="1"/>
        <v>30</v>
      </c>
      <c r="U42" s="193">
        <v>127</v>
      </c>
      <c r="V42" s="184">
        <f t="shared" si="2"/>
        <v>3810</v>
      </c>
      <c r="W42" s="247">
        <v>8</v>
      </c>
      <c r="X42" s="186" t="s">
        <v>46</v>
      </c>
      <c r="Y42" s="198" t="s">
        <v>64</v>
      </c>
      <c r="Z42" s="198" t="s">
        <v>69</v>
      </c>
      <c r="AA42" s="198" t="s">
        <v>97</v>
      </c>
      <c r="AB42" s="55" t="s">
        <v>346</v>
      </c>
    </row>
    <row r="43" spans="1:28" ht="12.75" customHeight="1" x14ac:dyDescent="0.15">
      <c r="A43" s="137" t="s">
        <v>34</v>
      </c>
      <c r="B43" s="177" t="s">
        <v>344</v>
      </c>
      <c r="C43" s="178">
        <v>2018</v>
      </c>
      <c r="D43" s="179" t="s">
        <v>424</v>
      </c>
      <c r="E43" s="178" t="s">
        <v>286</v>
      </c>
      <c r="F43" s="177" t="s">
        <v>294</v>
      </c>
      <c r="G43" s="180" t="s">
        <v>42</v>
      </c>
      <c r="H43" s="137" t="s">
        <v>165</v>
      </c>
      <c r="I43" s="137" t="s">
        <v>155</v>
      </c>
      <c r="J43" s="137" t="s">
        <v>38</v>
      </c>
      <c r="K43" s="137" t="s">
        <v>156</v>
      </c>
      <c r="L43" s="208">
        <v>3</v>
      </c>
      <c r="N43" s="208">
        <v>1</v>
      </c>
      <c r="O43" s="208">
        <v>0.35</v>
      </c>
      <c r="P43" s="208">
        <v>0.4</v>
      </c>
      <c r="Q43" s="245">
        <f t="shared" si="0"/>
        <v>0.375</v>
      </c>
      <c r="R43" s="188">
        <v>16.3</v>
      </c>
      <c r="S43" s="188">
        <v>156</v>
      </c>
      <c r="T43" s="217">
        <f t="shared" si="1"/>
        <v>30</v>
      </c>
      <c r="U43" s="193">
        <v>127</v>
      </c>
      <c r="V43" s="184">
        <f t="shared" si="2"/>
        <v>3810</v>
      </c>
      <c r="W43" s="247">
        <v>8</v>
      </c>
      <c r="X43" s="186" t="s">
        <v>46</v>
      </c>
      <c r="Y43" s="198" t="s">
        <v>64</v>
      </c>
      <c r="Z43" s="198" t="s">
        <v>69</v>
      </c>
      <c r="AA43" s="198" t="s">
        <v>97</v>
      </c>
      <c r="AB43" s="55" t="s">
        <v>346</v>
      </c>
    </row>
    <row r="44" spans="1:28" x14ac:dyDescent="0.15">
      <c r="A44" s="208" t="s">
        <v>34</v>
      </c>
      <c r="B44" s="177" t="s">
        <v>344</v>
      </c>
      <c r="C44" s="178">
        <v>2018</v>
      </c>
      <c r="D44" s="179" t="s">
        <v>424</v>
      </c>
      <c r="E44" s="178" t="s">
        <v>139</v>
      </c>
      <c r="F44" s="177" t="s">
        <v>294</v>
      </c>
      <c r="G44" s="180" t="s">
        <v>36</v>
      </c>
      <c r="H44" s="137" t="s">
        <v>127</v>
      </c>
      <c r="I44" s="137" t="s">
        <v>155</v>
      </c>
      <c r="J44" s="247" t="s">
        <v>80</v>
      </c>
      <c r="K44" s="137" t="s">
        <v>45</v>
      </c>
      <c r="L44" s="208">
        <v>1</v>
      </c>
      <c r="N44" s="208">
        <v>4</v>
      </c>
      <c r="O44" s="208">
        <v>1.1000000000000001</v>
      </c>
      <c r="P44" s="208">
        <v>0.85</v>
      </c>
      <c r="Q44" s="245">
        <f t="shared" si="0"/>
        <v>0.97500000000000009</v>
      </c>
      <c r="R44" s="188">
        <v>12.6</v>
      </c>
      <c r="S44" s="188">
        <v>102</v>
      </c>
      <c r="T44" s="217">
        <f t="shared" si="1"/>
        <v>33</v>
      </c>
      <c r="U44" s="193">
        <v>321</v>
      </c>
      <c r="V44" s="217">
        <f t="shared" si="2"/>
        <v>2648.25</v>
      </c>
      <c r="W44" s="208">
        <v>16</v>
      </c>
      <c r="X44" s="186" t="s">
        <v>46</v>
      </c>
      <c r="Y44" s="198" t="s">
        <v>88</v>
      </c>
      <c r="Z44" s="198" t="s">
        <v>64</v>
      </c>
      <c r="AA44" s="198" t="s">
        <v>97</v>
      </c>
      <c r="AB44" s="55" t="s">
        <v>346</v>
      </c>
    </row>
    <row r="45" spans="1:28" x14ac:dyDescent="0.15">
      <c r="A45" s="208" t="s">
        <v>34</v>
      </c>
      <c r="B45" s="177" t="s">
        <v>344</v>
      </c>
      <c r="C45" s="177">
        <v>2018</v>
      </c>
      <c r="D45" s="179" t="s">
        <v>424</v>
      </c>
      <c r="E45" s="178" t="s">
        <v>139</v>
      </c>
      <c r="F45" s="177" t="s">
        <v>294</v>
      </c>
      <c r="G45" s="180" t="s">
        <v>36</v>
      </c>
      <c r="H45" s="137" t="s">
        <v>127</v>
      </c>
      <c r="I45" s="137" t="s">
        <v>155</v>
      </c>
      <c r="J45" s="247" t="s">
        <v>80</v>
      </c>
      <c r="K45" s="137" t="s">
        <v>45</v>
      </c>
      <c r="L45" s="208">
        <v>2</v>
      </c>
      <c r="N45" s="208">
        <v>4</v>
      </c>
      <c r="O45" s="208">
        <v>0.85</v>
      </c>
      <c r="P45" s="208">
        <v>0.9</v>
      </c>
      <c r="Q45" s="245">
        <f t="shared" si="0"/>
        <v>0.875</v>
      </c>
      <c r="R45" s="188">
        <v>13.3</v>
      </c>
      <c r="S45" s="188">
        <v>104</v>
      </c>
      <c r="T45" s="217">
        <f t="shared" si="1"/>
        <v>33</v>
      </c>
      <c r="U45" s="193">
        <v>321</v>
      </c>
      <c r="V45" s="217">
        <f t="shared" si="2"/>
        <v>2648.25</v>
      </c>
      <c r="W45" s="208">
        <v>16</v>
      </c>
      <c r="X45" s="186" t="s">
        <v>46</v>
      </c>
      <c r="Y45" s="198" t="s">
        <v>88</v>
      </c>
      <c r="Z45" s="198" t="s">
        <v>64</v>
      </c>
      <c r="AA45" s="198" t="s">
        <v>97</v>
      </c>
      <c r="AB45" s="55" t="s">
        <v>346</v>
      </c>
    </row>
    <row r="46" spans="1:28" x14ac:dyDescent="0.15">
      <c r="A46" s="208" t="s">
        <v>34</v>
      </c>
      <c r="B46" s="177" t="s">
        <v>344</v>
      </c>
      <c r="C46" s="178">
        <v>2018</v>
      </c>
      <c r="D46" s="179" t="s">
        <v>424</v>
      </c>
      <c r="E46" s="178" t="s">
        <v>139</v>
      </c>
      <c r="F46" s="177" t="s">
        <v>294</v>
      </c>
      <c r="G46" s="180" t="s">
        <v>36</v>
      </c>
      <c r="H46" s="137" t="s">
        <v>127</v>
      </c>
      <c r="I46" s="137" t="s">
        <v>155</v>
      </c>
      <c r="J46" s="247" t="s">
        <v>80</v>
      </c>
      <c r="K46" s="137" t="s">
        <v>45</v>
      </c>
      <c r="L46" s="208">
        <v>3</v>
      </c>
      <c r="N46" s="208">
        <v>4</v>
      </c>
      <c r="O46" s="208">
        <v>0.9</v>
      </c>
      <c r="P46" s="208">
        <v>0.85</v>
      </c>
      <c r="Q46" s="245">
        <f t="shared" si="0"/>
        <v>0.875</v>
      </c>
      <c r="R46" s="188">
        <v>13.4</v>
      </c>
      <c r="S46" s="188">
        <v>100</v>
      </c>
      <c r="T46" s="217">
        <f t="shared" si="1"/>
        <v>33</v>
      </c>
      <c r="U46" s="193">
        <v>321</v>
      </c>
      <c r="V46" s="217">
        <f t="shared" si="2"/>
        <v>2648.25</v>
      </c>
      <c r="W46" s="208">
        <v>16</v>
      </c>
      <c r="X46" s="186" t="s">
        <v>46</v>
      </c>
      <c r="Y46" s="198" t="s">
        <v>88</v>
      </c>
      <c r="Z46" s="198" t="s">
        <v>64</v>
      </c>
      <c r="AA46" s="198" t="s">
        <v>97</v>
      </c>
      <c r="AB46" s="55" t="s">
        <v>346</v>
      </c>
    </row>
    <row r="47" spans="1:28" x14ac:dyDescent="0.15">
      <c r="A47" s="208" t="s">
        <v>34</v>
      </c>
      <c r="B47" s="235" t="s">
        <v>344</v>
      </c>
      <c r="C47" s="208">
        <v>2018</v>
      </c>
      <c r="D47" s="179" t="s">
        <v>424</v>
      </c>
      <c r="E47" s="208" t="s">
        <v>139</v>
      </c>
      <c r="F47" s="177" t="s">
        <v>294</v>
      </c>
      <c r="G47" s="180" t="s">
        <v>36</v>
      </c>
      <c r="H47" s="137" t="s">
        <v>165</v>
      </c>
      <c r="I47" s="137" t="s">
        <v>155</v>
      </c>
      <c r="J47" s="247" t="s">
        <v>38</v>
      </c>
      <c r="K47" s="137" t="s">
        <v>156</v>
      </c>
      <c r="L47" s="208">
        <v>1</v>
      </c>
      <c r="N47" s="208">
        <v>1</v>
      </c>
      <c r="O47" s="208">
        <v>0.55000000000000004</v>
      </c>
      <c r="P47" s="208">
        <v>0.6</v>
      </c>
      <c r="Q47" s="245">
        <f t="shared" si="0"/>
        <v>0.57499999999999996</v>
      </c>
      <c r="R47" s="188">
        <v>16.5</v>
      </c>
      <c r="S47" s="188">
        <v>146</v>
      </c>
      <c r="T47" s="217">
        <f t="shared" si="1"/>
        <v>30</v>
      </c>
      <c r="U47" s="208">
        <v>147</v>
      </c>
      <c r="V47" s="217">
        <f t="shared" si="2"/>
        <v>4410</v>
      </c>
      <c r="W47" s="208">
        <v>16</v>
      </c>
      <c r="X47" s="186" t="s">
        <v>46</v>
      </c>
      <c r="Y47" s="208" t="s">
        <v>88</v>
      </c>
      <c r="Z47" s="208" t="s">
        <v>64</v>
      </c>
      <c r="AA47" s="208" t="s">
        <v>97</v>
      </c>
      <c r="AB47" s="55" t="s">
        <v>346</v>
      </c>
    </row>
    <row r="48" spans="1:28" x14ac:dyDescent="0.15">
      <c r="A48" s="208" t="s">
        <v>34</v>
      </c>
      <c r="B48" s="235" t="s">
        <v>344</v>
      </c>
      <c r="C48" s="208">
        <v>2018</v>
      </c>
      <c r="D48" s="179" t="s">
        <v>424</v>
      </c>
      <c r="E48" s="208" t="s">
        <v>139</v>
      </c>
      <c r="F48" s="177" t="s">
        <v>294</v>
      </c>
      <c r="G48" s="180" t="s">
        <v>36</v>
      </c>
      <c r="H48" s="137" t="s">
        <v>165</v>
      </c>
      <c r="I48" s="137" t="s">
        <v>155</v>
      </c>
      <c r="J48" s="247" t="s">
        <v>38</v>
      </c>
      <c r="K48" s="137" t="s">
        <v>156</v>
      </c>
      <c r="L48" s="208">
        <v>2</v>
      </c>
      <c r="N48" s="208">
        <v>1</v>
      </c>
      <c r="O48" s="208">
        <v>0.45</v>
      </c>
      <c r="P48" s="208">
        <v>0.5</v>
      </c>
      <c r="Q48" s="245">
        <f t="shared" si="0"/>
        <v>0.47499999999999998</v>
      </c>
      <c r="R48" s="188">
        <v>17.399999999999999</v>
      </c>
      <c r="S48" s="188">
        <v>144</v>
      </c>
      <c r="T48" s="217">
        <f t="shared" si="1"/>
        <v>30</v>
      </c>
      <c r="U48" s="208">
        <v>147</v>
      </c>
      <c r="V48" s="217">
        <f t="shared" si="2"/>
        <v>4410</v>
      </c>
      <c r="W48" s="208">
        <v>16</v>
      </c>
      <c r="X48" s="186" t="s">
        <v>46</v>
      </c>
      <c r="Y48" s="208" t="s">
        <v>88</v>
      </c>
      <c r="Z48" s="208" t="s">
        <v>64</v>
      </c>
      <c r="AA48" s="208" t="s">
        <v>97</v>
      </c>
      <c r="AB48" s="55" t="s">
        <v>346</v>
      </c>
    </row>
    <row r="49" spans="1:28" x14ac:dyDescent="0.15">
      <c r="A49" s="208" t="s">
        <v>34</v>
      </c>
      <c r="B49" s="235" t="s">
        <v>344</v>
      </c>
      <c r="C49" s="208">
        <v>2018</v>
      </c>
      <c r="D49" s="179" t="s">
        <v>424</v>
      </c>
      <c r="E49" s="208" t="s">
        <v>139</v>
      </c>
      <c r="F49" s="177" t="s">
        <v>294</v>
      </c>
      <c r="G49" s="180" t="s">
        <v>36</v>
      </c>
      <c r="H49" s="137" t="s">
        <v>165</v>
      </c>
      <c r="I49" s="137" t="s">
        <v>155</v>
      </c>
      <c r="J49" s="247" t="s">
        <v>38</v>
      </c>
      <c r="K49" s="137" t="s">
        <v>156</v>
      </c>
      <c r="L49" s="208">
        <v>3</v>
      </c>
      <c r="N49" s="208">
        <v>1</v>
      </c>
      <c r="O49" s="208">
        <v>0.5</v>
      </c>
      <c r="P49" s="208">
        <v>0.45</v>
      </c>
      <c r="Q49" s="245">
        <f t="shared" si="0"/>
        <v>0.47499999999999998</v>
      </c>
      <c r="R49" s="188">
        <v>16.600000000000001</v>
      </c>
      <c r="S49" s="188">
        <v>147</v>
      </c>
      <c r="T49" s="217">
        <f t="shared" si="1"/>
        <v>30</v>
      </c>
      <c r="U49" s="208">
        <v>147</v>
      </c>
      <c r="V49" s="217">
        <f t="shared" si="2"/>
        <v>4410</v>
      </c>
      <c r="W49" s="208">
        <v>16</v>
      </c>
      <c r="X49" s="186" t="s">
        <v>46</v>
      </c>
      <c r="Y49" s="208" t="s">
        <v>88</v>
      </c>
      <c r="Z49" s="208" t="s">
        <v>64</v>
      </c>
      <c r="AA49" s="208" t="s">
        <v>97</v>
      </c>
      <c r="AB49" s="55" t="s">
        <v>346</v>
      </c>
    </row>
    <row r="50" spans="1:28" x14ac:dyDescent="0.15">
      <c r="A50" s="208" t="s">
        <v>34</v>
      </c>
      <c r="B50" s="208" t="s">
        <v>344</v>
      </c>
      <c r="C50" s="208">
        <v>2018</v>
      </c>
      <c r="D50" s="179" t="s">
        <v>424</v>
      </c>
      <c r="E50" s="208" t="s">
        <v>133</v>
      </c>
      <c r="F50" s="177" t="s">
        <v>288</v>
      </c>
      <c r="G50" s="180" t="s">
        <v>36</v>
      </c>
      <c r="H50" s="247" t="s">
        <v>157</v>
      </c>
      <c r="I50" s="247" t="s">
        <v>155</v>
      </c>
      <c r="J50" s="247" t="s">
        <v>38</v>
      </c>
      <c r="K50" s="137" t="s">
        <v>156</v>
      </c>
      <c r="L50" s="208">
        <v>1</v>
      </c>
      <c r="N50" s="208">
        <v>1</v>
      </c>
      <c r="O50" s="208">
        <v>0.7</v>
      </c>
      <c r="P50" s="208">
        <v>0.6</v>
      </c>
      <c r="Q50" s="245">
        <f t="shared" si="0"/>
        <v>0.64999999999999991</v>
      </c>
      <c r="R50" s="208">
        <v>15.1</v>
      </c>
      <c r="S50" s="208">
        <v>174</v>
      </c>
      <c r="T50" s="217">
        <f t="shared" si="1"/>
        <v>30</v>
      </c>
      <c r="U50" s="208">
        <v>98</v>
      </c>
      <c r="V50" s="217">
        <f t="shared" si="2"/>
        <v>2940</v>
      </c>
      <c r="W50" s="208">
        <v>24</v>
      </c>
      <c r="X50" s="186" t="s">
        <v>46</v>
      </c>
      <c r="Y50" s="208" t="s">
        <v>88</v>
      </c>
      <c r="Z50" s="208" t="s">
        <v>69</v>
      </c>
      <c r="AA50" s="208" t="s">
        <v>97</v>
      </c>
      <c r="AB50" s="208" t="s">
        <v>346</v>
      </c>
    </row>
    <row r="51" spans="1:28" x14ac:dyDescent="0.15">
      <c r="A51" s="208" t="s">
        <v>34</v>
      </c>
      <c r="B51" s="208" t="s">
        <v>344</v>
      </c>
      <c r="C51" s="208">
        <v>2018</v>
      </c>
      <c r="D51" s="179" t="s">
        <v>424</v>
      </c>
      <c r="E51" s="208" t="s">
        <v>133</v>
      </c>
      <c r="F51" s="177" t="s">
        <v>288</v>
      </c>
      <c r="G51" s="180" t="s">
        <v>36</v>
      </c>
      <c r="H51" s="247" t="s">
        <v>157</v>
      </c>
      <c r="I51" s="247" t="s">
        <v>155</v>
      </c>
      <c r="J51" s="247" t="s">
        <v>38</v>
      </c>
      <c r="K51" s="137" t="s">
        <v>156</v>
      </c>
      <c r="L51" s="208">
        <v>2</v>
      </c>
      <c r="N51" s="208">
        <v>1</v>
      </c>
      <c r="O51" s="208">
        <v>0.6</v>
      </c>
      <c r="P51" s="208">
        <v>0.65</v>
      </c>
      <c r="Q51" s="245">
        <f t="shared" si="0"/>
        <v>0.625</v>
      </c>
      <c r="R51" s="208">
        <v>14.3</v>
      </c>
      <c r="S51" s="208">
        <v>162</v>
      </c>
      <c r="T51" s="217">
        <f t="shared" si="1"/>
        <v>30</v>
      </c>
      <c r="U51" s="208">
        <v>98</v>
      </c>
      <c r="V51" s="217">
        <f t="shared" si="2"/>
        <v>2940</v>
      </c>
      <c r="W51" s="208">
        <v>24</v>
      </c>
      <c r="X51" s="186" t="s">
        <v>46</v>
      </c>
      <c r="Y51" s="208" t="s">
        <v>88</v>
      </c>
      <c r="Z51" s="208" t="s">
        <v>69</v>
      </c>
      <c r="AA51" s="208" t="s">
        <v>97</v>
      </c>
      <c r="AB51" s="208" t="s">
        <v>346</v>
      </c>
    </row>
    <row r="52" spans="1:28" x14ac:dyDescent="0.15">
      <c r="A52" s="208" t="s">
        <v>34</v>
      </c>
      <c r="B52" s="208" t="s">
        <v>344</v>
      </c>
      <c r="C52" s="208">
        <v>2018</v>
      </c>
      <c r="D52" s="179" t="s">
        <v>424</v>
      </c>
      <c r="E52" s="208" t="s">
        <v>133</v>
      </c>
      <c r="F52" s="177" t="s">
        <v>288</v>
      </c>
      <c r="G52" s="180" t="s">
        <v>36</v>
      </c>
      <c r="H52" s="247" t="s">
        <v>157</v>
      </c>
      <c r="I52" s="247" t="s">
        <v>155</v>
      </c>
      <c r="J52" s="247" t="s">
        <v>38</v>
      </c>
      <c r="K52" s="137" t="s">
        <v>156</v>
      </c>
      <c r="L52" s="208">
        <v>3</v>
      </c>
      <c r="N52" s="208">
        <v>1</v>
      </c>
      <c r="O52" s="208">
        <v>0.75</v>
      </c>
      <c r="P52" s="208">
        <v>0.6</v>
      </c>
      <c r="Q52" s="245">
        <f t="shared" si="0"/>
        <v>0.67500000000000004</v>
      </c>
      <c r="R52" s="208">
        <v>14.6</v>
      </c>
      <c r="S52" s="208">
        <v>167</v>
      </c>
      <c r="T52" s="217">
        <f t="shared" si="1"/>
        <v>30</v>
      </c>
      <c r="U52" s="208">
        <v>98</v>
      </c>
      <c r="V52" s="217">
        <f t="shared" si="2"/>
        <v>2940</v>
      </c>
      <c r="W52" s="208">
        <v>24</v>
      </c>
      <c r="X52" s="186" t="s">
        <v>46</v>
      </c>
      <c r="Y52" s="208" t="s">
        <v>88</v>
      </c>
      <c r="Z52" s="208" t="s">
        <v>69</v>
      </c>
      <c r="AA52" s="208" t="s">
        <v>97</v>
      </c>
      <c r="AB52" s="208" t="s">
        <v>346</v>
      </c>
    </row>
    <row r="53" spans="1:28" x14ac:dyDescent="0.15">
      <c r="A53" s="208" t="s">
        <v>34</v>
      </c>
      <c r="B53" s="208" t="s">
        <v>344</v>
      </c>
      <c r="C53" s="208">
        <v>2018</v>
      </c>
      <c r="D53" s="179" t="s">
        <v>424</v>
      </c>
      <c r="E53" s="208" t="s">
        <v>133</v>
      </c>
      <c r="F53" s="177" t="s">
        <v>288</v>
      </c>
      <c r="G53" s="180" t="s">
        <v>36</v>
      </c>
      <c r="H53" s="247" t="s">
        <v>165</v>
      </c>
      <c r="I53" s="247" t="s">
        <v>155</v>
      </c>
      <c r="J53" s="247" t="s">
        <v>38</v>
      </c>
      <c r="K53" s="137" t="s">
        <v>156</v>
      </c>
      <c r="L53" s="208">
        <v>1</v>
      </c>
      <c r="N53" s="208">
        <v>1</v>
      </c>
      <c r="O53" s="208">
        <v>0.6</v>
      </c>
      <c r="P53" s="208">
        <v>0.5</v>
      </c>
      <c r="Q53" s="245">
        <f t="shared" si="0"/>
        <v>0.55000000000000004</v>
      </c>
      <c r="R53" s="208">
        <v>15.3</v>
      </c>
      <c r="S53" s="208">
        <v>159</v>
      </c>
      <c r="T53" s="217">
        <f t="shared" si="1"/>
        <v>30</v>
      </c>
      <c r="U53" s="208">
        <v>149</v>
      </c>
      <c r="V53" s="217">
        <f t="shared" si="2"/>
        <v>4470</v>
      </c>
      <c r="W53" s="208">
        <v>24</v>
      </c>
      <c r="X53" s="186" t="s">
        <v>46</v>
      </c>
      <c r="Y53" s="208" t="s">
        <v>88</v>
      </c>
      <c r="Z53" s="208" t="s">
        <v>69</v>
      </c>
      <c r="AA53" s="208" t="s">
        <v>97</v>
      </c>
      <c r="AB53" s="208" t="s">
        <v>346</v>
      </c>
    </row>
    <row r="54" spans="1:28" x14ac:dyDescent="0.15">
      <c r="A54" s="208" t="s">
        <v>34</v>
      </c>
      <c r="B54" s="208" t="s">
        <v>344</v>
      </c>
      <c r="C54" s="208">
        <v>2018</v>
      </c>
      <c r="D54" s="179" t="s">
        <v>424</v>
      </c>
      <c r="E54" s="208" t="s">
        <v>133</v>
      </c>
      <c r="F54" s="177" t="s">
        <v>288</v>
      </c>
      <c r="G54" s="180" t="s">
        <v>36</v>
      </c>
      <c r="H54" s="247" t="s">
        <v>165</v>
      </c>
      <c r="I54" s="247" t="s">
        <v>155</v>
      </c>
      <c r="J54" s="247" t="s">
        <v>38</v>
      </c>
      <c r="K54" s="137" t="s">
        <v>156</v>
      </c>
      <c r="L54" s="208">
        <v>2</v>
      </c>
      <c r="N54" s="208">
        <v>1</v>
      </c>
      <c r="O54" s="208">
        <v>0.5</v>
      </c>
      <c r="P54" s="208">
        <v>0.55000000000000004</v>
      </c>
      <c r="Q54" s="245">
        <f t="shared" si="0"/>
        <v>0.52500000000000002</v>
      </c>
      <c r="R54" s="208">
        <v>15.7</v>
      </c>
      <c r="S54" s="208">
        <v>162</v>
      </c>
      <c r="T54" s="217">
        <f t="shared" si="1"/>
        <v>30</v>
      </c>
      <c r="U54" s="208">
        <v>149</v>
      </c>
      <c r="V54" s="217">
        <f t="shared" si="2"/>
        <v>4470</v>
      </c>
      <c r="W54" s="208">
        <v>24</v>
      </c>
      <c r="X54" s="186" t="s">
        <v>46</v>
      </c>
      <c r="Y54" s="208" t="s">
        <v>88</v>
      </c>
      <c r="Z54" s="208" t="s">
        <v>69</v>
      </c>
      <c r="AA54" s="208" t="s">
        <v>97</v>
      </c>
      <c r="AB54" s="208" t="s">
        <v>346</v>
      </c>
    </row>
    <row r="55" spans="1:28" x14ac:dyDescent="0.15">
      <c r="A55" s="208" t="s">
        <v>34</v>
      </c>
      <c r="B55" s="208" t="s">
        <v>344</v>
      </c>
      <c r="C55" s="208">
        <v>2018</v>
      </c>
      <c r="D55" s="179" t="s">
        <v>424</v>
      </c>
      <c r="E55" s="208" t="s">
        <v>133</v>
      </c>
      <c r="F55" s="177" t="s">
        <v>288</v>
      </c>
      <c r="G55" s="180" t="s">
        <v>36</v>
      </c>
      <c r="H55" s="247" t="s">
        <v>165</v>
      </c>
      <c r="I55" s="247" t="s">
        <v>155</v>
      </c>
      <c r="J55" s="247" t="s">
        <v>38</v>
      </c>
      <c r="K55" s="137" t="s">
        <v>156</v>
      </c>
      <c r="L55" s="208">
        <v>3</v>
      </c>
      <c r="N55" s="208">
        <v>1</v>
      </c>
      <c r="O55" s="208">
        <v>0.55000000000000004</v>
      </c>
      <c r="P55" s="208">
        <v>0.45</v>
      </c>
      <c r="Q55" s="245">
        <f t="shared" si="0"/>
        <v>0.5</v>
      </c>
      <c r="R55" s="208">
        <v>15.4</v>
      </c>
      <c r="S55" s="208">
        <v>168</v>
      </c>
      <c r="T55" s="217">
        <f t="shared" si="1"/>
        <v>30</v>
      </c>
      <c r="U55" s="208">
        <v>149</v>
      </c>
      <c r="V55" s="217">
        <f t="shared" si="2"/>
        <v>4470</v>
      </c>
      <c r="W55" s="208">
        <v>24</v>
      </c>
      <c r="X55" s="186" t="s">
        <v>46</v>
      </c>
      <c r="Y55" s="208" t="s">
        <v>88</v>
      </c>
      <c r="Z55" s="208" t="s">
        <v>69</v>
      </c>
      <c r="AA55" s="208" t="s">
        <v>97</v>
      </c>
      <c r="AB55" s="208" t="s">
        <v>346</v>
      </c>
    </row>
    <row r="56" spans="1:28" x14ac:dyDescent="0.15">
      <c r="A56" s="208" t="s">
        <v>34</v>
      </c>
      <c r="B56" s="208" t="s">
        <v>344</v>
      </c>
      <c r="C56" s="208">
        <v>2018</v>
      </c>
      <c r="D56" s="179" t="s">
        <v>424</v>
      </c>
      <c r="E56" s="208" t="s">
        <v>211</v>
      </c>
      <c r="F56" s="177" t="s">
        <v>291</v>
      </c>
      <c r="G56" s="180" t="s">
        <v>36</v>
      </c>
      <c r="H56" s="247" t="s">
        <v>157</v>
      </c>
      <c r="I56" s="247" t="s">
        <v>155</v>
      </c>
      <c r="J56" s="247" t="s">
        <v>38</v>
      </c>
      <c r="K56" s="137" t="s">
        <v>156</v>
      </c>
      <c r="L56" s="208">
        <v>1</v>
      </c>
      <c r="N56" s="208">
        <v>1</v>
      </c>
      <c r="O56" s="208">
        <v>1.1000000000000001</v>
      </c>
      <c r="P56" s="208">
        <v>0.9</v>
      </c>
      <c r="Q56" s="245">
        <f t="shared" si="0"/>
        <v>1</v>
      </c>
      <c r="R56" s="208">
        <v>14.4</v>
      </c>
      <c r="S56" s="208">
        <v>124</v>
      </c>
      <c r="T56" s="217">
        <f t="shared" si="1"/>
        <v>30</v>
      </c>
      <c r="U56" s="208">
        <v>128</v>
      </c>
      <c r="V56" s="217">
        <f t="shared" si="2"/>
        <v>3840</v>
      </c>
      <c r="W56" s="208">
        <v>2</v>
      </c>
      <c r="X56" s="186" t="s">
        <v>46</v>
      </c>
      <c r="Y56" s="208" t="s">
        <v>86</v>
      </c>
      <c r="Z56" s="208" t="s">
        <v>78</v>
      </c>
      <c r="AA56" s="208" t="s">
        <v>97</v>
      </c>
      <c r="AB56" s="208" t="s">
        <v>346</v>
      </c>
    </row>
    <row r="57" spans="1:28" x14ac:dyDescent="0.15">
      <c r="A57" s="208" t="s">
        <v>34</v>
      </c>
      <c r="B57" s="208" t="s">
        <v>344</v>
      </c>
      <c r="C57" s="208">
        <v>2018</v>
      </c>
      <c r="D57" s="179" t="s">
        <v>424</v>
      </c>
      <c r="E57" s="208" t="s">
        <v>211</v>
      </c>
      <c r="F57" s="177" t="s">
        <v>291</v>
      </c>
      <c r="G57" s="180" t="s">
        <v>36</v>
      </c>
      <c r="H57" s="247" t="s">
        <v>157</v>
      </c>
      <c r="I57" s="247" t="s">
        <v>155</v>
      </c>
      <c r="J57" s="247" t="s">
        <v>38</v>
      </c>
      <c r="K57" s="137" t="s">
        <v>156</v>
      </c>
      <c r="L57" s="208">
        <v>2</v>
      </c>
      <c r="N57" s="208">
        <v>1</v>
      </c>
      <c r="O57" s="208">
        <v>0.45</v>
      </c>
      <c r="P57" s="208">
        <v>0.4</v>
      </c>
      <c r="Q57" s="245">
        <f t="shared" si="0"/>
        <v>0.42500000000000004</v>
      </c>
      <c r="R57" s="208">
        <v>15.2</v>
      </c>
      <c r="S57" s="208">
        <v>144</v>
      </c>
      <c r="T57" s="217">
        <f t="shared" si="1"/>
        <v>30</v>
      </c>
      <c r="U57" s="208">
        <v>128</v>
      </c>
      <c r="V57" s="217">
        <f t="shared" si="2"/>
        <v>3840</v>
      </c>
      <c r="W57" s="208">
        <v>2</v>
      </c>
      <c r="X57" s="186" t="s">
        <v>46</v>
      </c>
      <c r="Y57" s="208" t="s">
        <v>86</v>
      </c>
      <c r="Z57" s="208" t="s">
        <v>78</v>
      </c>
      <c r="AA57" s="208" t="s">
        <v>97</v>
      </c>
      <c r="AB57" s="208" t="s">
        <v>346</v>
      </c>
    </row>
    <row r="58" spans="1:28" x14ac:dyDescent="0.15">
      <c r="A58" s="208" t="s">
        <v>34</v>
      </c>
      <c r="B58" s="208" t="s">
        <v>344</v>
      </c>
      <c r="C58" s="208">
        <v>2018</v>
      </c>
      <c r="D58" s="179" t="s">
        <v>424</v>
      </c>
      <c r="E58" s="208" t="s">
        <v>211</v>
      </c>
      <c r="F58" s="177" t="s">
        <v>291</v>
      </c>
      <c r="G58" s="180" t="s">
        <v>36</v>
      </c>
      <c r="H58" s="247" t="s">
        <v>157</v>
      </c>
      <c r="I58" s="247" t="s">
        <v>155</v>
      </c>
      <c r="J58" s="247" t="s">
        <v>38</v>
      </c>
      <c r="K58" s="137" t="s">
        <v>156</v>
      </c>
      <c r="L58" s="208">
        <v>3</v>
      </c>
      <c r="N58" s="208">
        <v>1</v>
      </c>
      <c r="O58" s="208">
        <v>0.6</v>
      </c>
      <c r="P58" s="208">
        <v>0.5</v>
      </c>
      <c r="Q58" s="245">
        <f t="shared" si="0"/>
        <v>0.55000000000000004</v>
      </c>
      <c r="R58" s="208">
        <v>14.7</v>
      </c>
      <c r="S58" s="208">
        <v>124</v>
      </c>
      <c r="T58" s="217">
        <f t="shared" si="1"/>
        <v>30</v>
      </c>
      <c r="U58" s="208">
        <v>128</v>
      </c>
      <c r="V58" s="217">
        <f t="shared" si="2"/>
        <v>3840</v>
      </c>
      <c r="W58" s="208">
        <v>2</v>
      </c>
      <c r="X58" s="186" t="s">
        <v>46</v>
      </c>
      <c r="Y58" s="208" t="s">
        <v>86</v>
      </c>
      <c r="Z58" s="208" t="s">
        <v>78</v>
      </c>
      <c r="AA58" s="208" t="s">
        <v>97</v>
      </c>
      <c r="AB58" s="208" t="s">
        <v>346</v>
      </c>
    </row>
    <row r="59" spans="1:28" x14ac:dyDescent="0.15">
      <c r="A59" s="208" t="s">
        <v>34</v>
      </c>
      <c r="B59" s="208" t="s">
        <v>344</v>
      </c>
      <c r="C59" s="208">
        <v>2018</v>
      </c>
      <c r="D59" s="179" t="s">
        <v>424</v>
      </c>
      <c r="E59" s="208" t="s">
        <v>211</v>
      </c>
      <c r="F59" s="177" t="s">
        <v>291</v>
      </c>
      <c r="G59" s="180" t="s">
        <v>36</v>
      </c>
      <c r="H59" s="247" t="s">
        <v>165</v>
      </c>
      <c r="I59" s="247" t="s">
        <v>155</v>
      </c>
      <c r="J59" s="247" t="s">
        <v>38</v>
      </c>
      <c r="K59" s="137" t="s">
        <v>156</v>
      </c>
      <c r="L59" s="208">
        <v>1</v>
      </c>
      <c r="N59" s="208">
        <v>1</v>
      </c>
      <c r="O59" s="208">
        <v>0.5</v>
      </c>
      <c r="P59" s="208">
        <v>0.4</v>
      </c>
      <c r="Q59" s="245">
        <f t="shared" si="0"/>
        <v>0.45</v>
      </c>
      <c r="R59" s="208">
        <v>16.600000000000001</v>
      </c>
      <c r="S59" s="208">
        <v>156</v>
      </c>
      <c r="T59" s="217">
        <f t="shared" si="1"/>
        <v>30</v>
      </c>
      <c r="U59" s="208">
        <v>128</v>
      </c>
      <c r="V59" s="217">
        <f t="shared" si="2"/>
        <v>3840</v>
      </c>
      <c r="W59" s="208">
        <v>2</v>
      </c>
      <c r="X59" s="186" t="s">
        <v>46</v>
      </c>
      <c r="Y59" s="208" t="s">
        <v>86</v>
      </c>
      <c r="Z59" s="208" t="s">
        <v>78</v>
      </c>
      <c r="AA59" s="208" t="s">
        <v>97</v>
      </c>
      <c r="AB59" s="208" t="s">
        <v>346</v>
      </c>
    </row>
    <row r="60" spans="1:28" x14ac:dyDescent="0.15">
      <c r="A60" s="208" t="s">
        <v>34</v>
      </c>
      <c r="B60" s="208" t="s">
        <v>344</v>
      </c>
      <c r="C60" s="208">
        <v>2018</v>
      </c>
      <c r="D60" s="179" t="s">
        <v>424</v>
      </c>
      <c r="E60" s="208" t="s">
        <v>211</v>
      </c>
      <c r="F60" s="177" t="s">
        <v>291</v>
      </c>
      <c r="G60" s="180" t="s">
        <v>36</v>
      </c>
      <c r="H60" s="247" t="s">
        <v>165</v>
      </c>
      <c r="I60" s="247" t="s">
        <v>155</v>
      </c>
      <c r="J60" s="247" t="s">
        <v>38</v>
      </c>
      <c r="K60" s="137" t="s">
        <v>156</v>
      </c>
      <c r="L60" s="208">
        <v>2</v>
      </c>
      <c r="N60" s="208">
        <v>1</v>
      </c>
      <c r="O60" s="208">
        <v>0.5</v>
      </c>
      <c r="P60" s="208">
        <v>0.5</v>
      </c>
      <c r="Q60" s="245">
        <f t="shared" si="0"/>
        <v>0.5</v>
      </c>
      <c r="R60" s="208">
        <v>16.2</v>
      </c>
      <c r="S60" s="208">
        <v>151</v>
      </c>
      <c r="T60" s="217">
        <f t="shared" si="1"/>
        <v>30</v>
      </c>
      <c r="U60" s="208">
        <v>128</v>
      </c>
      <c r="V60" s="217">
        <f t="shared" si="2"/>
        <v>3840</v>
      </c>
      <c r="W60" s="208">
        <v>2</v>
      </c>
      <c r="X60" s="186" t="s">
        <v>46</v>
      </c>
      <c r="Y60" s="208" t="s">
        <v>86</v>
      </c>
      <c r="Z60" s="208" t="s">
        <v>78</v>
      </c>
      <c r="AA60" s="208" t="s">
        <v>97</v>
      </c>
      <c r="AB60" s="208" t="s">
        <v>346</v>
      </c>
    </row>
    <row r="61" spans="1:28" x14ac:dyDescent="0.15">
      <c r="A61" s="208" t="s">
        <v>34</v>
      </c>
      <c r="B61" s="208" t="s">
        <v>344</v>
      </c>
      <c r="C61" s="208">
        <v>2018</v>
      </c>
      <c r="D61" s="179" t="s">
        <v>424</v>
      </c>
      <c r="E61" s="208" t="s">
        <v>211</v>
      </c>
      <c r="F61" s="177" t="s">
        <v>291</v>
      </c>
      <c r="G61" s="180" t="s">
        <v>36</v>
      </c>
      <c r="H61" s="247" t="s">
        <v>165</v>
      </c>
      <c r="I61" s="247" t="s">
        <v>155</v>
      </c>
      <c r="J61" s="247" t="s">
        <v>38</v>
      </c>
      <c r="K61" s="137" t="s">
        <v>156</v>
      </c>
      <c r="L61" s="208">
        <v>3</v>
      </c>
      <c r="N61" s="208">
        <v>1</v>
      </c>
      <c r="O61" s="208">
        <v>0.4</v>
      </c>
      <c r="P61" s="208">
        <v>0.45</v>
      </c>
      <c r="Q61" s="245">
        <f t="shared" si="0"/>
        <v>0.42500000000000004</v>
      </c>
      <c r="R61" s="208">
        <v>17</v>
      </c>
      <c r="S61" s="208">
        <v>160</v>
      </c>
      <c r="T61" s="217">
        <f t="shared" si="1"/>
        <v>30</v>
      </c>
      <c r="U61" s="208">
        <v>128</v>
      </c>
      <c r="V61" s="217">
        <f t="shared" si="2"/>
        <v>3840</v>
      </c>
      <c r="W61" s="208">
        <v>2</v>
      </c>
      <c r="X61" s="186" t="s">
        <v>46</v>
      </c>
      <c r="Y61" s="208" t="s">
        <v>86</v>
      </c>
      <c r="Z61" s="208" t="s">
        <v>78</v>
      </c>
      <c r="AA61" s="208" t="s">
        <v>97</v>
      </c>
      <c r="AB61" s="208" t="s">
        <v>346</v>
      </c>
    </row>
    <row r="62" spans="1:28" x14ac:dyDescent="0.15">
      <c r="D62" s="199"/>
      <c r="F62" s="177"/>
      <c r="G62" s="180"/>
      <c r="H62" s="247"/>
      <c r="I62" s="247"/>
      <c r="J62" s="247"/>
      <c r="K62" s="137"/>
      <c r="Q62" s="245" t="str">
        <f t="shared" si="0"/>
        <v/>
      </c>
      <c r="T62" s="217" t="str">
        <f t="shared" si="1"/>
        <v/>
      </c>
      <c r="V62" s="217" t="str">
        <f t="shared" si="2"/>
        <v/>
      </c>
      <c r="X62" s="186"/>
    </row>
    <row r="63" spans="1:28" x14ac:dyDescent="0.15">
      <c r="D63" s="199"/>
      <c r="F63" s="177"/>
      <c r="G63" s="180"/>
      <c r="H63" s="247"/>
      <c r="I63" s="247"/>
      <c r="J63" s="247"/>
      <c r="K63" s="137"/>
      <c r="Q63" s="245" t="str">
        <f t="shared" si="0"/>
        <v/>
      </c>
      <c r="T63" s="217" t="str">
        <f t="shared" si="1"/>
        <v/>
      </c>
      <c r="V63" s="217" t="str">
        <f t="shared" si="2"/>
        <v/>
      </c>
      <c r="X63" s="186"/>
    </row>
    <row r="64" spans="1:28" x14ac:dyDescent="0.15">
      <c r="D64" s="199"/>
      <c r="F64" s="177"/>
      <c r="G64" s="180"/>
      <c r="H64" s="247"/>
      <c r="I64" s="247"/>
      <c r="J64" s="247"/>
      <c r="K64" s="137"/>
      <c r="Q64" s="245" t="str">
        <f t="shared" si="0"/>
        <v/>
      </c>
      <c r="T64" s="217" t="str">
        <f t="shared" si="1"/>
        <v/>
      </c>
      <c r="V64" s="217" t="str">
        <f t="shared" si="2"/>
        <v/>
      </c>
      <c r="X64" s="186"/>
    </row>
    <row r="65" spans="4:24" x14ac:dyDescent="0.15">
      <c r="D65" s="199"/>
      <c r="F65" s="177"/>
      <c r="G65" s="180"/>
      <c r="H65" s="247"/>
      <c r="I65" s="247"/>
      <c r="J65" s="247"/>
      <c r="K65" s="137"/>
      <c r="Q65" s="245" t="str">
        <f t="shared" si="0"/>
        <v/>
      </c>
      <c r="T65" s="217" t="str">
        <f t="shared" si="1"/>
        <v/>
      </c>
      <c r="V65" s="217" t="str">
        <f t="shared" si="2"/>
        <v/>
      </c>
      <c r="X65" s="186"/>
    </row>
    <row r="66" spans="4:24" x14ac:dyDescent="0.15">
      <c r="D66" s="199"/>
      <c r="F66" s="177"/>
      <c r="G66" s="180"/>
      <c r="H66" s="247"/>
      <c r="I66" s="247"/>
      <c r="J66" s="247"/>
      <c r="K66" s="137"/>
      <c r="Q66" s="245" t="str">
        <f t="shared" ref="Q66:Q91" si="3">IF(OR(O66="",P66=""),"",AVERAGE(O66,P66))</f>
        <v/>
      </c>
      <c r="T66" s="217" t="str">
        <f t="shared" ref="T66:T91" si="4">IF(H66="","",IF(OR(H66="GREEN",H66="GK"),IF(S66&gt;=$AX$2,VLOOKUP(S66,$AX$2:$AY$7,2,1),""),IF(S66&gt;=$AZ$2,VLOOKUP(S66,$AZ$2:$BA$7,2,1),"")))</f>
        <v/>
      </c>
      <c r="V66" s="217" t="str">
        <f t="shared" ref="V66:V91" si="5">IF(OR(N66="",U66="",T66=""),"",U66/N66*T66)</f>
        <v/>
      </c>
      <c r="X66" s="186"/>
    </row>
    <row r="67" spans="4:24" x14ac:dyDescent="0.15">
      <c r="D67" s="199"/>
      <c r="F67" s="177"/>
      <c r="G67" s="180"/>
      <c r="H67" s="247"/>
      <c r="I67" s="247"/>
      <c r="J67" s="247"/>
      <c r="K67" s="137"/>
      <c r="Q67" s="245" t="str">
        <f t="shared" si="3"/>
        <v/>
      </c>
      <c r="T67" s="217" t="str">
        <f t="shared" si="4"/>
        <v/>
      </c>
      <c r="V67" s="217" t="str">
        <f t="shared" si="5"/>
        <v/>
      </c>
      <c r="X67" s="186"/>
    </row>
    <row r="68" spans="4:24" x14ac:dyDescent="0.15">
      <c r="D68" s="199"/>
      <c r="F68" s="177"/>
      <c r="G68" s="180"/>
      <c r="H68" s="247"/>
      <c r="I68" s="247"/>
      <c r="J68" s="247"/>
      <c r="K68" s="137"/>
      <c r="Q68" s="245" t="str">
        <f t="shared" si="3"/>
        <v/>
      </c>
      <c r="T68" s="217" t="str">
        <f t="shared" si="4"/>
        <v/>
      </c>
      <c r="V68" s="217" t="str">
        <f t="shared" si="5"/>
        <v/>
      </c>
      <c r="X68" s="186"/>
    </row>
    <row r="69" spans="4:24" x14ac:dyDescent="0.15">
      <c r="D69" s="199"/>
      <c r="F69" s="177"/>
      <c r="G69" s="180"/>
      <c r="H69" s="247"/>
      <c r="I69" s="247"/>
      <c r="J69" s="247"/>
      <c r="K69" s="137"/>
      <c r="Q69" s="245" t="str">
        <f t="shared" si="3"/>
        <v/>
      </c>
      <c r="T69" s="217" t="str">
        <f t="shared" si="4"/>
        <v/>
      </c>
      <c r="V69" s="217" t="str">
        <f t="shared" si="5"/>
        <v/>
      </c>
      <c r="X69" s="186"/>
    </row>
    <row r="70" spans="4:24" x14ac:dyDescent="0.15">
      <c r="D70" s="199"/>
      <c r="F70" s="177"/>
      <c r="G70" s="180"/>
      <c r="H70" s="247"/>
      <c r="I70" s="247"/>
      <c r="J70" s="247"/>
      <c r="K70" s="137"/>
      <c r="Q70" s="245" t="str">
        <f t="shared" si="3"/>
        <v/>
      </c>
      <c r="T70" s="217" t="str">
        <f t="shared" si="4"/>
        <v/>
      </c>
      <c r="V70" s="217" t="str">
        <f t="shared" si="5"/>
        <v/>
      </c>
      <c r="X70" s="186"/>
    </row>
    <row r="71" spans="4:24" x14ac:dyDescent="0.15">
      <c r="D71" s="199"/>
      <c r="F71" s="177"/>
      <c r="G71" s="180"/>
      <c r="H71" s="247"/>
      <c r="I71" s="247"/>
      <c r="J71" s="247"/>
      <c r="K71" s="137"/>
      <c r="Q71" s="245" t="str">
        <f t="shared" si="3"/>
        <v/>
      </c>
      <c r="T71" s="217" t="str">
        <f t="shared" si="4"/>
        <v/>
      </c>
      <c r="V71" s="217" t="str">
        <f t="shared" si="5"/>
        <v/>
      </c>
      <c r="X71" s="186"/>
    </row>
    <row r="72" spans="4:24" x14ac:dyDescent="0.15">
      <c r="D72" s="199"/>
      <c r="F72" s="177"/>
      <c r="G72" s="180"/>
      <c r="H72" s="247"/>
      <c r="I72" s="247"/>
      <c r="J72" s="247"/>
      <c r="K72" s="137"/>
      <c r="Q72" s="245" t="str">
        <f t="shared" si="3"/>
        <v/>
      </c>
      <c r="T72" s="217" t="str">
        <f t="shared" si="4"/>
        <v/>
      </c>
      <c r="V72" s="217" t="str">
        <f t="shared" si="5"/>
        <v/>
      </c>
      <c r="X72" s="186"/>
    </row>
    <row r="73" spans="4:24" x14ac:dyDescent="0.15">
      <c r="D73" s="199"/>
      <c r="F73" s="177"/>
      <c r="G73" s="180"/>
      <c r="H73" s="247"/>
      <c r="I73" s="247"/>
      <c r="J73" s="247"/>
      <c r="K73" s="137"/>
      <c r="Q73" s="245" t="str">
        <f t="shared" si="3"/>
        <v/>
      </c>
      <c r="T73" s="217" t="str">
        <f t="shared" si="4"/>
        <v/>
      </c>
      <c r="V73" s="217" t="str">
        <f t="shared" si="5"/>
        <v/>
      </c>
      <c r="X73" s="186"/>
    </row>
    <row r="74" spans="4:24" x14ac:dyDescent="0.15">
      <c r="D74" s="199"/>
      <c r="F74" s="177"/>
      <c r="G74" s="180"/>
      <c r="H74" s="247"/>
      <c r="I74" s="247"/>
      <c r="J74" s="247"/>
      <c r="K74" s="137"/>
      <c r="Q74" s="245" t="str">
        <f t="shared" si="3"/>
        <v/>
      </c>
      <c r="T74" s="217" t="str">
        <f t="shared" si="4"/>
        <v/>
      </c>
      <c r="V74" s="217" t="str">
        <f t="shared" si="5"/>
        <v/>
      </c>
      <c r="X74" s="186"/>
    </row>
    <row r="75" spans="4:24" x14ac:dyDescent="0.15">
      <c r="D75" s="199"/>
      <c r="F75" s="177"/>
      <c r="G75" s="180"/>
      <c r="H75" s="247"/>
      <c r="I75" s="247"/>
      <c r="J75" s="247"/>
      <c r="K75" s="137"/>
      <c r="Q75" s="245" t="str">
        <f t="shared" si="3"/>
        <v/>
      </c>
      <c r="T75" s="217" t="str">
        <f t="shared" si="4"/>
        <v/>
      </c>
      <c r="V75" s="217" t="str">
        <f t="shared" si="5"/>
        <v/>
      </c>
      <c r="X75" s="186"/>
    </row>
    <row r="76" spans="4:24" x14ac:dyDescent="0.15">
      <c r="D76" s="199"/>
      <c r="F76" s="177"/>
      <c r="G76" s="180"/>
      <c r="H76" s="247"/>
      <c r="I76" s="247"/>
      <c r="J76" s="247"/>
      <c r="K76" s="137"/>
      <c r="Q76" s="245" t="str">
        <f t="shared" si="3"/>
        <v/>
      </c>
      <c r="T76" s="217" t="str">
        <f t="shared" si="4"/>
        <v/>
      </c>
      <c r="V76" s="217" t="str">
        <f t="shared" si="5"/>
        <v/>
      </c>
      <c r="X76" s="186"/>
    </row>
    <row r="77" spans="4:24" x14ac:dyDescent="0.15">
      <c r="D77" s="199"/>
      <c r="F77" s="177"/>
      <c r="G77" s="180"/>
      <c r="H77" s="247"/>
      <c r="I77" s="247"/>
      <c r="J77" s="247"/>
      <c r="K77" s="137"/>
      <c r="Q77" s="245" t="str">
        <f t="shared" si="3"/>
        <v/>
      </c>
      <c r="T77" s="217" t="str">
        <f t="shared" si="4"/>
        <v/>
      </c>
      <c r="V77" s="217" t="str">
        <f t="shared" si="5"/>
        <v/>
      </c>
      <c r="X77" s="186"/>
    </row>
    <row r="78" spans="4:24" x14ac:dyDescent="0.15">
      <c r="D78" s="199"/>
      <c r="F78" s="177"/>
      <c r="G78" s="180"/>
      <c r="H78" s="247"/>
      <c r="I78" s="247"/>
      <c r="J78" s="247"/>
      <c r="K78" s="137"/>
      <c r="Q78" s="245" t="str">
        <f t="shared" si="3"/>
        <v/>
      </c>
      <c r="T78" s="217" t="str">
        <f t="shared" si="4"/>
        <v/>
      </c>
      <c r="V78" s="217" t="str">
        <f t="shared" si="5"/>
        <v/>
      </c>
      <c r="X78" s="186"/>
    </row>
    <row r="79" spans="4:24" x14ac:dyDescent="0.15">
      <c r="D79" s="199"/>
      <c r="F79" s="177"/>
      <c r="G79" s="180"/>
      <c r="H79" s="247"/>
      <c r="I79" s="247"/>
      <c r="J79" s="247"/>
      <c r="K79" s="137"/>
      <c r="Q79" s="245" t="str">
        <f t="shared" si="3"/>
        <v/>
      </c>
      <c r="T79" s="217" t="str">
        <f t="shared" si="4"/>
        <v/>
      </c>
      <c r="V79" s="217" t="str">
        <f t="shared" si="5"/>
        <v/>
      </c>
      <c r="X79" s="186"/>
    </row>
    <row r="80" spans="4:24" x14ac:dyDescent="0.15">
      <c r="H80" s="247"/>
      <c r="I80" s="247"/>
      <c r="J80" s="247"/>
      <c r="K80" s="137"/>
      <c r="Q80" s="245" t="str">
        <f t="shared" si="3"/>
        <v/>
      </c>
      <c r="T80" s="217" t="str">
        <f t="shared" si="4"/>
        <v/>
      </c>
      <c r="V80" s="217" t="str">
        <f t="shared" si="5"/>
        <v/>
      </c>
    </row>
    <row r="81" spans="8:22" x14ac:dyDescent="0.15">
      <c r="H81" s="247"/>
      <c r="I81" s="247"/>
      <c r="J81" s="247"/>
      <c r="K81" s="137"/>
      <c r="Q81" s="245" t="str">
        <f t="shared" si="3"/>
        <v/>
      </c>
      <c r="T81" s="217" t="str">
        <f t="shared" si="4"/>
        <v/>
      </c>
      <c r="V81" s="217" t="str">
        <f t="shared" si="5"/>
        <v/>
      </c>
    </row>
    <row r="82" spans="8:22" x14ac:dyDescent="0.15">
      <c r="H82" s="247"/>
      <c r="I82" s="247"/>
      <c r="J82" s="247"/>
      <c r="K82" s="137"/>
      <c r="Q82" s="245" t="str">
        <f t="shared" si="3"/>
        <v/>
      </c>
      <c r="T82" s="217" t="str">
        <f t="shared" si="4"/>
        <v/>
      </c>
      <c r="V82" s="217" t="str">
        <f t="shared" si="5"/>
        <v/>
      </c>
    </row>
    <row r="83" spans="8:22" x14ac:dyDescent="0.15">
      <c r="H83" s="247"/>
      <c r="I83" s="247"/>
      <c r="J83" s="247"/>
      <c r="K83" s="137"/>
      <c r="Q83" s="245" t="str">
        <f t="shared" si="3"/>
        <v/>
      </c>
      <c r="T83" s="217" t="str">
        <f t="shared" si="4"/>
        <v/>
      </c>
      <c r="V83" s="217" t="str">
        <f t="shared" si="5"/>
        <v/>
      </c>
    </row>
    <row r="84" spans="8:22" x14ac:dyDescent="0.15">
      <c r="H84" s="247"/>
      <c r="I84" s="247"/>
      <c r="J84" s="247"/>
      <c r="K84" s="137"/>
      <c r="Q84" s="245" t="str">
        <f t="shared" si="3"/>
        <v/>
      </c>
      <c r="T84" s="217" t="str">
        <f t="shared" si="4"/>
        <v/>
      </c>
      <c r="V84" s="217" t="str">
        <f t="shared" si="5"/>
        <v/>
      </c>
    </row>
    <row r="85" spans="8:22" x14ac:dyDescent="0.15">
      <c r="H85" s="247"/>
      <c r="I85" s="247"/>
      <c r="J85" s="247"/>
      <c r="K85" s="137"/>
      <c r="Q85" s="245" t="str">
        <f t="shared" si="3"/>
        <v/>
      </c>
      <c r="T85" s="217" t="str">
        <f t="shared" si="4"/>
        <v/>
      </c>
      <c r="V85" s="217" t="str">
        <f t="shared" si="5"/>
        <v/>
      </c>
    </row>
    <row r="86" spans="8:22" x14ac:dyDescent="0.15">
      <c r="H86" s="247"/>
      <c r="I86" s="247"/>
      <c r="J86" s="247"/>
      <c r="K86" s="137"/>
      <c r="Q86" s="245" t="str">
        <f t="shared" si="3"/>
        <v/>
      </c>
      <c r="T86" s="217" t="str">
        <f t="shared" si="4"/>
        <v/>
      </c>
      <c r="V86" s="217" t="str">
        <f t="shared" si="5"/>
        <v/>
      </c>
    </row>
    <row r="87" spans="8:22" x14ac:dyDescent="0.15">
      <c r="H87" s="247"/>
      <c r="I87" s="247"/>
      <c r="J87" s="247"/>
      <c r="K87" s="137"/>
      <c r="Q87" s="245" t="str">
        <f t="shared" si="3"/>
        <v/>
      </c>
      <c r="T87" s="217" t="str">
        <f t="shared" si="4"/>
        <v/>
      </c>
      <c r="V87" s="217" t="str">
        <f t="shared" si="5"/>
        <v/>
      </c>
    </row>
    <row r="88" spans="8:22" x14ac:dyDescent="0.15">
      <c r="H88" s="247"/>
      <c r="I88" s="247"/>
      <c r="J88" s="247"/>
      <c r="K88" s="137"/>
      <c r="Q88" s="245" t="str">
        <f t="shared" si="3"/>
        <v/>
      </c>
      <c r="T88" s="217" t="str">
        <f t="shared" si="4"/>
        <v/>
      </c>
      <c r="V88" s="217" t="str">
        <f t="shared" si="5"/>
        <v/>
      </c>
    </row>
    <row r="89" spans="8:22" x14ac:dyDescent="0.15">
      <c r="H89" s="247"/>
      <c r="I89" s="247"/>
      <c r="J89" s="247"/>
      <c r="K89" s="137"/>
      <c r="Q89" s="245" t="str">
        <f t="shared" si="3"/>
        <v/>
      </c>
      <c r="T89" s="217" t="str">
        <f t="shared" si="4"/>
        <v/>
      </c>
      <c r="V89" s="217" t="str">
        <f t="shared" si="5"/>
        <v/>
      </c>
    </row>
    <row r="90" spans="8:22" x14ac:dyDescent="0.15">
      <c r="H90" s="247"/>
      <c r="I90" s="247"/>
      <c r="J90" s="247"/>
      <c r="K90" s="137"/>
      <c r="Q90" s="245" t="str">
        <f t="shared" si="3"/>
        <v/>
      </c>
      <c r="T90" s="217" t="str">
        <f t="shared" si="4"/>
        <v/>
      </c>
      <c r="V90" s="217" t="str">
        <f t="shared" si="5"/>
        <v/>
      </c>
    </row>
    <row r="91" spans="8:22" x14ac:dyDescent="0.15">
      <c r="H91" s="247"/>
      <c r="I91" s="247"/>
      <c r="J91" s="247"/>
      <c r="K91" s="137"/>
      <c r="Q91" s="245" t="str">
        <f t="shared" si="3"/>
        <v/>
      </c>
      <c r="T91" s="217" t="str">
        <f t="shared" si="4"/>
        <v/>
      </c>
      <c r="V91" s="217" t="str">
        <f t="shared" si="5"/>
        <v/>
      </c>
    </row>
    <row r="92" spans="8:22" x14ac:dyDescent="0.15">
      <c r="H92" s="247"/>
      <c r="I92" s="247"/>
      <c r="J92" s="247"/>
      <c r="K92" s="137"/>
      <c r="Q92" s="245"/>
    </row>
    <row r="93" spans="8:22" x14ac:dyDescent="0.15">
      <c r="H93" s="247"/>
      <c r="I93" s="247"/>
      <c r="J93" s="247"/>
      <c r="K93" s="137"/>
      <c r="Q93" s="245"/>
    </row>
    <row r="94" spans="8:22" x14ac:dyDescent="0.15">
      <c r="H94" s="247"/>
      <c r="I94" s="247"/>
      <c r="J94" s="247"/>
      <c r="K94" s="137"/>
      <c r="Q94" s="245"/>
    </row>
    <row r="95" spans="8:22" x14ac:dyDescent="0.15">
      <c r="H95" s="247"/>
      <c r="I95" s="247"/>
      <c r="J95" s="247"/>
      <c r="K95" s="137"/>
      <c r="Q95" s="245"/>
    </row>
    <row r="96" spans="8:22" x14ac:dyDescent="0.15">
      <c r="H96" s="247"/>
      <c r="I96" s="247"/>
      <c r="J96" s="247"/>
      <c r="K96" s="137"/>
      <c r="Q96" s="245"/>
    </row>
    <row r="97" spans="8:17" x14ac:dyDescent="0.15">
      <c r="H97" s="247"/>
      <c r="I97" s="247"/>
      <c r="J97" s="247"/>
      <c r="K97" s="137"/>
      <c r="Q97" s="245"/>
    </row>
    <row r="98" spans="8:17" x14ac:dyDescent="0.15">
      <c r="H98" s="247"/>
      <c r="I98" s="247"/>
      <c r="J98" s="247"/>
      <c r="K98" s="137"/>
      <c r="Q98" s="245"/>
    </row>
    <row r="99" spans="8:17" x14ac:dyDescent="0.15">
      <c r="H99" s="247"/>
      <c r="I99" s="247"/>
      <c r="J99" s="247"/>
      <c r="K99" s="137"/>
      <c r="Q99" s="245"/>
    </row>
    <row r="100" spans="8:17" x14ac:dyDescent="0.15">
      <c r="H100" s="247"/>
      <c r="I100" s="247"/>
      <c r="J100" s="247"/>
      <c r="K100" s="137"/>
      <c r="Q100" s="245"/>
    </row>
    <row r="101" spans="8:17" x14ac:dyDescent="0.15">
      <c r="H101" s="247"/>
      <c r="I101" s="247"/>
      <c r="J101" s="247"/>
      <c r="K101" s="137"/>
      <c r="Q101" s="245"/>
    </row>
    <row r="102" spans="8:17" x14ac:dyDescent="0.15">
      <c r="H102" s="247"/>
      <c r="I102" s="247"/>
      <c r="J102" s="247"/>
      <c r="K102" s="137"/>
      <c r="Q102" s="245"/>
    </row>
    <row r="103" spans="8:17" x14ac:dyDescent="0.15">
      <c r="H103" s="247"/>
      <c r="I103" s="247"/>
      <c r="J103" s="247"/>
      <c r="K103" s="137"/>
      <c r="Q103" s="245"/>
    </row>
    <row r="104" spans="8:17" x14ac:dyDescent="0.15">
      <c r="H104" s="247"/>
      <c r="I104" s="247"/>
      <c r="J104" s="247"/>
      <c r="K104" s="137"/>
      <c r="Q104" s="245"/>
    </row>
    <row r="105" spans="8:17" x14ac:dyDescent="0.15">
      <c r="H105" s="247"/>
      <c r="I105" s="247"/>
      <c r="J105" s="247"/>
      <c r="K105" s="137"/>
      <c r="Q105" s="245"/>
    </row>
    <row r="106" spans="8:17" x14ac:dyDescent="0.15">
      <c r="H106" s="247"/>
      <c r="I106" s="247"/>
      <c r="J106" s="247"/>
      <c r="K106" s="137"/>
      <c r="Q106" s="245"/>
    </row>
    <row r="107" spans="8:17" x14ac:dyDescent="0.15">
      <c r="H107" s="247"/>
      <c r="I107" s="247"/>
      <c r="J107" s="247"/>
      <c r="K107" s="137"/>
      <c r="Q107" s="245"/>
    </row>
    <row r="108" spans="8:17" x14ac:dyDescent="0.15">
      <c r="H108" s="247"/>
      <c r="I108" s="247"/>
      <c r="J108" s="247"/>
      <c r="K108" s="137"/>
      <c r="Q108" s="245"/>
    </row>
    <row r="109" spans="8:17" x14ac:dyDescent="0.15">
      <c r="H109" s="247"/>
      <c r="I109" s="247"/>
      <c r="J109" s="247"/>
      <c r="K109" s="137"/>
      <c r="Q109" s="245"/>
    </row>
    <row r="110" spans="8:17" x14ac:dyDescent="0.15">
      <c r="H110" s="247"/>
      <c r="I110" s="247"/>
      <c r="J110" s="247"/>
      <c r="K110" s="137"/>
      <c r="Q110" s="245"/>
    </row>
    <row r="111" spans="8:17" x14ac:dyDescent="0.15">
      <c r="H111" s="247"/>
      <c r="I111" s="247"/>
      <c r="J111" s="247"/>
      <c r="K111" s="137"/>
      <c r="Q111" s="245"/>
    </row>
    <row r="112" spans="8:17" x14ac:dyDescent="0.15">
      <c r="H112" s="247"/>
      <c r="I112" s="247"/>
      <c r="J112" s="247"/>
      <c r="K112" s="137"/>
      <c r="Q112" s="245"/>
    </row>
    <row r="113" spans="8:17" x14ac:dyDescent="0.15">
      <c r="H113" s="247"/>
      <c r="I113" s="247"/>
      <c r="J113" s="247"/>
      <c r="K113" s="137"/>
      <c r="Q113" s="245"/>
    </row>
    <row r="114" spans="8:17" x14ac:dyDescent="0.15">
      <c r="H114" s="247"/>
      <c r="I114" s="247"/>
      <c r="J114" s="247"/>
      <c r="K114" s="137"/>
      <c r="Q114" s="245"/>
    </row>
    <row r="115" spans="8:17" x14ac:dyDescent="0.15">
      <c r="H115" s="247"/>
      <c r="I115" s="247"/>
      <c r="J115" s="247"/>
      <c r="K115" s="137"/>
      <c r="Q115" s="245"/>
    </row>
    <row r="116" spans="8:17" x14ac:dyDescent="0.15">
      <c r="H116" s="247"/>
      <c r="I116" s="247"/>
      <c r="J116" s="247"/>
      <c r="K116" s="137"/>
      <c r="Q116" s="245"/>
    </row>
    <row r="117" spans="8:17" x14ac:dyDescent="0.15">
      <c r="H117" s="247"/>
      <c r="I117" s="247"/>
      <c r="J117" s="247"/>
      <c r="K117" s="137"/>
      <c r="Q117" s="245"/>
    </row>
    <row r="118" spans="8:17" x14ac:dyDescent="0.15">
      <c r="H118" s="247"/>
      <c r="I118" s="247"/>
      <c r="J118" s="247"/>
      <c r="K118" s="137"/>
      <c r="Q118" s="245"/>
    </row>
    <row r="119" spans="8:17" x14ac:dyDescent="0.15">
      <c r="H119" s="247"/>
      <c r="I119" s="247"/>
      <c r="J119" s="247"/>
      <c r="K119" s="137"/>
      <c r="Q119" s="245"/>
    </row>
    <row r="120" spans="8:17" x14ac:dyDescent="0.15">
      <c r="H120" s="247"/>
      <c r="I120" s="247"/>
      <c r="J120" s="247"/>
      <c r="K120" s="137"/>
      <c r="Q120" s="245"/>
    </row>
    <row r="121" spans="8:17" x14ac:dyDescent="0.15">
      <c r="H121" s="247"/>
      <c r="I121" s="247"/>
      <c r="J121" s="247"/>
      <c r="K121" s="137"/>
      <c r="Q121" s="245"/>
    </row>
    <row r="122" spans="8:17" x14ac:dyDescent="0.15">
      <c r="H122" s="247"/>
      <c r="I122" s="247"/>
      <c r="J122" s="247"/>
      <c r="K122" s="137"/>
      <c r="Q122" s="245"/>
    </row>
    <row r="123" spans="8:17" x14ac:dyDescent="0.15">
      <c r="H123" s="247"/>
      <c r="I123" s="247"/>
      <c r="J123" s="247"/>
      <c r="K123" s="137"/>
      <c r="Q123" s="245"/>
    </row>
    <row r="124" spans="8:17" x14ac:dyDescent="0.15">
      <c r="H124" s="247"/>
      <c r="I124" s="247"/>
      <c r="J124" s="247"/>
      <c r="K124" s="137"/>
      <c r="Q124" s="245"/>
    </row>
    <row r="125" spans="8:17" x14ac:dyDescent="0.15">
      <c r="H125" s="247"/>
      <c r="I125" s="247"/>
      <c r="J125" s="247"/>
      <c r="K125" s="137"/>
      <c r="Q125" s="245"/>
    </row>
    <row r="126" spans="8:17" x14ac:dyDescent="0.15">
      <c r="H126" s="247"/>
      <c r="I126" s="247"/>
      <c r="J126" s="247"/>
      <c r="K126" s="137"/>
      <c r="Q126" s="245"/>
    </row>
    <row r="127" spans="8:17" x14ac:dyDescent="0.15">
      <c r="H127" s="247"/>
      <c r="I127" s="247"/>
      <c r="J127" s="247"/>
      <c r="K127" s="137"/>
      <c r="Q127" s="245"/>
    </row>
    <row r="128" spans="8:17" x14ac:dyDescent="0.15">
      <c r="H128" s="247"/>
      <c r="I128" s="247"/>
      <c r="J128" s="247"/>
      <c r="K128" s="137"/>
      <c r="Q128" s="245"/>
    </row>
    <row r="129" spans="8:17" x14ac:dyDescent="0.15">
      <c r="H129" s="247"/>
      <c r="I129" s="247"/>
      <c r="J129" s="247"/>
      <c r="K129" s="137"/>
      <c r="Q129" s="245"/>
    </row>
    <row r="130" spans="8:17" x14ac:dyDescent="0.15">
      <c r="H130" s="247"/>
      <c r="I130" s="247"/>
      <c r="J130" s="247"/>
      <c r="K130" s="137"/>
      <c r="Q130" s="245"/>
    </row>
    <row r="131" spans="8:17" x14ac:dyDescent="0.15">
      <c r="H131" s="247"/>
      <c r="I131" s="247"/>
      <c r="J131" s="247"/>
      <c r="K131" s="137"/>
      <c r="Q131" s="245"/>
    </row>
    <row r="132" spans="8:17" x14ac:dyDescent="0.15">
      <c r="H132" s="247"/>
      <c r="I132" s="247"/>
      <c r="J132" s="247"/>
      <c r="K132" s="137"/>
      <c r="Q132" s="245"/>
    </row>
    <row r="133" spans="8:17" x14ac:dyDescent="0.15">
      <c r="H133" s="247"/>
      <c r="I133" s="247"/>
      <c r="J133" s="247"/>
      <c r="K133" s="137"/>
      <c r="Q133" s="245"/>
    </row>
    <row r="134" spans="8:17" x14ac:dyDescent="0.15">
      <c r="H134" s="247"/>
      <c r="I134" s="247"/>
      <c r="J134" s="247"/>
      <c r="K134" s="137"/>
      <c r="Q134" s="245"/>
    </row>
    <row r="135" spans="8:17" x14ac:dyDescent="0.15">
      <c r="H135" s="247"/>
      <c r="I135" s="247"/>
      <c r="J135" s="247"/>
      <c r="K135" s="137"/>
      <c r="Q135" s="245"/>
    </row>
    <row r="136" spans="8:17" x14ac:dyDescent="0.15">
      <c r="H136" s="247"/>
      <c r="I136" s="247"/>
      <c r="J136" s="247"/>
      <c r="K136" s="137"/>
      <c r="Q136" s="245"/>
    </row>
    <row r="137" spans="8:17" x14ac:dyDescent="0.15">
      <c r="H137" s="247"/>
      <c r="I137" s="247"/>
      <c r="J137" s="247"/>
      <c r="K137" s="137"/>
      <c r="Q137" s="245"/>
    </row>
    <row r="138" spans="8:17" x14ac:dyDescent="0.15">
      <c r="H138" s="247"/>
      <c r="I138" s="247"/>
      <c r="J138" s="247"/>
      <c r="K138" s="137"/>
      <c r="Q138" s="245"/>
    </row>
    <row r="139" spans="8:17" x14ac:dyDescent="0.15">
      <c r="H139" s="247"/>
      <c r="I139" s="247"/>
      <c r="J139" s="247"/>
      <c r="K139" s="137"/>
      <c r="Q139" s="245"/>
    </row>
    <row r="140" spans="8:17" x14ac:dyDescent="0.15">
      <c r="H140" s="247"/>
      <c r="I140" s="247"/>
      <c r="J140" s="247"/>
      <c r="K140" s="137"/>
      <c r="Q140" s="245"/>
    </row>
    <row r="141" spans="8:17" x14ac:dyDescent="0.15">
      <c r="H141" s="247"/>
      <c r="I141" s="247"/>
      <c r="J141" s="247"/>
      <c r="K141" s="137"/>
      <c r="Q141" s="245"/>
    </row>
    <row r="142" spans="8:17" x14ac:dyDescent="0.15">
      <c r="K142" s="137"/>
      <c r="Q142" s="245"/>
    </row>
    <row r="143" spans="8:17" x14ac:dyDescent="0.15">
      <c r="K143" s="137"/>
      <c r="Q143" s="245"/>
    </row>
    <row r="144" spans="8:17" x14ac:dyDescent="0.15">
      <c r="K144" s="137"/>
      <c r="Q144" s="245"/>
    </row>
    <row r="145" spans="11:17" x14ac:dyDescent="0.15">
      <c r="K145" s="137"/>
      <c r="Q145" s="245"/>
    </row>
    <row r="146" spans="11:17" x14ac:dyDescent="0.15">
      <c r="K146" s="137"/>
      <c r="Q146" s="245"/>
    </row>
    <row r="147" spans="11:17" x14ac:dyDescent="0.15">
      <c r="K147" s="137"/>
      <c r="Q147" s="245"/>
    </row>
    <row r="148" spans="11:17" x14ac:dyDescent="0.15">
      <c r="K148" s="137"/>
      <c r="Q148" s="245"/>
    </row>
    <row r="149" spans="11:17" x14ac:dyDescent="0.15">
      <c r="K149" s="137"/>
      <c r="Q149" s="245"/>
    </row>
    <row r="150" spans="11:17" x14ac:dyDescent="0.15">
      <c r="K150" s="137"/>
      <c r="Q150" s="245"/>
    </row>
    <row r="151" spans="11:17" x14ac:dyDescent="0.15">
      <c r="K151" s="137"/>
      <c r="Q151" s="245"/>
    </row>
    <row r="152" spans="11:17" x14ac:dyDescent="0.15">
      <c r="K152" s="137"/>
      <c r="Q152" s="245"/>
    </row>
    <row r="153" spans="11:17" x14ac:dyDescent="0.15">
      <c r="K153" s="137"/>
      <c r="Q153" s="245"/>
    </row>
    <row r="154" spans="11:17" x14ac:dyDescent="0.15">
      <c r="K154" s="137"/>
      <c r="Q154" s="245"/>
    </row>
    <row r="155" spans="11:17" x14ac:dyDescent="0.15">
      <c r="K155" s="137"/>
      <c r="Q155" s="245"/>
    </row>
    <row r="156" spans="11:17" x14ac:dyDescent="0.15">
      <c r="K156" s="137"/>
      <c r="Q156" s="245"/>
    </row>
    <row r="157" spans="11:17" x14ac:dyDescent="0.15">
      <c r="K157" s="137"/>
      <c r="Q157" s="245"/>
    </row>
    <row r="158" spans="11:17" x14ac:dyDescent="0.15">
      <c r="K158" s="137"/>
      <c r="Q158" s="245"/>
    </row>
    <row r="159" spans="11:17" x14ac:dyDescent="0.15">
      <c r="K159" s="137"/>
      <c r="Q159" s="245"/>
    </row>
    <row r="160" spans="11:17" x14ac:dyDescent="0.15">
      <c r="K160" s="137"/>
      <c r="Q160" s="245"/>
    </row>
    <row r="161" spans="11:17" x14ac:dyDescent="0.15">
      <c r="K161" s="137"/>
      <c r="Q161" s="245"/>
    </row>
    <row r="162" spans="11:17" x14ac:dyDescent="0.15">
      <c r="K162" s="137"/>
      <c r="Q162" s="245"/>
    </row>
    <row r="163" spans="11:17" x14ac:dyDescent="0.15">
      <c r="K163" s="137"/>
      <c r="Q163" s="245"/>
    </row>
    <row r="164" spans="11:17" x14ac:dyDescent="0.15">
      <c r="K164" s="137"/>
      <c r="Q164" s="245"/>
    </row>
    <row r="165" spans="11:17" x14ac:dyDescent="0.15">
      <c r="K165" s="137"/>
      <c r="Q165" s="245"/>
    </row>
    <row r="166" spans="11:17" x14ac:dyDescent="0.15">
      <c r="K166" s="137"/>
      <c r="Q166" s="245"/>
    </row>
    <row r="167" spans="11:17" x14ac:dyDescent="0.15">
      <c r="K167" s="137"/>
      <c r="Q167" s="245"/>
    </row>
    <row r="168" spans="11:17" x14ac:dyDescent="0.15">
      <c r="K168" s="137"/>
      <c r="Q168" s="245"/>
    </row>
    <row r="169" spans="11:17" x14ac:dyDescent="0.15">
      <c r="K169" s="137"/>
      <c r="Q169" s="245"/>
    </row>
    <row r="170" spans="11:17" x14ac:dyDescent="0.15">
      <c r="K170" s="137"/>
      <c r="Q170" s="245"/>
    </row>
    <row r="171" spans="11:17" x14ac:dyDescent="0.15">
      <c r="K171" s="137"/>
      <c r="Q171" s="245"/>
    </row>
    <row r="172" spans="11:17" x14ac:dyDescent="0.15">
      <c r="K172" s="137"/>
      <c r="Q172" s="245"/>
    </row>
    <row r="173" spans="11:17" x14ac:dyDescent="0.15">
      <c r="K173" s="137"/>
      <c r="Q173" s="245"/>
    </row>
    <row r="174" spans="11:17" x14ac:dyDescent="0.15">
      <c r="K174" s="137"/>
      <c r="Q174" s="245"/>
    </row>
    <row r="175" spans="11:17" x14ac:dyDescent="0.15">
      <c r="K175" s="137"/>
      <c r="Q175" s="245"/>
    </row>
    <row r="176" spans="11:17" x14ac:dyDescent="0.15">
      <c r="K176" s="137"/>
      <c r="Q176" s="245"/>
    </row>
    <row r="177" spans="11:17" x14ac:dyDescent="0.15">
      <c r="K177" s="137"/>
      <c r="Q177" s="245"/>
    </row>
    <row r="178" spans="11:17" x14ac:dyDescent="0.15">
      <c r="K178" s="137"/>
      <c r="Q178" s="245"/>
    </row>
    <row r="179" spans="11:17" x14ac:dyDescent="0.15">
      <c r="K179" s="137"/>
      <c r="Q179" s="245"/>
    </row>
    <row r="180" spans="11:17" x14ac:dyDescent="0.15">
      <c r="K180" s="137"/>
      <c r="Q180" s="245"/>
    </row>
    <row r="181" spans="11:17" x14ac:dyDescent="0.15">
      <c r="K181" s="137"/>
      <c r="Q181" s="245"/>
    </row>
    <row r="182" spans="11:17" x14ac:dyDescent="0.15">
      <c r="K182" s="137"/>
      <c r="Q182" s="245"/>
    </row>
    <row r="183" spans="11:17" x14ac:dyDescent="0.15">
      <c r="K183" s="137"/>
      <c r="Q183" s="245"/>
    </row>
    <row r="184" spans="11:17" x14ac:dyDescent="0.15">
      <c r="K184" s="137"/>
      <c r="Q184" s="245"/>
    </row>
    <row r="185" spans="11:17" x14ac:dyDescent="0.15">
      <c r="K185" s="137"/>
      <c r="Q185" s="245"/>
    </row>
    <row r="186" spans="11:17" x14ac:dyDescent="0.15">
      <c r="K186" s="137"/>
      <c r="Q186" s="245"/>
    </row>
    <row r="187" spans="11:17" x14ac:dyDescent="0.15">
      <c r="K187" s="137"/>
      <c r="Q187" s="245"/>
    </row>
    <row r="188" spans="11:17" x14ac:dyDescent="0.15">
      <c r="K188" s="137"/>
      <c r="Q188" s="245"/>
    </row>
    <row r="189" spans="11:17" x14ac:dyDescent="0.15">
      <c r="K189" s="137"/>
      <c r="Q189" s="245"/>
    </row>
    <row r="190" spans="11:17" x14ac:dyDescent="0.15">
      <c r="K190" s="137"/>
      <c r="Q190" s="245"/>
    </row>
    <row r="191" spans="11:17" x14ac:dyDescent="0.15">
      <c r="K191" s="137"/>
      <c r="Q191" s="245"/>
    </row>
    <row r="192" spans="11:17" x14ac:dyDescent="0.15">
      <c r="K192" s="137"/>
      <c r="Q192" s="245"/>
    </row>
    <row r="193" spans="11:17" x14ac:dyDescent="0.15">
      <c r="K193" s="137"/>
      <c r="Q193" s="245"/>
    </row>
    <row r="194" spans="11:17" x14ac:dyDescent="0.15">
      <c r="K194" s="137"/>
      <c r="Q194" s="245"/>
    </row>
    <row r="195" spans="11:17" x14ac:dyDescent="0.15">
      <c r="K195" s="137"/>
      <c r="Q195" s="245"/>
    </row>
    <row r="196" spans="11:17" x14ac:dyDescent="0.15">
      <c r="K196" s="137"/>
      <c r="Q196" s="245"/>
    </row>
    <row r="197" spans="11:17" x14ac:dyDescent="0.15">
      <c r="K197" s="137"/>
      <c r="Q197" s="245"/>
    </row>
    <row r="198" spans="11:17" x14ac:dyDescent="0.15">
      <c r="K198" s="137"/>
      <c r="Q198" s="245"/>
    </row>
    <row r="199" spans="11:17" x14ac:dyDescent="0.15">
      <c r="K199" s="137"/>
      <c r="Q199" s="245"/>
    </row>
    <row r="200" spans="11:17" x14ac:dyDescent="0.15">
      <c r="K200" s="137"/>
      <c r="Q200" s="245"/>
    </row>
    <row r="201" spans="11:17" x14ac:dyDescent="0.15">
      <c r="K201" s="137"/>
      <c r="Q201" s="245"/>
    </row>
    <row r="202" spans="11:17" x14ac:dyDescent="0.15">
      <c r="K202" s="137"/>
      <c r="Q202" s="245"/>
    </row>
    <row r="203" spans="11:17" x14ac:dyDescent="0.15">
      <c r="K203" s="137"/>
      <c r="Q203" s="245"/>
    </row>
    <row r="204" spans="11:17" x14ac:dyDescent="0.15">
      <c r="K204" s="137"/>
      <c r="Q204" s="245"/>
    </row>
    <row r="205" spans="11:17" x14ac:dyDescent="0.15">
      <c r="K205" s="137"/>
      <c r="Q205" s="245"/>
    </row>
    <row r="206" spans="11:17" x14ac:dyDescent="0.15">
      <c r="K206" s="137"/>
      <c r="Q206" s="245"/>
    </row>
    <row r="207" spans="11:17" x14ac:dyDescent="0.15">
      <c r="K207" s="137"/>
      <c r="Q207" s="245"/>
    </row>
    <row r="208" spans="11:17" x14ac:dyDescent="0.15">
      <c r="K208" s="137"/>
      <c r="Q208" s="245"/>
    </row>
    <row r="209" spans="11:17" x14ac:dyDescent="0.15">
      <c r="K209" s="137"/>
      <c r="Q209" s="245"/>
    </row>
    <row r="210" spans="11:17" x14ac:dyDescent="0.15">
      <c r="K210" s="137"/>
      <c r="Q210" s="245"/>
    </row>
    <row r="211" spans="11:17" x14ac:dyDescent="0.15">
      <c r="K211" s="137"/>
      <c r="Q211" s="245"/>
    </row>
    <row r="212" spans="11:17" x14ac:dyDescent="0.15">
      <c r="K212" s="137"/>
      <c r="Q212" s="245"/>
    </row>
    <row r="213" spans="11:17" x14ac:dyDescent="0.15">
      <c r="K213" s="137"/>
      <c r="Q213" s="245"/>
    </row>
    <row r="214" spans="11:17" x14ac:dyDescent="0.15">
      <c r="K214" s="137"/>
      <c r="Q214" s="245"/>
    </row>
    <row r="215" spans="11:17" x14ac:dyDescent="0.15">
      <c r="K215" s="137"/>
      <c r="Q215" s="245"/>
    </row>
    <row r="216" spans="11:17" x14ac:dyDescent="0.15">
      <c r="K216" s="137"/>
      <c r="Q216" s="245"/>
    </row>
    <row r="217" spans="11:17" x14ac:dyDescent="0.15">
      <c r="K217" s="137"/>
      <c r="Q217" s="245"/>
    </row>
    <row r="218" spans="11:17" x14ac:dyDescent="0.15">
      <c r="K218" s="137"/>
      <c r="Q218" s="245"/>
    </row>
    <row r="219" spans="11:17" x14ac:dyDescent="0.15">
      <c r="K219" s="137"/>
      <c r="Q219" s="245"/>
    </row>
    <row r="220" spans="11:17" x14ac:dyDescent="0.15">
      <c r="K220" s="137"/>
      <c r="Q220" s="245"/>
    </row>
    <row r="221" spans="11:17" x14ac:dyDescent="0.15">
      <c r="K221" s="137"/>
      <c r="Q221" s="245"/>
    </row>
    <row r="222" spans="11:17" x14ac:dyDescent="0.15">
      <c r="K222" s="137"/>
      <c r="Q222" s="245"/>
    </row>
    <row r="223" spans="11:17" x14ac:dyDescent="0.15">
      <c r="K223" s="137"/>
      <c r="Q223" s="245"/>
    </row>
    <row r="224" spans="11:17" x14ac:dyDescent="0.15">
      <c r="K224" s="137"/>
      <c r="Q224" s="245"/>
    </row>
    <row r="225" spans="11:17" x14ac:dyDescent="0.15">
      <c r="K225" s="137"/>
      <c r="Q225" s="245"/>
    </row>
    <row r="226" spans="11:17" x14ac:dyDescent="0.15">
      <c r="K226" s="137"/>
      <c r="Q226" s="245"/>
    </row>
    <row r="227" spans="11:17" x14ac:dyDescent="0.15">
      <c r="K227" s="137"/>
      <c r="Q227" s="245"/>
    </row>
    <row r="228" spans="11:17" x14ac:dyDescent="0.15">
      <c r="K228" s="137"/>
      <c r="Q228" s="245"/>
    </row>
    <row r="229" spans="11:17" x14ac:dyDescent="0.15">
      <c r="K229" s="137"/>
      <c r="Q229" s="245"/>
    </row>
    <row r="230" spans="11:17" x14ac:dyDescent="0.15">
      <c r="K230" s="137"/>
      <c r="Q230" s="245"/>
    </row>
    <row r="231" spans="11:17" x14ac:dyDescent="0.15">
      <c r="K231" s="137"/>
      <c r="Q231" s="245"/>
    </row>
    <row r="232" spans="11:17" x14ac:dyDescent="0.15">
      <c r="K232" s="137"/>
      <c r="Q232" s="245"/>
    </row>
    <row r="233" spans="11:17" x14ac:dyDescent="0.15">
      <c r="K233" s="137"/>
      <c r="Q233" s="245"/>
    </row>
    <row r="234" spans="11:17" x14ac:dyDescent="0.15">
      <c r="K234" s="137"/>
      <c r="Q234" s="245"/>
    </row>
    <row r="235" spans="11:17" x14ac:dyDescent="0.15">
      <c r="K235" s="137"/>
      <c r="Q235" s="245"/>
    </row>
    <row r="236" spans="11:17" x14ac:dyDescent="0.15">
      <c r="K236" s="137"/>
      <c r="Q236" s="245"/>
    </row>
    <row r="237" spans="11:17" x14ac:dyDescent="0.15">
      <c r="K237" s="137"/>
      <c r="Q237" s="245"/>
    </row>
    <row r="238" spans="11:17" x14ac:dyDescent="0.15">
      <c r="K238" s="137"/>
      <c r="Q238" s="245"/>
    </row>
    <row r="239" spans="11:17" x14ac:dyDescent="0.15">
      <c r="K239" s="137"/>
      <c r="Q239" s="245"/>
    </row>
    <row r="240" spans="11:17" x14ac:dyDescent="0.15">
      <c r="K240" s="137"/>
      <c r="Q240" s="245"/>
    </row>
    <row r="241" spans="11:17" x14ac:dyDescent="0.15">
      <c r="K241" s="137"/>
      <c r="Q241" s="245"/>
    </row>
    <row r="242" spans="11:17" x14ac:dyDescent="0.15">
      <c r="K242" s="137"/>
      <c r="Q242" s="245"/>
    </row>
    <row r="243" spans="11:17" x14ac:dyDescent="0.15">
      <c r="K243" s="137"/>
      <c r="Q243" s="245"/>
    </row>
    <row r="244" spans="11:17" x14ac:dyDescent="0.15">
      <c r="K244" s="137"/>
      <c r="Q244" s="245"/>
    </row>
    <row r="245" spans="11:17" x14ac:dyDescent="0.15">
      <c r="K245" s="137"/>
      <c r="Q245" s="245"/>
    </row>
    <row r="246" spans="11:17" x14ac:dyDescent="0.15">
      <c r="K246" s="137"/>
      <c r="Q246" s="245"/>
    </row>
    <row r="247" spans="11:17" x14ac:dyDescent="0.15">
      <c r="K247" s="137"/>
      <c r="Q247" s="245"/>
    </row>
    <row r="248" spans="11:17" x14ac:dyDescent="0.15">
      <c r="K248" s="137"/>
      <c r="Q248" s="245"/>
    </row>
    <row r="249" spans="11:17" x14ac:dyDescent="0.15">
      <c r="K249" s="137"/>
      <c r="Q249" s="245"/>
    </row>
    <row r="250" spans="11:17" x14ac:dyDescent="0.15">
      <c r="K250" s="137"/>
      <c r="Q250" s="245"/>
    </row>
    <row r="251" spans="11:17" x14ac:dyDescent="0.15">
      <c r="K251" s="137"/>
      <c r="Q251" s="245"/>
    </row>
    <row r="252" spans="11:17" x14ac:dyDescent="0.15">
      <c r="K252" s="137"/>
      <c r="Q252" s="245"/>
    </row>
    <row r="253" spans="11:17" x14ac:dyDescent="0.15">
      <c r="K253" s="137"/>
      <c r="Q253" s="245"/>
    </row>
    <row r="254" spans="11:17" x14ac:dyDescent="0.15">
      <c r="K254" s="137"/>
      <c r="Q254" s="245"/>
    </row>
    <row r="255" spans="11:17" x14ac:dyDescent="0.15">
      <c r="K255" s="137"/>
      <c r="Q255" s="245"/>
    </row>
    <row r="256" spans="11:17" x14ac:dyDescent="0.15">
      <c r="K256" s="137"/>
      <c r="Q256" s="245"/>
    </row>
    <row r="257" spans="11:17" x14ac:dyDescent="0.15">
      <c r="K257" s="137"/>
      <c r="Q257" s="245"/>
    </row>
    <row r="258" spans="11:17" x14ac:dyDescent="0.15">
      <c r="K258" s="137"/>
      <c r="Q258" s="245"/>
    </row>
    <row r="259" spans="11:17" x14ac:dyDescent="0.15">
      <c r="K259" s="137"/>
      <c r="Q259" s="245"/>
    </row>
    <row r="260" spans="11:17" x14ac:dyDescent="0.15">
      <c r="K260" s="137"/>
      <c r="Q260" s="245"/>
    </row>
    <row r="261" spans="11:17" x14ac:dyDescent="0.15">
      <c r="K261" s="137"/>
      <c r="Q261" s="245"/>
    </row>
    <row r="262" spans="11:17" x14ac:dyDescent="0.15">
      <c r="K262" s="137"/>
      <c r="Q262" s="245"/>
    </row>
    <row r="263" spans="11:17" x14ac:dyDescent="0.15">
      <c r="K263" s="137"/>
      <c r="Q263" s="245"/>
    </row>
    <row r="264" spans="11:17" x14ac:dyDescent="0.15">
      <c r="K264" s="137"/>
      <c r="Q264" s="245"/>
    </row>
    <row r="265" spans="11:17" x14ac:dyDescent="0.15">
      <c r="K265" s="137"/>
      <c r="Q265" s="245"/>
    </row>
    <row r="266" spans="11:17" x14ac:dyDescent="0.15">
      <c r="K266" s="137"/>
      <c r="Q266" s="245"/>
    </row>
    <row r="267" spans="11:17" x14ac:dyDescent="0.15">
      <c r="K267" s="137"/>
      <c r="Q267" s="245"/>
    </row>
    <row r="268" spans="11:17" x14ac:dyDescent="0.15">
      <c r="K268" s="137"/>
      <c r="Q268" s="245"/>
    </row>
    <row r="269" spans="11:17" x14ac:dyDescent="0.15">
      <c r="K269" s="137"/>
      <c r="Q269" s="245"/>
    </row>
    <row r="270" spans="11:17" x14ac:dyDescent="0.15">
      <c r="K270" s="137"/>
      <c r="Q270" s="245"/>
    </row>
    <row r="271" spans="11:17" x14ac:dyDescent="0.15">
      <c r="K271" s="137"/>
      <c r="Q271" s="245"/>
    </row>
    <row r="272" spans="11:17" x14ac:dyDescent="0.15">
      <c r="K272" s="137"/>
      <c r="Q272" s="245"/>
    </row>
    <row r="273" spans="11:17" x14ac:dyDescent="0.15">
      <c r="K273" s="137"/>
      <c r="Q273" s="245"/>
    </row>
    <row r="274" spans="11:17" x14ac:dyDescent="0.15">
      <c r="K274" s="137"/>
      <c r="Q274" s="245"/>
    </row>
    <row r="275" spans="11:17" x14ac:dyDescent="0.15">
      <c r="K275" s="137"/>
      <c r="Q275" s="245"/>
    </row>
    <row r="276" spans="11:17" x14ac:dyDescent="0.15">
      <c r="K276" s="137"/>
      <c r="Q276" s="245"/>
    </row>
    <row r="277" spans="11:17" x14ac:dyDescent="0.15">
      <c r="K277" s="137"/>
      <c r="Q277" s="245"/>
    </row>
    <row r="278" spans="11:17" x14ac:dyDescent="0.15">
      <c r="K278" s="137"/>
      <c r="Q278" s="245"/>
    </row>
    <row r="279" spans="11:17" x14ac:dyDescent="0.15">
      <c r="K279" s="137"/>
      <c r="Q279" s="245"/>
    </row>
    <row r="280" spans="11:17" x14ac:dyDescent="0.15">
      <c r="K280" s="137"/>
      <c r="Q280" s="245"/>
    </row>
    <row r="281" spans="11:17" x14ac:dyDescent="0.15">
      <c r="K281" s="137"/>
      <c r="Q281" s="245"/>
    </row>
    <row r="282" spans="11:17" x14ac:dyDescent="0.15">
      <c r="K282" s="137"/>
      <c r="Q282" s="245"/>
    </row>
    <row r="283" spans="11:17" x14ac:dyDescent="0.15">
      <c r="K283" s="137"/>
      <c r="Q283" s="245"/>
    </row>
    <row r="284" spans="11:17" x14ac:dyDescent="0.15">
      <c r="K284" s="137"/>
      <c r="Q284" s="245"/>
    </row>
    <row r="285" spans="11:17" x14ac:dyDescent="0.15">
      <c r="K285" s="137"/>
      <c r="Q285" s="245"/>
    </row>
    <row r="286" spans="11:17" x14ac:dyDescent="0.15">
      <c r="K286" s="137"/>
      <c r="Q286" s="245"/>
    </row>
    <row r="287" spans="11:17" x14ac:dyDescent="0.15">
      <c r="K287" s="137"/>
      <c r="Q287" s="245"/>
    </row>
    <row r="288" spans="11:17" x14ac:dyDescent="0.15">
      <c r="K288" s="137"/>
      <c r="Q288" s="245"/>
    </row>
    <row r="289" spans="11:17" x14ac:dyDescent="0.15">
      <c r="K289" s="137"/>
      <c r="Q289" s="245"/>
    </row>
    <row r="290" spans="11:17" x14ac:dyDescent="0.15">
      <c r="K290" s="137"/>
      <c r="Q290" s="245"/>
    </row>
    <row r="291" spans="11:17" x14ac:dyDescent="0.15">
      <c r="K291" s="137"/>
      <c r="Q291" s="245"/>
    </row>
    <row r="292" spans="11:17" x14ac:dyDescent="0.15">
      <c r="K292" s="137"/>
    </row>
    <row r="293" spans="11:17" x14ac:dyDescent="0.15">
      <c r="K293" s="137"/>
    </row>
    <row r="294" spans="11:17" x14ac:dyDescent="0.15">
      <c r="K294" s="137"/>
    </row>
    <row r="295" spans="11:17" x14ac:dyDescent="0.15">
      <c r="K295" s="137"/>
    </row>
    <row r="296" spans="11:17" x14ac:dyDescent="0.15">
      <c r="K296" s="137"/>
    </row>
    <row r="297" spans="11:17" x14ac:dyDescent="0.15">
      <c r="K297" s="137"/>
    </row>
    <row r="298" spans="11:17" x14ac:dyDescent="0.15">
      <c r="K298" s="137"/>
    </row>
    <row r="299" spans="11:17" x14ac:dyDescent="0.15">
      <c r="K299" s="137"/>
    </row>
    <row r="300" spans="11:17" x14ac:dyDescent="0.15">
      <c r="K300" s="137"/>
    </row>
    <row r="301" spans="11:17" x14ac:dyDescent="0.15">
      <c r="K301" s="137"/>
    </row>
    <row r="302" spans="11:17" x14ac:dyDescent="0.15">
      <c r="K302" s="137"/>
    </row>
    <row r="303" spans="11:17" x14ac:dyDescent="0.15">
      <c r="K303" s="137"/>
    </row>
    <row r="304" spans="11:17" x14ac:dyDescent="0.15">
      <c r="K304" s="137"/>
    </row>
    <row r="305" spans="11:11" x14ac:dyDescent="0.15">
      <c r="K305" s="137"/>
    </row>
    <row r="306" spans="11:11" x14ac:dyDescent="0.15">
      <c r="K306" s="137"/>
    </row>
    <row r="307" spans="11:11" x14ac:dyDescent="0.15">
      <c r="K307" s="137"/>
    </row>
    <row r="308" spans="11:11" x14ac:dyDescent="0.15">
      <c r="K308" s="137"/>
    </row>
    <row r="309" spans="11:11" x14ac:dyDescent="0.15">
      <c r="K309" s="137"/>
    </row>
    <row r="310" spans="11:11" x14ac:dyDescent="0.15">
      <c r="K310" s="137"/>
    </row>
    <row r="311" spans="11:11" x14ac:dyDescent="0.15">
      <c r="K311" s="137"/>
    </row>
    <row r="312" spans="11:11" x14ac:dyDescent="0.15">
      <c r="K312" s="137"/>
    </row>
    <row r="313" spans="11:11" x14ac:dyDescent="0.15">
      <c r="K313" s="137"/>
    </row>
    <row r="314" spans="11:11" x14ac:dyDescent="0.15">
      <c r="K314" s="137"/>
    </row>
    <row r="315" spans="11:11" x14ac:dyDescent="0.15">
      <c r="K315" s="137"/>
    </row>
    <row r="316" spans="11:11" x14ac:dyDescent="0.15">
      <c r="K316" s="137"/>
    </row>
    <row r="317" spans="11:11" x14ac:dyDescent="0.15">
      <c r="K317" s="137"/>
    </row>
    <row r="318" spans="11:11" x14ac:dyDescent="0.15">
      <c r="K318" s="137"/>
    </row>
    <row r="319" spans="11:11" x14ac:dyDescent="0.15">
      <c r="K319" s="137"/>
    </row>
    <row r="320" spans="11:11" x14ac:dyDescent="0.15">
      <c r="K320" s="137"/>
    </row>
    <row r="321" spans="11:11" x14ac:dyDescent="0.15">
      <c r="K321" s="137"/>
    </row>
    <row r="322" spans="11:11" x14ac:dyDescent="0.15">
      <c r="K322" s="137"/>
    </row>
    <row r="323" spans="11:11" x14ac:dyDescent="0.15">
      <c r="K323" s="137"/>
    </row>
    <row r="324" spans="11:11" x14ac:dyDescent="0.15">
      <c r="K324" s="137"/>
    </row>
    <row r="325" spans="11:11" x14ac:dyDescent="0.15">
      <c r="K325" s="137"/>
    </row>
    <row r="326" spans="11:11" x14ac:dyDescent="0.15">
      <c r="K326" s="137"/>
    </row>
    <row r="327" spans="11:11" x14ac:dyDescent="0.15">
      <c r="K327" s="137"/>
    </row>
    <row r="328" spans="11:11" x14ac:dyDescent="0.15">
      <c r="K328" s="137"/>
    </row>
    <row r="329" spans="11:11" x14ac:dyDescent="0.15">
      <c r="K329" s="137"/>
    </row>
    <row r="330" spans="11:11" x14ac:dyDescent="0.15">
      <c r="K330" s="137"/>
    </row>
    <row r="331" spans="11:11" x14ac:dyDescent="0.15">
      <c r="K331" s="137"/>
    </row>
    <row r="332" spans="11:11" x14ac:dyDescent="0.15">
      <c r="K332" s="137"/>
    </row>
    <row r="333" spans="11:11" x14ac:dyDescent="0.15">
      <c r="K333" s="137"/>
    </row>
    <row r="334" spans="11:11" x14ac:dyDescent="0.15">
      <c r="K334" s="137"/>
    </row>
    <row r="335" spans="11:11" x14ac:dyDescent="0.15">
      <c r="K335" s="137"/>
    </row>
    <row r="336" spans="11:11" x14ac:dyDescent="0.15">
      <c r="K336" s="137"/>
    </row>
    <row r="337" spans="11:11" x14ac:dyDescent="0.15">
      <c r="K337" s="137"/>
    </row>
    <row r="338" spans="11:11" x14ac:dyDescent="0.15">
      <c r="K338" s="137"/>
    </row>
    <row r="339" spans="11:11" x14ac:dyDescent="0.15">
      <c r="K339" s="137"/>
    </row>
    <row r="340" spans="11:11" x14ac:dyDescent="0.15">
      <c r="K340" s="137"/>
    </row>
    <row r="341" spans="11:11" x14ac:dyDescent="0.15">
      <c r="K341" s="137"/>
    </row>
    <row r="342" spans="11:11" x14ac:dyDescent="0.15">
      <c r="K342" s="137"/>
    </row>
    <row r="343" spans="11:11" x14ac:dyDescent="0.15">
      <c r="K343" s="137"/>
    </row>
    <row r="344" spans="11:11" x14ac:dyDescent="0.15">
      <c r="K344" s="137"/>
    </row>
    <row r="345" spans="11:11" x14ac:dyDescent="0.15">
      <c r="K345" s="137"/>
    </row>
    <row r="346" spans="11:11" x14ac:dyDescent="0.15">
      <c r="K346" s="137"/>
    </row>
    <row r="347" spans="11:11" x14ac:dyDescent="0.15">
      <c r="K347" s="137"/>
    </row>
    <row r="348" spans="11:11" x14ac:dyDescent="0.15">
      <c r="K348" s="137"/>
    </row>
    <row r="349" spans="11:11" x14ac:dyDescent="0.15">
      <c r="K349" s="137"/>
    </row>
    <row r="350" spans="11:11" x14ac:dyDescent="0.15">
      <c r="K350" s="137"/>
    </row>
    <row r="351" spans="11:11" x14ac:dyDescent="0.15">
      <c r="K351" s="137"/>
    </row>
    <row r="352" spans="11:11" x14ac:dyDescent="0.15">
      <c r="K352" s="137"/>
    </row>
    <row r="353" spans="11:11" x14ac:dyDescent="0.15">
      <c r="K353" s="137"/>
    </row>
    <row r="354" spans="11:11" x14ac:dyDescent="0.15">
      <c r="K354" s="137"/>
    </row>
    <row r="355" spans="11:11" x14ac:dyDescent="0.15">
      <c r="K355" s="137"/>
    </row>
    <row r="356" spans="11:11" x14ac:dyDescent="0.15">
      <c r="K356" s="137"/>
    </row>
    <row r="357" spans="11:11" x14ac:dyDescent="0.15">
      <c r="K357" s="137"/>
    </row>
    <row r="358" spans="11:11" x14ac:dyDescent="0.15">
      <c r="K358" s="137"/>
    </row>
    <row r="359" spans="11:11" x14ac:dyDescent="0.15">
      <c r="K359" s="137"/>
    </row>
    <row r="360" spans="11:11" x14ac:dyDescent="0.15">
      <c r="K360" s="137"/>
    </row>
    <row r="361" spans="11:11" x14ac:dyDescent="0.15">
      <c r="K361" s="137"/>
    </row>
    <row r="362" spans="11:11" x14ac:dyDescent="0.15">
      <c r="K362" s="137"/>
    </row>
    <row r="363" spans="11:11" x14ac:dyDescent="0.15">
      <c r="K363" s="137"/>
    </row>
    <row r="364" spans="11:11" x14ac:dyDescent="0.15">
      <c r="K364" s="137"/>
    </row>
    <row r="365" spans="11:11" x14ac:dyDescent="0.15">
      <c r="K365" s="137"/>
    </row>
    <row r="366" spans="11:11" x14ac:dyDescent="0.15">
      <c r="K366" s="137"/>
    </row>
    <row r="367" spans="11:11" x14ac:dyDescent="0.15">
      <c r="K367" s="137"/>
    </row>
    <row r="368" spans="11:11" x14ac:dyDescent="0.15">
      <c r="K368" s="137"/>
    </row>
    <row r="369" spans="11:11" x14ac:dyDescent="0.15">
      <c r="K369" s="137"/>
    </row>
    <row r="370" spans="11:11" x14ac:dyDescent="0.15">
      <c r="K370" s="137"/>
    </row>
    <row r="371" spans="11:11" x14ac:dyDescent="0.15">
      <c r="K371" s="137"/>
    </row>
    <row r="372" spans="11:11" x14ac:dyDescent="0.15">
      <c r="K372" s="137"/>
    </row>
    <row r="373" spans="11:11" x14ac:dyDescent="0.15">
      <c r="K373" s="137"/>
    </row>
    <row r="374" spans="11:11" x14ac:dyDescent="0.15">
      <c r="K374" s="137"/>
    </row>
    <row r="375" spans="11:11" x14ac:dyDescent="0.15">
      <c r="K375" s="137"/>
    </row>
    <row r="376" spans="11:11" x14ac:dyDescent="0.15">
      <c r="K376" s="137"/>
    </row>
    <row r="377" spans="11:11" x14ac:dyDescent="0.15">
      <c r="K377" s="137"/>
    </row>
    <row r="378" spans="11:11" x14ac:dyDescent="0.15">
      <c r="K378" s="137"/>
    </row>
    <row r="379" spans="11:11" x14ac:dyDescent="0.15">
      <c r="K379" s="137"/>
    </row>
    <row r="380" spans="11:11" x14ac:dyDescent="0.15">
      <c r="K380" s="137"/>
    </row>
    <row r="381" spans="11:11" x14ac:dyDescent="0.15">
      <c r="K381" s="137"/>
    </row>
    <row r="382" spans="11:11" x14ac:dyDescent="0.15">
      <c r="K382" s="137"/>
    </row>
    <row r="383" spans="11:11" x14ac:dyDescent="0.15">
      <c r="K383" s="137"/>
    </row>
    <row r="384" spans="11:11" x14ac:dyDescent="0.15">
      <c r="K384" s="137"/>
    </row>
    <row r="385" spans="11:11" x14ac:dyDescent="0.15">
      <c r="K385" s="137"/>
    </row>
    <row r="386" spans="11:11" x14ac:dyDescent="0.15">
      <c r="K386" s="137"/>
    </row>
    <row r="387" spans="11:11" x14ac:dyDescent="0.15">
      <c r="K387" s="137"/>
    </row>
    <row r="388" spans="11:11" x14ac:dyDescent="0.15">
      <c r="K388" s="137"/>
    </row>
    <row r="389" spans="11:11" x14ac:dyDescent="0.15">
      <c r="K389" s="137"/>
    </row>
    <row r="390" spans="11:11" x14ac:dyDescent="0.15">
      <c r="K390" s="137"/>
    </row>
    <row r="391" spans="11:11" x14ac:dyDescent="0.15">
      <c r="K391" s="137"/>
    </row>
    <row r="392" spans="11:11" x14ac:dyDescent="0.15">
      <c r="K392" s="137"/>
    </row>
    <row r="393" spans="11:11" x14ac:dyDescent="0.15">
      <c r="K393" s="137"/>
    </row>
    <row r="394" spans="11:11" x14ac:dyDescent="0.15">
      <c r="K394" s="137"/>
    </row>
    <row r="395" spans="11:11" x14ac:dyDescent="0.15">
      <c r="K395" s="137"/>
    </row>
    <row r="396" spans="11:11" x14ac:dyDescent="0.15">
      <c r="K396" s="137"/>
    </row>
    <row r="397" spans="11:11" x14ac:dyDescent="0.15">
      <c r="K397" s="137"/>
    </row>
    <row r="398" spans="11:11" x14ac:dyDescent="0.15">
      <c r="K398" s="137"/>
    </row>
    <row r="399" spans="11:11" x14ac:dyDescent="0.15">
      <c r="K399" s="137"/>
    </row>
    <row r="400" spans="11:11" x14ac:dyDescent="0.15">
      <c r="K400" s="137"/>
    </row>
    <row r="401" spans="11:11" x14ac:dyDescent="0.15">
      <c r="K401" s="137"/>
    </row>
    <row r="402" spans="11:11" x14ac:dyDescent="0.15">
      <c r="K402" s="137"/>
    </row>
    <row r="403" spans="11:11" x14ac:dyDescent="0.15">
      <c r="K403" s="137"/>
    </row>
    <row r="404" spans="11:11" x14ac:dyDescent="0.15">
      <c r="K404" s="137"/>
    </row>
    <row r="405" spans="11:11" x14ac:dyDescent="0.15">
      <c r="K405" s="137"/>
    </row>
    <row r="406" spans="11:11" x14ac:dyDescent="0.15">
      <c r="K406" s="137"/>
    </row>
    <row r="407" spans="11:11" x14ac:dyDescent="0.15">
      <c r="K407" s="137"/>
    </row>
    <row r="408" spans="11:11" x14ac:dyDescent="0.15">
      <c r="K408" s="137"/>
    </row>
    <row r="409" spans="11:11" x14ac:dyDescent="0.15">
      <c r="K409" s="137"/>
    </row>
    <row r="410" spans="11:11" x14ac:dyDescent="0.15">
      <c r="K410" s="137"/>
    </row>
    <row r="411" spans="11:11" x14ac:dyDescent="0.15">
      <c r="K411" s="137"/>
    </row>
    <row r="412" spans="11:11" x14ac:dyDescent="0.15">
      <c r="K412" s="137"/>
    </row>
    <row r="413" spans="11:11" x14ac:dyDescent="0.15">
      <c r="K413" s="137"/>
    </row>
    <row r="414" spans="11:11" x14ac:dyDescent="0.15">
      <c r="K414" s="137"/>
    </row>
    <row r="415" spans="11:11" x14ac:dyDescent="0.15">
      <c r="K415" s="137"/>
    </row>
    <row r="416" spans="11:11" x14ac:dyDescent="0.15">
      <c r="K416" s="137"/>
    </row>
    <row r="417" spans="11:11" x14ac:dyDescent="0.15">
      <c r="K417" s="137"/>
    </row>
    <row r="418" spans="11:11" x14ac:dyDescent="0.15">
      <c r="K418" s="137"/>
    </row>
    <row r="419" spans="11:11" x14ac:dyDescent="0.15">
      <c r="K419" s="137"/>
    </row>
    <row r="420" spans="11:11" x14ac:dyDescent="0.15">
      <c r="K420" s="137"/>
    </row>
    <row r="421" spans="11:11" x14ac:dyDescent="0.15">
      <c r="K421" s="137"/>
    </row>
    <row r="422" spans="11:11" x14ac:dyDescent="0.15">
      <c r="K422" s="137"/>
    </row>
    <row r="423" spans="11:11" x14ac:dyDescent="0.15">
      <c r="K423" s="137"/>
    </row>
    <row r="424" spans="11:11" x14ac:dyDescent="0.15">
      <c r="K424" s="137"/>
    </row>
    <row r="425" spans="11:11" x14ac:dyDescent="0.15">
      <c r="K425" s="137"/>
    </row>
    <row r="426" spans="11:11" x14ac:dyDescent="0.15">
      <c r="K426" s="137"/>
    </row>
    <row r="427" spans="11:11" x14ac:dyDescent="0.15">
      <c r="K427" s="137"/>
    </row>
    <row r="428" spans="11:11" x14ac:dyDescent="0.15">
      <c r="K428" s="137"/>
    </row>
    <row r="429" spans="11:11" x14ac:dyDescent="0.15">
      <c r="K429" s="137"/>
    </row>
    <row r="430" spans="11:11" x14ac:dyDescent="0.15">
      <c r="K430" s="137"/>
    </row>
    <row r="431" spans="11:11" x14ac:dyDescent="0.15">
      <c r="K431" s="137"/>
    </row>
    <row r="432" spans="11:11" x14ac:dyDescent="0.15">
      <c r="K432" s="137"/>
    </row>
    <row r="433" spans="11:11" x14ac:dyDescent="0.15">
      <c r="K433" s="137"/>
    </row>
    <row r="434" spans="11:11" x14ac:dyDescent="0.15">
      <c r="K434" s="137"/>
    </row>
    <row r="435" spans="11:11" x14ac:dyDescent="0.15">
      <c r="K435" s="137"/>
    </row>
    <row r="436" spans="11:11" x14ac:dyDescent="0.15">
      <c r="K436" s="137"/>
    </row>
    <row r="437" spans="11:11" x14ac:dyDescent="0.15">
      <c r="K437" s="137"/>
    </row>
    <row r="438" spans="11:11" x14ac:dyDescent="0.15">
      <c r="K438" s="137"/>
    </row>
    <row r="439" spans="11:11" x14ac:dyDescent="0.15">
      <c r="K439" s="137"/>
    </row>
    <row r="440" spans="11:11" x14ac:dyDescent="0.15">
      <c r="K440" s="137"/>
    </row>
    <row r="441" spans="11:11" x14ac:dyDescent="0.15">
      <c r="K441" s="137"/>
    </row>
    <row r="442" spans="11:11" x14ac:dyDescent="0.15">
      <c r="K442" s="137"/>
    </row>
    <row r="443" spans="11:11" x14ac:dyDescent="0.15">
      <c r="K443" s="137"/>
    </row>
  </sheetData>
  <autoFilter ref="A1:BA1"/>
  <phoneticPr fontId="3"/>
  <dataValidations count="20">
    <dataValidation type="list" allowBlank="1" showInputMessage="1" showErrorMessage="1" sqref="K2:K443">
      <formula1>$AR$2:$AR$26</formula1>
    </dataValidation>
    <dataValidation type="list" allowBlank="1" showInputMessage="1" showErrorMessage="1" sqref="J492:J64242">
      <formula1>$AP$2:$AP$16</formula1>
    </dataValidation>
    <dataValidation type="list" allowBlank="1" showInputMessage="1" showErrorMessage="1" sqref="I492:I64242">
      <formula1>$AN$2:$AN$6</formula1>
    </dataValidation>
    <dataValidation type="list" allowBlank="1" showInputMessage="1" showErrorMessage="1" sqref="Y492:AA64242">
      <formula1>$AV$2:$AV$26</formula1>
    </dataValidation>
    <dataValidation type="list" allowBlank="1" showInputMessage="1" showErrorMessage="1" sqref="K492:K64242">
      <formula1>$AR$2:$AR$28</formula1>
    </dataValidation>
    <dataValidation type="list" allowBlank="1" showInputMessage="1" showErrorMessage="1" sqref="H492:H64242">
      <formula1>$AL$2:$AL$10</formula1>
    </dataValidation>
    <dataValidation type="list" allowBlank="1" showInputMessage="1" showErrorMessage="1" sqref="E492:E64242">
      <formula1>$AG$2:$AG$9</formula1>
    </dataValidation>
    <dataValidation type="list" allowBlank="1" showInputMessage="1" showErrorMessage="1" sqref="F492:F64242">
      <formula1>$AH$2:$AH$8</formula1>
    </dataValidation>
    <dataValidation operator="equal" allowBlank="1" showInputMessage="1" showErrorMessage="1" sqref="B2:B46"/>
    <dataValidation type="list" allowBlank="1" showInputMessage="1" showErrorMessage="1" sqref="J2:J491">
      <formula1>$AP$2:$AP$27</formula1>
    </dataValidation>
    <dataValidation type="list" allowBlank="1" showInputMessage="1" showErrorMessage="1" sqref="G2:G491">
      <formula1>$AJ$2:$AJ$4</formula1>
    </dataValidation>
    <dataValidation type="list" allowBlank="1" showInputMessage="1" showErrorMessage="1" sqref="X2:X491">
      <formula1>$AT$2:$AT$3</formula1>
    </dataValidation>
    <dataValidation type="list" allowBlank="1" showInputMessage="1" showErrorMessage="1" sqref="A2:A491">
      <formula1>$AE$2:$AE$19</formula1>
    </dataValidation>
    <dataValidation type="list" allowBlank="1" showInputMessage="1" showErrorMessage="1" sqref="H2:H491">
      <formula1>$AL$2:$AL$8</formula1>
    </dataValidation>
    <dataValidation type="list" allowBlank="1" showInputMessage="1" showErrorMessage="1" sqref="I2:I491">
      <formula1>$AN$5:$AN$6</formula1>
    </dataValidation>
    <dataValidation type="list" allowBlank="1" showInputMessage="1" showErrorMessage="1" sqref="K444:K491">
      <formula1>$AR$2:$AR$25</formula1>
    </dataValidation>
    <dataValidation type="list" allowBlank="1" showInputMessage="1" showErrorMessage="1" sqref="Y2:AA491">
      <formula1>$AV$2:$AV$21</formula1>
    </dataValidation>
    <dataValidation type="decimal" allowBlank="1" showInputMessage="1" showErrorMessage="1" error="硬度を正しく入力して下さい。" sqref="O2:P491">
      <formula1>0</formula1>
      <formula2>7</formula2>
    </dataValidation>
    <dataValidation type="list" allowBlank="1" showInputMessage="1" showErrorMessage="1" sqref="E2:E491">
      <formula1>$AG$2:$AG$10</formula1>
    </dataValidation>
    <dataValidation type="list" allowBlank="1" showInputMessage="1" showErrorMessage="1" sqref="F2:F491">
      <formula1>$AH$2:$AH$10</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39"/>
  <sheetViews>
    <sheetView zoomScale="70" zoomScaleNormal="70" workbookViewId="0">
      <pane ySplit="1" topLeftCell="A2" activePane="bottomLeft" state="frozen"/>
      <selection pane="bottomLeft" activeCell="U15" sqref="U15"/>
    </sheetView>
  </sheetViews>
  <sheetFormatPr defaultRowHeight="13.5" x14ac:dyDescent="0.15"/>
  <cols>
    <col min="1" max="3" width="9" style="208"/>
    <col min="4" max="4" width="10.5" style="208" bestFit="1" customWidth="1"/>
    <col min="5" max="5" width="10.875" style="208" bestFit="1" customWidth="1"/>
    <col min="6" max="6" width="18.875" style="208" bestFit="1" customWidth="1"/>
    <col min="7" max="9" width="9" style="208"/>
    <col min="10" max="10" width="9.25" style="208" customWidth="1"/>
    <col min="11" max="16" width="9" style="208"/>
    <col min="17" max="17" width="9" style="217"/>
    <col min="18" max="19" width="9" style="208"/>
    <col min="20" max="20" width="9" style="217"/>
    <col min="21" max="21" width="9" style="208"/>
    <col min="22" max="22" width="14.25" style="217" customWidth="1"/>
    <col min="23" max="23" width="9" style="208"/>
    <col min="24" max="24" width="9.625" style="208" customWidth="1"/>
    <col min="25" max="26" width="9" style="208"/>
    <col min="27" max="27" width="12.125" style="208" customWidth="1"/>
    <col min="28" max="32" width="9" style="208"/>
    <col min="33" max="33" width="15.125" style="208" bestFit="1" customWidth="1"/>
    <col min="34" max="34" width="19.625" style="208" bestFit="1" customWidth="1"/>
    <col min="35" max="16384" width="9" style="208"/>
  </cols>
  <sheetData>
    <row r="1" spans="1:53" ht="45" x14ac:dyDescent="0.15">
      <c r="A1" s="240" t="s">
        <v>0</v>
      </c>
      <c r="B1" s="255" t="s">
        <v>1</v>
      </c>
      <c r="C1" s="255" t="s">
        <v>2</v>
      </c>
      <c r="D1" s="256" t="s">
        <v>3</v>
      </c>
      <c r="E1" s="241" t="s">
        <v>4</v>
      </c>
      <c r="F1" s="241" t="s">
        <v>5</v>
      </c>
      <c r="G1" s="241" t="s">
        <v>6</v>
      </c>
      <c r="H1" s="241" t="s">
        <v>7</v>
      </c>
      <c r="I1" s="241" t="s">
        <v>8</v>
      </c>
      <c r="J1" s="241" t="s">
        <v>9</v>
      </c>
      <c r="K1" s="241" t="s">
        <v>10</v>
      </c>
      <c r="L1" s="256" t="s">
        <v>159</v>
      </c>
      <c r="M1" s="256" t="s">
        <v>12</v>
      </c>
      <c r="N1" s="256" t="s">
        <v>13</v>
      </c>
      <c r="O1" s="256" t="s">
        <v>14</v>
      </c>
      <c r="P1" s="256" t="s">
        <v>160</v>
      </c>
      <c r="Q1" s="204" t="s">
        <v>16</v>
      </c>
      <c r="R1" s="256" t="s">
        <v>17</v>
      </c>
      <c r="S1" s="256" t="s">
        <v>18</v>
      </c>
      <c r="T1" s="204" t="s">
        <v>19</v>
      </c>
      <c r="U1" s="257" t="s">
        <v>269</v>
      </c>
      <c r="V1" s="206" t="s">
        <v>20</v>
      </c>
      <c r="W1" s="256" t="s">
        <v>21</v>
      </c>
      <c r="X1" s="241" t="s">
        <v>22</v>
      </c>
      <c r="Y1" s="241" t="s">
        <v>23</v>
      </c>
      <c r="Z1" s="241" t="s">
        <v>326</v>
      </c>
      <c r="AA1" s="242" t="s">
        <v>25</v>
      </c>
      <c r="AB1" s="258" t="s">
        <v>26</v>
      </c>
      <c r="AE1" s="259" t="s">
        <v>0</v>
      </c>
      <c r="AF1" s="260"/>
      <c r="AG1" s="261" t="s">
        <v>4</v>
      </c>
      <c r="AH1" s="259" t="s">
        <v>5</v>
      </c>
      <c r="AI1" s="260"/>
      <c r="AJ1" s="259" t="s">
        <v>6</v>
      </c>
      <c r="AK1" s="260"/>
      <c r="AL1" s="211" t="s">
        <v>7</v>
      </c>
      <c r="AM1" s="260"/>
      <c r="AN1" s="211" t="s">
        <v>8</v>
      </c>
      <c r="AO1" s="260"/>
      <c r="AP1" s="211" t="s">
        <v>27</v>
      </c>
      <c r="AQ1" s="260"/>
      <c r="AR1" s="211" t="s">
        <v>10</v>
      </c>
      <c r="AS1" s="260"/>
      <c r="AT1" s="212" t="s">
        <v>28</v>
      </c>
      <c r="AU1" s="260"/>
      <c r="AV1" s="211" t="s">
        <v>29</v>
      </c>
      <c r="AX1" s="213" t="s">
        <v>30</v>
      </c>
      <c r="AY1" s="214" t="s">
        <v>161</v>
      </c>
      <c r="AZ1" s="214" t="s">
        <v>32</v>
      </c>
      <c r="BA1" s="215" t="s">
        <v>33</v>
      </c>
    </row>
    <row r="2" spans="1:53" x14ac:dyDescent="0.15">
      <c r="A2" s="208" t="s">
        <v>34</v>
      </c>
      <c r="B2" s="208" t="s">
        <v>344</v>
      </c>
      <c r="C2" s="208">
        <v>2018</v>
      </c>
      <c r="D2" s="262" t="s">
        <v>526</v>
      </c>
      <c r="E2" s="208" t="s">
        <v>295</v>
      </c>
      <c r="F2" s="208" t="s">
        <v>339</v>
      </c>
      <c r="G2" s="208" t="s">
        <v>36</v>
      </c>
      <c r="H2" s="208" t="s">
        <v>157</v>
      </c>
      <c r="I2" s="208" t="s">
        <v>155</v>
      </c>
      <c r="J2" s="208" t="s">
        <v>38</v>
      </c>
      <c r="K2" s="208" t="s">
        <v>156</v>
      </c>
      <c r="L2" s="208">
        <v>1</v>
      </c>
      <c r="N2" s="208">
        <v>1</v>
      </c>
      <c r="O2" s="208">
        <v>0.55000000000000004</v>
      </c>
      <c r="P2" s="208">
        <v>0.55000000000000004</v>
      </c>
      <c r="Q2" s="245">
        <f t="shared" ref="Q2:Q82" si="0">IF(OR(O2="",P2=""),"",AVERAGE(O2,P2))</f>
        <v>0.55000000000000004</v>
      </c>
      <c r="R2" s="208">
        <v>14.7</v>
      </c>
      <c r="S2" s="208">
        <v>116</v>
      </c>
      <c r="T2" s="217">
        <f t="shared" ref="T2:T82" si="1">IF(H2="","",IF(OR(H2="GREEN",H2="GK"),IF(S2&gt;=$AX$2,VLOOKUP(S2,$AX$2:$AY$9,2,1),""),IF(S2&gt;=$AZ$2,VLOOKUP(S2,$AZ$2:$BA$9,2,1),"")))</f>
        <v>30</v>
      </c>
      <c r="U2" s="208">
        <v>81</v>
      </c>
      <c r="V2" s="217">
        <f t="shared" ref="V2:V82" si="2">IF(OR(N2="",U2="",T2=""),"",U2/N2*T2)</f>
        <v>2430</v>
      </c>
      <c r="W2" s="208">
        <v>6</v>
      </c>
      <c r="X2" s="208" t="s">
        <v>46</v>
      </c>
      <c r="Y2" s="208" t="s">
        <v>55</v>
      </c>
      <c r="Z2" s="208" t="s">
        <v>69</v>
      </c>
      <c r="AA2" s="208" t="s">
        <v>64</v>
      </c>
      <c r="AB2" s="208" t="s">
        <v>346</v>
      </c>
      <c r="AE2" s="263" t="s">
        <v>35</v>
      </c>
      <c r="AG2" s="264" t="s">
        <v>292</v>
      </c>
      <c r="AH2" s="248" t="s">
        <v>327</v>
      </c>
      <c r="AJ2" s="248" t="s">
        <v>36</v>
      </c>
      <c r="AL2" s="248" t="s">
        <v>127</v>
      </c>
      <c r="AN2" s="248" t="s">
        <v>37</v>
      </c>
      <c r="AP2" s="248" t="s">
        <v>38</v>
      </c>
      <c r="AR2" s="248" t="s">
        <v>162</v>
      </c>
      <c r="AT2" s="248" t="s">
        <v>39</v>
      </c>
      <c r="AV2" s="248" t="s">
        <v>40</v>
      </c>
      <c r="AX2" s="157">
        <v>1</v>
      </c>
      <c r="AY2" s="158">
        <v>50</v>
      </c>
      <c r="AZ2" s="158">
        <v>1</v>
      </c>
      <c r="BA2" s="159">
        <v>50</v>
      </c>
    </row>
    <row r="3" spans="1:53" x14ac:dyDescent="0.15">
      <c r="A3" s="208" t="s">
        <v>34</v>
      </c>
      <c r="B3" s="208" t="s">
        <v>344</v>
      </c>
      <c r="C3" s="208">
        <v>2018</v>
      </c>
      <c r="D3" s="262" t="s">
        <v>526</v>
      </c>
      <c r="E3" s="208" t="s">
        <v>295</v>
      </c>
      <c r="F3" s="208" t="s">
        <v>339</v>
      </c>
      <c r="G3" s="208" t="s">
        <v>36</v>
      </c>
      <c r="H3" s="208" t="s">
        <v>157</v>
      </c>
      <c r="I3" s="208" t="s">
        <v>155</v>
      </c>
      <c r="J3" s="208" t="s">
        <v>38</v>
      </c>
      <c r="K3" s="208" t="s">
        <v>156</v>
      </c>
      <c r="L3" s="208">
        <v>2</v>
      </c>
      <c r="N3" s="208">
        <v>1</v>
      </c>
      <c r="O3" s="208">
        <v>0.5</v>
      </c>
      <c r="P3" s="208">
        <v>0.5</v>
      </c>
      <c r="Q3" s="245">
        <f t="shared" si="0"/>
        <v>0.5</v>
      </c>
      <c r="R3" s="208">
        <v>14.7</v>
      </c>
      <c r="S3" s="208">
        <v>121</v>
      </c>
      <c r="T3" s="217">
        <f t="shared" si="1"/>
        <v>30</v>
      </c>
      <c r="U3" s="208">
        <v>81</v>
      </c>
      <c r="V3" s="217">
        <f t="shared" si="2"/>
        <v>2430</v>
      </c>
      <c r="W3" s="208">
        <v>6</v>
      </c>
      <c r="X3" s="208" t="s">
        <v>46</v>
      </c>
      <c r="Y3" s="208" t="s">
        <v>55</v>
      </c>
      <c r="Z3" s="208" t="s">
        <v>69</v>
      </c>
      <c r="AA3" s="208" t="s">
        <v>64</v>
      </c>
      <c r="AB3" s="208" t="s">
        <v>346</v>
      </c>
      <c r="AE3" s="223" t="s">
        <v>41</v>
      </c>
      <c r="AG3" s="265" t="s">
        <v>328</v>
      </c>
      <c r="AH3" s="248" t="s">
        <v>329</v>
      </c>
      <c r="AJ3" s="224" t="s">
        <v>42</v>
      </c>
      <c r="AL3" s="224" t="s">
        <v>128</v>
      </c>
      <c r="AN3" s="224" t="s">
        <v>43</v>
      </c>
      <c r="AP3" s="224" t="s">
        <v>44</v>
      </c>
      <c r="AR3" s="224" t="s">
        <v>45</v>
      </c>
      <c r="AT3" s="224" t="s">
        <v>46</v>
      </c>
      <c r="AV3" s="224" t="s">
        <v>47</v>
      </c>
      <c r="AX3" s="225">
        <v>72</v>
      </c>
      <c r="AY3" s="226">
        <v>46</v>
      </c>
      <c r="AZ3" s="226">
        <v>71</v>
      </c>
      <c r="BA3" s="227">
        <v>42</v>
      </c>
    </row>
    <row r="4" spans="1:53" x14ac:dyDescent="0.15">
      <c r="A4" s="208" t="s">
        <v>34</v>
      </c>
      <c r="B4" s="208" t="s">
        <v>344</v>
      </c>
      <c r="C4" s="208">
        <v>2018</v>
      </c>
      <c r="D4" s="262" t="s">
        <v>526</v>
      </c>
      <c r="E4" s="208" t="s">
        <v>295</v>
      </c>
      <c r="F4" s="208" t="s">
        <v>339</v>
      </c>
      <c r="G4" s="208" t="s">
        <v>36</v>
      </c>
      <c r="H4" s="208" t="s">
        <v>157</v>
      </c>
      <c r="I4" s="208" t="s">
        <v>155</v>
      </c>
      <c r="J4" s="208" t="s">
        <v>38</v>
      </c>
      <c r="K4" s="208" t="s">
        <v>156</v>
      </c>
      <c r="L4" s="208">
        <v>3</v>
      </c>
      <c r="N4" s="208">
        <v>1</v>
      </c>
      <c r="O4" s="208">
        <v>0.6</v>
      </c>
      <c r="P4" s="208">
        <v>0.5</v>
      </c>
      <c r="Q4" s="245">
        <f t="shared" si="0"/>
        <v>0.55000000000000004</v>
      </c>
      <c r="R4" s="208">
        <v>14.3</v>
      </c>
      <c r="S4" s="208">
        <v>117</v>
      </c>
      <c r="T4" s="217">
        <f t="shared" si="1"/>
        <v>30</v>
      </c>
      <c r="U4" s="208">
        <v>81</v>
      </c>
      <c r="V4" s="217">
        <f t="shared" si="2"/>
        <v>2430</v>
      </c>
      <c r="W4" s="208">
        <v>6</v>
      </c>
      <c r="X4" s="208" t="s">
        <v>46</v>
      </c>
      <c r="Y4" s="208" t="s">
        <v>55</v>
      </c>
      <c r="Z4" s="208" t="s">
        <v>69</v>
      </c>
      <c r="AA4" s="208" t="s">
        <v>64</v>
      </c>
      <c r="AB4" s="208" t="s">
        <v>346</v>
      </c>
      <c r="AE4" s="223" t="s">
        <v>34</v>
      </c>
      <c r="AG4" s="265" t="s">
        <v>330</v>
      </c>
      <c r="AH4" s="248" t="s">
        <v>331</v>
      </c>
      <c r="AJ4" s="228" t="s">
        <v>48</v>
      </c>
      <c r="AL4" s="228" t="s">
        <v>129</v>
      </c>
      <c r="AN4" s="229" t="s">
        <v>49</v>
      </c>
      <c r="AP4" s="224" t="s">
        <v>163</v>
      </c>
      <c r="AR4" s="224" t="s">
        <v>164</v>
      </c>
      <c r="AT4" s="229"/>
      <c r="AV4" s="224" t="s">
        <v>50</v>
      </c>
      <c r="AX4" s="225">
        <v>75</v>
      </c>
      <c r="AY4" s="226">
        <v>42</v>
      </c>
      <c r="AZ4" s="226">
        <v>76</v>
      </c>
      <c r="BA4" s="227">
        <v>39</v>
      </c>
    </row>
    <row r="5" spans="1:53" x14ac:dyDescent="0.15">
      <c r="A5" s="208" t="s">
        <v>34</v>
      </c>
      <c r="B5" s="208" t="s">
        <v>344</v>
      </c>
      <c r="C5" s="208">
        <v>2018</v>
      </c>
      <c r="D5" s="262" t="s">
        <v>526</v>
      </c>
      <c r="E5" s="208" t="s">
        <v>295</v>
      </c>
      <c r="F5" s="208" t="s">
        <v>339</v>
      </c>
      <c r="G5" s="208" t="s">
        <v>36</v>
      </c>
      <c r="H5" s="208" t="s">
        <v>165</v>
      </c>
      <c r="I5" s="208" t="s">
        <v>155</v>
      </c>
      <c r="J5" s="208" t="s">
        <v>38</v>
      </c>
      <c r="K5" s="208" t="s">
        <v>156</v>
      </c>
      <c r="L5" s="208">
        <v>1</v>
      </c>
      <c r="N5" s="208">
        <v>1</v>
      </c>
      <c r="O5" s="208">
        <v>0.5</v>
      </c>
      <c r="P5" s="208">
        <v>0.5</v>
      </c>
      <c r="Q5" s="245">
        <f t="shared" si="0"/>
        <v>0.5</v>
      </c>
      <c r="R5" s="208">
        <v>16.8</v>
      </c>
      <c r="S5" s="208">
        <v>140</v>
      </c>
      <c r="T5" s="217">
        <f t="shared" si="1"/>
        <v>30</v>
      </c>
      <c r="U5" s="208">
        <v>149</v>
      </c>
      <c r="V5" s="217">
        <f t="shared" si="2"/>
        <v>4470</v>
      </c>
      <c r="W5" s="208">
        <v>5</v>
      </c>
      <c r="X5" s="208" t="s">
        <v>46</v>
      </c>
      <c r="Y5" s="208" t="s">
        <v>55</v>
      </c>
      <c r="Z5" s="208" t="s">
        <v>69</v>
      </c>
      <c r="AA5" s="208" t="s">
        <v>64</v>
      </c>
      <c r="AB5" s="208" t="s">
        <v>346</v>
      </c>
      <c r="AE5" s="223" t="s">
        <v>51</v>
      </c>
      <c r="AG5" s="265" t="s">
        <v>332</v>
      </c>
      <c r="AH5" s="248" t="s">
        <v>333</v>
      </c>
      <c r="AJ5" s="229"/>
      <c r="AL5" s="148" t="s">
        <v>166</v>
      </c>
      <c r="AN5" s="148" t="s">
        <v>52</v>
      </c>
      <c r="AP5" s="224" t="s">
        <v>167</v>
      </c>
      <c r="AR5" s="224" t="s">
        <v>54</v>
      </c>
      <c r="AV5" s="224" t="s">
        <v>55</v>
      </c>
      <c r="AX5" s="225">
        <v>84</v>
      </c>
      <c r="AY5" s="226">
        <v>39</v>
      </c>
      <c r="AZ5" s="226">
        <v>84</v>
      </c>
      <c r="BA5" s="227">
        <v>36</v>
      </c>
    </row>
    <row r="6" spans="1:53" x14ac:dyDescent="0.15">
      <c r="A6" s="208" t="s">
        <v>34</v>
      </c>
      <c r="B6" s="208" t="s">
        <v>344</v>
      </c>
      <c r="C6" s="208">
        <v>2018</v>
      </c>
      <c r="D6" s="262" t="s">
        <v>526</v>
      </c>
      <c r="E6" s="208" t="s">
        <v>295</v>
      </c>
      <c r="F6" s="208" t="s">
        <v>339</v>
      </c>
      <c r="G6" s="208" t="s">
        <v>36</v>
      </c>
      <c r="H6" s="208" t="s">
        <v>165</v>
      </c>
      <c r="I6" s="208" t="s">
        <v>155</v>
      </c>
      <c r="J6" s="208" t="s">
        <v>38</v>
      </c>
      <c r="K6" s="208" t="s">
        <v>156</v>
      </c>
      <c r="L6" s="208">
        <v>2</v>
      </c>
      <c r="N6" s="208">
        <v>1</v>
      </c>
      <c r="O6" s="208">
        <v>0.5</v>
      </c>
      <c r="P6" s="208">
        <v>0.5</v>
      </c>
      <c r="Q6" s="245">
        <f t="shared" si="0"/>
        <v>0.5</v>
      </c>
      <c r="R6" s="208">
        <v>16.7</v>
      </c>
      <c r="S6" s="208">
        <v>139</v>
      </c>
      <c r="T6" s="217">
        <f t="shared" si="1"/>
        <v>30</v>
      </c>
      <c r="U6" s="208">
        <v>149</v>
      </c>
      <c r="V6" s="217">
        <f t="shared" si="2"/>
        <v>4470</v>
      </c>
      <c r="W6" s="208">
        <v>5</v>
      </c>
      <c r="X6" s="208" t="s">
        <v>46</v>
      </c>
      <c r="Y6" s="208" t="s">
        <v>55</v>
      </c>
      <c r="Z6" s="208" t="s">
        <v>69</v>
      </c>
      <c r="AA6" s="208" t="s">
        <v>64</v>
      </c>
      <c r="AB6" s="208" t="s">
        <v>346</v>
      </c>
      <c r="AE6" s="223" t="s">
        <v>56</v>
      </c>
      <c r="AG6" s="265" t="s">
        <v>334</v>
      </c>
      <c r="AH6" s="248" t="s">
        <v>335</v>
      </c>
      <c r="AL6" s="148" t="s">
        <v>99</v>
      </c>
      <c r="AN6" s="148" t="s">
        <v>57</v>
      </c>
      <c r="AP6" s="224" t="s">
        <v>53</v>
      </c>
      <c r="AR6" s="224" t="s">
        <v>59</v>
      </c>
      <c r="AV6" s="224" t="s">
        <v>60</v>
      </c>
      <c r="AX6" s="225">
        <v>97</v>
      </c>
      <c r="AY6" s="226">
        <v>36</v>
      </c>
      <c r="AZ6" s="226">
        <v>99</v>
      </c>
      <c r="BA6" s="227">
        <v>33</v>
      </c>
    </row>
    <row r="7" spans="1:53" x14ac:dyDescent="0.15">
      <c r="A7" s="208" t="s">
        <v>34</v>
      </c>
      <c r="B7" s="208" t="s">
        <v>344</v>
      </c>
      <c r="C7" s="208">
        <v>2018</v>
      </c>
      <c r="D7" s="262" t="s">
        <v>526</v>
      </c>
      <c r="E7" s="208" t="s">
        <v>295</v>
      </c>
      <c r="F7" s="208" t="s">
        <v>339</v>
      </c>
      <c r="G7" s="208" t="s">
        <v>36</v>
      </c>
      <c r="H7" s="208" t="s">
        <v>165</v>
      </c>
      <c r="I7" s="208" t="s">
        <v>155</v>
      </c>
      <c r="J7" s="208" t="s">
        <v>38</v>
      </c>
      <c r="K7" s="208" t="s">
        <v>156</v>
      </c>
      <c r="L7" s="208">
        <v>3</v>
      </c>
      <c r="N7" s="208">
        <v>1</v>
      </c>
      <c r="O7" s="208">
        <v>0.55000000000000004</v>
      </c>
      <c r="P7" s="208">
        <v>0.5</v>
      </c>
      <c r="Q7" s="245">
        <f t="shared" si="0"/>
        <v>0.52500000000000002</v>
      </c>
      <c r="R7" s="208">
        <v>16.399999999999999</v>
      </c>
      <c r="S7" s="208">
        <v>140</v>
      </c>
      <c r="T7" s="217">
        <f t="shared" si="1"/>
        <v>30</v>
      </c>
      <c r="U7" s="208">
        <v>149</v>
      </c>
      <c r="V7" s="217">
        <f t="shared" si="2"/>
        <v>4470</v>
      </c>
      <c r="W7" s="208">
        <v>5</v>
      </c>
      <c r="X7" s="208" t="s">
        <v>46</v>
      </c>
      <c r="Y7" s="208" t="s">
        <v>55</v>
      </c>
      <c r="Z7" s="208" t="s">
        <v>69</v>
      </c>
      <c r="AA7" s="208" t="s">
        <v>64</v>
      </c>
      <c r="AB7" s="208" t="s">
        <v>346</v>
      </c>
      <c r="AE7" s="223" t="s">
        <v>61</v>
      </c>
      <c r="AG7" s="265" t="s">
        <v>211</v>
      </c>
      <c r="AH7" s="248" t="s">
        <v>336</v>
      </c>
      <c r="AL7" s="235" t="s">
        <v>180</v>
      </c>
      <c r="AP7" s="224" t="s">
        <v>58</v>
      </c>
      <c r="AR7" s="224" t="s">
        <v>122</v>
      </c>
      <c r="AV7" s="224" t="s">
        <v>64</v>
      </c>
      <c r="AX7" s="225">
        <v>109</v>
      </c>
      <c r="AY7" s="226">
        <v>33</v>
      </c>
      <c r="AZ7" s="226">
        <v>113</v>
      </c>
      <c r="BA7" s="227">
        <v>30</v>
      </c>
    </row>
    <row r="8" spans="1:53" x14ac:dyDescent="0.15">
      <c r="A8" s="208" t="s">
        <v>34</v>
      </c>
      <c r="B8" s="208" t="s">
        <v>344</v>
      </c>
      <c r="C8" s="208">
        <v>2018</v>
      </c>
      <c r="D8" s="262" t="s">
        <v>526</v>
      </c>
      <c r="E8" s="208" t="s">
        <v>295</v>
      </c>
      <c r="F8" s="208" t="s">
        <v>339</v>
      </c>
      <c r="G8" s="208" t="s">
        <v>36</v>
      </c>
      <c r="H8" s="208" t="s">
        <v>165</v>
      </c>
      <c r="I8" s="208" t="s">
        <v>155</v>
      </c>
      <c r="J8" s="208" t="s">
        <v>38</v>
      </c>
      <c r="K8" s="208" t="s">
        <v>156</v>
      </c>
      <c r="L8" s="208">
        <v>1</v>
      </c>
      <c r="N8" s="208">
        <v>4</v>
      </c>
      <c r="O8" s="208">
        <v>0.65</v>
      </c>
      <c r="P8" s="208">
        <v>0.65</v>
      </c>
      <c r="Q8" s="245">
        <f t="shared" si="0"/>
        <v>0.65</v>
      </c>
      <c r="R8" s="208">
        <v>15.7</v>
      </c>
      <c r="S8" s="208">
        <v>130</v>
      </c>
      <c r="T8" s="217">
        <f t="shared" si="1"/>
        <v>30</v>
      </c>
      <c r="U8" s="208">
        <v>537</v>
      </c>
      <c r="V8" s="217">
        <f t="shared" si="2"/>
        <v>4027.5</v>
      </c>
      <c r="W8" s="208">
        <v>5</v>
      </c>
      <c r="X8" s="208" t="s">
        <v>46</v>
      </c>
      <c r="Y8" s="208" t="s">
        <v>55</v>
      </c>
      <c r="Z8" s="208" t="s">
        <v>69</v>
      </c>
      <c r="AA8" s="208" t="s">
        <v>64</v>
      </c>
      <c r="AB8" s="208" t="s">
        <v>346</v>
      </c>
      <c r="AE8" s="223" t="s">
        <v>59</v>
      </c>
      <c r="AG8" s="265" t="s">
        <v>337</v>
      </c>
      <c r="AH8" s="248" t="s">
        <v>338</v>
      </c>
      <c r="AL8" s="235" t="s">
        <v>372</v>
      </c>
      <c r="AP8" s="224" t="s">
        <v>62</v>
      </c>
      <c r="AR8" s="224" t="s">
        <v>81</v>
      </c>
      <c r="AV8" s="224" t="s">
        <v>97</v>
      </c>
      <c r="AX8" s="225">
        <v>151</v>
      </c>
      <c r="AY8" s="226">
        <v>22</v>
      </c>
      <c r="AZ8" s="226">
        <v>152</v>
      </c>
      <c r="BA8" s="227">
        <v>18</v>
      </c>
    </row>
    <row r="9" spans="1:53" x14ac:dyDescent="0.15">
      <c r="A9" s="208" t="s">
        <v>34</v>
      </c>
      <c r="B9" s="208" t="s">
        <v>344</v>
      </c>
      <c r="C9" s="208">
        <v>2018</v>
      </c>
      <c r="D9" s="262" t="s">
        <v>526</v>
      </c>
      <c r="E9" s="208" t="s">
        <v>295</v>
      </c>
      <c r="F9" s="208" t="s">
        <v>339</v>
      </c>
      <c r="G9" s="208" t="s">
        <v>36</v>
      </c>
      <c r="H9" s="208" t="s">
        <v>165</v>
      </c>
      <c r="I9" s="208" t="s">
        <v>155</v>
      </c>
      <c r="J9" s="208" t="s">
        <v>38</v>
      </c>
      <c r="K9" s="208" t="s">
        <v>156</v>
      </c>
      <c r="L9" s="208">
        <v>2</v>
      </c>
      <c r="N9" s="208">
        <v>4</v>
      </c>
      <c r="O9" s="208">
        <v>0.5</v>
      </c>
      <c r="P9" s="208">
        <v>0.55000000000000004</v>
      </c>
      <c r="Q9" s="245">
        <f t="shared" si="0"/>
        <v>0.52500000000000002</v>
      </c>
      <c r="R9" s="208">
        <v>15.2</v>
      </c>
      <c r="S9" s="208">
        <v>134</v>
      </c>
      <c r="T9" s="217">
        <f t="shared" si="1"/>
        <v>30</v>
      </c>
      <c r="U9" s="208">
        <v>537</v>
      </c>
      <c r="V9" s="217">
        <f t="shared" si="2"/>
        <v>4027.5</v>
      </c>
      <c r="W9" s="208">
        <v>5</v>
      </c>
      <c r="X9" s="208" t="s">
        <v>46</v>
      </c>
      <c r="Y9" s="208" t="s">
        <v>55</v>
      </c>
      <c r="Z9" s="208" t="s">
        <v>69</v>
      </c>
      <c r="AA9" s="208" t="s">
        <v>64</v>
      </c>
      <c r="AB9" s="208" t="s">
        <v>346</v>
      </c>
      <c r="AE9" s="223" t="s">
        <v>98</v>
      </c>
      <c r="AG9" s="265" t="s">
        <v>295</v>
      </c>
      <c r="AH9" s="248" t="s">
        <v>339</v>
      </c>
      <c r="AL9" s="148"/>
      <c r="AP9" s="224" t="s">
        <v>95</v>
      </c>
      <c r="AR9" s="224" t="s">
        <v>89</v>
      </c>
      <c r="AV9" s="224" t="s">
        <v>102</v>
      </c>
      <c r="AX9" s="232">
        <v>180</v>
      </c>
      <c r="AY9" s="233">
        <v>18</v>
      </c>
      <c r="AZ9" s="233">
        <v>181</v>
      </c>
      <c r="BA9" s="234">
        <v>16</v>
      </c>
    </row>
    <row r="10" spans="1:53" x14ac:dyDescent="0.15">
      <c r="A10" s="208" t="s">
        <v>34</v>
      </c>
      <c r="B10" s="208" t="s">
        <v>344</v>
      </c>
      <c r="C10" s="208">
        <v>2018</v>
      </c>
      <c r="D10" s="262" t="s">
        <v>526</v>
      </c>
      <c r="E10" s="208" t="s">
        <v>295</v>
      </c>
      <c r="F10" s="208" t="s">
        <v>339</v>
      </c>
      <c r="G10" s="208" t="s">
        <v>36</v>
      </c>
      <c r="H10" s="208" t="s">
        <v>165</v>
      </c>
      <c r="I10" s="208" t="s">
        <v>155</v>
      </c>
      <c r="J10" s="208" t="s">
        <v>38</v>
      </c>
      <c r="K10" s="208" t="s">
        <v>156</v>
      </c>
      <c r="L10" s="208">
        <v>3</v>
      </c>
      <c r="N10" s="208">
        <v>4</v>
      </c>
      <c r="O10" s="208">
        <v>0.8</v>
      </c>
      <c r="P10" s="208">
        <v>0.8</v>
      </c>
      <c r="Q10" s="245">
        <f t="shared" si="0"/>
        <v>0.8</v>
      </c>
      <c r="R10" s="208">
        <v>14.3</v>
      </c>
      <c r="S10" s="208">
        <v>132</v>
      </c>
      <c r="T10" s="217">
        <f t="shared" si="1"/>
        <v>30</v>
      </c>
      <c r="U10" s="208">
        <v>537</v>
      </c>
      <c r="V10" s="217">
        <f t="shared" si="2"/>
        <v>4027.5</v>
      </c>
      <c r="W10" s="208">
        <v>5</v>
      </c>
      <c r="X10" s="208" t="s">
        <v>46</v>
      </c>
      <c r="Y10" s="208" t="s">
        <v>55</v>
      </c>
      <c r="Z10" s="208" t="s">
        <v>69</v>
      </c>
      <c r="AA10" s="208" t="s">
        <v>64</v>
      </c>
      <c r="AB10" s="208" t="s">
        <v>346</v>
      </c>
      <c r="AE10" s="223" t="s">
        <v>103</v>
      </c>
      <c r="AG10" s="265" t="s">
        <v>340</v>
      </c>
      <c r="AH10" s="248" t="s">
        <v>341</v>
      </c>
      <c r="AL10" s="235"/>
      <c r="AP10" s="224" t="s">
        <v>100</v>
      </c>
      <c r="AR10" s="224" t="s">
        <v>123</v>
      </c>
      <c r="AV10" s="224" t="s">
        <v>106</v>
      </c>
    </row>
    <row r="11" spans="1:53" x14ac:dyDescent="0.15">
      <c r="A11" s="208" t="s">
        <v>34</v>
      </c>
      <c r="B11" s="208" t="s">
        <v>344</v>
      </c>
      <c r="C11" s="208">
        <v>2018</v>
      </c>
      <c r="D11" s="262" t="s">
        <v>526</v>
      </c>
      <c r="E11" s="208" t="s">
        <v>340</v>
      </c>
      <c r="F11" s="208" t="s">
        <v>341</v>
      </c>
      <c r="G11" s="208" t="s">
        <v>36</v>
      </c>
      <c r="H11" s="208" t="s">
        <v>157</v>
      </c>
      <c r="I11" s="208" t="s">
        <v>155</v>
      </c>
      <c r="J11" s="208" t="s">
        <v>38</v>
      </c>
      <c r="K11" s="208" t="s">
        <v>156</v>
      </c>
      <c r="L11" s="208">
        <v>1</v>
      </c>
      <c r="N11" s="208">
        <v>1</v>
      </c>
      <c r="O11" s="208">
        <v>0.9</v>
      </c>
      <c r="P11" s="208">
        <v>0.85</v>
      </c>
      <c r="Q11" s="245">
        <f t="shared" si="0"/>
        <v>0.875</v>
      </c>
      <c r="R11" s="208">
        <v>13.7</v>
      </c>
      <c r="S11" s="208">
        <v>155</v>
      </c>
      <c r="T11" s="217">
        <f t="shared" si="1"/>
        <v>18</v>
      </c>
      <c r="U11" s="208">
        <v>103</v>
      </c>
      <c r="V11" s="217">
        <f t="shared" si="2"/>
        <v>1854</v>
      </c>
      <c r="W11" s="208">
        <v>2</v>
      </c>
      <c r="X11" s="208" t="s">
        <v>46</v>
      </c>
      <c r="Y11" s="208" t="s">
        <v>69</v>
      </c>
      <c r="Z11" s="208" t="s">
        <v>88</v>
      </c>
      <c r="AA11" s="208" t="s">
        <v>90</v>
      </c>
      <c r="AB11" s="208" t="s">
        <v>346</v>
      </c>
      <c r="AE11" s="223" t="s">
        <v>65</v>
      </c>
      <c r="AG11" s="265" t="s">
        <v>170</v>
      </c>
      <c r="AH11" s="248" t="s">
        <v>342</v>
      </c>
      <c r="AL11" s="235"/>
      <c r="AP11" s="224" t="s">
        <v>104</v>
      </c>
      <c r="AR11" s="224" t="s">
        <v>87</v>
      </c>
      <c r="AV11" s="224" t="s">
        <v>69</v>
      </c>
    </row>
    <row r="12" spans="1:53" x14ac:dyDescent="0.15">
      <c r="A12" s="208" t="s">
        <v>34</v>
      </c>
      <c r="B12" s="208" t="s">
        <v>344</v>
      </c>
      <c r="C12" s="208">
        <v>2018</v>
      </c>
      <c r="D12" s="262" t="s">
        <v>526</v>
      </c>
      <c r="E12" s="208" t="s">
        <v>340</v>
      </c>
      <c r="F12" s="208" t="s">
        <v>341</v>
      </c>
      <c r="G12" s="208" t="s">
        <v>36</v>
      </c>
      <c r="H12" s="208" t="s">
        <v>157</v>
      </c>
      <c r="I12" s="208" t="s">
        <v>155</v>
      </c>
      <c r="J12" s="208" t="s">
        <v>38</v>
      </c>
      <c r="K12" s="208" t="s">
        <v>156</v>
      </c>
      <c r="L12" s="208">
        <v>2</v>
      </c>
      <c r="N12" s="208">
        <v>1</v>
      </c>
      <c r="O12" s="208">
        <v>0.9</v>
      </c>
      <c r="P12" s="208">
        <v>0.95</v>
      </c>
      <c r="Q12" s="245">
        <f t="shared" si="0"/>
        <v>0.92500000000000004</v>
      </c>
      <c r="R12" s="208">
        <v>14.4</v>
      </c>
      <c r="S12" s="208">
        <v>148</v>
      </c>
      <c r="T12" s="217">
        <f t="shared" si="1"/>
        <v>30</v>
      </c>
      <c r="U12" s="208">
        <v>103</v>
      </c>
      <c r="V12" s="217">
        <f t="shared" si="2"/>
        <v>3090</v>
      </c>
      <c r="W12" s="208">
        <v>2</v>
      </c>
      <c r="X12" s="208" t="s">
        <v>46</v>
      </c>
      <c r="Y12" s="208" t="s">
        <v>69</v>
      </c>
      <c r="Z12" s="208" t="s">
        <v>88</v>
      </c>
      <c r="AA12" s="208" t="s">
        <v>90</v>
      </c>
      <c r="AB12" s="208" t="s">
        <v>346</v>
      </c>
      <c r="AE12" s="223" t="s">
        <v>70</v>
      </c>
      <c r="AG12" s="229"/>
      <c r="AH12" s="224"/>
      <c r="AL12" s="235"/>
      <c r="AP12" s="224" t="s">
        <v>67</v>
      </c>
      <c r="AR12" s="224" t="s">
        <v>124</v>
      </c>
      <c r="AV12" s="224" t="s">
        <v>72</v>
      </c>
    </row>
    <row r="13" spans="1:53" x14ac:dyDescent="0.15">
      <c r="A13" s="208" t="s">
        <v>34</v>
      </c>
      <c r="B13" s="208" t="s">
        <v>344</v>
      </c>
      <c r="C13" s="208">
        <v>2018</v>
      </c>
      <c r="D13" s="262" t="s">
        <v>526</v>
      </c>
      <c r="E13" s="208" t="s">
        <v>340</v>
      </c>
      <c r="F13" s="208" t="s">
        <v>341</v>
      </c>
      <c r="G13" s="208" t="s">
        <v>36</v>
      </c>
      <c r="H13" s="208" t="s">
        <v>157</v>
      </c>
      <c r="I13" s="208" t="s">
        <v>155</v>
      </c>
      <c r="J13" s="208" t="s">
        <v>38</v>
      </c>
      <c r="K13" s="208" t="s">
        <v>156</v>
      </c>
      <c r="L13" s="208">
        <v>3</v>
      </c>
      <c r="N13" s="208">
        <v>1</v>
      </c>
      <c r="O13" s="208">
        <v>0.9</v>
      </c>
      <c r="P13" s="208">
        <v>0.95</v>
      </c>
      <c r="Q13" s="245">
        <f t="shared" si="0"/>
        <v>0.92500000000000004</v>
      </c>
      <c r="R13" s="208">
        <v>14.3</v>
      </c>
      <c r="S13" s="208">
        <v>157</v>
      </c>
      <c r="T13" s="217">
        <f t="shared" si="1"/>
        <v>18</v>
      </c>
      <c r="U13" s="208">
        <v>103</v>
      </c>
      <c r="V13" s="217">
        <f t="shared" si="2"/>
        <v>1854</v>
      </c>
      <c r="W13" s="208">
        <v>2</v>
      </c>
      <c r="X13" s="208" t="s">
        <v>46</v>
      </c>
      <c r="Y13" s="208" t="s">
        <v>69</v>
      </c>
      <c r="Z13" s="208" t="s">
        <v>88</v>
      </c>
      <c r="AA13" s="208" t="s">
        <v>90</v>
      </c>
      <c r="AB13" s="208" t="s">
        <v>346</v>
      </c>
      <c r="AE13" s="223" t="s">
        <v>73</v>
      </c>
      <c r="AH13" s="229"/>
      <c r="AP13" s="224" t="s">
        <v>71</v>
      </c>
      <c r="AR13" s="224" t="s">
        <v>103</v>
      </c>
      <c r="AV13" s="224" t="s">
        <v>75</v>
      </c>
    </row>
    <row r="14" spans="1:53" x14ac:dyDescent="0.15">
      <c r="A14" s="208" t="s">
        <v>34</v>
      </c>
      <c r="B14" s="208" t="s">
        <v>344</v>
      </c>
      <c r="C14" s="208">
        <v>2018</v>
      </c>
      <c r="D14" s="262" t="s">
        <v>526</v>
      </c>
      <c r="E14" s="208" t="s">
        <v>340</v>
      </c>
      <c r="F14" s="208" t="s">
        <v>341</v>
      </c>
      <c r="G14" s="208" t="s">
        <v>36</v>
      </c>
      <c r="H14" s="208" t="s">
        <v>165</v>
      </c>
      <c r="I14" s="208" t="s">
        <v>155</v>
      </c>
      <c r="J14" s="208" t="s">
        <v>38</v>
      </c>
      <c r="K14" s="208" t="s">
        <v>156</v>
      </c>
      <c r="L14" s="208">
        <v>1</v>
      </c>
      <c r="N14" s="208">
        <v>1</v>
      </c>
      <c r="O14" s="208">
        <v>0.75</v>
      </c>
      <c r="P14" s="208">
        <v>0.9</v>
      </c>
      <c r="Q14" s="245">
        <f t="shared" si="0"/>
        <v>0.82499999999999996</v>
      </c>
      <c r="R14" s="208">
        <v>14.4</v>
      </c>
      <c r="S14" s="208">
        <v>150</v>
      </c>
      <c r="T14" s="217">
        <f t="shared" si="1"/>
        <v>30</v>
      </c>
      <c r="U14" s="208">
        <v>103</v>
      </c>
      <c r="V14" s="217">
        <f t="shared" si="2"/>
        <v>3090</v>
      </c>
      <c r="W14" s="208">
        <v>1</v>
      </c>
      <c r="X14" s="208" t="s">
        <v>46</v>
      </c>
      <c r="Y14" s="208" t="s">
        <v>69</v>
      </c>
      <c r="Z14" s="208" t="s">
        <v>88</v>
      </c>
      <c r="AA14" s="208" t="s">
        <v>90</v>
      </c>
      <c r="AB14" s="208" t="s">
        <v>346</v>
      </c>
      <c r="AE14" s="223" t="s">
        <v>76</v>
      </c>
      <c r="AG14" s="250"/>
      <c r="AP14" s="224" t="s">
        <v>74</v>
      </c>
      <c r="AR14" s="224" t="s">
        <v>125</v>
      </c>
      <c r="AV14" s="224" t="s">
        <v>78</v>
      </c>
    </row>
    <row r="15" spans="1:53" x14ac:dyDescent="0.15">
      <c r="A15" s="208" t="s">
        <v>34</v>
      </c>
      <c r="B15" s="208" t="s">
        <v>344</v>
      </c>
      <c r="C15" s="208">
        <v>2018</v>
      </c>
      <c r="D15" s="262" t="s">
        <v>526</v>
      </c>
      <c r="E15" s="208" t="s">
        <v>340</v>
      </c>
      <c r="F15" s="208" t="s">
        <v>341</v>
      </c>
      <c r="G15" s="208" t="s">
        <v>36</v>
      </c>
      <c r="H15" s="208" t="s">
        <v>165</v>
      </c>
      <c r="I15" s="208" t="s">
        <v>155</v>
      </c>
      <c r="J15" s="208" t="s">
        <v>38</v>
      </c>
      <c r="K15" s="208" t="s">
        <v>156</v>
      </c>
      <c r="L15" s="208">
        <v>2</v>
      </c>
      <c r="N15" s="208">
        <v>1</v>
      </c>
      <c r="O15" s="208">
        <v>0.7</v>
      </c>
      <c r="P15" s="208">
        <v>0.7</v>
      </c>
      <c r="Q15" s="245">
        <f t="shared" si="0"/>
        <v>0.7</v>
      </c>
      <c r="R15" s="208">
        <v>15.6</v>
      </c>
      <c r="S15" s="208">
        <v>157</v>
      </c>
      <c r="T15" s="217">
        <f t="shared" si="1"/>
        <v>18</v>
      </c>
      <c r="U15" s="208">
        <v>103</v>
      </c>
      <c r="V15" s="217">
        <f t="shared" si="2"/>
        <v>1854</v>
      </c>
      <c r="W15" s="208">
        <v>1</v>
      </c>
      <c r="X15" s="208" t="s">
        <v>46</v>
      </c>
      <c r="Y15" s="208" t="s">
        <v>69</v>
      </c>
      <c r="Z15" s="208" t="s">
        <v>88</v>
      </c>
      <c r="AA15" s="208" t="s">
        <v>90</v>
      </c>
      <c r="AB15" s="208" t="s">
        <v>346</v>
      </c>
      <c r="AE15" s="223" t="s">
        <v>79</v>
      </c>
      <c r="AP15" s="224" t="s">
        <v>77</v>
      </c>
      <c r="AR15" s="224" t="s">
        <v>94</v>
      </c>
      <c r="AV15" s="224" t="s">
        <v>107</v>
      </c>
    </row>
    <row r="16" spans="1:53" x14ac:dyDescent="0.15">
      <c r="A16" s="208" t="s">
        <v>34</v>
      </c>
      <c r="B16" s="208" t="s">
        <v>344</v>
      </c>
      <c r="C16" s="208">
        <v>2018</v>
      </c>
      <c r="D16" s="262" t="s">
        <v>526</v>
      </c>
      <c r="E16" s="208" t="s">
        <v>340</v>
      </c>
      <c r="F16" s="208" t="s">
        <v>341</v>
      </c>
      <c r="G16" s="208" t="s">
        <v>36</v>
      </c>
      <c r="H16" s="208" t="s">
        <v>165</v>
      </c>
      <c r="I16" s="208" t="s">
        <v>155</v>
      </c>
      <c r="J16" s="208" t="s">
        <v>38</v>
      </c>
      <c r="K16" s="208" t="s">
        <v>156</v>
      </c>
      <c r="L16" s="208">
        <v>3</v>
      </c>
      <c r="N16" s="208">
        <v>1</v>
      </c>
      <c r="O16" s="208">
        <v>0.7</v>
      </c>
      <c r="P16" s="208">
        <v>0.65</v>
      </c>
      <c r="Q16" s="245">
        <f t="shared" si="0"/>
        <v>0.67500000000000004</v>
      </c>
      <c r="R16" s="208">
        <v>14.7</v>
      </c>
      <c r="S16" s="208">
        <v>160</v>
      </c>
      <c r="T16" s="217">
        <f t="shared" si="1"/>
        <v>18</v>
      </c>
      <c r="U16" s="208">
        <v>103</v>
      </c>
      <c r="V16" s="217">
        <f t="shared" si="2"/>
        <v>1854</v>
      </c>
      <c r="W16" s="208">
        <v>1</v>
      </c>
      <c r="X16" s="208" t="s">
        <v>46</v>
      </c>
      <c r="Y16" s="208" t="s">
        <v>69</v>
      </c>
      <c r="Z16" s="208" t="s">
        <v>88</v>
      </c>
      <c r="AA16" s="208" t="s">
        <v>90</v>
      </c>
      <c r="AB16" s="208" t="s">
        <v>346</v>
      </c>
      <c r="AE16" s="223" t="s">
        <v>82</v>
      </c>
      <c r="AP16" s="224" t="s">
        <v>80</v>
      </c>
      <c r="AR16" s="224" t="s">
        <v>63</v>
      </c>
      <c r="AV16" s="224" t="s">
        <v>84</v>
      </c>
    </row>
    <row r="17" spans="1:48" x14ac:dyDescent="0.15">
      <c r="A17" s="208" t="s">
        <v>34</v>
      </c>
      <c r="B17" s="208" t="s">
        <v>344</v>
      </c>
      <c r="C17" s="208">
        <v>2018</v>
      </c>
      <c r="D17" s="262" t="s">
        <v>526</v>
      </c>
      <c r="E17" s="208" t="s">
        <v>337</v>
      </c>
      <c r="F17" s="208" t="s">
        <v>338</v>
      </c>
      <c r="G17" s="208" t="s">
        <v>36</v>
      </c>
      <c r="H17" s="208" t="s">
        <v>165</v>
      </c>
      <c r="I17" s="208" t="s">
        <v>155</v>
      </c>
      <c r="J17" s="208" t="s">
        <v>38</v>
      </c>
      <c r="K17" s="208" t="s">
        <v>156</v>
      </c>
      <c r="L17" s="208">
        <v>1</v>
      </c>
      <c r="N17" s="208">
        <v>1</v>
      </c>
      <c r="O17" s="208">
        <v>0.65</v>
      </c>
      <c r="P17" s="208">
        <v>0.65</v>
      </c>
      <c r="Q17" s="245">
        <f t="shared" si="0"/>
        <v>0.65</v>
      </c>
      <c r="R17" s="208">
        <v>14.3</v>
      </c>
      <c r="S17" s="208">
        <v>149</v>
      </c>
      <c r="T17" s="217">
        <f t="shared" si="1"/>
        <v>30</v>
      </c>
      <c r="U17" s="208">
        <v>105</v>
      </c>
      <c r="V17" s="217">
        <f t="shared" si="2"/>
        <v>3150</v>
      </c>
      <c r="W17" s="208">
        <v>7</v>
      </c>
      <c r="X17" s="208" t="s">
        <v>46</v>
      </c>
      <c r="Y17" s="208" t="s">
        <v>69</v>
      </c>
      <c r="Z17" s="208" t="s">
        <v>55</v>
      </c>
      <c r="AA17" s="208" t="s">
        <v>88</v>
      </c>
      <c r="AB17" s="208" t="s">
        <v>346</v>
      </c>
      <c r="AE17" s="223" t="s">
        <v>85</v>
      </c>
      <c r="AP17" s="228" t="s">
        <v>110</v>
      </c>
      <c r="AR17" s="224" t="s">
        <v>96</v>
      </c>
      <c r="AV17" s="224" t="s">
        <v>86</v>
      </c>
    </row>
    <row r="18" spans="1:48" x14ac:dyDescent="0.15">
      <c r="A18" s="208" t="s">
        <v>34</v>
      </c>
      <c r="B18" s="208" t="s">
        <v>344</v>
      </c>
      <c r="C18" s="208">
        <v>2018</v>
      </c>
      <c r="D18" s="262" t="s">
        <v>526</v>
      </c>
      <c r="E18" s="208" t="s">
        <v>337</v>
      </c>
      <c r="F18" s="208" t="s">
        <v>338</v>
      </c>
      <c r="G18" s="208" t="s">
        <v>36</v>
      </c>
      <c r="H18" s="208" t="s">
        <v>165</v>
      </c>
      <c r="I18" s="208" t="s">
        <v>155</v>
      </c>
      <c r="J18" s="208" t="s">
        <v>38</v>
      </c>
      <c r="K18" s="208" t="s">
        <v>156</v>
      </c>
      <c r="L18" s="208">
        <v>2</v>
      </c>
      <c r="N18" s="208">
        <v>1</v>
      </c>
      <c r="O18" s="208">
        <v>0.55000000000000004</v>
      </c>
      <c r="P18" s="208">
        <v>0.6</v>
      </c>
      <c r="Q18" s="245">
        <f t="shared" si="0"/>
        <v>0.57499999999999996</v>
      </c>
      <c r="R18" s="208">
        <v>14.4</v>
      </c>
      <c r="S18" s="208">
        <v>142</v>
      </c>
      <c r="T18" s="217">
        <f t="shared" si="1"/>
        <v>30</v>
      </c>
      <c r="U18" s="208">
        <v>105</v>
      </c>
      <c r="V18" s="217">
        <f t="shared" si="2"/>
        <v>3150</v>
      </c>
      <c r="W18" s="208">
        <v>7</v>
      </c>
      <c r="X18" s="208" t="s">
        <v>46</v>
      </c>
      <c r="Y18" s="208" t="s">
        <v>69</v>
      </c>
      <c r="Z18" s="208" t="s">
        <v>55</v>
      </c>
      <c r="AA18" s="208" t="s">
        <v>88</v>
      </c>
      <c r="AB18" s="208" t="s">
        <v>346</v>
      </c>
      <c r="AE18" s="223" t="s">
        <v>87</v>
      </c>
      <c r="AP18" s="228" t="s">
        <v>111</v>
      </c>
      <c r="AR18" s="224" t="s">
        <v>101</v>
      </c>
      <c r="AV18" s="224" t="s">
        <v>88</v>
      </c>
    </row>
    <row r="19" spans="1:48" x14ac:dyDescent="0.15">
      <c r="A19" s="208" t="s">
        <v>34</v>
      </c>
      <c r="B19" s="208" t="s">
        <v>344</v>
      </c>
      <c r="C19" s="208">
        <v>2018</v>
      </c>
      <c r="D19" s="262" t="s">
        <v>526</v>
      </c>
      <c r="E19" s="208" t="s">
        <v>337</v>
      </c>
      <c r="F19" s="208" t="s">
        <v>338</v>
      </c>
      <c r="G19" s="208" t="s">
        <v>36</v>
      </c>
      <c r="H19" s="208" t="s">
        <v>165</v>
      </c>
      <c r="I19" s="208" t="s">
        <v>155</v>
      </c>
      <c r="J19" s="208" t="s">
        <v>38</v>
      </c>
      <c r="K19" s="208" t="s">
        <v>156</v>
      </c>
      <c r="L19" s="208">
        <v>3</v>
      </c>
      <c r="N19" s="208">
        <v>1</v>
      </c>
      <c r="O19" s="208">
        <v>0.55000000000000004</v>
      </c>
      <c r="P19" s="208">
        <v>0.55000000000000004</v>
      </c>
      <c r="Q19" s="245">
        <f t="shared" si="0"/>
        <v>0.55000000000000004</v>
      </c>
      <c r="R19" s="208">
        <v>14.8</v>
      </c>
      <c r="S19" s="208">
        <v>140</v>
      </c>
      <c r="T19" s="217">
        <f t="shared" si="1"/>
        <v>30</v>
      </c>
      <c r="U19" s="208">
        <v>105</v>
      </c>
      <c r="V19" s="217">
        <f t="shared" si="2"/>
        <v>3150</v>
      </c>
      <c r="W19" s="208">
        <v>7</v>
      </c>
      <c r="X19" s="208" t="s">
        <v>46</v>
      </c>
      <c r="Y19" s="208" t="s">
        <v>69</v>
      </c>
      <c r="Z19" s="208" t="s">
        <v>55</v>
      </c>
      <c r="AA19" s="208" t="s">
        <v>88</v>
      </c>
      <c r="AB19" s="208" t="s">
        <v>346</v>
      </c>
      <c r="AE19" s="236" t="s">
        <v>89</v>
      </c>
      <c r="AP19" s="228" t="s">
        <v>112</v>
      </c>
      <c r="AR19" s="224" t="s">
        <v>126</v>
      </c>
      <c r="AV19" s="224" t="s">
        <v>90</v>
      </c>
    </row>
    <row r="20" spans="1:48" x14ac:dyDescent="0.15">
      <c r="A20" s="208" t="s">
        <v>34</v>
      </c>
      <c r="B20" s="208" t="s">
        <v>344</v>
      </c>
      <c r="C20" s="208">
        <v>2018</v>
      </c>
      <c r="D20" s="262" t="s">
        <v>526</v>
      </c>
      <c r="E20" s="208" t="s">
        <v>337</v>
      </c>
      <c r="F20" s="208" t="s">
        <v>338</v>
      </c>
      <c r="G20" s="208" t="s">
        <v>36</v>
      </c>
      <c r="H20" s="208" t="s">
        <v>165</v>
      </c>
      <c r="I20" s="208" t="s">
        <v>155</v>
      </c>
      <c r="J20" s="208" t="s">
        <v>38</v>
      </c>
      <c r="K20" s="208" t="s">
        <v>156</v>
      </c>
      <c r="L20" s="208">
        <v>1</v>
      </c>
      <c r="N20" s="208">
        <v>4</v>
      </c>
      <c r="O20" s="208">
        <v>0.5</v>
      </c>
      <c r="P20" s="208">
        <v>0.6</v>
      </c>
      <c r="Q20" s="245">
        <f t="shared" si="0"/>
        <v>0.55000000000000004</v>
      </c>
      <c r="R20" s="208">
        <v>16.2</v>
      </c>
      <c r="S20" s="208">
        <v>100</v>
      </c>
      <c r="T20" s="217">
        <f t="shared" si="1"/>
        <v>33</v>
      </c>
      <c r="U20" s="208">
        <v>429</v>
      </c>
      <c r="V20" s="217">
        <f t="shared" si="2"/>
        <v>3539.25</v>
      </c>
      <c r="W20" s="208">
        <v>7</v>
      </c>
      <c r="X20" s="208" t="s">
        <v>46</v>
      </c>
      <c r="Y20" s="208" t="s">
        <v>69</v>
      </c>
      <c r="Z20" s="208" t="s">
        <v>55</v>
      </c>
      <c r="AA20" s="208" t="s">
        <v>88</v>
      </c>
      <c r="AB20" s="208" t="s">
        <v>346</v>
      </c>
      <c r="AP20" s="228" t="s">
        <v>113</v>
      </c>
      <c r="AR20" s="224" t="s">
        <v>105</v>
      </c>
      <c r="AV20" s="228" t="s">
        <v>373</v>
      </c>
    </row>
    <row r="21" spans="1:48" x14ac:dyDescent="0.15">
      <c r="A21" s="208" t="s">
        <v>34</v>
      </c>
      <c r="B21" s="208" t="s">
        <v>344</v>
      </c>
      <c r="C21" s="208">
        <v>2018</v>
      </c>
      <c r="D21" s="262" t="s">
        <v>526</v>
      </c>
      <c r="E21" s="208" t="s">
        <v>337</v>
      </c>
      <c r="F21" s="208" t="s">
        <v>338</v>
      </c>
      <c r="G21" s="208" t="s">
        <v>36</v>
      </c>
      <c r="H21" s="208" t="s">
        <v>165</v>
      </c>
      <c r="I21" s="208" t="s">
        <v>155</v>
      </c>
      <c r="J21" s="208" t="s">
        <v>38</v>
      </c>
      <c r="K21" s="208" t="s">
        <v>156</v>
      </c>
      <c r="L21" s="208">
        <v>2</v>
      </c>
      <c r="N21" s="208">
        <v>4</v>
      </c>
      <c r="O21" s="208">
        <v>0.55000000000000004</v>
      </c>
      <c r="P21" s="208">
        <v>0.65</v>
      </c>
      <c r="Q21" s="245">
        <f t="shared" si="0"/>
        <v>0.60000000000000009</v>
      </c>
      <c r="R21" s="208">
        <v>15.6</v>
      </c>
      <c r="S21" s="208">
        <v>102</v>
      </c>
      <c r="T21" s="217">
        <f t="shared" si="1"/>
        <v>33</v>
      </c>
      <c r="U21" s="208">
        <v>429</v>
      </c>
      <c r="V21" s="217">
        <f t="shared" si="2"/>
        <v>3539.25</v>
      </c>
      <c r="W21" s="208">
        <v>7</v>
      </c>
      <c r="X21" s="208" t="s">
        <v>46</v>
      </c>
      <c r="Y21" s="208" t="s">
        <v>69</v>
      </c>
      <c r="Z21" s="208" t="s">
        <v>55</v>
      </c>
      <c r="AA21" s="208" t="s">
        <v>88</v>
      </c>
      <c r="AB21" s="208" t="s">
        <v>346</v>
      </c>
      <c r="AP21" s="228" t="s">
        <v>114</v>
      </c>
      <c r="AR21" s="224" t="s">
        <v>68</v>
      </c>
      <c r="AV21" s="228" t="s">
        <v>374</v>
      </c>
    </row>
    <row r="22" spans="1:48" x14ac:dyDescent="0.15">
      <c r="A22" s="208" t="s">
        <v>34</v>
      </c>
      <c r="B22" s="208" t="s">
        <v>344</v>
      </c>
      <c r="C22" s="208">
        <v>2018</v>
      </c>
      <c r="D22" s="262" t="s">
        <v>526</v>
      </c>
      <c r="E22" s="208" t="s">
        <v>337</v>
      </c>
      <c r="F22" s="208" t="s">
        <v>338</v>
      </c>
      <c r="G22" s="208" t="s">
        <v>36</v>
      </c>
      <c r="H22" s="208" t="s">
        <v>165</v>
      </c>
      <c r="I22" s="208" t="s">
        <v>155</v>
      </c>
      <c r="J22" s="208" t="s">
        <v>38</v>
      </c>
      <c r="K22" s="208" t="s">
        <v>156</v>
      </c>
      <c r="L22" s="208">
        <v>3</v>
      </c>
      <c r="N22" s="208">
        <v>4</v>
      </c>
      <c r="O22" s="208">
        <v>0.45</v>
      </c>
      <c r="P22" s="208">
        <v>0.45</v>
      </c>
      <c r="Q22" s="245">
        <f t="shared" si="0"/>
        <v>0.45</v>
      </c>
      <c r="R22" s="208">
        <v>18</v>
      </c>
      <c r="S22" s="208">
        <v>94</v>
      </c>
      <c r="T22" s="217">
        <f t="shared" si="1"/>
        <v>36</v>
      </c>
      <c r="U22" s="208">
        <v>429</v>
      </c>
      <c r="V22" s="217">
        <f t="shared" si="2"/>
        <v>3861</v>
      </c>
      <c r="W22" s="208">
        <v>7</v>
      </c>
      <c r="X22" s="208" t="s">
        <v>46</v>
      </c>
      <c r="Y22" s="208" t="s">
        <v>69</v>
      </c>
      <c r="Z22" s="208" t="s">
        <v>55</v>
      </c>
      <c r="AA22" s="208" t="s">
        <v>88</v>
      </c>
      <c r="AB22" s="208" t="s">
        <v>346</v>
      </c>
      <c r="AP22" s="228" t="s">
        <v>115</v>
      </c>
      <c r="AR22" s="224" t="s">
        <v>83</v>
      </c>
      <c r="AV22" s="228"/>
    </row>
    <row r="23" spans="1:48" x14ac:dyDescent="0.15">
      <c r="A23" s="208" t="s">
        <v>34</v>
      </c>
      <c r="B23" s="208" t="s">
        <v>344</v>
      </c>
      <c r="C23" s="208">
        <v>2018</v>
      </c>
      <c r="D23" s="262" t="s">
        <v>526</v>
      </c>
      <c r="E23" s="208" t="s">
        <v>337</v>
      </c>
      <c r="F23" s="208" t="s">
        <v>338</v>
      </c>
      <c r="G23" s="208" t="s">
        <v>36</v>
      </c>
      <c r="H23" s="208" t="s">
        <v>157</v>
      </c>
      <c r="I23" s="208" t="s">
        <v>155</v>
      </c>
      <c r="J23" s="208" t="s">
        <v>38</v>
      </c>
      <c r="K23" s="208" t="s">
        <v>156</v>
      </c>
      <c r="L23" s="208">
        <v>1</v>
      </c>
      <c r="N23" s="208">
        <v>7</v>
      </c>
      <c r="O23" s="208">
        <v>0.9</v>
      </c>
      <c r="P23" s="208">
        <v>0.8</v>
      </c>
      <c r="Q23" s="245">
        <f t="shared" si="0"/>
        <v>0.85000000000000009</v>
      </c>
      <c r="R23" s="208">
        <v>12.4</v>
      </c>
      <c r="S23" s="208">
        <v>132</v>
      </c>
      <c r="T23" s="217">
        <f t="shared" si="1"/>
        <v>30</v>
      </c>
      <c r="U23" s="208">
        <v>537</v>
      </c>
      <c r="V23" s="217">
        <f t="shared" si="2"/>
        <v>2301.4285714285711</v>
      </c>
      <c r="W23" s="208">
        <v>6</v>
      </c>
      <c r="X23" s="208" t="s">
        <v>46</v>
      </c>
      <c r="Y23" s="208" t="s">
        <v>69</v>
      </c>
      <c r="Z23" s="208" t="s">
        <v>55</v>
      </c>
      <c r="AA23" s="208" t="s">
        <v>88</v>
      </c>
      <c r="AB23" s="208" t="s">
        <v>346</v>
      </c>
      <c r="AP23" s="228" t="s">
        <v>117</v>
      </c>
      <c r="AR23" s="224" t="s">
        <v>296</v>
      </c>
    </row>
    <row r="24" spans="1:48" x14ac:dyDescent="0.15">
      <c r="A24" s="208" t="s">
        <v>34</v>
      </c>
      <c r="B24" s="208" t="s">
        <v>344</v>
      </c>
      <c r="C24" s="208">
        <v>2018</v>
      </c>
      <c r="D24" s="262" t="s">
        <v>526</v>
      </c>
      <c r="E24" s="208" t="s">
        <v>337</v>
      </c>
      <c r="F24" s="208" t="s">
        <v>338</v>
      </c>
      <c r="G24" s="208" t="s">
        <v>36</v>
      </c>
      <c r="H24" s="208" t="s">
        <v>157</v>
      </c>
      <c r="I24" s="208" t="s">
        <v>155</v>
      </c>
      <c r="J24" s="208" t="s">
        <v>38</v>
      </c>
      <c r="K24" s="208" t="s">
        <v>156</v>
      </c>
      <c r="L24" s="208">
        <v>2</v>
      </c>
      <c r="N24" s="208">
        <v>7</v>
      </c>
      <c r="O24" s="208">
        <v>0.7</v>
      </c>
      <c r="P24" s="208">
        <v>0.45</v>
      </c>
      <c r="Q24" s="245">
        <f t="shared" si="0"/>
        <v>0.57499999999999996</v>
      </c>
      <c r="R24" s="208">
        <v>13.5</v>
      </c>
      <c r="S24" s="208">
        <v>122</v>
      </c>
      <c r="T24" s="217">
        <f t="shared" si="1"/>
        <v>30</v>
      </c>
      <c r="U24" s="208">
        <v>537</v>
      </c>
      <c r="V24" s="217">
        <f t="shared" si="2"/>
        <v>2301.4285714285711</v>
      </c>
      <c r="W24" s="208">
        <v>6</v>
      </c>
      <c r="X24" s="208" t="s">
        <v>46</v>
      </c>
      <c r="Y24" s="208" t="s">
        <v>69</v>
      </c>
      <c r="Z24" s="208" t="s">
        <v>55</v>
      </c>
      <c r="AA24" s="208" t="s">
        <v>88</v>
      </c>
      <c r="AB24" s="208" t="s">
        <v>346</v>
      </c>
      <c r="AP24" s="228" t="s">
        <v>118</v>
      </c>
    </row>
    <row r="25" spans="1:48" x14ac:dyDescent="0.15">
      <c r="A25" s="208" t="s">
        <v>34</v>
      </c>
      <c r="B25" s="208" t="s">
        <v>344</v>
      </c>
      <c r="C25" s="208">
        <v>2018</v>
      </c>
      <c r="D25" s="262" t="s">
        <v>526</v>
      </c>
      <c r="E25" s="208" t="s">
        <v>337</v>
      </c>
      <c r="F25" s="208" t="s">
        <v>338</v>
      </c>
      <c r="G25" s="208" t="s">
        <v>36</v>
      </c>
      <c r="H25" s="208" t="s">
        <v>157</v>
      </c>
      <c r="I25" s="208" t="s">
        <v>155</v>
      </c>
      <c r="J25" s="208" t="s">
        <v>38</v>
      </c>
      <c r="K25" s="208" t="s">
        <v>156</v>
      </c>
      <c r="L25" s="208">
        <v>3</v>
      </c>
      <c r="N25" s="208">
        <v>7</v>
      </c>
      <c r="O25" s="208">
        <v>0.8</v>
      </c>
      <c r="P25" s="208">
        <v>0.85</v>
      </c>
      <c r="Q25" s="245">
        <f t="shared" si="0"/>
        <v>0.82499999999999996</v>
      </c>
      <c r="R25" s="208">
        <v>13.4</v>
      </c>
      <c r="S25" s="208">
        <v>131</v>
      </c>
      <c r="T25" s="217">
        <f t="shared" si="1"/>
        <v>30</v>
      </c>
      <c r="U25" s="208">
        <v>537</v>
      </c>
      <c r="V25" s="217">
        <f t="shared" si="2"/>
        <v>2301.4285714285711</v>
      </c>
      <c r="W25" s="208">
        <v>6</v>
      </c>
      <c r="X25" s="208" t="s">
        <v>46</v>
      </c>
      <c r="Y25" s="208" t="s">
        <v>69</v>
      </c>
      <c r="Z25" s="208" t="s">
        <v>55</v>
      </c>
      <c r="AA25" s="208" t="s">
        <v>88</v>
      </c>
      <c r="AB25" s="208" t="s">
        <v>346</v>
      </c>
    </row>
    <row r="26" spans="1:48" x14ac:dyDescent="0.15">
      <c r="A26" s="208" t="s">
        <v>34</v>
      </c>
      <c r="B26" s="208" t="s">
        <v>344</v>
      </c>
      <c r="C26" s="208">
        <v>2018</v>
      </c>
      <c r="D26" s="262" t="s">
        <v>526</v>
      </c>
      <c r="E26" s="208" t="s">
        <v>170</v>
      </c>
      <c r="F26" s="208" t="s">
        <v>342</v>
      </c>
      <c r="G26" s="208" t="s">
        <v>36</v>
      </c>
      <c r="H26" s="208" t="s">
        <v>157</v>
      </c>
      <c r="I26" s="208" t="s">
        <v>155</v>
      </c>
      <c r="J26" s="208" t="s">
        <v>38</v>
      </c>
      <c r="K26" s="208" t="s">
        <v>156</v>
      </c>
      <c r="L26" s="208">
        <v>1</v>
      </c>
      <c r="N26" s="208">
        <v>1</v>
      </c>
      <c r="O26" s="208">
        <v>0.65</v>
      </c>
      <c r="P26" s="208">
        <v>0.65</v>
      </c>
      <c r="Q26" s="245">
        <f t="shared" si="0"/>
        <v>0.65</v>
      </c>
      <c r="R26" s="208">
        <v>15.6</v>
      </c>
      <c r="S26" s="208">
        <v>135</v>
      </c>
      <c r="T26" s="217">
        <f t="shared" si="1"/>
        <v>30</v>
      </c>
      <c r="U26" s="208">
        <v>137</v>
      </c>
      <c r="V26" s="217">
        <f t="shared" si="2"/>
        <v>4110</v>
      </c>
      <c r="W26" s="208">
        <v>3</v>
      </c>
      <c r="X26" s="208" t="s">
        <v>46</v>
      </c>
      <c r="Y26" s="208" t="s">
        <v>64</v>
      </c>
      <c r="Z26" s="208" t="s">
        <v>69</v>
      </c>
      <c r="AA26" s="208" t="s">
        <v>55</v>
      </c>
      <c r="AB26" s="208" t="s">
        <v>346</v>
      </c>
    </row>
    <row r="27" spans="1:48" x14ac:dyDescent="0.15">
      <c r="A27" s="208" t="s">
        <v>34</v>
      </c>
      <c r="B27" s="208" t="s">
        <v>344</v>
      </c>
      <c r="C27" s="208">
        <v>2018</v>
      </c>
      <c r="D27" s="262" t="s">
        <v>526</v>
      </c>
      <c r="E27" s="208" t="s">
        <v>170</v>
      </c>
      <c r="F27" s="208" t="s">
        <v>342</v>
      </c>
      <c r="G27" s="208" t="s">
        <v>36</v>
      </c>
      <c r="H27" s="208" t="s">
        <v>157</v>
      </c>
      <c r="I27" s="208" t="s">
        <v>155</v>
      </c>
      <c r="J27" s="208" t="s">
        <v>38</v>
      </c>
      <c r="K27" s="208" t="s">
        <v>156</v>
      </c>
      <c r="L27" s="208">
        <v>2</v>
      </c>
      <c r="N27" s="208">
        <v>1</v>
      </c>
      <c r="O27" s="208">
        <v>0.6</v>
      </c>
      <c r="P27" s="208">
        <v>0.7</v>
      </c>
      <c r="Q27" s="245">
        <f t="shared" si="0"/>
        <v>0.64999999999999991</v>
      </c>
      <c r="R27" s="208">
        <v>14.4</v>
      </c>
      <c r="S27" s="208">
        <v>138</v>
      </c>
      <c r="T27" s="217">
        <f t="shared" si="1"/>
        <v>30</v>
      </c>
      <c r="U27" s="208">
        <v>137</v>
      </c>
      <c r="V27" s="217">
        <f t="shared" si="2"/>
        <v>4110</v>
      </c>
      <c r="W27" s="208">
        <v>3</v>
      </c>
      <c r="X27" s="208" t="s">
        <v>46</v>
      </c>
      <c r="Y27" s="208" t="s">
        <v>64</v>
      </c>
      <c r="Z27" s="208" t="s">
        <v>69</v>
      </c>
      <c r="AA27" s="208" t="s">
        <v>55</v>
      </c>
      <c r="AB27" s="208" t="s">
        <v>346</v>
      </c>
    </row>
    <row r="28" spans="1:48" x14ac:dyDescent="0.15">
      <c r="A28" s="208" t="s">
        <v>34</v>
      </c>
      <c r="B28" s="208" t="s">
        <v>344</v>
      </c>
      <c r="C28" s="208">
        <v>2018</v>
      </c>
      <c r="D28" s="262" t="s">
        <v>526</v>
      </c>
      <c r="E28" s="208" t="s">
        <v>170</v>
      </c>
      <c r="F28" s="208" t="s">
        <v>342</v>
      </c>
      <c r="G28" s="208" t="s">
        <v>36</v>
      </c>
      <c r="H28" s="208" t="s">
        <v>157</v>
      </c>
      <c r="I28" s="208" t="s">
        <v>155</v>
      </c>
      <c r="J28" s="208" t="s">
        <v>38</v>
      </c>
      <c r="K28" s="208" t="s">
        <v>156</v>
      </c>
      <c r="L28" s="208">
        <v>3</v>
      </c>
      <c r="N28" s="208">
        <v>1</v>
      </c>
      <c r="O28" s="208">
        <v>0.8</v>
      </c>
      <c r="P28" s="208">
        <v>0.7</v>
      </c>
      <c r="Q28" s="245">
        <f t="shared" si="0"/>
        <v>0.75</v>
      </c>
      <c r="R28" s="208">
        <v>14</v>
      </c>
      <c r="S28" s="208">
        <v>136</v>
      </c>
      <c r="T28" s="217">
        <f t="shared" si="1"/>
        <v>30</v>
      </c>
      <c r="U28" s="208">
        <v>137</v>
      </c>
      <c r="V28" s="217">
        <f t="shared" si="2"/>
        <v>4110</v>
      </c>
      <c r="W28" s="208">
        <v>3</v>
      </c>
      <c r="X28" s="208" t="s">
        <v>46</v>
      </c>
      <c r="Y28" s="208" t="s">
        <v>64</v>
      </c>
      <c r="Z28" s="208" t="s">
        <v>69</v>
      </c>
      <c r="AA28" s="208" t="s">
        <v>55</v>
      </c>
      <c r="AB28" s="208" t="s">
        <v>346</v>
      </c>
    </row>
    <row r="29" spans="1:48" x14ac:dyDescent="0.15">
      <c r="A29" s="208" t="s">
        <v>34</v>
      </c>
      <c r="B29" s="208" t="s">
        <v>344</v>
      </c>
      <c r="C29" s="208">
        <v>2018</v>
      </c>
      <c r="D29" s="262" t="s">
        <v>526</v>
      </c>
      <c r="E29" s="208" t="s">
        <v>170</v>
      </c>
      <c r="F29" s="208" t="s">
        <v>342</v>
      </c>
      <c r="G29" s="208" t="s">
        <v>36</v>
      </c>
      <c r="H29" s="208" t="s">
        <v>157</v>
      </c>
      <c r="I29" s="208" t="s">
        <v>155</v>
      </c>
      <c r="J29" s="208" t="s">
        <v>38</v>
      </c>
      <c r="K29" s="208" t="s">
        <v>156</v>
      </c>
      <c r="L29" s="208">
        <v>1</v>
      </c>
      <c r="N29" s="208">
        <v>4</v>
      </c>
      <c r="O29" s="208">
        <v>0.45</v>
      </c>
      <c r="P29" s="208">
        <v>0.2</v>
      </c>
      <c r="Q29" s="245">
        <f t="shared" si="0"/>
        <v>0.32500000000000001</v>
      </c>
      <c r="R29" s="208">
        <v>11.6</v>
      </c>
      <c r="S29" s="208">
        <v>125</v>
      </c>
      <c r="T29" s="217">
        <f t="shared" si="1"/>
        <v>30</v>
      </c>
      <c r="U29" s="208">
        <v>471</v>
      </c>
      <c r="V29" s="217">
        <f t="shared" si="2"/>
        <v>3532.5</v>
      </c>
      <c r="W29" s="208">
        <v>3</v>
      </c>
      <c r="X29" s="208" t="s">
        <v>46</v>
      </c>
      <c r="Y29" s="208" t="s">
        <v>64</v>
      </c>
      <c r="Z29" s="208" t="s">
        <v>69</v>
      </c>
      <c r="AA29" s="208" t="s">
        <v>55</v>
      </c>
      <c r="AB29" s="208" t="s">
        <v>346</v>
      </c>
    </row>
    <row r="30" spans="1:48" x14ac:dyDescent="0.15">
      <c r="A30" s="208" t="s">
        <v>34</v>
      </c>
      <c r="B30" s="208" t="s">
        <v>344</v>
      </c>
      <c r="C30" s="208">
        <v>2018</v>
      </c>
      <c r="D30" s="262" t="s">
        <v>526</v>
      </c>
      <c r="E30" s="208" t="s">
        <v>170</v>
      </c>
      <c r="F30" s="208" t="s">
        <v>342</v>
      </c>
      <c r="G30" s="208" t="s">
        <v>36</v>
      </c>
      <c r="H30" s="208" t="s">
        <v>157</v>
      </c>
      <c r="I30" s="208" t="s">
        <v>155</v>
      </c>
      <c r="J30" s="208" t="s">
        <v>38</v>
      </c>
      <c r="K30" s="208" t="s">
        <v>156</v>
      </c>
      <c r="L30" s="208">
        <v>2</v>
      </c>
      <c r="N30" s="208">
        <v>4</v>
      </c>
      <c r="O30" s="208">
        <v>0.45</v>
      </c>
      <c r="P30" s="208">
        <v>0.5</v>
      </c>
      <c r="Q30" s="245">
        <f t="shared" si="0"/>
        <v>0.47499999999999998</v>
      </c>
      <c r="R30" s="208">
        <v>12.1</v>
      </c>
      <c r="S30" s="208">
        <v>125</v>
      </c>
      <c r="T30" s="217">
        <f t="shared" si="1"/>
        <v>30</v>
      </c>
      <c r="U30" s="208">
        <v>471</v>
      </c>
      <c r="V30" s="217">
        <f t="shared" si="2"/>
        <v>3532.5</v>
      </c>
      <c r="W30" s="208">
        <v>3</v>
      </c>
      <c r="X30" s="208" t="s">
        <v>46</v>
      </c>
      <c r="Y30" s="208" t="s">
        <v>64</v>
      </c>
      <c r="Z30" s="208" t="s">
        <v>69</v>
      </c>
      <c r="AA30" s="208" t="s">
        <v>55</v>
      </c>
      <c r="AB30" s="208" t="s">
        <v>346</v>
      </c>
    </row>
    <row r="31" spans="1:48" x14ac:dyDescent="0.15">
      <c r="A31" s="208" t="s">
        <v>34</v>
      </c>
      <c r="B31" s="208" t="s">
        <v>344</v>
      </c>
      <c r="C31" s="208">
        <v>2018</v>
      </c>
      <c r="D31" s="262" t="s">
        <v>526</v>
      </c>
      <c r="E31" s="208" t="s">
        <v>170</v>
      </c>
      <c r="F31" s="208" t="s">
        <v>342</v>
      </c>
      <c r="G31" s="208" t="s">
        <v>36</v>
      </c>
      <c r="H31" s="208" t="s">
        <v>157</v>
      </c>
      <c r="I31" s="208" t="s">
        <v>155</v>
      </c>
      <c r="J31" s="208" t="s">
        <v>38</v>
      </c>
      <c r="K31" s="208" t="s">
        <v>156</v>
      </c>
      <c r="L31" s="208">
        <v>3</v>
      </c>
      <c r="N31" s="208">
        <v>4</v>
      </c>
      <c r="O31" s="208">
        <v>0.2</v>
      </c>
      <c r="P31" s="208">
        <v>0.2</v>
      </c>
      <c r="Q31" s="245">
        <f t="shared" si="0"/>
        <v>0.2</v>
      </c>
      <c r="R31" s="208">
        <v>13.9</v>
      </c>
      <c r="S31" s="208">
        <v>123</v>
      </c>
      <c r="T31" s="217">
        <f t="shared" si="1"/>
        <v>30</v>
      </c>
      <c r="U31" s="208">
        <v>471</v>
      </c>
      <c r="V31" s="217">
        <f t="shared" si="2"/>
        <v>3532.5</v>
      </c>
      <c r="W31" s="208">
        <v>3</v>
      </c>
      <c r="X31" s="208" t="s">
        <v>46</v>
      </c>
      <c r="Y31" s="208" t="s">
        <v>64</v>
      </c>
      <c r="Z31" s="208" t="s">
        <v>69</v>
      </c>
      <c r="AA31" s="208" t="s">
        <v>55</v>
      </c>
      <c r="AB31" s="208" t="s">
        <v>346</v>
      </c>
    </row>
    <row r="32" spans="1:48" x14ac:dyDescent="0.15">
      <c r="A32" s="208" t="s">
        <v>34</v>
      </c>
      <c r="B32" s="208" t="s">
        <v>344</v>
      </c>
      <c r="C32" s="208">
        <v>2018</v>
      </c>
      <c r="D32" s="262" t="s">
        <v>526</v>
      </c>
      <c r="E32" s="208" t="s">
        <v>170</v>
      </c>
      <c r="F32" s="208" t="s">
        <v>342</v>
      </c>
      <c r="G32" s="208" t="s">
        <v>36</v>
      </c>
      <c r="H32" s="208" t="s">
        <v>165</v>
      </c>
      <c r="I32" s="208" t="s">
        <v>155</v>
      </c>
      <c r="J32" s="208" t="s">
        <v>38</v>
      </c>
      <c r="K32" s="208" t="s">
        <v>156</v>
      </c>
      <c r="L32" s="208">
        <v>1</v>
      </c>
      <c r="N32" s="208">
        <v>1</v>
      </c>
      <c r="O32" s="208">
        <v>0.55000000000000004</v>
      </c>
      <c r="P32" s="208">
        <v>0.5</v>
      </c>
      <c r="Q32" s="245">
        <f t="shared" si="0"/>
        <v>0.52500000000000002</v>
      </c>
      <c r="R32" s="208">
        <v>16.100000000000001</v>
      </c>
      <c r="S32" s="208">
        <v>151</v>
      </c>
      <c r="T32" s="217">
        <f t="shared" si="1"/>
        <v>30</v>
      </c>
      <c r="U32" s="208">
        <v>137</v>
      </c>
      <c r="V32" s="217">
        <f t="shared" si="2"/>
        <v>4110</v>
      </c>
      <c r="W32" s="208">
        <v>5</v>
      </c>
      <c r="X32" s="208" t="s">
        <v>46</v>
      </c>
      <c r="Y32" s="208" t="s">
        <v>64</v>
      </c>
      <c r="Z32" s="208" t="s">
        <v>69</v>
      </c>
      <c r="AA32" s="208" t="s">
        <v>55</v>
      </c>
      <c r="AB32" s="208" t="s">
        <v>346</v>
      </c>
    </row>
    <row r="33" spans="1:28" x14ac:dyDescent="0.15">
      <c r="A33" s="208" t="s">
        <v>34</v>
      </c>
      <c r="B33" s="208" t="s">
        <v>344</v>
      </c>
      <c r="C33" s="208">
        <v>2018</v>
      </c>
      <c r="D33" s="262" t="s">
        <v>526</v>
      </c>
      <c r="E33" s="208" t="s">
        <v>170</v>
      </c>
      <c r="F33" s="208" t="s">
        <v>342</v>
      </c>
      <c r="G33" s="208" t="s">
        <v>36</v>
      </c>
      <c r="H33" s="208" t="s">
        <v>165</v>
      </c>
      <c r="I33" s="208" t="s">
        <v>155</v>
      </c>
      <c r="J33" s="208" t="s">
        <v>38</v>
      </c>
      <c r="K33" s="208" t="s">
        <v>156</v>
      </c>
      <c r="L33" s="208">
        <v>2</v>
      </c>
      <c r="N33" s="208">
        <v>1</v>
      </c>
      <c r="O33" s="208">
        <v>0.5</v>
      </c>
      <c r="P33" s="208">
        <v>0.5</v>
      </c>
      <c r="Q33" s="245">
        <f t="shared" si="0"/>
        <v>0.5</v>
      </c>
      <c r="R33" s="208">
        <v>14.7</v>
      </c>
      <c r="S33" s="208">
        <v>158</v>
      </c>
      <c r="T33" s="217">
        <f t="shared" si="1"/>
        <v>18</v>
      </c>
      <c r="U33" s="208">
        <v>137</v>
      </c>
      <c r="V33" s="217">
        <f t="shared" si="2"/>
        <v>2466</v>
      </c>
      <c r="W33" s="208">
        <v>5</v>
      </c>
      <c r="X33" s="208" t="s">
        <v>46</v>
      </c>
      <c r="Y33" s="208" t="s">
        <v>64</v>
      </c>
      <c r="Z33" s="208" t="s">
        <v>69</v>
      </c>
      <c r="AA33" s="208" t="s">
        <v>55</v>
      </c>
      <c r="AB33" s="208" t="s">
        <v>346</v>
      </c>
    </row>
    <row r="34" spans="1:28" x14ac:dyDescent="0.15">
      <c r="A34" s="208" t="s">
        <v>34</v>
      </c>
      <c r="B34" s="208" t="s">
        <v>344</v>
      </c>
      <c r="C34" s="208">
        <v>2018</v>
      </c>
      <c r="D34" s="262" t="s">
        <v>526</v>
      </c>
      <c r="E34" s="208" t="s">
        <v>170</v>
      </c>
      <c r="F34" s="208" t="s">
        <v>342</v>
      </c>
      <c r="G34" s="208" t="s">
        <v>36</v>
      </c>
      <c r="H34" s="208" t="s">
        <v>165</v>
      </c>
      <c r="I34" s="208" t="s">
        <v>155</v>
      </c>
      <c r="J34" s="208" t="s">
        <v>38</v>
      </c>
      <c r="K34" s="208" t="s">
        <v>156</v>
      </c>
      <c r="L34" s="208">
        <v>3</v>
      </c>
      <c r="N34" s="208">
        <v>1</v>
      </c>
      <c r="O34" s="208">
        <v>0.6</v>
      </c>
      <c r="P34" s="208">
        <v>0.6</v>
      </c>
      <c r="Q34" s="245">
        <f>IF(OR(O34="",P34=""),"",AVERAGE(O34,P34))</f>
        <v>0.6</v>
      </c>
      <c r="R34" s="208">
        <v>13.6</v>
      </c>
      <c r="S34" s="208">
        <v>165</v>
      </c>
      <c r="T34" s="217">
        <f t="shared" si="1"/>
        <v>18</v>
      </c>
      <c r="U34" s="208">
        <v>137</v>
      </c>
      <c r="V34" s="217">
        <f t="shared" si="2"/>
        <v>2466</v>
      </c>
      <c r="W34" s="208">
        <v>5</v>
      </c>
      <c r="X34" s="208" t="s">
        <v>46</v>
      </c>
      <c r="Y34" s="208" t="s">
        <v>64</v>
      </c>
      <c r="Z34" s="208" t="s">
        <v>69</v>
      </c>
      <c r="AA34" s="208" t="s">
        <v>55</v>
      </c>
      <c r="AB34" s="208" t="s">
        <v>346</v>
      </c>
    </row>
    <row r="35" spans="1:28" x14ac:dyDescent="0.15">
      <c r="A35" s="208" t="s">
        <v>34</v>
      </c>
      <c r="B35" s="208" t="s">
        <v>344</v>
      </c>
      <c r="C35" s="208">
        <v>2018</v>
      </c>
      <c r="D35" s="262" t="s">
        <v>526</v>
      </c>
      <c r="E35" s="208" t="s">
        <v>170</v>
      </c>
      <c r="F35" s="208" t="s">
        <v>342</v>
      </c>
      <c r="G35" s="208" t="s">
        <v>36</v>
      </c>
      <c r="H35" s="208" t="s">
        <v>165</v>
      </c>
      <c r="I35" s="208" t="s">
        <v>155</v>
      </c>
      <c r="J35" s="208" t="s">
        <v>38</v>
      </c>
      <c r="K35" s="208" t="s">
        <v>156</v>
      </c>
      <c r="L35" s="208">
        <v>1</v>
      </c>
      <c r="N35" s="208">
        <v>4</v>
      </c>
      <c r="O35" s="208">
        <v>0.55000000000000004</v>
      </c>
      <c r="P35" s="208">
        <v>0.6</v>
      </c>
      <c r="Q35" s="245">
        <f t="shared" ref="Q35:Q36" si="3">IF(OR(O35="",P35=""),"",AVERAGE(O35,P35))</f>
        <v>0.57499999999999996</v>
      </c>
      <c r="R35" s="208">
        <v>19.8</v>
      </c>
      <c r="S35" s="208">
        <v>142</v>
      </c>
      <c r="T35" s="217">
        <f t="shared" si="1"/>
        <v>30</v>
      </c>
      <c r="U35" s="208">
        <v>471</v>
      </c>
      <c r="V35" s="217">
        <f t="shared" si="2"/>
        <v>3532.5</v>
      </c>
      <c r="W35" s="208">
        <v>5</v>
      </c>
      <c r="X35" s="208" t="s">
        <v>46</v>
      </c>
      <c r="Y35" s="208" t="s">
        <v>64</v>
      </c>
      <c r="Z35" s="208" t="s">
        <v>69</v>
      </c>
      <c r="AA35" s="208" t="s">
        <v>55</v>
      </c>
      <c r="AB35" s="208" t="s">
        <v>346</v>
      </c>
    </row>
    <row r="36" spans="1:28" x14ac:dyDescent="0.15">
      <c r="A36" s="208" t="s">
        <v>34</v>
      </c>
      <c r="B36" s="208" t="s">
        <v>344</v>
      </c>
      <c r="C36" s="208">
        <v>2018</v>
      </c>
      <c r="D36" s="262" t="s">
        <v>526</v>
      </c>
      <c r="E36" s="208" t="s">
        <v>170</v>
      </c>
      <c r="F36" s="208" t="s">
        <v>342</v>
      </c>
      <c r="G36" s="208" t="s">
        <v>36</v>
      </c>
      <c r="H36" s="208" t="s">
        <v>165</v>
      </c>
      <c r="I36" s="208" t="s">
        <v>155</v>
      </c>
      <c r="J36" s="208" t="s">
        <v>38</v>
      </c>
      <c r="K36" s="208" t="s">
        <v>156</v>
      </c>
      <c r="L36" s="208">
        <v>2</v>
      </c>
      <c r="N36" s="208">
        <v>4</v>
      </c>
      <c r="O36" s="208">
        <v>0.45</v>
      </c>
      <c r="P36" s="208">
        <v>0.5</v>
      </c>
      <c r="Q36" s="245">
        <f t="shared" si="3"/>
        <v>0.47499999999999998</v>
      </c>
      <c r="R36" s="208">
        <v>17.600000000000001</v>
      </c>
      <c r="S36" s="208">
        <v>148</v>
      </c>
      <c r="T36" s="217">
        <f t="shared" si="1"/>
        <v>30</v>
      </c>
      <c r="U36" s="208">
        <v>471</v>
      </c>
      <c r="V36" s="217">
        <f t="shared" si="2"/>
        <v>3532.5</v>
      </c>
      <c r="W36" s="208">
        <v>5</v>
      </c>
      <c r="X36" s="208" t="s">
        <v>46</v>
      </c>
      <c r="Y36" s="208" t="s">
        <v>64</v>
      </c>
      <c r="Z36" s="208" t="s">
        <v>69</v>
      </c>
      <c r="AA36" s="208" t="s">
        <v>55</v>
      </c>
      <c r="AB36" s="208" t="s">
        <v>346</v>
      </c>
    </row>
    <row r="37" spans="1:28" x14ac:dyDescent="0.15">
      <c r="A37" s="208" t="s">
        <v>34</v>
      </c>
      <c r="B37" s="208" t="s">
        <v>344</v>
      </c>
      <c r="C37" s="208">
        <v>2018</v>
      </c>
      <c r="D37" s="262" t="s">
        <v>526</v>
      </c>
      <c r="E37" s="208" t="s">
        <v>170</v>
      </c>
      <c r="F37" s="208" t="s">
        <v>342</v>
      </c>
      <c r="G37" s="208" t="s">
        <v>36</v>
      </c>
      <c r="H37" s="208" t="s">
        <v>165</v>
      </c>
      <c r="I37" s="208" t="s">
        <v>155</v>
      </c>
      <c r="J37" s="208" t="s">
        <v>38</v>
      </c>
      <c r="K37" s="208" t="s">
        <v>156</v>
      </c>
      <c r="L37" s="208">
        <v>3</v>
      </c>
      <c r="N37" s="208">
        <v>4</v>
      </c>
      <c r="O37" s="208">
        <v>0.2</v>
      </c>
      <c r="P37" s="208">
        <v>0.2</v>
      </c>
      <c r="Q37" s="245">
        <f>IF(OR(O37="",P37=""),"",AVERAGE(O37,P37))</f>
        <v>0.2</v>
      </c>
      <c r="R37" s="208">
        <v>16.2</v>
      </c>
      <c r="S37" s="208">
        <v>142</v>
      </c>
      <c r="T37" s="217">
        <f t="shared" si="1"/>
        <v>30</v>
      </c>
      <c r="U37" s="208">
        <v>471</v>
      </c>
      <c r="V37" s="217">
        <f t="shared" si="2"/>
        <v>3532.5</v>
      </c>
      <c r="W37" s="208">
        <v>5</v>
      </c>
      <c r="X37" s="208" t="s">
        <v>46</v>
      </c>
      <c r="Y37" s="208" t="s">
        <v>64</v>
      </c>
      <c r="Z37" s="208" t="s">
        <v>69</v>
      </c>
      <c r="AA37" s="208" t="s">
        <v>55</v>
      </c>
      <c r="AB37" s="208" t="s">
        <v>346</v>
      </c>
    </row>
    <row r="38" spans="1:28" x14ac:dyDescent="0.15">
      <c r="A38" s="208" t="s">
        <v>34</v>
      </c>
      <c r="B38" s="208" t="s">
        <v>344</v>
      </c>
      <c r="C38" s="208">
        <v>2018</v>
      </c>
      <c r="D38" s="262" t="s">
        <v>526</v>
      </c>
      <c r="E38" s="208" t="s">
        <v>292</v>
      </c>
      <c r="F38" s="208" t="s">
        <v>327</v>
      </c>
      <c r="G38" s="208" t="s">
        <v>36</v>
      </c>
      <c r="H38" s="208" t="s">
        <v>157</v>
      </c>
      <c r="I38" s="208" t="s">
        <v>155</v>
      </c>
      <c r="J38" s="208" t="s">
        <v>38</v>
      </c>
      <c r="K38" s="208" t="s">
        <v>156</v>
      </c>
      <c r="L38" s="208">
        <v>1</v>
      </c>
      <c r="N38" s="208">
        <v>1</v>
      </c>
      <c r="O38" s="208">
        <v>0.6</v>
      </c>
      <c r="P38" s="208">
        <v>0.7</v>
      </c>
      <c r="Q38" s="245">
        <f t="shared" ref="Q38:Q39" si="4">IF(OR(O38="",P38=""),"",AVERAGE(O38,P38))</f>
        <v>0.64999999999999991</v>
      </c>
      <c r="R38" s="208">
        <v>15</v>
      </c>
      <c r="S38" s="208">
        <v>135</v>
      </c>
      <c r="T38" s="217">
        <f t="shared" si="1"/>
        <v>30</v>
      </c>
      <c r="U38" s="208">
        <v>105</v>
      </c>
      <c r="V38" s="217">
        <f t="shared" si="2"/>
        <v>3150</v>
      </c>
      <c r="W38" s="208">
        <v>1</v>
      </c>
      <c r="X38" s="208" t="s">
        <v>46</v>
      </c>
      <c r="Y38" s="208" t="s">
        <v>69</v>
      </c>
      <c r="Z38" s="208" t="s">
        <v>97</v>
      </c>
      <c r="AA38" s="208" t="s">
        <v>64</v>
      </c>
      <c r="AB38" s="208" t="s">
        <v>346</v>
      </c>
    </row>
    <row r="39" spans="1:28" x14ac:dyDescent="0.15">
      <c r="A39" s="208" t="s">
        <v>34</v>
      </c>
      <c r="B39" s="208" t="s">
        <v>344</v>
      </c>
      <c r="C39" s="208">
        <v>2018</v>
      </c>
      <c r="D39" s="262" t="s">
        <v>526</v>
      </c>
      <c r="E39" s="208" t="s">
        <v>292</v>
      </c>
      <c r="F39" s="208" t="s">
        <v>327</v>
      </c>
      <c r="G39" s="208" t="s">
        <v>36</v>
      </c>
      <c r="H39" s="208" t="s">
        <v>157</v>
      </c>
      <c r="I39" s="208" t="s">
        <v>155</v>
      </c>
      <c r="J39" s="208" t="s">
        <v>38</v>
      </c>
      <c r="K39" s="208" t="s">
        <v>156</v>
      </c>
      <c r="L39" s="208">
        <v>2</v>
      </c>
      <c r="N39" s="208">
        <v>1</v>
      </c>
      <c r="O39" s="208">
        <v>0.65</v>
      </c>
      <c r="P39" s="208">
        <v>0.7</v>
      </c>
      <c r="Q39" s="245">
        <f t="shared" si="4"/>
        <v>0.67500000000000004</v>
      </c>
      <c r="R39" s="208">
        <v>14.3</v>
      </c>
      <c r="S39" s="208">
        <v>134</v>
      </c>
      <c r="T39" s="217">
        <f t="shared" si="1"/>
        <v>30</v>
      </c>
      <c r="U39" s="208">
        <v>105</v>
      </c>
      <c r="V39" s="217">
        <f t="shared" si="2"/>
        <v>3150</v>
      </c>
      <c r="W39" s="208">
        <v>1</v>
      </c>
      <c r="X39" s="208" t="s">
        <v>46</v>
      </c>
      <c r="Y39" s="208" t="s">
        <v>69</v>
      </c>
      <c r="Z39" s="208" t="s">
        <v>97</v>
      </c>
      <c r="AA39" s="208" t="s">
        <v>64</v>
      </c>
      <c r="AB39" s="208" t="s">
        <v>346</v>
      </c>
    </row>
    <row r="40" spans="1:28" x14ac:dyDescent="0.15">
      <c r="A40" s="208" t="s">
        <v>34</v>
      </c>
      <c r="B40" s="208" t="s">
        <v>344</v>
      </c>
      <c r="C40" s="208">
        <v>2018</v>
      </c>
      <c r="D40" s="262" t="s">
        <v>526</v>
      </c>
      <c r="E40" s="208" t="s">
        <v>292</v>
      </c>
      <c r="F40" s="208" t="s">
        <v>327</v>
      </c>
      <c r="G40" s="208" t="s">
        <v>36</v>
      </c>
      <c r="H40" s="208" t="s">
        <v>157</v>
      </c>
      <c r="I40" s="208" t="s">
        <v>155</v>
      </c>
      <c r="J40" s="208" t="s">
        <v>38</v>
      </c>
      <c r="K40" s="208" t="s">
        <v>156</v>
      </c>
      <c r="L40" s="208">
        <v>3</v>
      </c>
      <c r="N40" s="208">
        <v>1</v>
      </c>
      <c r="O40" s="208">
        <v>0.8</v>
      </c>
      <c r="P40" s="208">
        <v>0.8</v>
      </c>
      <c r="Q40" s="245">
        <f>IF(OR(O40="",P40=""),"",AVERAGE(O40,P40))</f>
        <v>0.8</v>
      </c>
      <c r="R40" s="208">
        <v>16.3</v>
      </c>
      <c r="S40" s="208">
        <v>134</v>
      </c>
      <c r="T40" s="217">
        <f t="shared" si="1"/>
        <v>30</v>
      </c>
      <c r="U40" s="208">
        <v>105</v>
      </c>
      <c r="V40" s="217">
        <f t="shared" si="2"/>
        <v>3150</v>
      </c>
      <c r="W40" s="208">
        <v>1</v>
      </c>
      <c r="X40" s="208" t="s">
        <v>46</v>
      </c>
      <c r="Y40" s="208" t="s">
        <v>69</v>
      </c>
      <c r="Z40" s="208" t="s">
        <v>97</v>
      </c>
      <c r="AA40" s="208" t="s">
        <v>64</v>
      </c>
      <c r="AB40" s="208" t="s">
        <v>346</v>
      </c>
    </row>
    <row r="41" spans="1:28" x14ac:dyDescent="0.15">
      <c r="A41" s="208" t="s">
        <v>34</v>
      </c>
      <c r="B41" s="208" t="s">
        <v>344</v>
      </c>
      <c r="C41" s="208">
        <v>2018</v>
      </c>
      <c r="D41" s="262" t="s">
        <v>526</v>
      </c>
      <c r="E41" s="208" t="s">
        <v>292</v>
      </c>
      <c r="F41" s="208" t="s">
        <v>327</v>
      </c>
      <c r="G41" s="208" t="s">
        <v>36</v>
      </c>
      <c r="H41" s="208" t="s">
        <v>157</v>
      </c>
      <c r="I41" s="208" t="s">
        <v>155</v>
      </c>
      <c r="J41" s="208" t="s">
        <v>38</v>
      </c>
      <c r="K41" s="208" t="s">
        <v>156</v>
      </c>
      <c r="L41" s="208">
        <v>1</v>
      </c>
      <c r="N41" s="208">
        <v>4</v>
      </c>
      <c r="O41" s="208">
        <v>0.2</v>
      </c>
      <c r="P41" s="208">
        <v>0.65</v>
      </c>
      <c r="Q41" s="245">
        <f t="shared" si="0"/>
        <v>0.42500000000000004</v>
      </c>
      <c r="R41" s="208">
        <v>15.7</v>
      </c>
      <c r="S41" s="208">
        <v>104</v>
      </c>
      <c r="T41" s="217">
        <f t="shared" si="1"/>
        <v>33</v>
      </c>
      <c r="U41" s="208">
        <v>509</v>
      </c>
      <c r="V41" s="217">
        <f t="shared" si="2"/>
        <v>4199.25</v>
      </c>
      <c r="W41" s="208">
        <v>1</v>
      </c>
      <c r="X41" s="208" t="s">
        <v>39</v>
      </c>
      <c r="Y41" s="208" t="s">
        <v>69</v>
      </c>
      <c r="Z41" s="208" t="s">
        <v>97</v>
      </c>
      <c r="AA41" s="208" t="s">
        <v>64</v>
      </c>
      <c r="AB41" s="208" t="s">
        <v>346</v>
      </c>
    </row>
    <row r="42" spans="1:28" x14ac:dyDescent="0.15">
      <c r="A42" s="208" t="s">
        <v>34</v>
      </c>
      <c r="B42" s="208" t="s">
        <v>344</v>
      </c>
      <c r="C42" s="208">
        <v>2018</v>
      </c>
      <c r="D42" s="262" t="s">
        <v>526</v>
      </c>
      <c r="E42" s="208" t="s">
        <v>292</v>
      </c>
      <c r="F42" s="208" t="s">
        <v>327</v>
      </c>
      <c r="G42" s="208" t="s">
        <v>36</v>
      </c>
      <c r="H42" s="208" t="s">
        <v>157</v>
      </c>
      <c r="I42" s="208" t="s">
        <v>155</v>
      </c>
      <c r="J42" s="208" t="s">
        <v>38</v>
      </c>
      <c r="K42" s="208" t="s">
        <v>156</v>
      </c>
      <c r="L42" s="208">
        <v>2</v>
      </c>
      <c r="N42" s="208">
        <v>4</v>
      </c>
      <c r="O42" s="208">
        <v>0.5</v>
      </c>
      <c r="P42" s="208">
        <v>0.6</v>
      </c>
      <c r="Q42" s="245">
        <f t="shared" si="0"/>
        <v>0.55000000000000004</v>
      </c>
      <c r="R42" s="208">
        <v>15.2</v>
      </c>
      <c r="S42" s="208">
        <v>114</v>
      </c>
      <c r="T42" s="217">
        <f t="shared" si="1"/>
        <v>30</v>
      </c>
      <c r="U42" s="208">
        <v>509</v>
      </c>
      <c r="V42" s="217">
        <f t="shared" si="2"/>
        <v>3817.5</v>
      </c>
      <c r="W42" s="208">
        <v>1</v>
      </c>
      <c r="X42" s="208" t="s">
        <v>39</v>
      </c>
      <c r="Y42" s="208" t="s">
        <v>69</v>
      </c>
      <c r="Z42" s="208" t="s">
        <v>97</v>
      </c>
      <c r="AA42" s="208" t="s">
        <v>64</v>
      </c>
      <c r="AB42" s="208" t="s">
        <v>346</v>
      </c>
    </row>
    <row r="43" spans="1:28" x14ac:dyDescent="0.15">
      <c r="A43" s="208" t="s">
        <v>34</v>
      </c>
      <c r="B43" s="208" t="s">
        <v>344</v>
      </c>
      <c r="C43" s="208">
        <v>2018</v>
      </c>
      <c r="D43" s="262" t="s">
        <v>526</v>
      </c>
      <c r="E43" s="208" t="s">
        <v>292</v>
      </c>
      <c r="F43" s="208" t="s">
        <v>327</v>
      </c>
      <c r="G43" s="208" t="s">
        <v>36</v>
      </c>
      <c r="H43" s="208" t="s">
        <v>157</v>
      </c>
      <c r="I43" s="208" t="s">
        <v>155</v>
      </c>
      <c r="J43" s="208" t="s">
        <v>38</v>
      </c>
      <c r="K43" s="208" t="s">
        <v>156</v>
      </c>
      <c r="L43" s="208">
        <v>3</v>
      </c>
      <c r="N43" s="208">
        <v>4</v>
      </c>
      <c r="O43" s="208">
        <v>0.55000000000000004</v>
      </c>
      <c r="P43" s="208">
        <v>0.6</v>
      </c>
      <c r="Q43" s="245">
        <f t="shared" si="0"/>
        <v>0.57499999999999996</v>
      </c>
      <c r="R43" s="208">
        <v>14.2</v>
      </c>
      <c r="S43" s="208">
        <v>116</v>
      </c>
      <c r="T43" s="217">
        <f t="shared" si="1"/>
        <v>30</v>
      </c>
      <c r="U43" s="208">
        <v>509</v>
      </c>
      <c r="V43" s="217">
        <f t="shared" si="2"/>
        <v>3817.5</v>
      </c>
      <c r="W43" s="208">
        <v>1</v>
      </c>
      <c r="X43" s="208" t="s">
        <v>39</v>
      </c>
      <c r="Y43" s="208" t="s">
        <v>69</v>
      </c>
      <c r="Z43" s="208" t="s">
        <v>97</v>
      </c>
      <c r="AA43" s="208" t="s">
        <v>64</v>
      </c>
      <c r="AB43" s="208" t="s">
        <v>346</v>
      </c>
    </row>
    <row r="44" spans="1:28" x14ac:dyDescent="0.15">
      <c r="A44" s="208" t="s">
        <v>34</v>
      </c>
      <c r="B44" s="208" t="s">
        <v>344</v>
      </c>
      <c r="C44" s="208">
        <v>2018</v>
      </c>
      <c r="D44" s="262" t="s">
        <v>526</v>
      </c>
      <c r="E44" s="208" t="s">
        <v>292</v>
      </c>
      <c r="F44" s="208" t="s">
        <v>327</v>
      </c>
      <c r="G44" s="208" t="s">
        <v>36</v>
      </c>
      <c r="H44" s="208" t="s">
        <v>165</v>
      </c>
      <c r="I44" s="208" t="s">
        <v>155</v>
      </c>
      <c r="J44" s="208" t="s">
        <v>38</v>
      </c>
      <c r="K44" s="208" t="s">
        <v>156</v>
      </c>
      <c r="L44" s="208">
        <v>1</v>
      </c>
      <c r="N44" s="208">
        <v>1</v>
      </c>
      <c r="O44" s="208">
        <v>0.7</v>
      </c>
      <c r="P44" s="208">
        <v>0.8</v>
      </c>
      <c r="Q44" s="245">
        <f t="shared" si="0"/>
        <v>0.75</v>
      </c>
      <c r="R44" s="208">
        <v>14.6</v>
      </c>
      <c r="S44" s="208">
        <v>120</v>
      </c>
      <c r="T44" s="217">
        <f t="shared" si="1"/>
        <v>30</v>
      </c>
      <c r="U44" s="208">
        <v>138</v>
      </c>
      <c r="V44" s="217">
        <f t="shared" si="2"/>
        <v>4140</v>
      </c>
      <c r="W44" s="208">
        <v>2</v>
      </c>
      <c r="X44" s="208" t="s">
        <v>39</v>
      </c>
      <c r="Y44" s="208" t="s">
        <v>69</v>
      </c>
      <c r="Z44" s="208" t="s">
        <v>97</v>
      </c>
      <c r="AA44" s="208" t="s">
        <v>64</v>
      </c>
      <c r="AB44" s="208" t="s">
        <v>346</v>
      </c>
    </row>
    <row r="45" spans="1:28" x14ac:dyDescent="0.15">
      <c r="A45" s="208" t="s">
        <v>34</v>
      </c>
      <c r="B45" s="208" t="s">
        <v>344</v>
      </c>
      <c r="C45" s="208">
        <v>2018</v>
      </c>
      <c r="D45" s="262" t="s">
        <v>526</v>
      </c>
      <c r="E45" s="208" t="s">
        <v>292</v>
      </c>
      <c r="F45" s="208" t="s">
        <v>327</v>
      </c>
      <c r="G45" s="208" t="s">
        <v>36</v>
      </c>
      <c r="H45" s="208" t="s">
        <v>165</v>
      </c>
      <c r="I45" s="208" t="s">
        <v>155</v>
      </c>
      <c r="J45" s="208" t="s">
        <v>38</v>
      </c>
      <c r="K45" s="208" t="s">
        <v>156</v>
      </c>
      <c r="L45" s="208">
        <v>2</v>
      </c>
      <c r="N45" s="208">
        <v>1</v>
      </c>
      <c r="O45" s="208">
        <v>0.65</v>
      </c>
      <c r="P45" s="208">
        <v>0.6</v>
      </c>
      <c r="Q45" s="245">
        <f t="shared" si="0"/>
        <v>0.625</v>
      </c>
      <c r="R45" s="208">
        <v>15.1</v>
      </c>
      <c r="S45" s="208">
        <v>116</v>
      </c>
      <c r="T45" s="217">
        <f t="shared" si="1"/>
        <v>30</v>
      </c>
      <c r="U45" s="208">
        <v>138</v>
      </c>
      <c r="V45" s="217">
        <f t="shared" si="2"/>
        <v>4140</v>
      </c>
      <c r="W45" s="208">
        <v>2</v>
      </c>
      <c r="X45" s="208" t="s">
        <v>39</v>
      </c>
      <c r="Y45" s="208" t="s">
        <v>69</v>
      </c>
      <c r="Z45" s="208" t="s">
        <v>97</v>
      </c>
      <c r="AA45" s="208" t="s">
        <v>64</v>
      </c>
      <c r="AB45" s="208" t="s">
        <v>346</v>
      </c>
    </row>
    <row r="46" spans="1:28" x14ac:dyDescent="0.15">
      <c r="A46" s="208" t="s">
        <v>34</v>
      </c>
      <c r="B46" s="208" t="s">
        <v>344</v>
      </c>
      <c r="C46" s="208">
        <v>2018</v>
      </c>
      <c r="D46" s="262" t="s">
        <v>526</v>
      </c>
      <c r="E46" s="208" t="s">
        <v>292</v>
      </c>
      <c r="F46" s="208" t="s">
        <v>327</v>
      </c>
      <c r="G46" s="208" t="s">
        <v>36</v>
      </c>
      <c r="H46" s="208" t="s">
        <v>165</v>
      </c>
      <c r="I46" s="208" t="s">
        <v>155</v>
      </c>
      <c r="J46" s="208" t="s">
        <v>38</v>
      </c>
      <c r="K46" s="208" t="s">
        <v>156</v>
      </c>
      <c r="L46" s="208">
        <v>3</v>
      </c>
      <c r="N46" s="208">
        <v>1</v>
      </c>
      <c r="O46" s="208">
        <v>0.75</v>
      </c>
      <c r="P46" s="208">
        <v>1</v>
      </c>
      <c r="Q46" s="245">
        <f t="shared" si="0"/>
        <v>0.875</v>
      </c>
      <c r="R46" s="208">
        <v>14.3</v>
      </c>
      <c r="S46" s="208">
        <v>117</v>
      </c>
      <c r="T46" s="217">
        <f t="shared" si="1"/>
        <v>30</v>
      </c>
      <c r="U46" s="208">
        <v>138</v>
      </c>
      <c r="V46" s="217">
        <f t="shared" si="2"/>
        <v>4140</v>
      </c>
      <c r="W46" s="208">
        <v>2</v>
      </c>
      <c r="X46" s="208" t="s">
        <v>39</v>
      </c>
      <c r="Y46" s="208" t="s">
        <v>69</v>
      </c>
      <c r="Z46" s="208" t="s">
        <v>97</v>
      </c>
      <c r="AA46" s="208" t="s">
        <v>64</v>
      </c>
      <c r="AB46" s="208" t="s">
        <v>346</v>
      </c>
    </row>
    <row r="47" spans="1:28" x14ac:dyDescent="0.15">
      <c r="A47" s="208" t="s">
        <v>34</v>
      </c>
      <c r="B47" s="208" t="s">
        <v>344</v>
      </c>
      <c r="C47" s="208">
        <v>2018</v>
      </c>
      <c r="D47" s="262" t="s">
        <v>526</v>
      </c>
      <c r="E47" s="208" t="s">
        <v>292</v>
      </c>
      <c r="F47" s="208" t="s">
        <v>327</v>
      </c>
      <c r="G47" s="208" t="s">
        <v>36</v>
      </c>
      <c r="H47" s="208" t="s">
        <v>165</v>
      </c>
      <c r="I47" s="208" t="s">
        <v>155</v>
      </c>
      <c r="J47" s="208" t="s">
        <v>38</v>
      </c>
      <c r="K47" s="208" t="s">
        <v>156</v>
      </c>
      <c r="L47" s="208">
        <v>1</v>
      </c>
      <c r="N47" s="208">
        <v>4</v>
      </c>
      <c r="O47" s="208">
        <v>0.5</v>
      </c>
      <c r="P47" s="208">
        <v>0.45</v>
      </c>
      <c r="Q47" s="245">
        <f t="shared" si="0"/>
        <v>0.47499999999999998</v>
      </c>
      <c r="R47" s="208">
        <v>15.7</v>
      </c>
      <c r="S47" s="208">
        <v>112</v>
      </c>
      <c r="T47" s="217">
        <f t="shared" si="1"/>
        <v>33</v>
      </c>
      <c r="U47" s="208">
        <v>537</v>
      </c>
      <c r="V47" s="217">
        <f t="shared" si="2"/>
        <v>4430.25</v>
      </c>
      <c r="W47" s="208">
        <v>2</v>
      </c>
      <c r="X47" s="208" t="s">
        <v>39</v>
      </c>
      <c r="Y47" s="208" t="s">
        <v>69</v>
      </c>
      <c r="Z47" s="208" t="s">
        <v>97</v>
      </c>
      <c r="AA47" s="208" t="s">
        <v>64</v>
      </c>
      <c r="AB47" s="208" t="s">
        <v>346</v>
      </c>
    </row>
    <row r="48" spans="1:28" x14ac:dyDescent="0.15">
      <c r="A48" s="208" t="s">
        <v>34</v>
      </c>
      <c r="B48" s="208" t="s">
        <v>344</v>
      </c>
      <c r="C48" s="208">
        <v>2018</v>
      </c>
      <c r="D48" s="262" t="s">
        <v>526</v>
      </c>
      <c r="E48" s="208" t="s">
        <v>292</v>
      </c>
      <c r="F48" s="208" t="s">
        <v>327</v>
      </c>
      <c r="G48" s="208" t="s">
        <v>36</v>
      </c>
      <c r="H48" s="208" t="s">
        <v>165</v>
      </c>
      <c r="I48" s="208" t="s">
        <v>155</v>
      </c>
      <c r="J48" s="208" t="s">
        <v>38</v>
      </c>
      <c r="K48" s="208" t="s">
        <v>156</v>
      </c>
      <c r="L48" s="208">
        <v>2</v>
      </c>
      <c r="N48" s="208">
        <v>4</v>
      </c>
      <c r="O48" s="208">
        <v>0.5</v>
      </c>
      <c r="P48" s="208">
        <v>0.55000000000000004</v>
      </c>
      <c r="Q48" s="245">
        <f t="shared" si="0"/>
        <v>0.52500000000000002</v>
      </c>
      <c r="R48" s="208">
        <v>16.100000000000001</v>
      </c>
      <c r="S48" s="208">
        <v>110</v>
      </c>
      <c r="T48" s="217">
        <f t="shared" si="1"/>
        <v>33</v>
      </c>
      <c r="U48" s="208">
        <v>537</v>
      </c>
      <c r="V48" s="217">
        <f t="shared" si="2"/>
        <v>4430.25</v>
      </c>
      <c r="W48" s="208">
        <v>2</v>
      </c>
      <c r="X48" s="208" t="s">
        <v>39</v>
      </c>
      <c r="Y48" s="208" t="s">
        <v>69</v>
      </c>
      <c r="Z48" s="208" t="s">
        <v>97</v>
      </c>
      <c r="AA48" s="208" t="s">
        <v>64</v>
      </c>
      <c r="AB48" s="208" t="s">
        <v>346</v>
      </c>
    </row>
    <row r="49" spans="1:28" x14ac:dyDescent="0.15">
      <c r="A49" s="208" t="s">
        <v>34</v>
      </c>
      <c r="B49" s="208" t="s">
        <v>344</v>
      </c>
      <c r="C49" s="208">
        <v>2018</v>
      </c>
      <c r="D49" s="262" t="s">
        <v>526</v>
      </c>
      <c r="E49" s="208" t="s">
        <v>292</v>
      </c>
      <c r="F49" s="208" t="s">
        <v>327</v>
      </c>
      <c r="G49" s="208" t="s">
        <v>36</v>
      </c>
      <c r="H49" s="208" t="s">
        <v>165</v>
      </c>
      <c r="I49" s="208" t="s">
        <v>155</v>
      </c>
      <c r="J49" s="208" t="s">
        <v>38</v>
      </c>
      <c r="K49" s="208" t="s">
        <v>156</v>
      </c>
      <c r="L49" s="208">
        <v>3</v>
      </c>
      <c r="N49" s="208">
        <v>4</v>
      </c>
      <c r="O49" s="208">
        <v>0.6</v>
      </c>
      <c r="P49" s="208">
        <v>0.55000000000000004</v>
      </c>
      <c r="Q49" s="245">
        <f t="shared" si="0"/>
        <v>0.57499999999999996</v>
      </c>
      <c r="R49" s="208">
        <v>17.5</v>
      </c>
      <c r="S49" s="208">
        <v>108</v>
      </c>
      <c r="T49" s="217">
        <f t="shared" si="1"/>
        <v>33</v>
      </c>
      <c r="U49" s="208">
        <v>537</v>
      </c>
      <c r="V49" s="217">
        <f t="shared" si="2"/>
        <v>4430.25</v>
      </c>
      <c r="W49" s="208">
        <v>2</v>
      </c>
      <c r="X49" s="208" t="s">
        <v>39</v>
      </c>
      <c r="Y49" s="208" t="s">
        <v>69</v>
      </c>
      <c r="Z49" s="208" t="s">
        <v>97</v>
      </c>
      <c r="AA49" s="208" t="s">
        <v>64</v>
      </c>
      <c r="AB49" s="208" t="s">
        <v>346</v>
      </c>
    </row>
    <row r="50" spans="1:28" x14ac:dyDescent="0.15">
      <c r="A50" s="208" t="s">
        <v>34</v>
      </c>
      <c r="B50" s="208" t="s">
        <v>344</v>
      </c>
      <c r="C50" s="208">
        <v>2018</v>
      </c>
      <c r="D50" s="262" t="s">
        <v>526</v>
      </c>
      <c r="E50" s="208" t="s">
        <v>328</v>
      </c>
      <c r="F50" s="208" t="s">
        <v>329</v>
      </c>
      <c r="G50" s="208" t="s">
        <v>36</v>
      </c>
      <c r="H50" s="208" t="s">
        <v>157</v>
      </c>
      <c r="I50" s="208" t="s">
        <v>155</v>
      </c>
      <c r="J50" s="208" t="s">
        <v>38</v>
      </c>
      <c r="K50" s="208" t="s">
        <v>156</v>
      </c>
      <c r="L50" s="208">
        <v>1</v>
      </c>
      <c r="N50" s="208">
        <v>1</v>
      </c>
      <c r="O50" s="208">
        <v>0.55000000000000004</v>
      </c>
      <c r="P50" s="208">
        <v>0.2</v>
      </c>
      <c r="Q50" s="245">
        <f t="shared" si="0"/>
        <v>0.375</v>
      </c>
      <c r="R50" s="208">
        <v>14.9</v>
      </c>
      <c r="S50" s="208">
        <v>125</v>
      </c>
      <c r="T50" s="217">
        <f t="shared" si="1"/>
        <v>30</v>
      </c>
      <c r="U50" s="208">
        <v>138</v>
      </c>
      <c r="V50" s="217">
        <f t="shared" si="2"/>
        <v>4140</v>
      </c>
      <c r="W50" s="208">
        <v>3</v>
      </c>
      <c r="X50" s="208" t="s">
        <v>46</v>
      </c>
      <c r="Y50" s="208" t="s">
        <v>55</v>
      </c>
      <c r="Z50" s="208" t="s">
        <v>69</v>
      </c>
      <c r="AA50" s="208" t="s">
        <v>88</v>
      </c>
      <c r="AB50" s="208" t="s">
        <v>346</v>
      </c>
    </row>
    <row r="51" spans="1:28" x14ac:dyDescent="0.15">
      <c r="A51" s="208" t="s">
        <v>34</v>
      </c>
      <c r="B51" s="208" t="s">
        <v>344</v>
      </c>
      <c r="C51" s="208">
        <v>2018</v>
      </c>
      <c r="D51" s="262" t="s">
        <v>526</v>
      </c>
      <c r="E51" s="208" t="s">
        <v>328</v>
      </c>
      <c r="F51" s="208" t="s">
        <v>329</v>
      </c>
      <c r="G51" s="208" t="s">
        <v>36</v>
      </c>
      <c r="H51" s="208" t="s">
        <v>157</v>
      </c>
      <c r="I51" s="208" t="s">
        <v>155</v>
      </c>
      <c r="J51" s="208" t="s">
        <v>38</v>
      </c>
      <c r="K51" s="208" t="s">
        <v>156</v>
      </c>
      <c r="L51" s="208">
        <v>2</v>
      </c>
      <c r="N51" s="208">
        <v>1</v>
      </c>
      <c r="O51" s="208">
        <v>0.5</v>
      </c>
      <c r="P51" s="208">
        <v>0.2</v>
      </c>
      <c r="Q51" s="245">
        <f t="shared" si="0"/>
        <v>0.35</v>
      </c>
      <c r="R51" s="208">
        <v>13.1</v>
      </c>
      <c r="S51" s="208">
        <v>130</v>
      </c>
      <c r="T51" s="217">
        <f t="shared" si="1"/>
        <v>30</v>
      </c>
      <c r="U51" s="208">
        <v>138</v>
      </c>
      <c r="V51" s="217">
        <f t="shared" si="2"/>
        <v>4140</v>
      </c>
      <c r="W51" s="208">
        <v>3</v>
      </c>
      <c r="X51" s="208" t="s">
        <v>46</v>
      </c>
      <c r="Y51" s="208" t="s">
        <v>55</v>
      </c>
      <c r="Z51" s="208" t="s">
        <v>69</v>
      </c>
      <c r="AA51" s="208" t="s">
        <v>88</v>
      </c>
      <c r="AB51" s="208" t="s">
        <v>346</v>
      </c>
    </row>
    <row r="52" spans="1:28" x14ac:dyDescent="0.15">
      <c r="A52" s="208" t="s">
        <v>34</v>
      </c>
      <c r="B52" s="208" t="s">
        <v>344</v>
      </c>
      <c r="C52" s="208">
        <v>2018</v>
      </c>
      <c r="D52" s="262" t="s">
        <v>526</v>
      </c>
      <c r="E52" s="208" t="s">
        <v>328</v>
      </c>
      <c r="F52" s="208" t="s">
        <v>329</v>
      </c>
      <c r="G52" s="208" t="s">
        <v>36</v>
      </c>
      <c r="H52" s="208" t="s">
        <v>157</v>
      </c>
      <c r="I52" s="208" t="s">
        <v>155</v>
      </c>
      <c r="J52" s="208" t="s">
        <v>38</v>
      </c>
      <c r="K52" s="208" t="s">
        <v>156</v>
      </c>
      <c r="L52" s="208">
        <v>3</v>
      </c>
      <c r="N52" s="208">
        <v>1</v>
      </c>
      <c r="O52" s="208">
        <v>0.5</v>
      </c>
      <c r="P52" s="208">
        <v>0.2</v>
      </c>
      <c r="Q52" s="245">
        <f t="shared" si="0"/>
        <v>0.35</v>
      </c>
      <c r="R52" s="208">
        <v>14.7</v>
      </c>
      <c r="S52" s="208">
        <v>129</v>
      </c>
      <c r="T52" s="217">
        <f t="shared" si="1"/>
        <v>30</v>
      </c>
      <c r="U52" s="208">
        <v>138</v>
      </c>
      <c r="V52" s="217">
        <f t="shared" si="2"/>
        <v>4140</v>
      </c>
      <c r="W52" s="208">
        <v>3</v>
      </c>
      <c r="X52" s="208" t="s">
        <v>46</v>
      </c>
      <c r="Y52" s="208" t="s">
        <v>55</v>
      </c>
      <c r="Z52" s="208" t="s">
        <v>69</v>
      </c>
      <c r="AA52" s="208" t="s">
        <v>88</v>
      </c>
      <c r="AB52" s="208" t="s">
        <v>346</v>
      </c>
    </row>
    <row r="53" spans="1:28" x14ac:dyDescent="0.15">
      <c r="A53" s="208" t="s">
        <v>34</v>
      </c>
      <c r="B53" s="208" t="s">
        <v>344</v>
      </c>
      <c r="C53" s="208">
        <v>2018</v>
      </c>
      <c r="D53" s="262" t="s">
        <v>526</v>
      </c>
      <c r="E53" s="208" t="s">
        <v>328</v>
      </c>
      <c r="F53" s="208" t="s">
        <v>329</v>
      </c>
      <c r="G53" s="208" t="s">
        <v>36</v>
      </c>
      <c r="H53" s="208" t="s">
        <v>217</v>
      </c>
      <c r="I53" s="208" t="s">
        <v>155</v>
      </c>
      <c r="J53" s="208" t="s">
        <v>38</v>
      </c>
      <c r="K53" s="208" t="s">
        <v>156</v>
      </c>
      <c r="L53" s="208">
        <v>1</v>
      </c>
      <c r="N53" s="208">
        <v>6</v>
      </c>
      <c r="O53" s="208">
        <v>0.5</v>
      </c>
      <c r="P53" s="208">
        <v>0.2</v>
      </c>
      <c r="Q53" s="245">
        <f t="shared" si="0"/>
        <v>0.35</v>
      </c>
      <c r="R53" s="208">
        <v>14.9</v>
      </c>
      <c r="S53" s="208">
        <v>91</v>
      </c>
      <c r="T53" s="217">
        <f t="shared" si="1"/>
        <v>36</v>
      </c>
      <c r="U53" s="208">
        <v>464</v>
      </c>
      <c r="V53" s="217">
        <f t="shared" si="2"/>
        <v>2784</v>
      </c>
      <c r="W53" s="208">
        <v>2</v>
      </c>
      <c r="X53" s="208" t="s">
        <v>46</v>
      </c>
      <c r="Y53" s="208" t="s">
        <v>55</v>
      </c>
      <c r="Z53" s="208" t="s">
        <v>69</v>
      </c>
      <c r="AA53" s="208" t="s">
        <v>88</v>
      </c>
      <c r="AB53" s="208" t="s">
        <v>346</v>
      </c>
    </row>
    <row r="54" spans="1:28" x14ac:dyDescent="0.15">
      <c r="A54" s="208" t="s">
        <v>34</v>
      </c>
      <c r="B54" s="208" t="s">
        <v>344</v>
      </c>
      <c r="C54" s="208">
        <v>2018</v>
      </c>
      <c r="D54" s="262" t="s">
        <v>526</v>
      </c>
      <c r="E54" s="208" t="s">
        <v>328</v>
      </c>
      <c r="F54" s="208" t="s">
        <v>329</v>
      </c>
      <c r="G54" s="208" t="s">
        <v>36</v>
      </c>
      <c r="H54" s="208" t="s">
        <v>217</v>
      </c>
      <c r="I54" s="208" t="s">
        <v>155</v>
      </c>
      <c r="J54" s="208" t="s">
        <v>38</v>
      </c>
      <c r="K54" s="208" t="s">
        <v>156</v>
      </c>
      <c r="L54" s="208">
        <v>2</v>
      </c>
      <c r="N54" s="208">
        <v>6</v>
      </c>
      <c r="O54" s="208">
        <v>0.2</v>
      </c>
      <c r="P54" s="208">
        <v>0.2</v>
      </c>
      <c r="Q54" s="245">
        <f t="shared" si="0"/>
        <v>0.2</v>
      </c>
      <c r="R54" s="208">
        <v>14.8</v>
      </c>
      <c r="S54" s="208">
        <v>87</v>
      </c>
      <c r="T54" s="217">
        <f t="shared" si="1"/>
        <v>36</v>
      </c>
      <c r="U54" s="208">
        <v>464</v>
      </c>
      <c r="V54" s="217">
        <f t="shared" si="2"/>
        <v>2784</v>
      </c>
      <c r="W54" s="208">
        <v>2</v>
      </c>
      <c r="X54" s="208" t="s">
        <v>46</v>
      </c>
      <c r="Y54" s="208" t="s">
        <v>55</v>
      </c>
      <c r="Z54" s="208" t="s">
        <v>69</v>
      </c>
      <c r="AA54" s="208" t="s">
        <v>88</v>
      </c>
      <c r="AB54" s="208" t="s">
        <v>346</v>
      </c>
    </row>
    <row r="55" spans="1:28" x14ac:dyDescent="0.15">
      <c r="A55" s="208" t="s">
        <v>34</v>
      </c>
      <c r="B55" s="208" t="s">
        <v>344</v>
      </c>
      <c r="C55" s="208">
        <v>2018</v>
      </c>
      <c r="D55" s="262" t="s">
        <v>526</v>
      </c>
      <c r="E55" s="208" t="s">
        <v>328</v>
      </c>
      <c r="F55" s="208" t="s">
        <v>329</v>
      </c>
      <c r="G55" s="208" t="s">
        <v>36</v>
      </c>
      <c r="H55" s="208" t="s">
        <v>217</v>
      </c>
      <c r="I55" s="208" t="s">
        <v>155</v>
      </c>
      <c r="J55" s="208" t="s">
        <v>38</v>
      </c>
      <c r="K55" s="208" t="s">
        <v>156</v>
      </c>
      <c r="L55" s="208">
        <v>3</v>
      </c>
      <c r="N55" s="208">
        <v>6</v>
      </c>
      <c r="O55" s="208">
        <v>0.2</v>
      </c>
      <c r="P55" s="208">
        <v>0.5</v>
      </c>
      <c r="Q55" s="245">
        <f t="shared" si="0"/>
        <v>0.35</v>
      </c>
      <c r="R55" s="208">
        <v>15</v>
      </c>
      <c r="S55" s="208">
        <v>87</v>
      </c>
      <c r="T55" s="217">
        <f t="shared" si="1"/>
        <v>36</v>
      </c>
      <c r="U55" s="208">
        <v>464</v>
      </c>
      <c r="V55" s="217">
        <f t="shared" si="2"/>
        <v>2784</v>
      </c>
      <c r="W55" s="208">
        <v>2</v>
      </c>
      <c r="X55" s="208" t="s">
        <v>46</v>
      </c>
      <c r="Y55" s="208" t="s">
        <v>55</v>
      </c>
      <c r="Z55" s="208" t="s">
        <v>69</v>
      </c>
      <c r="AA55" s="208" t="s">
        <v>88</v>
      </c>
      <c r="AB55" s="208" t="s">
        <v>346</v>
      </c>
    </row>
    <row r="56" spans="1:28" x14ac:dyDescent="0.15">
      <c r="A56" s="208" t="s">
        <v>34</v>
      </c>
      <c r="B56" s="208" t="s">
        <v>344</v>
      </c>
      <c r="C56" s="208">
        <v>2018</v>
      </c>
      <c r="D56" s="262" t="s">
        <v>526</v>
      </c>
      <c r="E56" s="208" t="s">
        <v>328</v>
      </c>
      <c r="F56" s="208" t="s">
        <v>329</v>
      </c>
      <c r="G56" s="208" t="s">
        <v>36</v>
      </c>
      <c r="H56" s="208" t="s">
        <v>165</v>
      </c>
      <c r="I56" s="208" t="s">
        <v>155</v>
      </c>
      <c r="J56" s="208" t="s">
        <v>38</v>
      </c>
      <c r="K56" s="208" t="s">
        <v>156</v>
      </c>
      <c r="L56" s="208">
        <v>1</v>
      </c>
      <c r="N56" s="208">
        <v>1</v>
      </c>
      <c r="O56" s="208">
        <v>0.6</v>
      </c>
      <c r="P56" s="208">
        <v>0.7</v>
      </c>
      <c r="Q56" s="245">
        <f t="shared" si="0"/>
        <v>0.64999999999999991</v>
      </c>
      <c r="R56" s="208">
        <v>16</v>
      </c>
      <c r="S56" s="208">
        <v>157</v>
      </c>
      <c r="T56" s="217">
        <f t="shared" si="1"/>
        <v>18</v>
      </c>
      <c r="U56" s="208">
        <v>184</v>
      </c>
      <c r="V56" s="217">
        <f t="shared" si="2"/>
        <v>3312</v>
      </c>
      <c r="W56" s="208">
        <v>4</v>
      </c>
      <c r="X56" s="208" t="s">
        <v>46</v>
      </c>
      <c r="Y56" s="208" t="s">
        <v>55</v>
      </c>
      <c r="Z56" s="208" t="s">
        <v>69</v>
      </c>
      <c r="AA56" s="208" t="s">
        <v>88</v>
      </c>
      <c r="AB56" s="208" t="s">
        <v>346</v>
      </c>
    </row>
    <row r="57" spans="1:28" x14ac:dyDescent="0.15">
      <c r="A57" s="208" t="s">
        <v>34</v>
      </c>
      <c r="B57" s="208" t="s">
        <v>344</v>
      </c>
      <c r="C57" s="208">
        <v>2018</v>
      </c>
      <c r="D57" s="262" t="s">
        <v>526</v>
      </c>
      <c r="E57" s="208" t="s">
        <v>328</v>
      </c>
      <c r="F57" s="208" t="s">
        <v>329</v>
      </c>
      <c r="G57" s="208" t="s">
        <v>36</v>
      </c>
      <c r="H57" s="208" t="s">
        <v>165</v>
      </c>
      <c r="I57" s="208" t="s">
        <v>155</v>
      </c>
      <c r="J57" s="208" t="s">
        <v>38</v>
      </c>
      <c r="K57" s="208" t="s">
        <v>156</v>
      </c>
      <c r="L57" s="208">
        <v>2</v>
      </c>
      <c r="N57" s="208">
        <v>1</v>
      </c>
      <c r="O57" s="208">
        <v>0.45</v>
      </c>
      <c r="P57" s="208">
        <v>0.45</v>
      </c>
      <c r="Q57" s="245">
        <f t="shared" si="0"/>
        <v>0.45</v>
      </c>
      <c r="R57" s="208">
        <v>15.9</v>
      </c>
      <c r="S57" s="208">
        <v>147</v>
      </c>
      <c r="T57" s="217">
        <f t="shared" si="1"/>
        <v>30</v>
      </c>
      <c r="U57" s="208">
        <v>184</v>
      </c>
      <c r="V57" s="217">
        <f t="shared" si="2"/>
        <v>5520</v>
      </c>
      <c r="W57" s="208">
        <v>4</v>
      </c>
      <c r="X57" s="208" t="s">
        <v>46</v>
      </c>
      <c r="Y57" s="208" t="s">
        <v>55</v>
      </c>
      <c r="Z57" s="208" t="s">
        <v>69</v>
      </c>
      <c r="AA57" s="208" t="s">
        <v>88</v>
      </c>
      <c r="AB57" s="208" t="s">
        <v>346</v>
      </c>
    </row>
    <row r="58" spans="1:28" x14ac:dyDescent="0.15">
      <c r="A58" s="208" t="s">
        <v>34</v>
      </c>
      <c r="B58" s="208" t="s">
        <v>344</v>
      </c>
      <c r="C58" s="208">
        <v>2018</v>
      </c>
      <c r="D58" s="262" t="s">
        <v>526</v>
      </c>
      <c r="E58" s="208" t="s">
        <v>328</v>
      </c>
      <c r="F58" s="208" t="s">
        <v>329</v>
      </c>
      <c r="G58" s="208" t="s">
        <v>36</v>
      </c>
      <c r="H58" s="208" t="s">
        <v>165</v>
      </c>
      <c r="I58" s="208" t="s">
        <v>155</v>
      </c>
      <c r="J58" s="208" t="s">
        <v>38</v>
      </c>
      <c r="K58" s="208" t="s">
        <v>156</v>
      </c>
      <c r="L58" s="208">
        <v>3</v>
      </c>
      <c r="N58" s="208">
        <v>1</v>
      </c>
      <c r="O58" s="208">
        <v>0.45</v>
      </c>
      <c r="P58" s="208">
        <v>0.7</v>
      </c>
      <c r="Q58" s="245">
        <f t="shared" si="0"/>
        <v>0.57499999999999996</v>
      </c>
      <c r="R58" s="208">
        <v>16.600000000000001</v>
      </c>
      <c r="S58" s="208">
        <v>151</v>
      </c>
      <c r="T58" s="217">
        <f t="shared" si="1"/>
        <v>30</v>
      </c>
      <c r="U58" s="208">
        <v>184</v>
      </c>
      <c r="V58" s="217">
        <f t="shared" si="2"/>
        <v>5520</v>
      </c>
      <c r="W58" s="208">
        <v>4</v>
      </c>
      <c r="X58" s="208" t="s">
        <v>46</v>
      </c>
      <c r="Y58" s="208" t="s">
        <v>55</v>
      </c>
      <c r="Z58" s="208" t="s">
        <v>69</v>
      </c>
      <c r="AA58" s="208" t="s">
        <v>88</v>
      </c>
      <c r="AB58" s="208" t="s">
        <v>346</v>
      </c>
    </row>
    <row r="59" spans="1:28" x14ac:dyDescent="0.15">
      <c r="A59" s="208" t="s">
        <v>34</v>
      </c>
      <c r="B59" s="208" t="s">
        <v>344</v>
      </c>
      <c r="C59" s="208">
        <v>2018</v>
      </c>
      <c r="D59" s="262" t="s">
        <v>526</v>
      </c>
      <c r="E59" s="208" t="s">
        <v>328</v>
      </c>
      <c r="F59" s="208" t="s">
        <v>329</v>
      </c>
      <c r="G59" s="208" t="s">
        <v>36</v>
      </c>
      <c r="H59" s="208" t="s">
        <v>165</v>
      </c>
      <c r="I59" s="208" t="s">
        <v>155</v>
      </c>
      <c r="J59" s="208" t="s">
        <v>38</v>
      </c>
      <c r="K59" s="208" t="s">
        <v>156</v>
      </c>
      <c r="L59" s="208">
        <v>1</v>
      </c>
      <c r="N59" s="208">
        <v>4</v>
      </c>
      <c r="O59" s="208">
        <v>0.6</v>
      </c>
      <c r="P59" s="208">
        <v>0.6</v>
      </c>
      <c r="Q59" s="245">
        <f t="shared" si="0"/>
        <v>0.6</v>
      </c>
      <c r="R59" s="208">
        <v>15.5</v>
      </c>
      <c r="S59" s="208">
        <v>141</v>
      </c>
      <c r="T59" s="217">
        <f t="shared" si="1"/>
        <v>30</v>
      </c>
      <c r="U59" s="208">
        <v>581</v>
      </c>
      <c r="V59" s="217">
        <f t="shared" si="2"/>
        <v>4357.5</v>
      </c>
      <c r="W59" s="208">
        <v>4</v>
      </c>
      <c r="X59" s="208" t="s">
        <v>46</v>
      </c>
      <c r="Y59" s="208" t="s">
        <v>55</v>
      </c>
      <c r="Z59" s="208" t="s">
        <v>69</v>
      </c>
      <c r="AA59" s="208" t="s">
        <v>88</v>
      </c>
      <c r="AB59" s="208" t="s">
        <v>346</v>
      </c>
    </row>
    <row r="60" spans="1:28" x14ac:dyDescent="0.15">
      <c r="A60" s="208" t="s">
        <v>34</v>
      </c>
      <c r="B60" s="208" t="s">
        <v>344</v>
      </c>
      <c r="C60" s="208">
        <v>2018</v>
      </c>
      <c r="D60" s="262" t="s">
        <v>526</v>
      </c>
      <c r="E60" s="208" t="s">
        <v>328</v>
      </c>
      <c r="F60" s="208" t="s">
        <v>329</v>
      </c>
      <c r="G60" s="208" t="s">
        <v>36</v>
      </c>
      <c r="H60" s="208" t="s">
        <v>165</v>
      </c>
      <c r="I60" s="208" t="s">
        <v>155</v>
      </c>
      <c r="J60" s="208" t="s">
        <v>38</v>
      </c>
      <c r="K60" s="208" t="s">
        <v>156</v>
      </c>
      <c r="L60" s="208">
        <v>2</v>
      </c>
      <c r="N60" s="208">
        <v>4</v>
      </c>
      <c r="O60" s="208">
        <v>0.55000000000000004</v>
      </c>
      <c r="P60" s="208">
        <v>0.55000000000000004</v>
      </c>
      <c r="Q60" s="245">
        <f t="shared" si="0"/>
        <v>0.55000000000000004</v>
      </c>
      <c r="R60" s="208">
        <v>16.5</v>
      </c>
      <c r="S60" s="208">
        <v>139</v>
      </c>
      <c r="T60" s="217">
        <f t="shared" si="1"/>
        <v>30</v>
      </c>
      <c r="U60" s="208">
        <v>581</v>
      </c>
      <c r="V60" s="217">
        <f t="shared" si="2"/>
        <v>4357.5</v>
      </c>
      <c r="W60" s="208">
        <v>4</v>
      </c>
      <c r="X60" s="208" t="s">
        <v>46</v>
      </c>
      <c r="Y60" s="208" t="s">
        <v>55</v>
      </c>
      <c r="Z60" s="208" t="s">
        <v>69</v>
      </c>
      <c r="AA60" s="208" t="s">
        <v>88</v>
      </c>
      <c r="AB60" s="208" t="s">
        <v>346</v>
      </c>
    </row>
    <row r="61" spans="1:28" x14ac:dyDescent="0.15">
      <c r="A61" s="208" t="s">
        <v>34</v>
      </c>
      <c r="B61" s="208" t="s">
        <v>344</v>
      </c>
      <c r="C61" s="208">
        <v>2018</v>
      </c>
      <c r="D61" s="262" t="s">
        <v>526</v>
      </c>
      <c r="E61" s="208" t="s">
        <v>328</v>
      </c>
      <c r="F61" s="208" t="s">
        <v>329</v>
      </c>
      <c r="G61" s="208" t="s">
        <v>36</v>
      </c>
      <c r="H61" s="208" t="s">
        <v>165</v>
      </c>
      <c r="I61" s="208" t="s">
        <v>155</v>
      </c>
      <c r="J61" s="208" t="s">
        <v>38</v>
      </c>
      <c r="K61" s="208" t="s">
        <v>156</v>
      </c>
      <c r="L61" s="208">
        <v>3</v>
      </c>
      <c r="N61" s="208">
        <v>4</v>
      </c>
      <c r="O61" s="208">
        <v>0.55000000000000004</v>
      </c>
      <c r="P61" s="208">
        <v>0.45</v>
      </c>
      <c r="Q61" s="245">
        <f t="shared" si="0"/>
        <v>0.5</v>
      </c>
      <c r="R61" s="208">
        <v>15.9</v>
      </c>
      <c r="S61" s="208">
        <v>138</v>
      </c>
      <c r="T61" s="217">
        <f t="shared" si="1"/>
        <v>30</v>
      </c>
      <c r="U61" s="208">
        <v>581</v>
      </c>
      <c r="V61" s="217">
        <f t="shared" si="2"/>
        <v>4357.5</v>
      </c>
      <c r="W61" s="208">
        <v>4</v>
      </c>
      <c r="X61" s="208" t="s">
        <v>46</v>
      </c>
      <c r="Y61" s="208" t="s">
        <v>55</v>
      </c>
      <c r="Z61" s="208" t="s">
        <v>69</v>
      </c>
      <c r="AA61" s="208" t="s">
        <v>88</v>
      </c>
      <c r="AB61" s="208" t="s">
        <v>346</v>
      </c>
    </row>
    <row r="62" spans="1:28" x14ac:dyDescent="0.15">
      <c r="A62" s="208" t="s">
        <v>34</v>
      </c>
      <c r="B62" s="208" t="s">
        <v>344</v>
      </c>
      <c r="C62" s="208">
        <v>2018</v>
      </c>
      <c r="D62" s="262" t="s">
        <v>526</v>
      </c>
      <c r="E62" s="208" t="s">
        <v>330</v>
      </c>
      <c r="F62" s="208" t="s">
        <v>331</v>
      </c>
      <c r="G62" s="208" t="s">
        <v>36</v>
      </c>
      <c r="H62" s="208" t="s">
        <v>157</v>
      </c>
      <c r="I62" s="208" t="s">
        <v>155</v>
      </c>
      <c r="J62" s="208" t="s">
        <v>38</v>
      </c>
      <c r="K62" s="208" t="s">
        <v>156</v>
      </c>
      <c r="L62" s="208">
        <v>1</v>
      </c>
      <c r="N62" s="208">
        <v>1</v>
      </c>
      <c r="O62" s="208">
        <v>1.35</v>
      </c>
      <c r="P62" s="208">
        <v>1.4</v>
      </c>
      <c r="Q62" s="245">
        <f t="shared" si="0"/>
        <v>1.375</v>
      </c>
      <c r="R62" s="208">
        <v>9.9</v>
      </c>
      <c r="S62" s="208">
        <v>146</v>
      </c>
      <c r="T62" s="217">
        <f t="shared" si="1"/>
        <v>30</v>
      </c>
      <c r="U62" s="208">
        <v>108</v>
      </c>
      <c r="V62" s="217">
        <f t="shared" si="2"/>
        <v>3240</v>
      </c>
      <c r="W62" s="208">
        <v>2</v>
      </c>
      <c r="X62" s="208" t="s">
        <v>46</v>
      </c>
      <c r="Y62" s="208" t="s">
        <v>55</v>
      </c>
      <c r="Z62" s="208" t="s">
        <v>64</v>
      </c>
      <c r="AA62" s="208" t="s">
        <v>88</v>
      </c>
      <c r="AB62" s="208" t="s">
        <v>346</v>
      </c>
    </row>
    <row r="63" spans="1:28" x14ac:dyDescent="0.15">
      <c r="A63" s="208" t="s">
        <v>34</v>
      </c>
      <c r="B63" s="208" t="s">
        <v>344</v>
      </c>
      <c r="C63" s="208">
        <v>2018</v>
      </c>
      <c r="D63" s="262" t="s">
        <v>526</v>
      </c>
      <c r="E63" s="208" t="s">
        <v>330</v>
      </c>
      <c r="F63" s="208" t="s">
        <v>331</v>
      </c>
      <c r="G63" s="208" t="s">
        <v>36</v>
      </c>
      <c r="H63" s="208" t="s">
        <v>157</v>
      </c>
      <c r="I63" s="208" t="s">
        <v>155</v>
      </c>
      <c r="J63" s="208" t="s">
        <v>38</v>
      </c>
      <c r="K63" s="208" t="s">
        <v>156</v>
      </c>
      <c r="L63" s="208">
        <v>2</v>
      </c>
      <c r="N63" s="208">
        <v>1</v>
      </c>
      <c r="O63" s="208">
        <v>1.35</v>
      </c>
      <c r="P63" s="208">
        <v>1.5</v>
      </c>
      <c r="Q63" s="245">
        <f t="shared" si="0"/>
        <v>1.425</v>
      </c>
      <c r="R63" s="208">
        <v>11.4</v>
      </c>
      <c r="S63" s="208">
        <v>137</v>
      </c>
      <c r="T63" s="217">
        <f t="shared" si="1"/>
        <v>30</v>
      </c>
      <c r="U63" s="208">
        <v>108</v>
      </c>
      <c r="V63" s="217">
        <f t="shared" si="2"/>
        <v>3240</v>
      </c>
      <c r="W63" s="208">
        <v>2</v>
      </c>
      <c r="X63" s="208" t="s">
        <v>46</v>
      </c>
      <c r="Y63" s="208" t="s">
        <v>55</v>
      </c>
      <c r="Z63" s="208" t="s">
        <v>64</v>
      </c>
      <c r="AA63" s="208" t="s">
        <v>88</v>
      </c>
      <c r="AB63" s="208" t="s">
        <v>346</v>
      </c>
    </row>
    <row r="64" spans="1:28" x14ac:dyDescent="0.15">
      <c r="A64" s="208" t="s">
        <v>34</v>
      </c>
      <c r="B64" s="208" t="s">
        <v>344</v>
      </c>
      <c r="C64" s="208">
        <v>2018</v>
      </c>
      <c r="D64" s="262" t="s">
        <v>526</v>
      </c>
      <c r="E64" s="208" t="s">
        <v>330</v>
      </c>
      <c r="F64" s="208" t="s">
        <v>331</v>
      </c>
      <c r="G64" s="208" t="s">
        <v>36</v>
      </c>
      <c r="H64" s="208" t="s">
        <v>157</v>
      </c>
      <c r="I64" s="208" t="s">
        <v>155</v>
      </c>
      <c r="J64" s="208" t="s">
        <v>38</v>
      </c>
      <c r="K64" s="208" t="s">
        <v>156</v>
      </c>
      <c r="L64" s="208">
        <v>3</v>
      </c>
      <c r="N64" s="208">
        <v>1</v>
      </c>
      <c r="O64" s="208">
        <v>1</v>
      </c>
      <c r="P64" s="208">
        <v>1.05</v>
      </c>
      <c r="Q64" s="245">
        <f t="shared" si="0"/>
        <v>1.0249999999999999</v>
      </c>
      <c r="R64" s="208">
        <v>15.2</v>
      </c>
      <c r="S64" s="208">
        <v>140</v>
      </c>
      <c r="T64" s="217">
        <f t="shared" si="1"/>
        <v>30</v>
      </c>
      <c r="U64" s="208">
        <v>108</v>
      </c>
      <c r="V64" s="217">
        <f t="shared" si="2"/>
        <v>3240</v>
      </c>
      <c r="W64" s="208">
        <v>2</v>
      </c>
      <c r="X64" s="208" t="s">
        <v>46</v>
      </c>
      <c r="Y64" s="208" t="s">
        <v>55</v>
      </c>
      <c r="Z64" s="208" t="s">
        <v>64</v>
      </c>
      <c r="AA64" s="208" t="s">
        <v>88</v>
      </c>
      <c r="AB64" s="208" t="s">
        <v>346</v>
      </c>
    </row>
    <row r="65" spans="1:28" x14ac:dyDescent="0.15">
      <c r="A65" s="208" t="s">
        <v>34</v>
      </c>
      <c r="B65" s="208" t="s">
        <v>344</v>
      </c>
      <c r="C65" s="208">
        <v>2018</v>
      </c>
      <c r="D65" s="262" t="s">
        <v>526</v>
      </c>
      <c r="E65" s="208" t="s">
        <v>330</v>
      </c>
      <c r="F65" s="208" t="s">
        <v>331</v>
      </c>
      <c r="G65" s="208" t="s">
        <v>36</v>
      </c>
      <c r="H65" s="208" t="s">
        <v>157</v>
      </c>
      <c r="I65" s="208" t="s">
        <v>155</v>
      </c>
      <c r="J65" s="208" t="s">
        <v>38</v>
      </c>
      <c r="K65" s="208" t="s">
        <v>156</v>
      </c>
      <c r="L65" s="208">
        <v>1</v>
      </c>
      <c r="N65" s="208">
        <v>4</v>
      </c>
      <c r="O65" s="208">
        <v>0.7</v>
      </c>
      <c r="P65" s="208">
        <v>0.6</v>
      </c>
      <c r="Q65" s="245">
        <f t="shared" si="0"/>
        <v>0.64999999999999991</v>
      </c>
      <c r="R65" s="208">
        <v>14.4</v>
      </c>
      <c r="S65" s="208">
        <v>97</v>
      </c>
      <c r="T65" s="217">
        <f t="shared" si="1"/>
        <v>36</v>
      </c>
      <c r="U65" s="208">
        <v>321</v>
      </c>
      <c r="V65" s="217">
        <f t="shared" si="2"/>
        <v>2889</v>
      </c>
      <c r="W65" s="208">
        <v>2</v>
      </c>
      <c r="X65" s="208" t="s">
        <v>46</v>
      </c>
      <c r="Y65" s="208" t="s">
        <v>55</v>
      </c>
      <c r="Z65" s="208" t="s">
        <v>64</v>
      </c>
      <c r="AA65" s="208" t="s">
        <v>88</v>
      </c>
      <c r="AB65" s="208" t="s">
        <v>346</v>
      </c>
    </row>
    <row r="66" spans="1:28" x14ac:dyDescent="0.15">
      <c r="A66" s="208" t="s">
        <v>34</v>
      </c>
      <c r="B66" s="208" t="s">
        <v>344</v>
      </c>
      <c r="C66" s="208">
        <v>2018</v>
      </c>
      <c r="D66" s="262" t="s">
        <v>526</v>
      </c>
      <c r="E66" s="208" t="s">
        <v>330</v>
      </c>
      <c r="F66" s="208" t="s">
        <v>331</v>
      </c>
      <c r="G66" s="208" t="s">
        <v>36</v>
      </c>
      <c r="H66" s="208" t="s">
        <v>157</v>
      </c>
      <c r="I66" s="208" t="s">
        <v>155</v>
      </c>
      <c r="J66" s="208" t="s">
        <v>38</v>
      </c>
      <c r="K66" s="208" t="s">
        <v>156</v>
      </c>
      <c r="L66" s="208">
        <v>2</v>
      </c>
      <c r="N66" s="208">
        <v>4</v>
      </c>
      <c r="O66" s="208">
        <v>0.55000000000000004</v>
      </c>
      <c r="P66" s="208">
        <v>0.95</v>
      </c>
      <c r="Q66" s="245">
        <f t="shared" si="0"/>
        <v>0.75</v>
      </c>
      <c r="R66" s="208">
        <v>13.6</v>
      </c>
      <c r="S66" s="208">
        <v>99</v>
      </c>
      <c r="T66" s="217">
        <f t="shared" si="1"/>
        <v>33</v>
      </c>
      <c r="U66" s="208">
        <v>321</v>
      </c>
      <c r="V66" s="217">
        <f t="shared" si="2"/>
        <v>2648.25</v>
      </c>
      <c r="W66" s="208">
        <v>2</v>
      </c>
      <c r="X66" s="208" t="s">
        <v>46</v>
      </c>
      <c r="Y66" s="208" t="s">
        <v>55</v>
      </c>
      <c r="Z66" s="208" t="s">
        <v>64</v>
      </c>
      <c r="AA66" s="208" t="s">
        <v>88</v>
      </c>
      <c r="AB66" s="208" t="s">
        <v>346</v>
      </c>
    </row>
    <row r="67" spans="1:28" x14ac:dyDescent="0.15">
      <c r="A67" s="208" t="s">
        <v>34</v>
      </c>
      <c r="B67" s="208" t="s">
        <v>344</v>
      </c>
      <c r="C67" s="208">
        <v>2018</v>
      </c>
      <c r="D67" s="262" t="s">
        <v>526</v>
      </c>
      <c r="E67" s="208" t="s">
        <v>330</v>
      </c>
      <c r="F67" s="208" t="s">
        <v>331</v>
      </c>
      <c r="G67" s="208" t="s">
        <v>36</v>
      </c>
      <c r="H67" s="208" t="s">
        <v>157</v>
      </c>
      <c r="I67" s="208" t="s">
        <v>155</v>
      </c>
      <c r="J67" s="208" t="s">
        <v>38</v>
      </c>
      <c r="K67" s="208" t="s">
        <v>156</v>
      </c>
      <c r="L67" s="208">
        <v>3</v>
      </c>
      <c r="N67" s="208">
        <v>4</v>
      </c>
      <c r="O67" s="208">
        <v>0.55000000000000004</v>
      </c>
      <c r="P67" s="208">
        <v>0.65</v>
      </c>
      <c r="Q67" s="245">
        <f t="shared" si="0"/>
        <v>0.60000000000000009</v>
      </c>
      <c r="R67" s="208">
        <v>13.9</v>
      </c>
      <c r="S67" s="208">
        <v>107</v>
      </c>
      <c r="T67" s="217">
        <f t="shared" si="1"/>
        <v>33</v>
      </c>
      <c r="U67" s="208">
        <v>321</v>
      </c>
      <c r="V67" s="217">
        <f t="shared" si="2"/>
        <v>2648.25</v>
      </c>
      <c r="W67" s="208">
        <v>2</v>
      </c>
      <c r="X67" s="208" t="s">
        <v>46</v>
      </c>
      <c r="Y67" s="208" t="s">
        <v>55</v>
      </c>
      <c r="Z67" s="208" t="s">
        <v>64</v>
      </c>
      <c r="AA67" s="208" t="s">
        <v>88</v>
      </c>
      <c r="AB67" s="208" t="s">
        <v>346</v>
      </c>
    </row>
    <row r="68" spans="1:28" x14ac:dyDescent="0.15">
      <c r="A68" s="208" t="s">
        <v>34</v>
      </c>
      <c r="B68" s="208" t="s">
        <v>344</v>
      </c>
      <c r="C68" s="208">
        <v>2018</v>
      </c>
      <c r="D68" s="262" t="s">
        <v>526</v>
      </c>
      <c r="E68" s="208" t="s">
        <v>330</v>
      </c>
      <c r="F68" s="208" t="s">
        <v>331</v>
      </c>
      <c r="G68" s="208" t="s">
        <v>36</v>
      </c>
      <c r="H68" s="208" t="s">
        <v>165</v>
      </c>
      <c r="I68" s="208" t="s">
        <v>155</v>
      </c>
      <c r="J68" s="208" t="s">
        <v>38</v>
      </c>
      <c r="K68" s="208" t="s">
        <v>156</v>
      </c>
      <c r="L68" s="208">
        <v>1</v>
      </c>
      <c r="N68" s="208">
        <v>1</v>
      </c>
      <c r="O68" s="208">
        <v>0.2</v>
      </c>
      <c r="P68" s="208">
        <v>0.2</v>
      </c>
      <c r="Q68" s="245">
        <f t="shared" si="0"/>
        <v>0.2</v>
      </c>
      <c r="R68" s="208">
        <v>17.100000000000001</v>
      </c>
      <c r="S68" s="208">
        <v>180</v>
      </c>
      <c r="T68" s="217">
        <f t="shared" si="1"/>
        <v>18</v>
      </c>
      <c r="U68" s="208">
        <v>108</v>
      </c>
      <c r="V68" s="217">
        <f t="shared" si="2"/>
        <v>1944</v>
      </c>
      <c r="W68" s="208">
        <v>11</v>
      </c>
      <c r="X68" s="208" t="s">
        <v>46</v>
      </c>
      <c r="Y68" s="208" t="s">
        <v>55</v>
      </c>
      <c r="Z68" s="208" t="s">
        <v>64</v>
      </c>
      <c r="AA68" s="208" t="s">
        <v>88</v>
      </c>
      <c r="AB68" s="208" t="s">
        <v>346</v>
      </c>
    </row>
    <row r="69" spans="1:28" x14ac:dyDescent="0.15">
      <c r="A69" s="208" t="s">
        <v>34</v>
      </c>
      <c r="B69" s="208" t="s">
        <v>344</v>
      </c>
      <c r="C69" s="208">
        <v>2018</v>
      </c>
      <c r="D69" s="262" t="s">
        <v>526</v>
      </c>
      <c r="E69" s="208" t="s">
        <v>330</v>
      </c>
      <c r="F69" s="208" t="s">
        <v>331</v>
      </c>
      <c r="G69" s="208" t="s">
        <v>36</v>
      </c>
      <c r="H69" s="208" t="s">
        <v>165</v>
      </c>
      <c r="I69" s="208" t="s">
        <v>155</v>
      </c>
      <c r="J69" s="208" t="s">
        <v>38</v>
      </c>
      <c r="K69" s="208" t="s">
        <v>156</v>
      </c>
      <c r="L69" s="208">
        <v>2</v>
      </c>
      <c r="N69" s="208">
        <v>1</v>
      </c>
      <c r="O69" s="208">
        <v>0.2</v>
      </c>
      <c r="P69" s="208">
        <v>0.2</v>
      </c>
      <c r="Q69" s="245">
        <f t="shared" si="0"/>
        <v>0.2</v>
      </c>
      <c r="R69" s="208">
        <v>14.8</v>
      </c>
      <c r="S69" s="208">
        <v>186</v>
      </c>
      <c r="T69" s="217">
        <f t="shared" si="1"/>
        <v>16</v>
      </c>
      <c r="U69" s="208">
        <v>108</v>
      </c>
      <c r="V69" s="217">
        <f t="shared" si="2"/>
        <v>1728</v>
      </c>
      <c r="W69" s="208">
        <v>11</v>
      </c>
      <c r="X69" s="208" t="s">
        <v>46</v>
      </c>
      <c r="Y69" s="208" t="s">
        <v>55</v>
      </c>
      <c r="Z69" s="208" t="s">
        <v>64</v>
      </c>
      <c r="AA69" s="208" t="s">
        <v>88</v>
      </c>
      <c r="AB69" s="208" t="s">
        <v>346</v>
      </c>
    </row>
    <row r="70" spans="1:28" x14ac:dyDescent="0.15">
      <c r="A70" s="208" t="s">
        <v>34</v>
      </c>
      <c r="B70" s="208" t="s">
        <v>344</v>
      </c>
      <c r="C70" s="208">
        <v>2018</v>
      </c>
      <c r="D70" s="262" t="s">
        <v>526</v>
      </c>
      <c r="E70" s="208" t="s">
        <v>330</v>
      </c>
      <c r="F70" s="208" t="s">
        <v>331</v>
      </c>
      <c r="G70" s="208" t="s">
        <v>36</v>
      </c>
      <c r="H70" s="208" t="s">
        <v>165</v>
      </c>
      <c r="I70" s="208" t="s">
        <v>155</v>
      </c>
      <c r="J70" s="208" t="s">
        <v>38</v>
      </c>
      <c r="K70" s="208" t="s">
        <v>156</v>
      </c>
      <c r="L70" s="208">
        <v>3</v>
      </c>
      <c r="N70" s="208">
        <v>1</v>
      </c>
      <c r="O70" s="208">
        <v>0.2</v>
      </c>
      <c r="P70" s="208">
        <v>0.2</v>
      </c>
      <c r="Q70" s="245">
        <f t="shared" si="0"/>
        <v>0.2</v>
      </c>
      <c r="R70" s="208">
        <v>15.5</v>
      </c>
      <c r="S70" s="208">
        <v>156</v>
      </c>
      <c r="T70" s="217">
        <f t="shared" si="1"/>
        <v>18</v>
      </c>
      <c r="U70" s="208">
        <v>108</v>
      </c>
      <c r="V70" s="217">
        <f t="shared" si="2"/>
        <v>1944</v>
      </c>
      <c r="W70" s="208">
        <v>11</v>
      </c>
      <c r="X70" s="208" t="s">
        <v>46</v>
      </c>
      <c r="Y70" s="208" t="s">
        <v>55</v>
      </c>
      <c r="Z70" s="208" t="s">
        <v>64</v>
      </c>
      <c r="AA70" s="208" t="s">
        <v>88</v>
      </c>
      <c r="AB70" s="208" t="s">
        <v>346</v>
      </c>
    </row>
    <row r="71" spans="1:28" x14ac:dyDescent="0.15">
      <c r="A71" s="208" t="s">
        <v>34</v>
      </c>
      <c r="B71" s="208" t="s">
        <v>344</v>
      </c>
      <c r="C71" s="208">
        <v>2018</v>
      </c>
      <c r="D71" s="262" t="s">
        <v>526</v>
      </c>
      <c r="E71" s="208" t="s">
        <v>330</v>
      </c>
      <c r="F71" s="208" t="s">
        <v>331</v>
      </c>
      <c r="G71" s="208" t="s">
        <v>36</v>
      </c>
      <c r="H71" s="208" t="s">
        <v>165</v>
      </c>
      <c r="I71" s="208" t="s">
        <v>155</v>
      </c>
      <c r="J71" s="208" t="s">
        <v>38</v>
      </c>
      <c r="K71" s="208" t="s">
        <v>156</v>
      </c>
      <c r="L71" s="208">
        <v>1</v>
      </c>
      <c r="N71" s="208">
        <v>4</v>
      </c>
      <c r="O71" s="208">
        <v>0.55000000000000004</v>
      </c>
      <c r="P71" s="208">
        <v>0.55000000000000004</v>
      </c>
      <c r="Q71" s="245">
        <f t="shared" si="0"/>
        <v>0.55000000000000004</v>
      </c>
      <c r="R71" s="208">
        <v>15.5</v>
      </c>
      <c r="S71" s="208">
        <v>113</v>
      </c>
      <c r="T71" s="217">
        <f t="shared" si="1"/>
        <v>30</v>
      </c>
      <c r="U71" s="208">
        <v>429</v>
      </c>
      <c r="V71" s="217">
        <f t="shared" si="2"/>
        <v>3217.5</v>
      </c>
      <c r="W71" s="208">
        <v>11</v>
      </c>
      <c r="X71" s="208" t="s">
        <v>46</v>
      </c>
      <c r="Y71" s="208" t="s">
        <v>55</v>
      </c>
      <c r="Z71" s="208" t="s">
        <v>64</v>
      </c>
      <c r="AA71" s="208" t="s">
        <v>88</v>
      </c>
      <c r="AB71" s="208" t="s">
        <v>346</v>
      </c>
    </row>
    <row r="72" spans="1:28" x14ac:dyDescent="0.15">
      <c r="A72" s="208" t="s">
        <v>34</v>
      </c>
      <c r="B72" s="208" t="s">
        <v>344</v>
      </c>
      <c r="C72" s="208">
        <v>2018</v>
      </c>
      <c r="D72" s="262" t="s">
        <v>526</v>
      </c>
      <c r="E72" s="208" t="s">
        <v>330</v>
      </c>
      <c r="F72" s="208" t="s">
        <v>331</v>
      </c>
      <c r="G72" s="208" t="s">
        <v>36</v>
      </c>
      <c r="H72" s="208" t="s">
        <v>165</v>
      </c>
      <c r="I72" s="208" t="s">
        <v>155</v>
      </c>
      <c r="J72" s="208" t="s">
        <v>38</v>
      </c>
      <c r="K72" s="208" t="s">
        <v>156</v>
      </c>
      <c r="L72" s="208">
        <v>2</v>
      </c>
      <c r="N72" s="208">
        <v>4</v>
      </c>
      <c r="O72" s="208">
        <v>0.5</v>
      </c>
      <c r="P72" s="208">
        <v>0.5</v>
      </c>
      <c r="Q72" s="245">
        <f t="shared" si="0"/>
        <v>0.5</v>
      </c>
      <c r="R72" s="208">
        <v>14.6</v>
      </c>
      <c r="S72" s="208">
        <v>110</v>
      </c>
      <c r="T72" s="217">
        <f t="shared" si="1"/>
        <v>33</v>
      </c>
      <c r="U72" s="208">
        <v>429</v>
      </c>
      <c r="V72" s="217">
        <f t="shared" si="2"/>
        <v>3539.25</v>
      </c>
      <c r="W72" s="208">
        <v>11</v>
      </c>
      <c r="X72" s="208" t="s">
        <v>46</v>
      </c>
      <c r="Y72" s="208" t="s">
        <v>55</v>
      </c>
      <c r="Z72" s="208" t="s">
        <v>64</v>
      </c>
      <c r="AA72" s="208" t="s">
        <v>88</v>
      </c>
      <c r="AB72" s="208" t="s">
        <v>346</v>
      </c>
    </row>
    <row r="73" spans="1:28" x14ac:dyDescent="0.15">
      <c r="A73" s="208" t="s">
        <v>34</v>
      </c>
      <c r="B73" s="208" t="s">
        <v>344</v>
      </c>
      <c r="C73" s="208">
        <v>2018</v>
      </c>
      <c r="D73" s="262" t="s">
        <v>526</v>
      </c>
      <c r="E73" s="208" t="s">
        <v>330</v>
      </c>
      <c r="F73" s="208" t="s">
        <v>331</v>
      </c>
      <c r="G73" s="208" t="s">
        <v>36</v>
      </c>
      <c r="H73" s="208" t="s">
        <v>165</v>
      </c>
      <c r="I73" s="208" t="s">
        <v>155</v>
      </c>
      <c r="J73" s="208" t="s">
        <v>38</v>
      </c>
      <c r="K73" s="208" t="s">
        <v>156</v>
      </c>
      <c r="L73" s="208">
        <v>3</v>
      </c>
      <c r="N73" s="208">
        <v>4</v>
      </c>
      <c r="O73" s="208">
        <v>0.5</v>
      </c>
      <c r="P73" s="208">
        <v>0.65</v>
      </c>
      <c r="Q73" s="245">
        <f t="shared" si="0"/>
        <v>0.57499999999999996</v>
      </c>
      <c r="R73" s="208">
        <v>14.6</v>
      </c>
      <c r="S73" s="208">
        <v>112</v>
      </c>
      <c r="T73" s="217">
        <f t="shared" si="1"/>
        <v>33</v>
      </c>
      <c r="U73" s="208">
        <v>429</v>
      </c>
      <c r="V73" s="217">
        <f t="shared" si="2"/>
        <v>3539.25</v>
      </c>
      <c r="W73" s="208">
        <v>11</v>
      </c>
      <c r="X73" s="208" t="s">
        <v>46</v>
      </c>
      <c r="Y73" s="208" t="s">
        <v>55</v>
      </c>
      <c r="Z73" s="208" t="s">
        <v>64</v>
      </c>
      <c r="AA73" s="208" t="s">
        <v>88</v>
      </c>
      <c r="AB73" s="208" t="s">
        <v>346</v>
      </c>
    </row>
    <row r="74" spans="1:28" x14ac:dyDescent="0.15">
      <c r="A74" s="208" t="s">
        <v>34</v>
      </c>
      <c r="B74" s="208" t="s">
        <v>344</v>
      </c>
      <c r="C74" s="208">
        <v>2018</v>
      </c>
      <c r="D74" s="262" t="s">
        <v>526</v>
      </c>
      <c r="E74" s="208" t="s">
        <v>330</v>
      </c>
      <c r="F74" s="208" t="s">
        <v>331</v>
      </c>
      <c r="G74" s="208" t="s">
        <v>36</v>
      </c>
      <c r="H74" s="208" t="s">
        <v>165</v>
      </c>
      <c r="I74" s="208" t="s">
        <v>155</v>
      </c>
      <c r="J74" s="208" t="s">
        <v>38</v>
      </c>
      <c r="K74" s="208" t="s">
        <v>156</v>
      </c>
      <c r="L74" s="208">
        <v>1</v>
      </c>
      <c r="N74" s="208">
        <v>2</v>
      </c>
      <c r="O74" s="208">
        <v>0.2</v>
      </c>
      <c r="P74" s="208">
        <v>0.2</v>
      </c>
      <c r="Q74" s="245">
        <f t="shared" si="0"/>
        <v>0.2</v>
      </c>
      <c r="R74" s="208">
        <v>17.600000000000001</v>
      </c>
      <c r="S74" s="208">
        <v>170</v>
      </c>
      <c r="T74" s="217">
        <f t="shared" si="1"/>
        <v>18</v>
      </c>
      <c r="U74" s="208">
        <v>429</v>
      </c>
      <c r="V74" s="217">
        <f t="shared" si="2"/>
        <v>3861</v>
      </c>
      <c r="W74" s="208">
        <v>11</v>
      </c>
      <c r="X74" s="208" t="s">
        <v>46</v>
      </c>
      <c r="Y74" s="208" t="s">
        <v>55</v>
      </c>
      <c r="Z74" s="208" t="s">
        <v>64</v>
      </c>
      <c r="AA74" s="208" t="s">
        <v>88</v>
      </c>
      <c r="AB74" s="208" t="s">
        <v>346</v>
      </c>
    </row>
    <row r="75" spans="1:28" x14ac:dyDescent="0.15">
      <c r="A75" s="208" t="s">
        <v>34</v>
      </c>
      <c r="B75" s="208" t="s">
        <v>344</v>
      </c>
      <c r="C75" s="208">
        <v>2018</v>
      </c>
      <c r="D75" s="262" t="s">
        <v>526</v>
      </c>
      <c r="E75" s="208" t="s">
        <v>330</v>
      </c>
      <c r="F75" s="208" t="s">
        <v>331</v>
      </c>
      <c r="G75" s="208" t="s">
        <v>36</v>
      </c>
      <c r="H75" s="208" t="s">
        <v>165</v>
      </c>
      <c r="I75" s="208" t="s">
        <v>155</v>
      </c>
      <c r="J75" s="208" t="s">
        <v>38</v>
      </c>
      <c r="K75" s="208" t="s">
        <v>156</v>
      </c>
      <c r="L75" s="208">
        <v>2</v>
      </c>
      <c r="N75" s="208">
        <v>2</v>
      </c>
      <c r="O75" s="208">
        <v>0.2</v>
      </c>
      <c r="P75" s="208">
        <v>0.2</v>
      </c>
      <c r="Q75" s="245">
        <f t="shared" si="0"/>
        <v>0.2</v>
      </c>
      <c r="R75" s="208">
        <v>16.899999999999999</v>
      </c>
      <c r="S75" s="208">
        <v>178</v>
      </c>
      <c r="T75" s="217">
        <f t="shared" si="1"/>
        <v>18</v>
      </c>
      <c r="U75" s="208">
        <v>429</v>
      </c>
      <c r="V75" s="217">
        <f t="shared" si="2"/>
        <v>3861</v>
      </c>
      <c r="W75" s="208">
        <v>11</v>
      </c>
      <c r="X75" s="208" t="s">
        <v>46</v>
      </c>
      <c r="Y75" s="208" t="s">
        <v>55</v>
      </c>
      <c r="Z75" s="208" t="s">
        <v>64</v>
      </c>
      <c r="AA75" s="208" t="s">
        <v>88</v>
      </c>
      <c r="AB75" s="208" t="s">
        <v>346</v>
      </c>
    </row>
    <row r="76" spans="1:28" x14ac:dyDescent="0.15">
      <c r="A76" s="208" t="s">
        <v>34</v>
      </c>
      <c r="B76" s="208" t="s">
        <v>344</v>
      </c>
      <c r="C76" s="208">
        <v>2018</v>
      </c>
      <c r="D76" s="262" t="s">
        <v>526</v>
      </c>
      <c r="E76" s="208" t="s">
        <v>330</v>
      </c>
      <c r="F76" s="208" t="s">
        <v>331</v>
      </c>
      <c r="G76" s="208" t="s">
        <v>36</v>
      </c>
      <c r="H76" s="208" t="s">
        <v>165</v>
      </c>
      <c r="I76" s="208" t="s">
        <v>155</v>
      </c>
      <c r="J76" s="208" t="s">
        <v>38</v>
      </c>
      <c r="K76" s="208" t="s">
        <v>156</v>
      </c>
      <c r="L76" s="208">
        <v>3</v>
      </c>
      <c r="N76" s="208">
        <v>2</v>
      </c>
      <c r="O76" s="208">
        <v>0.2</v>
      </c>
      <c r="P76" s="208">
        <v>0.2</v>
      </c>
      <c r="Q76" s="245">
        <f t="shared" si="0"/>
        <v>0.2</v>
      </c>
      <c r="R76" s="208">
        <v>17.600000000000001</v>
      </c>
      <c r="S76" s="208">
        <v>181</v>
      </c>
      <c r="T76" s="217">
        <f t="shared" si="1"/>
        <v>16</v>
      </c>
      <c r="U76" s="208">
        <v>429</v>
      </c>
      <c r="V76" s="217">
        <f t="shared" si="2"/>
        <v>3432</v>
      </c>
      <c r="W76" s="208">
        <v>11</v>
      </c>
      <c r="X76" s="208" t="s">
        <v>46</v>
      </c>
      <c r="Y76" s="208" t="s">
        <v>55</v>
      </c>
      <c r="Z76" s="208" t="s">
        <v>64</v>
      </c>
      <c r="AA76" s="208" t="s">
        <v>88</v>
      </c>
      <c r="AB76" s="208" t="s">
        <v>346</v>
      </c>
    </row>
    <row r="77" spans="1:28" x14ac:dyDescent="0.15">
      <c r="A77" s="208" t="s">
        <v>34</v>
      </c>
      <c r="B77" s="208" t="s">
        <v>344</v>
      </c>
      <c r="C77" s="208">
        <v>2018</v>
      </c>
      <c r="D77" s="262" t="s">
        <v>526</v>
      </c>
      <c r="E77" s="208" t="s">
        <v>332</v>
      </c>
      <c r="F77" s="208" t="s">
        <v>333</v>
      </c>
      <c r="G77" s="208" t="s">
        <v>36</v>
      </c>
      <c r="H77" s="208" t="s">
        <v>217</v>
      </c>
      <c r="I77" s="208" t="s">
        <v>155</v>
      </c>
      <c r="J77" s="208" t="s">
        <v>38</v>
      </c>
      <c r="K77" s="208" t="s">
        <v>156</v>
      </c>
      <c r="L77" s="208">
        <v>1</v>
      </c>
      <c r="N77" s="208">
        <v>1</v>
      </c>
      <c r="O77" s="208">
        <v>0.2</v>
      </c>
      <c r="P77" s="208">
        <v>0.2</v>
      </c>
      <c r="Q77" s="245">
        <f t="shared" si="0"/>
        <v>0.2</v>
      </c>
      <c r="R77" s="208">
        <v>14.5</v>
      </c>
      <c r="S77" s="208">
        <v>106</v>
      </c>
      <c r="T77" s="217">
        <f t="shared" si="1"/>
        <v>33</v>
      </c>
      <c r="U77" s="208">
        <v>127</v>
      </c>
      <c r="V77" s="217">
        <f t="shared" si="2"/>
        <v>4191</v>
      </c>
      <c r="W77" s="208">
        <v>2</v>
      </c>
      <c r="X77" s="208" t="s">
        <v>46</v>
      </c>
      <c r="Y77" s="208" t="s">
        <v>69</v>
      </c>
      <c r="Z77" s="208" t="s">
        <v>55</v>
      </c>
      <c r="AA77" s="208" t="s">
        <v>97</v>
      </c>
      <c r="AB77" s="208" t="s">
        <v>346</v>
      </c>
    </row>
    <row r="78" spans="1:28" x14ac:dyDescent="0.15">
      <c r="A78" s="208" t="s">
        <v>34</v>
      </c>
      <c r="B78" s="208" t="s">
        <v>344</v>
      </c>
      <c r="C78" s="208">
        <v>2018</v>
      </c>
      <c r="D78" s="262" t="s">
        <v>526</v>
      </c>
      <c r="E78" s="208" t="s">
        <v>332</v>
      </c>
      <c r="F78" s="208" t="s">
        <v>333</v>
      </c>
      <c r="G78" s="208" t="s">
        <v>36</v>
      </c>
      <c r="H78" s="208" t="s">
        <v>217</v>
      </c>
      <c r="I78" s="208" t="s">
        <v>155</v>
      </c>
      <c r="J78" s="208" t="s">
        <v>38</v>
      </c>
      <c r="K78" s="208" t="s">
        <v>156</v>
      </c>
      <c r="L78" s="208">
        <v>2</v>
      </c>
      <c r="N78" s="208">
        <v>1</v>
      </c>
      <c r="O78" s="208">
        <v>0.2</v>
      </c>
      <c r="P78" s="208">
        <v>0.2</v>
      </c>
      <c r="Q78" s="245">
        <f t="shared" si="0"/>
        <v>0.2</v>
      </c>
      <c r="R78" s="208">
        <v>11.7</v>
      </c>
      <c r="S78" s="208">
        <v>107</v>
      </c>
      <c r="T78" s="217">
        <f t="shared" si="1"/>
        <v>33</v>
      </c>
      <c r="U78" s="208">
        <v>127</v>
      </c>
      <c r="V78" s="217">
        <f t="shared" si="2"/>
        <v>4191</v>
      </c>
      <c r="W78" s="208">
        <v>2</v>
      </c>
      <c r="X78" s="208" t="s">
        <v>46</v>
      </c>
      <c r="Y78" s="208" t="s">
        <v>69</v>
      </c>
      <c r="Z78" s="208" t="s">
        <v>55</v>
      </c>
      <c r="AA78" s="208" t="s">
        <v>97</v>
      </c>
      <c r="AB78" s="208" t="s">
        <v>346</v>
      </c>
    </row>
    <row r="79" spans="1:28" x14ac:dyDescent="0.15">
      <c r="A79" s="208" t="s">
        <v>34</v>
      </c>
      <c r="B79" s="208" t="s">
        <v>344</v>
      </c>
      <c r="C79" s="208">
        <v>2018</v>
      </c>
      <c r="D79" s="262" t="s">
        <v>526</v>
      </c>
      <c r="E79" s="208" t="s">
        <v>332</v>
      </c>
      <c r="F79" s="208" t="s">
        <v>333</v>
      </c>
      <c r="G79" s="208" t="s">
        <v>36</v>
      </c>
      <c r="H79" s="208" t="s">
        <v>217</v>
      </c>
      <c r="I79" s="208" t="s">
        <v>155</v>
      </c>
      <c r="J79" s="208" t="s">
        <v>38</v>
      </c>
      <c r="K79" s="208" t="s">
        <v>156</v>
      </c>
      <c r="L79" s="208">
        <v>3</v>
      </c>
      <c r="N79" s="208">
        <v>1</v>
      </c>
      <c r="O79" s="208">
        <v>0.45</v>
      </c>
      <c r="P79" s="208">
        <v>0.2</v>
      </c>
      <c r="Q79" s="245">
        <f t="shared" si="0"/>
        <v>0.32500000000000001</v>
      </c>
      <c r="R79" s="208">
        <v>11.1</v>
      </c>
      <c r="S79" s="208">
        <v>86</v>
      </c>
      <c r="T79" s="217">
        <f t="shared" si="1"/>
        <v>36</v>
      </c>
      <c r="U79" s="208">
        <v>127</v>
      </c>
      <c r="V79" s="217">
        <f t="shared" si="2"/>
        <v>4572</v>
      </c>
      <c r="W79" s="208">
        <v>2</v>
      </c>
      <c r="X79" s="208" t="s">
        <v>46</v>
      </c>
      <c r="Y79" s="208" t="s">
        <v>69</v>
      </c>
      <c r="Z79" s="208" t="s">
        <v>55</v>
      </c>
      <c r="AA79" s="208" t="s">
        <v>97</v>
      </c>
      <c r="AB79" s="208" t="s">
        <v>346</v>
      </c>
    </row>
    <row r="80" spans="1:28" x14ac:dyDescent="0.15">
      <c r="A80" s="208" t="s">
        <v>34</v>
      </c>
      <c r="B80" s="208" t="s">
        <v>344</v>
      </c>
      <c r="C80" s="208">
        <v>2018</v>
      </c>
      <c r="D80" s="262" t="s">
        <v>526</v>
      </c>
      <c r="E80" s="208" t="s">
        <v>332</v>
      </c>
      <c r="F80" s="208" t="s">
        <v>333</v>
      </c>
      <c r="G80" s="208" t="s">
        <v>36</v>
      </c>
      <c r="H80" s="208" t="s">
        <v>217</v>
      </c>
      <c r="I80" s="208" t="s">
        <v>155</v>
      </c>
      <c r="J80" s="208" t="s">
        <v>38</v>
      </c>
      <c r="K80" s="208" t="s">
        <v>156</v>
      </c>
      <c r="L80" s="208">
        <v>1</v>
      </c>
      <c r="N80" s="208">
        <v>4</v>
      </c>
      <c r="O80" s="208">
        <v>0.2</v>
      </c>
      <c r="P80" s="208">
        <v>0.2</v>
      </c>
      <c r="Q80" s="245">
        <f t="shared" si="0"/>
        <v>0.2</v>
      </c>
      <c r="R80" s="208">
        <v>14.3</v>
      </c>
      <c r="S80" s="208">
        <v>83</v>
      </c>
      <c r="T80" s="217">
        <f t="shared" si="1"/>
        <v>39</v>
      </c>
      <c r="U80" s="208">
        <v>321</v>
      </c>
      <c r="V80" s="217">
        <f t="shared" si="2"/>
        <v>3129.75</v>
      </c>
      <c r="W80" s="208">
        <v>2</v>
      </c>
      <c r="X80" s="208" t="s">
        <v>46</v>
      </c>
      <c r="Y80" s="208" t="s">
        <v>69</v>
      </c>
      <c r="Z80" s="208" t="s">
        <v>55</v>
      </c>
      <c r="AA80" s="208" t="s">
        <v>97</v>
      </c>
      <c r="AB80" s="208" t="s">
        <v>346</v>
      </c>
    </row>
    <row r="81" spans="1:28" x14ac:dyDescent="0.15">
      <c r="A81" s="208" t="s">
        <v>34</v>
      </c>
      <c r="B81" s="208" t="s">
        <v>344</v>
      </c>
      <c r="C81" s="208">
        <v>2018</v>
      </c>
      <c r="D81" s="262" t="s">
        <v>526</v>
      </c>
      <c r="E81" s="208" t="s">
        <v>332</v>
      </c>
      <c r="F81" s="208" t="s">
        <v>333</v>
      </c>
      <c r="G81" s="208" t="s">
        <v>36</v>
      </c>
      <c r="H81" s="208" t="s">
        <v>217</v>
      </c>
      <c r="I81" s="208" t="s">
        <v>155</v>
      </c>
      <c r="J81" s="208" t="s">
        <v>38</v>
      </c>
      <c r="K81" s="208" t="s">
        <v>156</v>
      </c>
      <c r="L81" s="208">
        <v>2</v>
      </c>
      <c r="N81" s="208">
        <v>4</v>
      </c>
      <c r="O81" s="208">
        <v>0.2</v>
      </c>
      <c r="P81" s="208">
        <v>0.2</v>
      </c>
      <c r="Q81" s="245">
        <f t="shared" si="0"/>
        <v>0.2</v>
      </c>
      <c r="R81" s="208">
        <v>14.2</v>
      </c>
      <c r="S81" s="208">
        <v>91</v>
      </c>
      <c r="T81" s="217">
        <f t="shared" si="1"/>
        <v>36</v>
      </c>
      <c r="U81" s="208">
        <v>321</v>
      </c>
      <c r="V81" s="217">
        <f t="shared" si="2"/>
        <v>2889</v>
      </c>
      <c r="W81" s="208">
        <v>2</v>
      </c>
      <c r="X81" s="208" t="s">
        <v>46</v>
      </c>
      <c r="Y81" s="208" t="s">
        <v>69</v>
      </c>
      <c r="Z81" s="208" t="s">
        <v>55</v>
      </c>
      <c r="AA81" s="208" t="s">
        <v>97</v>
      </c>
      <c r="AB81" s="208" t="s">
        <v>346</v>
      </c>
    </row>
    <row r="82" spans="1:28" x14ac:dyDescent="0.15">
      <c r="A82" s="208" t="s">
        <v>34</v>
      </c>
      <c r="B82" s="208" t="s">
        <v>344</v>
      </c>
      <c r="C82" s="208">
        <v>2018</v>
      </c>
      <c r="D82" s="262" t="s">
        <v>526</v>
      </c>
      <c r="E82" s="208" t="s">
        <v>332</v>
      </c>
      <c r="F82" s="208" t="s">
        <v>333</v>
      </c>
      <c r="G82" s="208" t="s">
        <v>36</v>
      </c>
      <c r="H82" s="208" t="s">
        <v>217</v>
      </c>
      <c r="I82" s="208" t="s">
        <v>155</v>
      </c>
      <c r="J82" s="208" t="s">
        <v>38</v>
      </c>
      <c r="K82" s="208" t="s">
        <v>156</v>
      </c>
      <c r="L82" s="208">
        <v>3</v>
      </c>
      <c r="N82" s="208">
        <v>4</v>
      </c>
      <c r="O82" s="208">
        <v>0.2</v>
      </c>
      <c r="P82" s="208">
        <v>0.2</v>
      </c>
      <c r="Q82" s="245">
        <f t="shared" si="0"/>
        <v>0.2</v>
      </c>
      <c r="R82" s="208">
        <v>13.8</v>
      </c>
      <c r="S82" s="208">
        <v>86</v>
      </c>
      <c r="T82" s="217">
        <f t="shared" si="1"/>
        <v>36</v>
      </c>
      <c r="U82" s="208">
        <v>321</v>
      </c>
      <c r="V82" s="217">
        <f t="shared" si="2"/>
        <v>2889</v>
      </c>
      <c r="W82" s="208">
        <v>2</v>
      </c>
      <c r="X82" s="208" t="s">
        <v>46</v>
      </c>
      <c r="Y82" s="208" t="s">
        <v>69</v>
      </c>
      <c r="Z82" s="208" t="s">
        <v>55</v>
      </c>
      <c r="AA82" s="208" t="s">
        <v>97</v>
      </c>
      <c r="AB82" s="208" t="s">
        <v>346</v>
      </c>
    </row>
    <row r="83" spans="1:28" x14ac:dyDescent="0.15">
      <c r="A83" s="208" t="s">
        <v>34</v>
      </c>
      <c r="B83" s="208" t="s">
        <v>344</v>
      </c>
      <c r="C83" s="208">
        <v>2018</v>
      </c>
      <c r="D83" s="262" t="s">
        <v>526</v>
      </c>
      <c r="E83" s="208" t="s">
        <v>332</v>
      </c>
      <c r="F83" s="208" t="s">
        <v>333</v>
      </c>
      <c r="G83" s="208" t="s">
        <v>36</v>
      </c>
      <c r="H83" s="208" t="s">
        <v>165</v>
      </c>
      <c r="I83" s="208" t="s">
        <v>155</v>
      </c>
      <c r="J83" s="208" t="s">
        <v>38</v>
      </c>
      <c r="K83" s="208" t="s">
        <v>156</v>
      </c>
      <c r="L83" s="208">
        <v>1</v>
      </c>
      <c r="N83" s="208">
        <v>1</v>
      </c>
      <c r="O83" s="208">
        <v>0.5</v>
      </c>
      <c r="P83" s="208">
        <v>0.55000000000000004</v>
      </c>
      <c r="Q83" s="245">
        <f t="shared" ref="Q83:Q132" si="5">IF(OR(O83="",P83=""),"",AVERAGE(O83,P83))</f>
        <v>0.52500000000000002</v>
      </c>
      <c r="R83" s="208">
        <v>17.399999999999999</v>
      </c>
      <c r="S83" s="208">
        <v>136</v>
      </c>
      <c r="T83" s="217">
        <f t="shared" ref="T83:T139" si="6">IF(H83="","",IF(OR(H83="GREEN",H83="GK"),IF(S83&gt;=$AX$2,VLOOKUP(S83,$AX$2:$AY$9,2,1),""),IF(S83&gt;=$AZ$2,VLOOKUP(S83,$AZ$2:$BA$9,2,1),"")))</f>
        <v>30</v>
      </c>
      <c r="U83" s="208">
        <v>138</v>
      </c>
      <c r="V83" s="217">
        <f t="shared" ref="V83:V136" si="7">IF(OR(N83="",U83="",T83=""),"",U83/N83*T83)</f>
        <v>4140</v>
      </c>
      <c r="W83" s="208">
        <v>3</v>
      </c>
      <c r="X83" s="208" t="s">
        <v>46</v>
      </c>
      <c r="Y83" s="208" t="s">
        <v>69</v>
      </c>
      <c r="Z83" s="208" t="s">
        <v>55</v>
      </c>
      <c r="AA83" s="208" t="s">
        <v>97</v>
      </c>
      <c r="AB83" s="208" t="s">
        <v>346</v>
      </c>
    </row>
    <row r="84" spans="1:28" x14ac:dyDescent="0.15">
      <c r="A84" s="208" t="s">
        <v>34</v>
      </c>
      <c r="B84" s="208" t="s">
        <v>344</v>
      </c>
      <c r="C84" s="208">
        <v>2018</v>
      </c>
      <c r="D84" s="262" t="s">
        <v>526</v>
      </c>
      <c r="E84" s="208" t="s">
        <v>332</v>
      </c>
      <c r="F84" s="208" t="s">
        <v>333</v>
      </c>
      <c r="G84" s="208" t="s">
        <v>36</v>
      </c>
      <c r="H84" s="208" t="s">
        <v>165</v>
      </c>
      <c r="I84" s="208" t="s">
        <v>155</v>
      </c>
      <c r="J84" s="208" t="s">
        <v>38</v>
      </c>
      <c r="K84" s="208" t="s">
        <v>156</v>
      </c>
      <c r="L84" s="208">
        <v>2</v>
      </c>
      <c r="N84" s="208">
        <v>1</v>
      </c>
      <c r="O84" s="208">
        <v>0.5</v>
      </c>
      <c r="P84" s="208">
        <v>0.2</v>
      </c>
      <c r="Q84" s="245">
        <f t="shared" si="5"/>
        <v>0.35</v>
      </c>
      <c r="R84" s="208">
        <v>18.3</v>
      </c>
      <c r="S84" s="208">
        <v>136</v>
      </c>
      <c r="T84" s="217">
        <f t="shared" si="6"/>
        <v>30</v>
      </c>
      <c r="U84" s="208">
        <v>138</v>
      </c>
      <c r="V84" s="217">
        <f t="shared" si="7"/>
        <v>4140</v>
      </c>
      <c r="W84" s="208">
        <v>3</v>
      </c>
      <c r="X84" s="208" t="s">
        <v>46</v>
      </c>
      <c r="Y84" s="208" t="s">
        <v>69</v>
      </c>
      <c r="Z84" s="208" t="s">
        <v>55</v>
      </c>
      <c r="AA84" s="208" t="s">
        <v>97</v>
      </c>
      <c r="AB84" s="208" t="s">
        <v>346</v>
      </c>
    </row>
    <row r="85" spans="1:28" x14ac:dyDescent="0.15">
      <c r="A85" s="208" t="s">
        <v>34</v>
      </c>
      <c r="B85" s="208" t="s">
        <v>344</v>
      </c>
      <c r="C85" s="208">
        <v>2018</v>
      </c>
      <c r="D85" s="262" t="s">
        <v>526</v>
      </c>
      <c r="E85" s="208" t="s">
        <v>332</v>
      </c>
      <c r="F85" s="208" t="s">
        <v>333</v>
      </c>
      <c r="G85" s="208" t="s">
        <v>36</v>
      </c>
      <c r="H85" s="208" t="s">
        <v>165</v>
      </c>
      <c r="I85" s="208" t="s">
        <v>155</v>
      </c>
      <c r="J85" s="208" t="s">
        <v>38</v>
      </c>
      <c r="K85" s="208" t="s">
        <v>156</v>
      </c>
      <c r="L85" s="208">
        <v>3</v>
      </c>
      <c r="N85" s="208">
        <v>1</v>
      </c>
      <c r="O85" s="208">
        <v>0.2</v>
      </c>
      <c r="P85" s="208">
        <v>0.2</v>
      </c>
      <c r="Q85" s="245">
        <f t="shared" si="5"/>
        <v>0.2</v>
      </c>
      <c r="R85" s="208">
        <v>21.2</v>
      </c>
      <c r="S85" s="208">
        <v>143</v>
      </c>
      <c r="T85" s="217">
        <f t="shared" si="6"/>
        <v>30</v>
      </c>
      <c r="U85" s="208">
        <v>138</v>
      </c>
      <c r="V85" s="217">
        <f t="shared" si="7"/>
        <v>4140</v>
      </c>
      <c r="W85" s="208">
        <v>3</v>
      </c>
      <c r="X85" s="208" t="s">
        <v>46</v>
      </c>
      <c r="Y85" s="208" t="s">
        <v>69</v>
      </c>
      <c r="Z85" s="208" t="s">
        <v>55</v>
      </c>
      <c r="AA85" s="208" t="s">
        <v>97</v>
      </c>
      <c r="AB85" s="208" t="s">
        <v>346</v>
      </c>
    </row>
    <row r="86" spans="1:28" x14ac:dyDescent="0.15">
      <c r="A86" s="208" t="s">
        <v>34</v>
      </c>
      <c r="B86" s="208" t="s">
        <v>344</v>
      </c>
      <c r="C86" s="208">
        <v>2018</v>
      </c>
      <c r="D86" s="262" t="s">
        <v>526</v>
      </c>
      <c r="E86" s="208" t="s">
        <v>332</v>
      </c>
      <c r="F86" s="208" t="s">
        <v>333</v>
      </c>
      <c r="G86" s="208" t="s">
        <v>36</v>
      </c>
      <c r="H86" s="208" t="s">
        <v>165</v>
      </c>
      <c r="I86" s="208" t="s">
        <v>155</v>
      </c>
      <c r="J86" s="208" t="s">
        <v>38</v>
      </c>
      <c r="K86" s="208" t="s">
        <v>156</v>
      </c>
      <c r="L86" s="208">
        <v>1</v>
      </c>
      <c r="N86" s="208">
        <v>3</v>
      </c>
      <c r="O86" s="208">
        <v>0.5</v>
      </c>
      <c r="P86" s="208">
        <v>0.2</v>
      </c>
      <c r="Q86" s="245">
        <f t="shared" si="5"/>
        <v>0.35</v>
      </c>
      <c r="R86" s="208">
        <v>15.1</v>
      </c>
      <c r="S86" s="208">
        <v>134</v>
      </c>
      <c r="T86" s="217">
        <f t="shared" si="6"/>
        <v>30</v>
      </c>
      <c r="U86" s="208">
        <v>537</v>
      </c>
      <c r="V86" s="217">
        <f t="shared" si="7"/>
        <v>5370</v>
      </c>
      <c r="W86" s="208">
        <v>3</v>
      </c>
      <c r="X86" s="208" t="s">
        <v>46</v>
      </c>
      <c r="Y86" s="208" t="s">
        <v>69</v>
      </c>
      <c r="Z86" s="208" t="s">
        <v>55</v>
      </c>
      <c r="AA86" s="208" t="s">
        <v>97</v>
      </c>
      <c r="AB86" s="208" t="s">
        <v>346</v>
      </c>
    </row>
    <row r="87" spans="1:28" x14ac:dyDescent="0.15">
      <c r="A87" s="208" t="s">
        <v>34</v>
      </c>
      <c r="B87" s="208" t="s">
        <v>344</v>
      </c>
      <c r="C87" s="208">
        <v>2018</v>
      </c>
      <c r="D87" s="262" t="s">
        <v>526</v>
      </c>
      <c r="E87" s="208" t="s">
        <v>332</v>
      </c>
      <c r="F87" s="208" t="s">
        <v>333</v>
      </c>
      <c r="G87" s="208" t="s">
        <v>36</v>
      </c>
      <c r="H87" s="208" t="s">
        <v>165</v>
      </c>
      <c r="I87" s="208" t="s">
        <v>155</v>
      </c>
      <c r="J87" s="208" t="s">
        <v>38</v>
      </c>
      <c r="K87" s="208" t="s">
        <v>156</v>
      </c>
      <c r="L87" s="208">
        <v>2</v>
      </c>
      <c r="N87" s="208">
        <v>3</v>
      </c>
      <c r="O87" s="208">
        <v>0.2</v>
      </c>
      <c r="P87" s="208">
        <v>0.6</v>
      </c>
      <c r="Q87" s="245">
        <f t="shared" si="5"/>
        <v>0.4</v>
      </c>
      <c r="R87" s="208">
        <v>16.2</v>
      </c>
      <c r="S87" s="208">
        <v>140</v>
      </c>
      <c r="T87" s="217">
        <f t="shared" si="6"/>
        <v>30</v>
      </c>
      <c r="U87" s="208">
        <v>537</v>
      </c>
      <c r="V87" s="217">
        <f t="shared" si="7"/>
        <v>5370</v>
      </c>
      <c r="W87" s="208">
        <v>3</v>
      </c>
      <c r="X87" s="208" t="s">
        <v>46</v>
      </c>
      <c r="Y87" s="208" t="s">
        <v>69</v>
      </c>
      <c r="Z87" s="208" t="s">
        <v>55</v>
      </c>
      <c r="AA87" s="208" t="s">
        <v>97</v>
      </c>
      <c r="AB87" s="208" t="s">
        <v>346</v>
      </c>
    </row>
    <row r="88" spans="1:28" x14ac:dyDescent="0.15">
      <c r="A88" s="208" t="s">
        <v>34</v>
      </c>
      <c r="B88" s="208" t="s">
        <v>344</v>
      </c>
      <c r="C88" s="208">
        <v>2018</v>
      </c>
      <c r="D88" s="262" t="s">
        <v>526</v>
      </c>
      <c r="E88" s="208" t="s">
        <v>332</v>
      </c>
      <c r="F88" s="208" t="s">
        <v>333</v>
      </c>
      <c r="G88" s="208" t="s">
        <v>36</v>
      </c>
      <c r="H88" s="208" t="s">
        <v>165</v>
      </c>
      <c r="I88" s="208" t="s">
        <v>155</v>
      </c>
      <c r="J88" s="208" t="s">
        <v>38</v>
      </c>
      <c r="K88" s="208" t="s">
        <v>156</v>
      </c>
      <c r="L88" s="208">
        <v>3</v>
      </c>
      <c r="N88" s="208">
        <v>3</v>
      </c>
      <c r="O88" s="208">
        <v>0.5</v>
      </c>
      <c r="P88" s="208">
        <v>0.55000000000000004</v>
      </c>
      <c r="Q88" s="245">
        <f t="shared" si="5"/>
        <v>0.52500000000000002</v>
      </c>
      <c r="R88" s="208">
        <v>14.5</v>
      </c>
      <c r="S88" s="208">
        <v>123</v>
      </c>
      <c r="T88" s="217">
        <f t="shared" si="6"/>
        <v>30</v>
      </c>
      <c r="U88" s="208">
        <v>537</v>
      </c>
      <c r="V88" s="217">
        <f t="shared" si="7"/>
        <v>5370</v>
      </c>
      <c r="W88" s="208">
        <v>3</v>
      </c>
      <c r="X88" s="208" t="s">
        <v>46</v>
      </c>
      <c r="Y88" s="208" t="s">
        <v>69</v>
      </c>
      <c r="Z88" s="208" t="s">
        <v>55</v>
      </c>
      <c r="AA88" s="208" t="s">
        <v>97</v>
      </c>
      <c r="AB88" s="208" t="s">
        <v>346</v>
      </c>
    </row>
    <row r="89" spans="1:28" x14ac:dyDescent="0.15">
      <c r="A89" s="208" t="s">
        <v>34</v>
      </c>
      <c r="B89" s="208" t="s">
        <v>344</v>
      </c>
      <c r="C89" s="208">
        <v>2018</v>
      </c>
      <c r="D89" s="262" t="s">
        <v>526</v>
      </c>
      <c r="E89" s="208" t="s">
        <v>334</v>
      </c>
      <c r="F89" s="208" t="s">
        <v>335</v>
      </c>
      <c r="G89" s="208" t="s">
        <v>36</v>
      </c>
      <c r="H89" s="208" t="s">
        <v>157</v>
      </c>
      <c r="I89" s="208" t="s">
        <v>155</v>
      </c>
      <c r="J89" s="208" t="s">
        <v>38</v>
      </c>
      <c r="K89" s="208" t="s">
        <v>156</v>
      </c>
      <c r="L89" s="208">
        <v>1</v>
      </c>
      <c r="N89" s="208">
        <v>1</v>
      </c>
      <c r="O89" s="208">
        <v>0.55000000000000004</v>
      </c>
      <c r="P89" s="208">
        <v>0.6</v>
      </c>
      <c r="Q89" s="245">
        <f t="shared" si="5"/>
        <v>0.57499999999999996</v>
      </c>
      <c r="R89" s="208">
        <v>15</v>
      </c>
      <c r="S89" s="208">
        <v>129</v>
      </c>
      <c r="T89" s="217">
        <f t="shared" si="6"/>
        <v>30</v>
      </c>
      <c r="U89" s="208">
        <v>149</v>
      </c>
      <c r="V89" s="217">
        <f t="shared" si="7"/>
        <v>4470</v>
      </c>
      <c r="W89" s="208">
        <v>5</v>
      </c>
      <c r="X89" s="208" t="s">
        <v>46</v>
      </c>
      <c r="Y89" s="208" t="s">
        <v>55</v>
      </c>
      <c r="Z89" s="208" t="s">
        <v>69</v>
      </c>
      <c r="AA89" s="208" t="s">
        <v>88</v>
      </c>
      <c r="AB89" s="208" t="s">
        <v>346</v>
      </c>
    </row>
    <row r="90" spans="1:28" x14ac:dyDescent="0.15">
      <c r="A90" s="208" t="s">
        <v>34</v>
      </c>
      <c r="B90" s="208" t="s">
        <v>344</v>
      </c>
      <c r="C90" s="208">
        <v>2018</v>
      </c>
      <c r="D90" s="262" t="s">
        <v>526</v>
      </c>
      <c r="E90" s="208" t="s">
        <v>334</v>
      </c>
      <c r="F90" s="208" t="s">
        <v>335</v>
      </c>
      <c r="G90" s="208" t="s">
        <v>36</v>
      </c>
      <c r="H90" s="208" t="s">
        <v>157</v>
      </c>
      <c r="I90" s="208" t="s">
        <v>155</v>
      </c>
      <c r="J90" s="208" t="s">
        <v>38</v>
      </c>
      <c r="K90" s="208" t="s">
        <v>156</v>
      </c>
      <c r="L90" s="208">
        <v>2</v>
      </c>
      <c r="N90" s="208">
        <v>1</v>
      </c>
      <c r="O90" s="208">
        <v>0.7</v>
      </c>
      <c r="P90" s="208">
        <v>0.6</v>
      </c>
      <c r="Q90" s="245">
        <f t="shared" si="5"/>
        <v>0.64999999999999991</v>
      </c>
      <c r="R90" s="208">
        <v>14.8</v>
      </c>
      <c r="S90" s="208">
        <v>130</v>
      </c>
      <c r="T90" s="217">
        <f t="shared" si="6"/>
        <v>30</v>
      </c>
      <c r="U90" s="208">
        <v>149</v>
      </c>
      <c r="V90" s="217">
        <f t="shared" si="7"/>
        <v>4470</v>
      </c>
      <c r="W90" s="208">
        <v>5</v>
      </c>
      <c r="X90" s="208" t="s">
        <v>46</v>
      </c>
      <c r="Y90" s="208" t="s">
        <v>55</v>
      </c>
      <c r="Z90" s="208" t="s">
        <v>69</v>
      </c>
      <c r="AA90" s="208" t="s">
        <v>88</v>
      </c>
      <c r="AB90" s="208" t="s">
        <v>346</v>
      </c>
    </row>
    <row r="91" spans="1:28" x14ac:dyDescent="0.15">
      <c r="A91" s="208" t="s">
        <v>34</v>
      </c>
      <c r="B91" s="208" t="s">
        <v>344</v>
      </c>
      <c r="C91" s="208">
        <v>2018</v>
      </c>
      <c r="D91" s="262" t="s">
        <v>526</v>
      </c>
      <c r="E91" s="208" t="s">
        <v>334</v>
      </c>
      <c r="F91" s="208" t="s">
        <v>335</v>
      </c>
      <c r="G91" s="208" t="s">
        <v>36</v>
      </c>
      <c r="H91" s="208" t="s">
        <v>157</v>
      </c>
      <c r="I91" s="208" t="s">
        <v>155</v>
      </c>
      <c r="J91" s="208" t="s">
        <v>38</v>
      </c>
      <c r="K91" s="208" t="s">
        <v>156</v>
      </c>
      <c r="L91" s="208">
        <v>3</v>
      </c>
      <c r="N91" s="208">
        <v>1</v>
      </c>
      <c r="O91" s="208">
        <v>0.55000000000000004</v>
      </c>
      <c r="P91" s="208">
        <v>0.6</v>
      </c>
      <c r="Q91" s="245">
        <f t="shared" si="5"/>
        <v>0.57499999999999996</v>
      </c>
      <c r="R91" s="208">
        <v>14.2</v>
      </c>
      <c r="S91" s="208">
        <v>128</v>
      </c>
      <c r="T91" s="217">
        <f t="shared" si="6"/>
        <v>30</v>
      </c>
      <c r="U91" s="208">
        <v>149</v>
      </c>
      <c r="V91" s="217">
        <f t="shared" si="7"/>
        <v>4470</v>
      </c>
      <c r="W91" s="208">
        <v>5</v>
      </c>
      <c r="X91" s="208" t="s">
        <v>46</v>
      </c>
      <c r="Y91" s="208" t="s">
        <v>55</v>
      </c>
      <c r="Z91" s="208" t="s">
        <v>69</v>
      </c>
      <c r="AA91" s="208" t="s">
        <v>88</v>
      </c>
      <c r="AB91" s="208" t="s">
        <v>346</v>
      </c>
    </row>
    <row r="92" spans="1:28" x14ac:dyDescent="0.15">
      <c r="A92" s="208" t="s">
        <v>34</v>
      </c>
      <c r="B92" s="208" t="s">
        <v>344</v>
      </c>
      <c r="C92" s="208">
        <v>2018</v>
      </c>
      <c r="D92" s="262" t="s">
        <v>526</v>
      </c>
      <c r="E92" s="208" t="s">
        <v>334</v>
      </c>
      <c r="F92" s="208" t="s">
        <v>335</v>
      </c>
      <c r="G92" s="208" t="s">
        <v>36</v>
      </c>
      <c r="H92" s="208" t="s">
        <v>157</v>
      </c>
      <c r="I92" s="208" t="s">
        <v>155</v>
      </c>
      <c r="J92" s="208" t="s">
        <v>38</v>
      </c>
      <c r="K92" s="208" t="s">
        <v>156</v>
      </c>
      <c r="L92" s="208">
        <v>1</v>
      </c>
      <c r="N92" s="208">
        <v>8</v>
      </c>
      <c r="O92" s="208">
        <v>0.2</v>
      </c>
      <c r="P92" s="208">
        <v>0.2</v>
      </c>
      <c r="Q92" s="245">
        <f t="shared" si="5"/>
        <v>0.2</v>
      </c>
      <c r="R92" s="208">
        <v>15</v>
      </c>
      <c r="S92" s="208">
        <v>115</v>
      </c>
      <c r="T92" s="217">
        <f t="shared" si="6"/>
        <v>30</v>
      </c>
      <c r="U92" s="208">
        <v>1058</v>
      </c>
      <c r="V92" s="217">
        <f t="shared" si="7"/>
        <v>3967.5</v>
      </c>
      <c r="W92" s="208">
        <v>5</v>
      </c>
      <c r="X92" s="208" t="s">
        <v>46</v>
      </c>
      <c r="Y92" s="208" t="s">
        <v>55</v>
      </c>
      <c r="Z92" s="208" t="s">
        <v>69</v>
      </c>
      <c r="AA92" s="208" t="s">
        <v>88</v>
      </c>
      <c r="AB92" s="208" t="s">
        <v>346</v>
      </c>
    </row>
    <row r="93" spans="1:28" x14ac:dyDescent="0.15">
      <c r="A93" s="208" t="s">
        <v>34</v>
      </c>
      <c r="B93" s="208" t="s">
        <v>344</v>
      </c>
      <c r="C93" s="208">
        <v>2018</v>
      </c>
      <c r="D93" s="262" t="s">
        <v>526</v>
      </c>
      <c r="E93" s="208" t="s">
        <v>334</v>
      </c>
      <c r="F93" s="208" t="s">
        <v>335</v>
      </c>
      <c r="G93" s="208" t="s">
        <v>36</v>
      </c>
      <c r="H93" s="208" t="s">
        <v>157</v>
      </c>
      <c r="I93" s="208" t="s">
        <v>155</v>
      </c>
      <c r="J93" s="208" t="s">
        <v>38</v>
      </c>
      <c r="K93" s="208" t="s">
        <v>156</v>
      </c>
      <c r="L93" s="208">
        <v>2</v>
      </c>
      <c r="N93" s="208">
        <v>8</v>
      </c>
      <c r="O93" s="208">
        <v>0.6</v>
      </c>
      <c r="P93" s="208">
        <v>0.65</v>
      </c>
      <c r="Q93" s="245">
        <f t="shared" si="5"/>
        <v>0.625</v>
      </c>
      <c r="R93" s="208">
        <v>14.6</v>
      </c>
      <c r="S93" s="208">
        <v>124</v>
      </c>
      <c r="T93" s="217">
        <f t="shared" si="6"/>
        <v>30</v>
      </c>
      <c r="U93" s="208">
        <v>1058</v>
      </c>
      <c r="V93" s="217">
        <f t="shared" si="7"/>
        <v>3967.5</v>
      </c>
      <c r="W93" s="208">
        <v>5</v>
      </c>
      <c r="X93" s="208" t="s">
        <v>46</v>
      </c>
      <c r="Y93" s="208" t="s">
        <v>55</v>
      </c>
      <c r="Z93" s="208" t="s">
        <v>69</v>
      </c>
      <c r="AA93" s="208" t="s">
        <v>88</v>
      </c>
      <c r="AB93" s="208" t="s">
        <v>346</v>
      </c>
    </row>
    <row r="94" spans="1:28" x14ac:dyDescent="0.15">
      <c r="A94" s="208" t="s">
        <v>34</v>
      </c>
      <c r="B94" s="208" t="s">
        <v>344</v>
      </c>
      <c r="C94" s="208">
        <v>2018</v>
      </c>
      <c r="D94" s="262" t="s">
        <v>526</v>
      </c>
      <c r="E94" s="208" t="s">
        <v>334</v>
      </c>
      <c r="F94" s="208" t="s">
        <v>335</v>
      </c>
      <c r="G94" s="208" t="s">
        <v>36</v>
      </c>
      <c r="H94" s="208" t="s">
        <v>157</v>
      </c>
      <c r="I94" s="208" t="s">
        <v>155</v>
      </c>
      <c r="J94" s="208" t="s">
        <v>38</v>
      </c>
      <c r="K94" s="208" t="s">
        <v>156</v>
      </c>
      <c r="L94" s="208">
        <v>3</v>
      </c>
      <c r="N94" s="208">
        <v>8</v>
      </c>
      <c r="O94" s="208">
        <v>0.7</v>
      </c>
      <c r="P94" s="208">
        <v>0.8</v>
      </c>
      <c r="Q94" s="245">
        <f t="shared" si="5"/>
        <v>0.75</v>
      </c>
      <c r="R94" s="208">
        <v>13.2</v>
      </c>
      <c r="S94" s="208">
        <v>125</v>
      </c>
      <c r="T94" s="217">
        <f t="shared" si="6"/>
        <v>30</v>
      </c>
      <c r="U94" s="208">
        <v>1058</v>
      </c>
      <c r="V94" s="217">
        <f t="shared" si="7"/>
        <v>3967.5</v>
      </c>
      <c r="W94" s="208">
        <v>5</v>
      </c>
      <c r="X94" s="208" t="s">
        <v>46</v>
      </c>
      <c r="Y94" s="208" t="s">
        <v>55</v>
      </c>
      <c r="Z94" s="208" t="s">
        <v>69</v>
      </c>
      <c r="AA94" s="208" t="s">
        <v>88</v>
      </c>
      <c r="AB94" s="208" t="s">
        <v>346</v>
      </c>
    </row>
    <row r="95" spans="1:28" x14ac:dyDescent="0.15">
      <c r="A95" s="208" t="s">
        <v>34</v>
      </c>
      <c r="B95" s="208" t="s">
        <v>344</v>
      </c>
      <c r="C95" s="208">
        <v>2018</v>
      </c>
      <c r="D95" s="262" t="s">
        <v>526</v>
      </c>
      <c r="E95" s="208" t="s">
        <v>334</v>
      </c>
      <c r="F95" s="208" t="s">
        <v>335</v>
      </c>
      <c r="G95" s="208" t="s">
        <v>36</v>
      </c>
      <c r="H95" s="208" t="s">
        <v>157</v>
      </c>
      <c r="I95" s="208" t="s">
        <v>158</v>
      </c>
      <c r="J95" s="208" t="s">
        <v>38</v>
      </c>
      <c r="K95" s="208" t="s">
        <v>156</v>
      </c>
      <c r="L95" s="208">
        <v>1</v>
      </c>
      <c r="N95" s="208">
        <v>5</v>
      </c>
      <c r="O95" s="208">
        <v>0.5</v>
      </c>
      <c r="P95" s="208">
        <v>0.45</v>
      </c>
      <c r="Q95" s="245">
        <f t="shared" si="5"/>
        <v>0.47499999999999998</v>
      </c>
      <c r="R95" s="208">
        <v>12.6</v>
      </c>
      <c r="S95" s="208">
        <v>88</v>
      </c>
      <c r="T95" s="217">
        <f t="shared" si="6"/>
        <v>36</v>
      </c>
      <c r="U95" s="208">
        <v>429</v>
      </c>
      <c r="V95" s="217">
        <f t="shared" si="7"/>
        <v>3088.7999999999997</v>
      </c>
      <c r="W95" s="208">
        <v>5</v>
      </c>
      <c r="X95" s="208" t="s">
        <v>46</v>
      </c>
      <c r="Y95" s="208" t="s">
        <v>55</v>
      </c>
      <c r="Z95" s="208" t="s">
        <v>69</v>
      </c>
      <c r="AA95" s="208" t="s">
        <v>88</v>
      </c>
      <c r="AB95" s="208" t="s">
        <v>346</v>
      </c>
    </row>
    <row r="96" spans="1:28" x14ac:dyDescent="0.15">
      <c r="A96" s="208" t="s">
        <v>34</v>
      </c>
      <c r="B96" s="208" t="s">
        <v>344</v>
      </c>
      <c r="C96" s="208">
        <v>2018</v>
      </c>
      <c r="D96" s="262" t="s">
        <v>526</v>
      </c>
      <c r="E96" s="208" t="s">
        <v>334</v>
      </c>
      <c r="F96" s="208" t="s">
        <v>335</v>
      </c>
      <c r="G96" s="208" t="s">
        <v>36</v>
      </c>
      <c r="H96" s="208" t="s">
        <v>157</v>
      </c>
      <c r="I96" s="208" t="s">
        <v>158</v>
      </c>
      <c r="J96" s="208" t="s">
        <v>38</v>
      </c>
      <c r="K96" s="208" t="s">
        <v>156</v>
      </c>
      <c r="L96" s="208">
        <v>2</v>
      </c>
      <c r="N96" s="208">
        <v>5</v>
      </c>
      <c r="O96" s="208">
        <v>0.55000000000000004</v>
      </c>
      <c r="P96" s="208">
        <v>0.2</v>
      </c>
      <c r="Q96" s="245">
        <f t="shared" si="5"/>
        <v>0.375</v>
      </c>
      <c r="R96" s="208">
        <v>13.9</v>
      </c>
      <c r="S96" s="208">
        <v>89</v>
      </c>
      <c r="T96" s="217">
        <f t="shared" si="6"/>
        <v>36</v>
      </c>
      <c r="U96" s="208">
        <v>429</v>
      </c>
      <c r="V96" s="217">
        <f t="shared" si="7"/>
        <v>3088.7999999999997</v>
      </c>
      <c r="W96" s="208">
        <v>5</v>
      </c>
      <c r="X96" s="208" t="s">
        <v>46</v>
      </c>
      <c r="Y96" s="208" t="s">
        <v>55</v>
      </c>
      <c r="Z96" s="208" t="s">
        <v>69</v>
      </c>
      <c r="AA96" s="208" t="s">
        <v>88</v>
      </c>
      <c r="AB96" s="208" t="s">
        <v>346</v>
      </c>
    </row>
    <row r="97" spans="1:28" x14ac:dyDescent="0.15">
      <c r="A97" s="208" t="s">
        <v>34</v>
      </c>
      <c r="B97" s="208" t="s">
        <v>344</v>
      </c>
      <c r="C97" s="208">
        <v>2018</v>
      </c>
      <c r="D97" s="262" t="s">
        <v>526</v>
      </c>
      <c r="E97" s="208" t="s">
        <v>334</v>
      </c>
      <c r="F97" s="208" t="s">
        <v>335</v>
      </c>
      <c r="G97" s="208" t="s">
        <v>36</v>
      </c>
      <c r="H97" s="208" t="s">
        <v>157</v>
      </c>
      <c r="I97" s="208" t="s">
        <v>158</v>
      </c>
      <c r="J97" s="208" t="s">
        <v>38</v>
      </c>
      <c r="K97" s="208" t="s">
        <v>156</v>
      </c>
      <c r="L97" s="208">
        <v>3</v>
      </c>
      <c r="N97" s="208">
        <v>5</v>
      </c>
      <c r="O97" s="208">
        <v>0.45</v>
      </c>
      <c r="P97" s="208">
        <v>0.2</v>
      </c>
      <c r="Q97" s="245">
        <f t="shared" si="5"/>
        <v>0.32500000000000001</v>
      </c>
      <c r="R97" s="208">
        <v>11</v>
      </c>
      <c r="S97" s="208">
        <v>84</v>
      </c>
      <c r="T97" s="217">
        <f t="shared" si="6"/>
        <v>36</v>
      </c>
      <c r="U97" s="208">
        <v>429</v>
      </c>
      <c r="V97" s="217">
        <f t="shared" si="7"/>
        <v>3088.7999999999997</v>
      </c>
      <c r="W97" s="208">
        <v>5</v>
      </c>
      <c r="X97" s="208" t="s">
        <v>46</v>
      </c>
      <c r="Y97" s="208" t="s">
        <v>55</v>
      </c>
      <c r="Z97" s="208" t="s">
        <v>69</v>
      </c>
      <c r="AA97" s="208" t="s">
        <v>88</v>
      </c>
      <c r="AB97" s="208" t="s">
        <v>346</v>
      </c>
    </row>
    <row r="98" spans="1:28" x14ac:dyDescent="0.15">
      <c r="A98" s="208" t="s">
        <v>34</v>
      </c>
      <c r="B98" s="208" t="s">
        <v>344</v>
      </c>
      <c r="C98" s="208">
        <v>2018</v>
      </c>
      <c r="D98" s="262" t="s">
        <v>526</v>
      </c>
      <c r="E98" s="208" t="s">
        <v>334</v>
      </c>
      <c r="F98" s="208" t="s">
        <v>335</v>
      </c>
      <c r="G98" s="208" t="s">
        <v>36</v>
      </c>
      <c r="H98" s="208" t="s">
        <v>165</v>
      </c>
      <c r="I98" s="208" t="s">
        <v>155</v>
      </c>
      <c r="J98" s="208" t="s">
        <v>38</v>
      </c>
      <c r="K98" s="208" t="s">
        <v>156</v>
      </c>
      <c r="L98" s="208">
        <v>1</v>
      </c>
      <c r="N98" s="208">
        <v>1</v>
      </c>
      <c r="O98" s="208">
        <v>0.2</v>
      </c>
      <c r="P98" s="208">
        <v>0.5</v>
      </c>
      <c r="Q98" s="245">
        <f t="shared" si="5"/>
        <v>0.35</v>
      </c>
      <c r="R98" s="208">
        <v>14.6</v>
      </c>
      <c r="S98" s="208">
        <v>144</v>
      </c>
      <c r="T98" s="217">
        <f t="shared" si="6"/>
        <v>30</v>
      </c>
      <c r="U98" s="208">
        <v>170</v>
      </c>
      <c r="V98" s="217">
        <f t="shared" si="7"/>
        <v>5100</v>
      </c>
      <c r="W98" s="208">
        <v>7</v>
      </c>
      <c r="X98" s="208" t="s">
        <v>46</v>
      </c>
      <c r="Y98" s="208" t="s">
        <v>55</v>
      </c>
      <c r="Z98" s="208" t="s">
        <v>69</v>
      </c>
      <c r="AA98" s="208" t="s">
        <v>88</v>
      </c>
      <c r="AB98" s="208" t="s">
        <v>346</v>
      </c>
    </row>
    <row r="99" spans="1:28" x14ac:dyDescent="0.15">
      <c r="A99" s="208" t="s">
        <v>34</v>
      </c>
      <c r="B99" s="208" t="s">
        <v>344</v>
      </c>
      <c r="C99" s="208">
        <v>2018</v>
      </c>
      <c r="D99" s="262" t="s">
        <v>526</v>
      </c>
      <c r="E99" s="208" t="s">
        <v>334</v>
      </c>
      <c r="F99" s="208" t="s">
        <v>335</v>
      </c>
      <c r="G99" s="208" t="s">
        <v>36</v>
      </c>
      <c r="H99" s="208" t="s">
        <v>165</v>
      </c>
      <c r="I99" s="208" t="s">
        <v>155</v>
      </c>
      <c r="J99" s="208" t="s">
        <v>38</v>
      </c>
      <c r="K99" s="208" t="s">
        <v>156</v>
      </c>
      <c r="L99" s="208">
        <v>2</v>
      </c>
      <c r="N99" s="208">
        <v>1</v>
      </c>
      <c r="O99" s="208">
        <v>0.45</v>
      </c>
      <c r="P99" s="208">
        <v>0.45</v>
      </c>
      <c r="Q99" s="245">
        <f t="shared" si="5"/>
        <v>0.45</v>
      </c>
      <c r="R99" s="208">
        <v>18.399999999999999</v>
      </c>
      <c r="S99" s="208">
        <v>158</v>
      </c>
      <c r="T99" s="217">
        <f t="shared" si="6"/>
        <v>18</v>
      </c>
      <c r="U99" s="208">
        <v>170</v>
      </c>
      <c r="V99" s="217">
        <f t="shared" si="7"/>
        <v>3060</v>
      </c>
      <c r="W99" s="208">
        <v>7</v>
      </c>
      <c r="X99" s="208" t="s">
        <v>46</v>
      </c>
      <c r="Y99" s="208" t="s">
        <v>55</v>
      </c>
      <c r="Z99" s="208" t="s">
        <v>69</v>
      </c>
      <c r="AA99" s="208" t="s">
        <v>88</v>
      </c>
      <c r="AB99" s="208" t="s">
        <v>346</v>
      </c>
    </row>
    <row r="100" spans="1:28" x14ac:dyDescent="0.15">
      <c r="A100" s="208" t="s">
        <v>34</v>
      </c>
      <c r="B100" s="208" t="s">
        <v>344</v>
      </c>
      <c r="C100" s="208">
        <v>2018</v>
      </c>
      <c r="D100" s="262" t="s">
        <v>526</v>
      </c>
      <c r="E100" s="208" t="s">
        <v>334</v>
      </c>
      <c r="F100" s="208" t="s">
        <v>335</v>
      </c>
      <c r="G100" s="208" t="s">
        <v>36</v>
      </c>
      <c r="H100" s="208" t="s">
        <v>165</v>
      </c>
      <c r="I100" s="208" t="s">
        <v>155</v>
      </c>
      <c r="J100" s="208" t="s">
        <v>38</v>
      </c>
      <c r="K100" s="208" t="s">
        <v>156</v>
      </c>
      <c r="L100" s="208">
        <v>3</v>
      </c>
      <c r="N100" s="208">
        <v>1</v>
      </c>
      <c r="O100" s="208">
        <v>0.45</v>
      </c>
      <c r="P100" s="208">
        <v>0.6</v>
      </c>
      <c r="Q100" s="245">
        <f t="shared" si="5"/>
        <v>0.52500000000000002</v>
      </c>
      <c r="R100" s="208">
        <v>20.399999999999999</v>
      </c>
      <c r="S100" s="208">
        <v>166</v>
      </c>
      <c r="T100" s="217">
        <f t="shared" si="6"/>
        <v>18</v>
      </c>
      <c r="U100" s="208">
        <v>170</v>
      </c>
      <c r="V100" s="217">
        <f t="shared" si="7"/>
        <v>3060</v>
      </c>
      <c r="W100" s="208">
        <v>7</v>
      </c>
      <c r="X100" s="208" t="s">
        <v>46</v>
      </c>
      <c r="Y100" s="208" t="s">
        <v>55</v>
      </c>
      <c r="Z100" s="208" t="s">
        <v>69</v>
      </c>
      <c r="AA100" s="208" t="s">
        <v>88</v>
      </c>
      <c r="AB100" s="208" t="s">
        <v>346</v>
      </c>
    </row>
    <row r="101" spans="1:28" x14ac:dyDescent="0.15">
      <c r="A101" s="208" t="s">
        <v>34</v>
      </c>
      <c r="B101" s="208" t="s">
        <v>344</v>
      </c>
      <c r="C101" s="208">
        <v>2018</v>
      </c>
      <c r="D101" s="262" t="s">
        <v>526</v>
      </c>
      <c r="E101" s="208" t="s">
        <v>334</v>
      </c>
      <c r="F101" s="208" t="s">
        <v>335</v>
      </c>
      <c r="G101" s="208" t="s">
        <v>36</v>
      </c>
      <c r="H101" s="208" t="s">
        <v>165</v>
      </c>
      <c r="I101" s="208" t="s">
        <v>155</v>
      </c>
      <c r="J101" s="208" t="s">
        <v>38</v>
      </c>
      <c r="K101" s="208" t="s">
        <v>156</v>
      </c>
      <c r="L101" s="208">
        <v>1</v>
      </c>
      <c r="N101" s="208">
        <v>3</v>
      </c>
      <c r="O101" s="208">
        <v>0.55000000000000004</v>
      </c>
      <c r="P101" s="208">
        <v>0.6</v>
      </c>
      <c r="Q101" s="245">
        <f t="shared" si="5"/>
        <v>0.57499999999999996</v>
      </c>
      <c r="R101" s="208">
        <v>18.3</v>
      </c>
      <c r="S101" s="208">
        <v>145</v>
      </c>
      <c r="T101" s="217">
        <f t="shared" si="6"/>
        <v>30</v>
      </c>
      <c r="U101" s="208">
        <v>486</v>
      </c>
      <c r="V101" s="217">
        <f t="shared" si="7"/>
        <v>4860</v>
      </c>
      <c r="W101" s="208">
        <v>7</v>
      </c>
      <c r="X101" s="208" t="s">
        <v>46</v>
      </c>
      <c r="Y101" s="208" t="s">
        <v>55</v>
      </c>
      <c r="Z101" s="208" t="s">
        <v>69</v>
      </c>
      <c r="AA101" s="208" t="s">
        <v>88</v>
      </c>
      <c r="AB101" s="208" t="s">
        <v>346</v>
      </c>
    </row>
    <row r="102" spans="1:28" x14ac:dyDescent="0.15">
      <c r="A102" s="208" t="s">
        <v>34</v>
      </c>
      <c r="B102" s="208" t="s">
        <v>344</v>
      </c>
      <c r="C102" s="208">
        <v>2018</v>
      </c>
      <c r="D102" s="262" t="s">
        <v>526</v>
      </c>
      <c r="E102" s="208" t="s">
        <v>334</v>
      </c>
      <c r="F102" s="208" t="s">
        <v>335</v>
      </c>
      <c r="G102" s="208" t="s">
        <v>36</v>
      </c>
      <c r="H102" s="208" t="s">
        <v>165</v>
      </c>
      <c r="I102" s="208" t="s">
        <v>155</v>
      </c>
      <c r="J102" s="208" t="s">
        <v>38</v>
      </c>
      <c r="K102" s="208" t="s">
        <v>156</v>
      </c>
      <c r="L102" s="208">
        <v>2</v>
      </c>
      <c r="N102" s="208">
        <v>3</v>
      </c>
      <c r="O102" s="208">
        <v>0.55000000000000004</v>
      </c>
      <c r="P102" s="208">
        <v>0.6</v>
      </c>
      <c r="Q102" s="245">
        <f t="shared" si="5"/>
        <v>0.57499999999999996</v>
      </c>
      <c r="R102" s="208">
        <v>22.8</v>
      </c>
      <c r="S102" s="208">
        <v>167</v>
      </c>
      <c r="T102" s="217">
        <f t="shared" si="6"/>
        <v>18</v>
      </c>
      <c r="U102" s="208">
        <v>486</v>
      </c>
      <c r="V102" s="217">
        <f t="shared" si="7"/>
        <v>2916</v>
      </c>
      <c r="W102" s="208">
        <v>7</v>
      </c>
      <c r="X102" s="208" t="s">
        <v>46</v>
      </c>
      <c r="Y102" s="208" t="s">
        <v>55</v>
      </c>
      <c r="Z102" s="208" t="s">
        <v>69</v>
      </c>
      <c r="AA102" s="208" t="s">
        <v>88</v>
      </c>
      <c r="AB102" s="208" t="s">
        <v>346</v>
      </c>
    </row>
    <row r="103" spans="1:28" x14ac:dyDescent="0.15">
      <c r="A103" s="208" t="s">
        <v>34</v>
      </c>
      <c r="B103" s="208" t="s">
        <v>344</v>
      </c>
      <c r="C103" s="208">
        <v>2018</v>
      </c>
      <c r="D103" s="262" t="s">
        <v>526</v>
      </c>
      <c r="E103" s="208" t="s">
        <v>334</v>
      </c>
      <c r="F103" s="208" t="s">
        <v>335</v>
      </c>
      <c r="G103" s="208" t="s">
        <v>36</v>
      </c>
      <c r="H103" s="208" t="s">
        <v>165</v>
      </c>
      <c r="I103" s="208" t="s">
        <v>155</v>
      </c>
      <c r="J103" s="208" t="s">
        <v>38</v>
      </c>
      <c r="K103" s="208" t="s">
        <v>156</v>
      </c>
      <c r="L103" s="208">
        <v>3</v>
      </c>
      <c r="N103" s="208">
        <v>3</v>
      </c>
      <c r="O103" s="208">
        <v>0.2</v>
      </c>
      <c r="P103" s="208">
        <v>0.65</v>
      </c>
      <c r="Q103" s="245">
        <f t="shared" si="5"/>
        <v>0.42500000000000004</v>
      </c>
      <c r="R103" s="208">
        <v>15.7</v>
      </c>
      <c r="S103" s="208">
        <v>140</v>
      </c>
      <c r="T103" s="217">
        <f t="shared" si="6"/>
        <v>30</v>
      </c>
      <c r="U103" s="208">
        <v>486</v>
      </c>
      <c r="V103" s="217">
        <f t="shared" si="7"/>
        <v>4860</v>
      </c>
      <c r="W103" s="208">
        <v>7</v>
      </c>
      <c r="X103" s="208" t="s">
        <v>46</v>
      </c>
      <c r="Y103" s="208" t="s">
        <v>55</v>
      </c>
      <c r="Z103" s="208" t="s">
        <v>69</v>
      </c>
      <c r="AA103" s="208" t="s">
        <v>88</v>
      </c>
      <c r="AB103" s="208" t="s">
        <v>346</v>
      </c>
    </row>
    <row r="104" spans="1:28" x14ac:dyDescent="0.15">
      <c r="A104" s="208" t="s">
        <v>34</v>
      </c>
      <c r="B104" s="208" t="s">
        <v>344</v>
      </c>
      <c r="C104" s="208">
        <v>2018</v>
      </c>
      <c r="D104" s="262" t="s">
        <v>526</v>
      </c>
      <c r="E104" s="208" t="s">
        <v>334</v>
      </c>
      <c r="F104" s="208" t="s">
        <v>335</v>
      </c>
      <c r="G104" s="208" t="s">
        <v>36</v>
      </c>
      <c r="H104" s="208" t="s">
        <v>165</v>
      </c>
      <c r="I104" s="208" t="s">
        <v>158</v>
      </c>
      <c r="J104" s="208" t="s">
        <v>38</v>
      </c>
      <c r="K104" s="208" t="s">
        <v>156</v>
      </c>
      <c r="L104" s="208">
        <v>1</v>
      </c>
      <c r="N104" s="208">
        <v>3</v>
      </c>
      <c r="O104" s="208">
        <v>0.45</v>
      </c>
      <c r="P104" s="208">
        <v>0.55000000000000004</v>
      </c>
      <c r="Q104" s="245">
        <f t="shared" si="5"/>
        <v>0.5</v>
      </c>
      <c r="R104" s="208">
        <v>14.9</v>
      </c>
      <c r="S104" s="208">
        <v>128</v>
      </c>
      <c r="T104" s="217">
        <f t="shared" si="6"/>
        <v>30</v>
      </c>
      <c r="U104" s="208">
        <v>537</v>
      </c>
      <c r="V104" s="217">
        <f t="shared" si="7"/>
        <v>5370</v>
      </c>
      <c r="W104" s="208">
        <v>7</v>
      </c>
      <c r="X104" s="208" t="s">
        <v>46</v>
      </c>
      <c r="Y104" s="208" t="s">
        <v>55</v>
      </c>
      <c r="Z104" s="208" t="s">
        <v>69</v>
      </c>
      <c r="AA104" s="208" t="s">
        <v>88</v>
      </c>
      <c r="AB104" s="208" t="s">
        <v>346</v>
      </c>
    </row>
    <row r="105" spans="1:28" x14ac:dyDescent="0.15">
      <c r="A105" s="208" t="s">
        <v>34</v>
      </c>
      <c r="B105" s="208" t="s">
        <v>344</v>
      </c>
      <c r="C105" s="208">
        <v>2018</v>
      </c>
      <c r="D105" s="262" t="s">
        <v>526</v>
      </c>
      <c r="E105" s="208" t="s">
        <v>334</v>
      </c>
      <c r="F105" s="208" t="s">
        <v>335</v>
      </c>
      <c r="G105" s="208" t="s">
        <v>36</v>
      </c>
      <c r="H105" s="208" t="s">
        <v>165</v>
      </c>
      <c r="I105" s="208" t="s">
        <v>158</v>
      </c>
      <c r="J105" s="208" t="s">
        <v>38</v>
      </c>
      <c r="K105" s="208" t="s">
        <v>156</v>
      </c>
      <c r="L105" s="208">
        <v>2</v>
      </c>
      <c r="N105" s="208">
        <v>3</v>
      </c>
      <c r="O105" s="208">
        <v>0.7</v>
      </c>
      <c r="P105" s="208">
        <v>0.55000000000000004</v>
      </c>
      <c r="Q105" s="245">
        <f t="shared" si="5"/>
        <v>0.625</v>
      </c>
      <c r="R105" s="208">
        <v>17.600000000000001</v>
      </c>
      <c r="S105" s="208">
        <v>129</v>
      </c>
      <c r="T105" s="217">
        <f t="shared" si="6"/>
        <v>30</v>
      </c>
      <c r="U105" s="208">
        <v>537</v>
      </c>
      <c r="V105" s="217">
        <f t="shared" si="7"/>
        <v>5370</v>
      </c>
      <c r="W105" s="208">
        <v>7</v>
      </c>
      <c r="X105" s="208" t="s">
        <v>46</v>
      </c>
      <c r="Y105" s="208" t="s">
        <v>55</v>
      </c>
      <c r="Z105" s="208" t="s">
        <v>69</v>
      </c>
      <c r="AA105" s="208" t="s">
        <v>88</v>
      </c>
      <c r="AB105" s="208" t="s">
        <v>346</v>
      </c>
    </row>
    <row r="106" spans="1:28" x14ac:dyDescent="0.15">
      <c r="A106" s="208" t="s">
        <v>34</v>
      </c>
      <c r="B106" s="208" t="s">
        <v>344</v>
      </c>
      <c r="C106" s="208">
        <v>2018</v>
      </c>
      <c r="D106" s="262" t="s">
        <v>526</v>
      </c>
      <c r="E106" s="208" t="s">
        <v>334</v>
      </c>
      <c r="F106" s="208" t="s">
        <v>335</v>
      </c>
      <c r="G106" s="208" t="s">
        <v>36</v>
      </c>
      <c r="H106" s="208" t="s">
        <v>165</v>
      </c>
      <c r="I106" s="208" t="s">
        <v>158</v>
      </c>
      <c r="J106" s="208" t="s">
        <v>38</v>
      </c>
      <c r="K106" s="208" t="s">
        <v>156</v>
      </c>
      <c r="L106" s="208">
        <v>3</v>
      </c>
      <c r="N106" s="208">
        <v>3</v>
      </c>
      <c r="O106" s="208">
        <v>0.7</v>
      </c>
      <c r="P106" s="208">
        <v>0.55000000000000004</v>
      </c>
      <c r="Q106" s="245">
        <f t="shared" si="5"/>
        <v>0.625</v>
      </c>
      <c r="R106" s="208">
        <v>15.6</v>
      </c>
      <c r="S106" s="208">
        <v>128</v>
      </c>
      <c r="T106" s="217">
        <f t="shared" si="6"/>
        <v>30</v>
      </c>
      <c r="U106" s="208">
        <v>537</v>
      </c>
      <c r="V106" s="217">
        <f t="shared" si="7"/>
        <v>5370</v>
      </c>
      <c r="W106" s="208">
        <v>7</v>
      </c>
      <c r="X106" s="208" t="s">
        <v>46</v>
      </c>
      <c r="Y106" s="208" t="s">
        <v>55</v>
      </c>
      <c r="Z106" s="208" t="s">
        <v>69</v>
      </c>
      <c r="AA106" s="208" t="s">
        <v>88</v>
      </c>
      <c r="AB106" s="208" t="s">
        <v>346</v>
      </c>
    </row>
    <row r="107" spans="1:28" x14ac:dyDescent="0.15">
      <c r="A107" s="208" t="s">
        <v>34</v>
      </c>
      <c r="B107" s="208" t="s">
        <v>344</v>
      </c>
      <c r="C107" s="208">
        <v>2018</v>
      </c>
      <c r="D107" s="262" t="s">
        <v>526</v>
      </c>
      <c r="E107" s="208" t="s">
        <v>211</v>
      </c>
      <c r="F107" s="208" t="s">
        <v>336</v>
      </c>
      <c r="G107" s="208" t="s">
        <v>36</v>
      </c>
      <c r="H107" s="208" t="s">
        <v>157</v>
      </c>
      <c r="I107" s="208" t="s">
        <v>155</v>
      </c>
      <c r="J107" s="208" t="s">
        <v>38</v>
      </c>
      <c r="K107" s="208" t="s">
        <v>156</v>
      </c>
      <c r="L107" s="208">
        <v>1</v>
      </c>
      <c r="N107" s="208">
        <v>1</v>
      </c>
      <c r="O107" s="208">
        <v>0.65</v>
      </c>
      <c r="P107" s="208">
        <v>0.65</v>
      </c>
      <c r="Q107" s="245">
        <f t="shared" si="5"/>
        <v>0.65</v>
      </c>
      <c r="R107" s="208">
        <v>11</v>
      </c>
      <c r="S107" s="208">
        <v>134</v>
      </c>
      <c r="T107" s="217">
        <f t="shared" si="6"/>
        <v>30</v>
      </c>
      <c r="U107" s="208">
        <v>105</v>
      </c>
      <c r="V107" s="217">
        <f t="shared" si="7"/>
        <v>3150</v>
      </c>
      <c r="W107" s="208">
        <v>5</v>
      </c>
      <c r="X107" s="208" t="s">
        <v>46</v>
      </c>
      <c r="Y107" s="208" t="s">
        <v>55</v>
      </c>
      <c r="Z107" s="208" t="s">
        <v>69</v>
      </c>
      <c r="AA107" s="208" t="s">
        <v>97</v>
      </c>
      <c r="AB107" s="208" t="s">
        <v>346</v>
      </c>
    </row>
    <row r="108" spans="1:28" x14ac:dyDescent="0.15">
      <c r="A108" s="208" t="s">
        <v>34</v>
      </c>
      <c r="B108" s="208" t="s">
        <v>344</v>
      </c>
      <c r="C108" s="208">
        <v>2018</v>
      </c>
      <c r="D108" s="262" t="s">
        <v>526</v>
      </c>
      <c r="E108" s="208" t="s">
        <v>211</v>
      </c>
      <c r="F108" s="208" t="s">
        <v>336</v>
      </c>
      <c r="G108" s="208" t="s">
        <v>36</v>
      </c>
      <c r="H108" s="208" t="s">
        <v>157</v>
      </c>
      <c r="I108" s="208" t="s">
        <v>155</v>
      </c>
      <c r="J108" s="208" t="s">
        <v>38</v>
      </c>
      <c r="K108" s="208" t="s">
        <v>156</v>
      </c>
      <c r="L108" s="208">
        <v>2</v>
      </c>
      <c r="N108" s="208">
        <v>1</v>
      </c>
      <c r="O108" s="208">
        <v>0.75</v>
      </c>
      <c r="P108" s="208">
        <v>0.65</v>
      </c>
      <c r="Q108" s="245">
        <f t="shared" si="5"/>
        <v>0.7</v>
      </c>
      <c r="R108" s="208">
        <v>13.8</v>
      </c>
      <c r="S108" s="208">
        <v>132</v>
      </c>
      <c r="T108" s="217">
        <f t="shared" si="6"/>
        <v>30</v>
      </c>
      <c r="U108" s="208">
        <v>105</v>
      </c>
      <c r="V108" s="217">
        <f t="shared" si="7"/>
        <v>3150</v>
      </c>
      <c r="W108" s="208">
        <v>5</v>
      </c>
      <c r="X108" s="208" t="s">
        <v>46</v>
      </c>
      <c r="Y108" s="208" t="s">
        <v>55</v>
      </c>
      <c r="Z108" s="208" t="s">
        <v>69</v>
      </c>
      <c r="AA108" s="208" t="s">
        <v>97</v>
      </c>
      <c r="AB108" s="208" t="s">
        <v>346</v>
      </c>
    </row>
    <row r="109" spans="1:28" x14ac:dyDescent="0.15">
      <c r="A109" s="208" t="s">
        <v>34</v>
      </c>
      <c r="B109" s="208" t="s">
        <v>344</v>
      </c>
      <c r="C109" s="208">
        <v>2018</v>
      </c>
      <c r="D109" s="262" t="s">
        <v>526</v>
      </c>
      <c r="E109" s="208" t="s">
        <v>211</v>
      </c>
      <c r="F109" s="208" t="s">
        <v>336</v>
      </c>
      <c r="G109" s="208" t="s">
        <v>36</v>
      </c>
      <c r="H109" s="208" t="s">
        <v>157</v>
      </c>
      <c r="I109" s="208" t="s">
        <v>155</v>
      </c>
      <c r="J109" s="208" t="s">
        <v>38</v>
      </c>
      <c r="K109" s="208" t="s">
        <v>156</v>
      </c>
      <c r="L109" s="208">
        <v>3</v>
      </c>
      <c r="N109" s="208">
        <v>1</v>
      </c>
      <c r="O109" s="208">
        <v>0.6</v>
      </c>
      <c r="P109" s="208">
        <v>0.7</v>
      </c>
      <c r="Q109" s="245">
        <f t="shared" si="5"/>
        <v>0.64999999999999991</v>
      </c>
      <c r="R109" s="208">
        <v>13.7</v>
      </c>
      <c r="S109" s="208">
        <v>129</v>
      </c>
      <c r="T109" s="217">
        <f t="shared" si="6"/>
        <v>30</v>
      </c>
      <c r="U109" s="208">
        <v>105</v>
      </c>
      <c r="V109" s="217">
        <f t="shared" si="7"/>
        <v>3150</v>
      </c>
      <c r="W109" s="208">
        <v>5</v>
      </c>
      <c r="X109" s="208" t="s">
        <v>46</v>
      </c>
      <c r="Y109" s="208" t="s">
        <v>55</v>
      </c>
      <c r="Z109" s="208" t="s">
        <v>69</v>
      </c>
      <c r="AA109" s="208" t="s">
        <v>97</v>
      </c>
      <c r="AB109" s="208" t="s">
        <v>346</v>
      </c>
    </row>
    <row r="110" spans="1:28" x14ac:dyDescent="0.15">
      <c r="A110" s="208" t="s">
        <v>34</v>
      </c>
      <c r="B110" s="208" t="s">
        <v>344</v>
      </c>
      <c r="C110" s="208">
        <v>2018</v>
      </c>
      <c r="D110" s="262" t="s">
        <v>526</v>
      </c>
      <c r="E110" s="208" t="s">
        <v>211</v>
      </c>
      <c r="F110" s="208" t="s">
        <v>336</v>
      </c>
      <c r="G110" s="208" t="s">
        <v>36</v>
      </c>
      <c r="H110" s="208" t="s">
        <v>157</v>
      </c>
      <c r="I110" s="208" t="s">
        <v>155</v>
      </c>
      <c r="J110" s="208" t="s">
        <v>38</v>
      </c>
      <c r="K110" s="208" t="s">
        <v>156</v>
      </c>
      <c r="L110" s="208">
        <v>1</v>
      </c>
      <c r="N110" s="208">
        <v>5</v>
      </c>
      <c r="O110" s="208">
        <v>0.65</v>
      </c>
      <c r="P110" s="208">
        <v>0.8</v>
      </c>
      <c r="Q110" s="245">
        <f t="shared" si="5"/>
        <v>0.72500000000000009</v>
      </c>
      <c r="R110" s="208">
        <v>14.2</v>
      </c>
      <c r="S110" s="208">
        <v>97</v>
      </c>
      <c r="T110" s="217">
        <f t="shared" si="6"/>
        <v>36</v>
      </c>
      <c r="U110" s="208">
        <v>429</v>
      </c>
      <c r="V110" s="217">
        <f t="shared" si="7"/>
        <v>3088.7999999999997</v>
      </c>
      <c r="W110" s="208">
        <v>5</v>
      </c>
      <c r="X110" s="208" t="s">
        <v>46</v>
      </c>
      <c r="Y110" s="208" t="s">
        <v>55</v>
      </c>
      <c r="Z110" s="208" t="s">
        <v>69</v>
      </c>
      <c r="AA110" s="208" t="s">
        <v>97</v>
      </c>
      <c r="AB110" s="208" t="s">
        <v>346</v>
      </c>
    </row>
    <row r="111" spans="1:28" x14ac:dyDescent="0.15">
      <c r="A111" s="208" t="s">
        <v>34</v>
      </c>
      <c r="B111" s="208" t="s">
        <v>344</v>
      </c>
      <c r="C111" s="208">
        <v>2018</v>
      </c>
      <c r="D111" s="262" t="s">
        <v>526</v>
      </c>
      <c r="E111" s="208" t="s">
        <v>211</v>
      </c>
      <c r="F111" s="208" t="s">
        <v>336</v>
      </c>
      <c r="G111" s="208" t="s">
        <v>36</v>
      </c>
      <c r="H111" s="208" t="s">
        <v>157</v>
      </c>
      <c r="I111" s="208" t="s">
        <v>155</v>
      </c>
      <c r="J111" s="208" t="s">
        <v>38</v>
      </c>
      <c r="K111" s="208" t="s">
        <v>156</v>
      </c>
      <c r="L111" s="208">
        <v>2</v>
      </c>
      <c r="N111" s="208">
        <v>5</v>
      </c>
      <c r="O111" s="208">
        <v>0.2</v>
      </c>
      <c r="P111" s="208">
        <v>0.45</v>
      </c>
      <c r="Q111" s="245">
        <f t="shared" si="5"/>
        <v>0.32500000000000001</v>
      </c>
      <c r="R111" s="208">
        <v>15</v>
      </c>
      <c r="S111" s="208">
        <v>94</v>
      </c>
      <c r="T111" s="217">
        <f t="shared" si="6"/>
        <v>36</v>
      </c>
      <c r="U111" s="208">
        <v>429</v>
      </c>
      <c r="V111" s="217">
        <f t="shared" si="7"/>
        <v>3088.7999999999997</v>
      </c>
      <c r="W111" s="208">
        <v>5</v>
      </c>
      <c r="X111" s="208" t="s">
        <v>46</v>
      </c>
      <c r="Y111" s="208" t="s">
        <v>55</v>
      </c>
      <c r="Z111" s="208" t="s">
        <v>69</v>
      </c>
      <c r="AA111" s="208" t="s">
        <v>97</v>
      </c>
      <c r="AB111" s="208" t="s">
        <v>346</v>
      </c>
    </row>
    <row r="112" spans="1:28" x14ac:dyDescent="0.15">
      <c r="A112" s="208" t="s">
        <v>34</v>
      </c>
      <c r="B112" s="208" t="s">
        <v>344</v>
      </c>
      <c r="C112" s="208">
        <v>2018</v>
      </c>
      <c r="D112" s="262" t="s">
        <v>526</v>
      </c>
      <c r="E112" s="208" t="s">
        <v>211</v>
      </c>
      <c r="F112" s="208" t="s">
        <v>336</v>
      </c>
      <c r="G112" s="208" t="s">
        <v>36</v>
      </c>
      <c r="H112" s="208" t="s">
        <v>157</v>
      </c>
      <c r="I112" s="208" t="s">
        <v>155</v>
      </c>
      <c r="J112" s="208" t="s">
        <v>38</v>
      </c>
      <c r="K112" s="208" t="s">
        <v>156</v>
      </c>
      <c r="L112" s="208">
        <v>3</v>
      </c>
      <c r="N112" s="208">
        <v>5</v>
      </c>
      <c r="O112" s="208">
        <v>0.2</v>
      </c>
      <c r="P112" s="208">
        <v>0.55000000000000004</v>
      </c>
      <c r="Q112" s="245">
        <f t="shared" si="5"/>
        <v>0.375</v>
      </c>
      <c r="R112" s="208">
        <v>16.600000000000001</v>
      </c>
      <c r="S112" s="208">
        <v>105</v>
      </c>
      <c r="T112" s="217">
        <f t="shared" si="6"/>
        <v>33</v>
      </c>
      <c r="U112" s="208">
        <v>429</v>
      </c>
      <c r="V112" s="217">
        <f t="shared" si="7"/>
        <v>2831.4</v>
      </c>
      <c r="W112" s="208">
        <v>5</v>
      </c>
      <c r="X112" s="208" t="s">
        <v>46</v>
      </c>
      <c r="Y112" s="208" t="s">
        <v>55</v>
      </c>
      <c r="Z112" s="208" t="s">
        <v>69</v>
      </c>
      <c r="AA112" s="208" t="s">
        <v>97</v>
      </c>
      <c r="AB112" s="208" t="s">
        <v>346</v>
      </c>
    </row>
    <row r="113" spans="1:28" x14ac:dyDescent="0.15">
      <c r="A113" s="208" t="s">
        <v>34</v>
      </c>
      <c r="B113" s="208" t="s">
        <v>344</v>
      </c>
      <c r="C113" s="208">
        <v>2018</v>
      </c>
      <c r="D113" s="262" t="s">
        <v>526</v>
      </c>
      <c r="E113" s="208" t="s">
        <v>211</v>
      </c>
      <c r="F113" s="208" t="s">
        <v>336</v>
      </c>
      <c r="G113" s="208" t="s">
        <v>36</v>
      </c>
      <c r="H113" s="208" t="s">
        <v>217</v>
      </c>
      <c r="I113" s="208" t="s">
        <v>155</v>
      </c>
      <c r="J113" s="208" t="s">
        <v>38</v>
      </c>
      <c r="K113" s="208" t="s">
        <v>156</v>
      </c>
      <c r="L113" s="208">
        <v>1</v>
      </c>
      <c r="N113" s="208">
        <v>8</v>
      </c>
      <c r="O113" s="208">
        <v>0.2</v>
      </c>
      <c r="P113" s="208">
        <v>0.2</v>
      </c>
      <c r="Q113" s="245">
        <f t="shared" si="5"/>
        <v>0.2</v>
      </c>
      <c r="R113" s="208">
        <v>16.7</v>
      </c>
      <c r="S113" s="208">
        <v>94</v>
      </c>
      <c r="T113" s="217">
        <f t="shared" si="6"/>
        <v>36</v>
      </c>
      <c r="U113" s="208">
        <v>537</v>
      </c>
      <c r="V113" s="217">
        <f t="shared" si="7"/>
        <v>2416.5</v>
      </c>
      <c r="W113" s="208">
        <v>2</v>
      </c>
      <c r="X113" s="208" t="s">
        <v>46</v>
      </c>
      <c r="Y113" s="208" t="s">
        <v>55</v>
      </c>
      <c r="Z113" s="208" t="s">
        <v>69</v>
      </c>
      <c r="AA113" s="208" t="s">
        <v>97</v>
      </c>
      <c r="AB113" s="208" t="s">
        <v>346</v>
      </c>
    </row>
    <row r="114" spans="1:28" x14ac:dyDescent="0.15">
      <c r="A114" s="208" t="s">
        <v>34</v>
      </c>
      <c r="B114" s="208" t="s">
        <v>344</v>
      </c>
      <c r="C114" s="208">
        <v>2018</v>
      </c>
      <c r="D114" s="262" t="s">
        <v>526</v>
      </c>
      <c r="E114" s="208" t="s">
        <v>211</v>
      </c>
      <c r="F114" s="208" t="s">
        <v>336</v>
      </c>
      <c r="G114" s="208" t="s">
        <v>36</v>
      </c>
      <c r="H114" s="208" t="s">
        <v>217</v>
      </c>
      <c r="I114" s="208" t="s">
        <v>155</v>
      </c>
      <c r="J114" s="208" t="s">
        <v>38</v>
      </c>
      <c r="K114" s="208" t="s">
        <v>156</v>
      </c>
      <c r="L114" s="208">
        <v>2</v>
      </c>
      <c r="N114" s="208">
        <v>8</v>
      </c>
      <c r="O114" s="208">
        <v>0.5</v>
      </c>
      <c r="P114" s="208">
        <v>0.5</v>
      </c>
      <c r="Q114" s="245">
        <f t="shared" si="5"/>
        <v>0.5</v>
      </c>
      <c r="R114" s="208">
        <v>16.100000000000001</v>
      </c>
      <c r="S114" s="208">
        <v>89</v>
      </c>
      <c r="T114" s="217">
        <f t="shared" si="6"/>
        <v>36</v>
      </c>
      <c r="U114" s="208">
        <v>537</v>
      </c>
      <c r="V114" s="217">
        <f t="shared" si="7"/>
        <v>2416.5</v>
      </c>
      <c r="W114" s="208">
        <v>2</v>
      </c>
      <c r="X114" s="208" t="s">
        <v>46</v>
      </c>
      <c r="Y114" s="208" t="s">
        <v>55</v>
      </c>
      <c r="Z114" s="208" t="s">
        <v>69</v>
      </c>
      <c r="AA114" s="208" t="s">
        <v>97</v>
      </c>
      <c r="AB114" s="208" t="s">
        <v>346</v>
      </c>
    </row>
    <row r="115" spans="1:28" x14ac:dyDescent="0.15">
      <c r="A115" s="208" t="s">
        <v>34</v>
      </c>
      <c r="B115" s="208" t="s">
        <v>344</v>
      </c>
      <c r="C115" s="208">
        <v>2018</v>
      </c>
      <c r="D115" s="262" t="s">
        <v>526</v>
      </c>
      <c r="E115" s="208" t="s">
        <v>211</v>
      </c>
      <c r="F115" s="208" t="s">
        <v>336</v>
      </c>
      <c r="G115" s="208" t="s">
        <v>36</v>
      </c>
      <c r="H115" s="208" t="s">
        <v>217</v>
      </c>
      <c r="I115" s="208" t="s">
        <v>155</v>
      </c>
      <c r="J115" s="208" t="s">
        <v>38</v>
      </c>
      <c r="K115" s="208" t="s">
        <v>156</v>
      </c>
      <c r="L115" s="208">
        <v>3</v>
      </c>
      <c r="N115" s="208">
        <v>8</v>
      </c>
      <c r="O115" s="208">
        <v>0.2</v>
      </c>
      <c r="P115" s="208">
        <v>0.2</v>
      </c>
      <c r="Q115" s="245">
        <f t="shared" si="5"/>
        <v>0.2</v>
      </c>
      <c r="R115" s="208">
        <v>13.7</v>
      </c>
      <c r="S115" s="208">
        <v>91</v>
      </c>
      <c r="T115" s="217">
        <f t="shared" si="6"/>
        <v>36</v>
      </c>
      <c r="U115" s="208">
        <v>537</v>
      </c>
      <c r="V115" s="217">
        <f t="shared" si="7"/>
        <v>2416.5</v>
      </c>
      <c r="W115" s="208">
        <v>2</v>
      </c>
      <c r="X115" s="208" t="s">
        <v>46</v>
      </c>
      <c r="Y115" s="208" t="s">
        <v>55</v>
      </c>
      <c r="Z115" s="208" t="s">
        <v>69</v>
      </c>
      <c r="AA115" s="208" t="s">
        <v>97</v>
      </c>
      <c r="AB115" s="208" t="s">
        <v>346</v>
      </c>
    </row>
    <row r="116" spans="1:28" x14ac:dyDescent="0.15">
      <c r="A116" s="208" t="s">
        <v>34</v>
      </c>
      <c r="B116" s="208" t="s">
        <v>344</v>
      </c>
      <c r="C116" s="208">
        <v>2018</v>
      </c>
      <c r="D116" s="262" t="s">
        <v>526</v>
      </c>
      <c r="E116" s="208" t="s">
        <v>211</v>
      </c>
      <c r="F116" s="208" t="s">
        <v>336</v>
      </c>
      <c r="G116" s="208" t="s">
        <v>36</v>
      </c>
      <c r="H116" s="208" t="s">
        <v>165</v>
      </c>
      <c r="I116" s="208" t="s">
        <v>155</v>
      </c>
      <c r="J116" s="208" t="s">
        <v>38</v>
      </c>
      <c r="K116" s="208" t="s">
        <v>156</v>
      </c>
      <c r="L116" s="208">
        <v>1</v>
      </c>
      <c r="N116" s="208">
        <v>1</v>
      </c>
      <c r="O116" s="208">
        <v>0.5</v>
      </c>
      <c r="P116" s="208">
        <v>0.5</v>
      </c>
      <c r="Q116" s="245">
        <f t="shared" si="5"/>
        <v>0.5</v>
      </c>
      <c r="R116" s="208">
        <v>14.8</v>
      </c>
      <c r="S116" s="208">
        <v>148</v>
      </c>
      <c r="T116" s="217">
        <f t="shared" si="6"/>
        <v>30</v>
      </c>
      <c r="U116" s="208">
        <v>138</v>
      </c>
      <c r="V116" s="217">
        <f t="shared" si="7"/>
        <v>4140</v>
      </c>
      <c r="W116" s="208">
        <v>7</v>
      </c>
      <c r="X116" s="208" t="s">
        <v>46</v>
      </c>
      <c r="Y116" s="208" t="s">
        <v>55</v>
      </c>
      <c r="Z116" s="208" t="s">
        <v>69</v>
      </c>
      <c r="AA116" s="208" t="s">
        <v>97</v>
      </c>
      <c r="AB116" s="208" t="s">
        <v>346</v>
      </c>
    </row>
    <row r="117" spans="1:28" x14ac:dyDescent="0.15">
      <c r="A117" s="208" t="s">
        <v>34</v>
      </c>
      <c r="B117" s="208" t="s">
        <v>344</v>
      </c>
      <c r="C117" s="208">
        <v>2018</v>
      </c>
      <c r="D117" s="262" t="s">
        <v>526</v>
      </c>
      <c r="E117" s="208" t="s">
        <v>211</v>
      </c>
      <c r="F117" s="208" t="s">
        <v>336</v>
      </c>
      <c r="G117" s="208" t="s">
        <v>36</v>
      </c>
      <c r="H117" s="208" t="s">
        <v>165</v>
      </c>
      <c r="I117" s="208" t="s">
        <v>155</v>
      </c>
      <c r="J117" s="208" t="s">
        <v>38</v>
      </c>
      <c r="K117" s="208" t="s">
        <v>156</v>
      </c>
      <c r="L117" s="208">
        <v>2</v>
      </c>
      <c r="N117" s="208">
        <v>1</v>
      </c>
      <c r="O117" s="208">
        <v>0.45</v>
      </c>
      <c r="P117" s="208">
        <v>0.55000000000000004</v>
      </c>
      <c r="Q117" s="245">
        <f t="shared" si="5"/>
        <v>0.5</v>
      </c>
      <c r="R117" s="208">
        <v>16.2</v>
      </c>
      <c r="S117" s="208">
        <v>151</v>
      </c>
      <c r="T117" s="217">
        <f t="shared" si="6"/>
        <v>30</v>
      </c>
      <c r="U117" s="208">
        <v>138</v>
      </c>
      <c r="V117" s="217">
        <f t="shared" si="7"/>
        <v>4140</v>
      </c>
      <c r="W117" s="208">
        <v>7</v>
      </c>
      <c r="X117" s="208" t="s">
        <v>46</v>
      </c>
      <c r="Y117" s="208" t="s">
        <v>55</v>
      </c>
      <c r="Z117" s="208" t="s">
        <v>69</v>
      </c>
      <c r="AA117" s="208" t="s">
        <v>97</v>
      </c>
      <c r="AB117" s="208" t="s">
        <v>346</v>
      </c>
    </row>
    <row r="118" spans="1:28" x14ac:dyDescent="0.15">
      <c r="A118" s="208" t="s">
        <v>34</v>
      </c>
      <c r="B118" s="208" t="s">
        <v>344</v>
      </c>
      <c r="C118" s="208">
        <v>2018</v>
      </c>
      <c r="D118" s="262" t="s">
        <v>526</v>
      </c>
      <c r="E118" s="208" t="s">
        <v>211</v>
      </c>
      <c r="F118" s="208" t="s">
        <v>336</v>
      </c>
      <c r="G118" s="208" t="s">
        <v>36</v>
      </c>
      <c r="H118" s="208" t="s">
        <v>165</v>
      </c>
      <c r="I118" s="208" t="s">
        <v>155</v>
      </c>
      <c r="J118" s="208" t="s">
        <v>38</v>
      </c>
      <c r="K118" s="208" t="s">
        <v>156</v>
      </c>
      <c r="L118" s="208">
        <v>3</v>
      </c>
      <c r="N118" s="208">
        <v>1</v>
      </c>
      <c r="O118" s="208">
        <v>0.2</v>
      </c>
      <c r="P118" s="208">
        <v>0.2</v>
      </c>
      <c r="Q118" s="245">
        <f t="shared" si="5"/>
        <v>0.2</v>
      </c>
      <c r="R118" s="208">
        <v>16.899999999999999</v>
      </c>
      <c r="S118" s="208">
        <v>159</v>
      </c>
      <c r="T118" s="217">
        <f t="shared" si="6"/>
        <v>18</v>
      </c>
      <c r="U118" s="208">
        <v>138</v>
      </c>
      <c r="V118" s="217">
        <f t="shared" si="7"/>
        <v>2484</v>
      </c>
      <c r="W118" s="208">
        <v>7</v>
      </c>
      <c r="X118" s="208" t="s">
        <v>46</v>
      </c>
      <c r="Y118" s="208" t="s">
        <v>55</v>
      </c>
      <c r="Z118" s="208" t="s">
        <v>69</v>
      </c>
      <c r="AA118" s="208" t="s">
        <v>97</v>
      </c>
      <c r="AB118" s="208" t="s">
        <v>346</v>
      </c>
    </row>
    <row r="119" spans="1:28" x14ac:dyDescent="0.15">
      <c r="A119" s="208" t="s">
        <v>34</v>
      </c>
      <c r="B119" s="208" t="s">
        <v>344</v>
      </c>
      <c r="C119" s="208">
        <v>2018</v>
      </c>
      <c r="D119" s="262" t="s">
        <v>526</v>
      </c>
      <c r="E119" s="208" t="s">
        <v>211</v>
      </c>
      <c r="F119" s="208" t="s">
        <v>336</v>
      </c>
      <c r="G119" s="208" t="s">
        <v>36</v>
      </c>
      <c r="H119" s="208" t="s">
        <v>165</v>
      </c>
      <c r="I119" s="208" t="s">
        <v>155</v>
      </c>
      <c r="J119" s="208" t="s">
        <v>38</v>
      </c>
      <c r="K119" s="208" t="s">
        <v>156</v>
      </c>
      <c r="L119" s="208">
        <v>1</v>
      </c>
      <c r="N119" s="208">
        <v>6</v>
      </c>
      <c r="O119" s="208">
        <v>0.45</v>
      </c>
      <c r="P119" s="208">
        <v>0.2</v>
      </c>
      <c r="Q119" s="245">
        <f t="shared" si="5"/>
        <v>0.32500000000000001</v>
      </c>
      <c r="R119" s="208">
        <v>17.3</v>
      </c>
      <c r="S119" s="208">
        <v>116</v>
      </c>
      <c r="T119" s="217">
        <f t="shared" si="6"/>
        <v>30</v>
      </c>
      <c r="U119" s="208">
        <v>753</v>
      </c>
      <c r="V119" s="217">
        <f t="shared" si="7"/>
        <v>3765</v>
      </c>
      <c r="W119" s="208">
        <v>7</v>
      </c>
      <c r="X119" s="208" t="s">
        <v>46</v>
      </c>
      <c r="Y119" s="208" t="s">
        <v>55</v>
      </c>
      <c r="Z119" s="208" t="s">
        <v>69</v>
      </c>
      <c r="AA119" s="208" t="s">
        <v>97</v>
      </c>
      <c r="AB119" s="208" t="s">
        <v>346</v>
      </c>
    </row>
    <row r="120" spans="1:28" x14ac:dyDescent="0.15">
      <c r="A120" s="208" t="s">
        <v>34</v>
      </c>
      <c r="B120" s="208" t="s">
        <v>344</v>
      </c>
      <c r="C120" s="208">
        <v>2018</v>
      </c>
      <c r="D120" s="262" t="s">
        <v>526</v>
      </c>
      <c r="E120" s="208" t="s">
        <v>211</v>
      </c>
      <c r="F120" s="208" t="s">
        <v>336</v>
      </c>
      <c r="G120" s="208" t="s">
        <v>36</v>
      </c>
      <c r="H120" s="208" t="s">
        <v>165</v>
      </c>
      <c r="I120" s="208" t="s">
        <v>155</v>
      </c>
      <c r="J120" s="208" t="s">
        <v>38</v>
      </c>
      <c r="K120" s="208" t="s">
        <v>156</v>
      </c>
      <c r="L120" s="208">
        <v>2</v>
      </c>
      <c r="N120" s="208">
        <v>6</v>
      </c>
      <c r="O120" s="208">
        <v>0.2</v>
      </c>
      <c r="P120" s="208">
        <v>0.2</v>
      </c>
      <c r="Q120" s="245">
        <f t="shared" si="5"/>
        <v>0.2</v>
      </c>
      <c r="R120" s="208">
        <v>16.100000000000001</v>
      </c>
      <c r="S120" s="208">
        <v>114</v>
      </c>
      <c r="T120" s="217">
        <f t="shared" si="6"/>
        <v>30</v>
      </c>
      <c r="U120" s="208">
        <v>753</v>
      </c>
      <c r="V120" s="217">
        <f t="shared" si="7"/>
        <v>3765</v>
      </c>
      <c r="W120" s="208">
        <v>7</v>
      </c>
      <c r="X120" s="208" t="s">
        <v>46</v>
      </c>
      <c r="Y120" s="208" t="s">
        <v>55</v>
      </c>
      <c r="Z120" s="208" t="s">
        <v>69</v>
      </c>
      <c r="AA120" s="208" t="s">
        <v>97</v>
      </c>
      <c r="AB120" s="208" t="s">
        <v>346</v>
      </c>
    </row>
    <row r="121" spans="1:28" x14ac:dyDescent="0.15">
      <c r="A121" s="208" t="s">
        <v>34</v>
      </c>
      <c r="B121" s="208" t="s">
        <v>344</v>
      </c>
      <c r="C121" s="208">
        <v>2019</v>
      </c>
      <c r="D121" s="262" t="s">
        <v>526</v>
      </c>
      <c r="E121" s="208" t="s">
        <v>211</v>
      </c>
      <c r="F121" s="208" t="s">
        <v>336</v>
      </c>
      <c r="G121" s="208" t="s">
        <v>36</v>
      </c>
      <c r="H121" s="208" t="s">
        <v>165</v>
      </c>
      <c r="I121" s="208" t="s">
        <v>155</v>
      </c>
      <c r="J121" s="208" t="s">
        <v>38</v>
      </c>
      <c r="K121" s="208" t="s">
        <v>156</v>
      </c>
      <c r="L121" s="208">
        <v>3</v>
      </c>
      <c r="N121" s="208">
        <v>6</v>
      </c>
      <c r="O121" s="208">
        <v>0.45</v>
      </c>
      <c r="P121" s="208">
        <v>0.6</v>
      </c>
      <c r="Q121" s="245">
        <f t="shared" si="5"/>
        <v>0.52500000000000002</v>
      </c>
      <c r="R121" s="208">
        <v>17.5</v>
      </c>
      <c r="S121" s="208">
        <v>118</v>
      </c>
      <c r="T121" s="217">
        <f t="shared" si="6"/>
        <v>30</v>
      </c>
      <c r="U121" s="208">
        <v>753</v>
      </c>
      <c r="V121" s="217">
        <f t="shared" si="7"/>
        <v>3765</v>
      </c>
      <c r="W121" s="208">
        <v>7</v>
      </c>
      <c r="X121" s="208" t="s">
        <v>46</v>
      </c>
      <c r="Y121" s="208" t="s">
        <v>55</v>
      </c>
      <c r="Z121" s="208" t="s">
        <v>69</v>
      </c>
      <c r="AA121" s="208" t="s">
        <v>97</v>
      </c>
      <c r="AB121" s="208" t="s">
        <v>346</v>
      </c>
    </row>
    <row r="122" spans="1:28" x14ac:dyDescent="0.15">
      <c r="Q122" s="245" t="str">
        <f t="shared" si="5"/>
        <v/>
      </c>
      <c r="T122" s="217" t="str">
        <f t="shared" si="6"/>
        <v/>
      </c>
      <c r="V122" s="217" t="str">
        <f t="shared" si="7"/>
        <v/>
      </c>
    </row>
    <row r="123" spans="1:28" x14ac:dyDescent="0.15">
      <c r="Q123" s="245" t="str">
        <f t="shared" si="5"/>
        <v/>
      </c>
      <c r="T123" s="217" t="str">
        <f t="shared" si="6"/>
        <v/>
      </c>
      <c r="V123" s="217" t="str">
        <f t="shared" si="7"/>
        <v/>
      </c>
    </row>
    <row r="124" spans="1:28" x14ac:dyDescent="0.15">
      <c r="Q124" s="245" t="str">
        <f t="shared" si="5"/>
        <v/>
      </c>
      <c r="T124" s="217" t="str">
        <f t="shared" si="6"/>
        <v/>
      </c>
      <c r="V124" s="217" t="str">
        <f t="shared" si="7"/>
        <v/>
      </c>
    </row>
    <row r="125" spans="1:28" x14ac:dyDescent="0.15">
      <c r="Q125" s="245" t="str">
        <f t="shared" si="5"/>
        <v/>
      </c>
      <c r="T125" s="217" t="str">
        <f t="shared" si="6"/>
        <v/>
      </c>
      <c r="V125" s="217" t="str">
        <f t="shared" si="7"/>
        <v/>
      </c>
    </row>
    <row r="126" spans="1:28" x14ac:dyDescent="0.15">
      <c r="Q126" s="245" t="str">
        <f t="shared" si="5"/>
        <v/>
      </c>
      <c r="T126" s="217" t="str">
        <f t="shared" si="6"/>
        <v/>
      </c>
      <c r="V126" s="217" t="str">
        <f t="shared" si="7"/>
        <v/>
      </c>
    </row>
    <row r="127" spans="1:28" x14ac:dyDescent="0.15">
      <c r="Q127" s="245" t="str">
        <f t="shared" si="5"/>
        <v/>
      </c>
      <c r="T127" s="217" t="str">
        <f t="shared" si="6"/>
        <v/>
      </c>
      <c r="V127" s="217" t="str">
        <f t="shared" si="7"/>
        <v/>
      </c>
    </row>
    <row r="128" spans="1:28" x14ac:dyDescent="0.15">
      <c r="Q128" s="245" t="str">
        <f t="shared" si="5"/>
        <v/>
      </c>
      <c r="T128" s="217" t="str">
        <f t="shared" si="6"/>
        <v/>
      </c>
      <c r="V128" s="217" t="str">
        <f t="shared" si="7"/>
        <v/>
      </c>
    </row>
    <row r="129" spans="17:22" x14ac:dyDescent="0.15">
      <c r="Q129" s="245" t="str">
        <f t="shared" si="5"/>
        <v/>
      </c>
      <c r="T129" s="217" t="str">
        <f t="shared" si="6"/>
        <v/>
      </c>
      <c r="V129" s="217" t="str">
        <f t="shared" si="7"/>
        <v/>
      </c>
    </row>
    <row r="130" spans="17:22" x14ac:dyDescent="0.15">
      <c r="Q130" s="245" t="str">
        <f t="shared" si="5"/>
        <v/>
      </c>
      <c r="T130" s="217" t="str">
        <f t="shared" si="6"/>
        <v/>
      </c>
      <c r="V130" s="217" t="str">
        <f t="shared" si="7"/>
        <v/>
      </c>
    </row>
    <row r="131" spans="17:22" x14ac:dyDescent="0.15">
      <c r="Q131" s="245" t="str">
        <f t="shared" si="5"/>
        <v/>
      </c>
      <c r="T131" s="217" t="str">
        <f t="shared" si="6"/>
        <v/>
      </c>
      <c r="V131" s="217" t="str">
        <f t="shared" si="7"/>
        <v/>
      </c>
    </row>
    <row r="132" spans="17:22" x14ac:dyDescent="0.15">
      <c r="Q132" s="245" t="str">
        <f t="shared" si="5"/>
        <v/>
      </c>
      <c r="T132" s="217" t="str">
        <f t="shared" si="6"/>
        <v/>
      </c>
      <c r="V132" s="217" t="str">
        <f t="shared" si="7"/>
        <v/>
      </c>
    </row>
    <row r="133" spans="17:22" x14ac:dyDescent="0.15">
      <c r="T133" s="217" t="str">
        <f t="shared" si="6"/>
        <v/>
      </c>
      <c r="V133" s="217" t="str">
        <f t="shared" si="7"/>
        <v/>
      </c>
    </row>
    <row r="134" spans="17:22" x14ac:dyDescent="0.15">
      <c r="T134" s="217" t="str">
        <f t="shared" si="6"/>
        <v/>
      </c>
      <c r="V134" s="217" t="str">
        <f t="shared" si="7"/>
        <v/>
      </c>
    </row>
    <row r="135" spans="17:22" x14ac:dyDescent="0.15">
      <c r="T135" s="217" t="str">
        <f t="shared" si="6"/>
        <v/>
      </c>
      <c r="V135" s="217" t="str">
        <f t="shared" si="7"/>
        <v/>
      </c>
    </row>
    <row r="136" spans="17:22" x14ac:dyDescent="0.15">
      <c r="T136" s="217" t="str">
        <f t="shared" si="6"/>
        <v/>
      </c>
      <c r="V136" s="217" t="str">
        <f t="shared" si="7"/>
        <v/>
      </c>
    </row>
    <row r="137" spans="17:22" x14ac:dyDescent="0.15">
      <c r="T137" s="217" t="str">
        <f t="shared" si="6"/>
        <v/>
      </c>
    </row>
    <row r="138" spans="17:22" x14ac:dyDescent="0.15">
      <c r="T138" s="217" t="str">
        <f t="shared" si="6"/>
        <v/>
      </c>
    </row>
    <row r="139" spans="17:22" x14ac:dyDescent="0.15">
      <c r="T139" s="217" t="str">
        <f t="shared" si="6"/>
        <v/>
      </c>
    </row>
  </sheetData>
  <autoFilter ref="A1:BA84"/>
  <phoneticPr fontId="3"/>
  <dataValidations count="12">
    <dataValidation type="list" allowBlank="1" showInputMessage="1" showErrorMessage="1" sqref="K2:K755">
      <formula1>$AR$2:$AR$23</formula1>
    </dataValidation>
    <dataValidation type="list" allowBlank="1" showInputMessage="1" showErrorMessage="1" sqref="A2:A442">
      <formula1>$AE$2:$AE$19</formula1>
    </dataValidation>
    <dataValidation type="list" allowBlank="1" showInputMessage="1" showErrorMessage="1" sqref="Y2:AA443">
      <formula1>$AV$2:$AV$21</formula1>
    </dataValidation>
    <dataValidation type="list" allowBlank="1" showInputMessage="1" showErrorMessage="1" sqref="H2:H443">
      <formula1>$AL$2:$AL$8</formula1>
    </dataValidation>
    <dataValidation type="list" allowBlank="1" showInputMessage="1" showErrorMessage="1" sqref="X2:X443">
      <formula1>$AT$2:$AT$3</formula1>
    </dataValidation>
    <dataValidation type="list" allowBlank="1" showInputMessage="1" showErrorMessage="1" sqref="G2:G443">
      <formula1>$AJ$2:$AJ$4</formula1>
    </dataValidation>
    <dataValidation type="list" allowBlank="1" showInputMessage="1" showErrorMessage="1" sqref="I2:I443">
      <formula1>$AN$5:$AN$6</formula1>
    </dataValidation>
    <dataValidation type="list" allowBlank="1" showInputMessage="1" showErrorMessage="1" sqref="J2:J443">
      <formula1>$AP$2:$AP$24</formula1>
    </dataValidation>
    <dataValidation type="list" allowBlank="1" showInputMessage="1" showErrorMessage="1" sqref="F2:F443">
      <formula1>$AH$2:$AH$11</formula1>
    </dataValidation>
    <dataValidation type="list" allowBlank="1" showInputMessage="1" showErrorMessage="1" sqref="E2:E443">
      <formula1>$AG$2:$AG$11</formula1>
    </dataValidation>
    <dataValidation type="decimal" allowBlank="1" showInputMessage="1" showErrorMessage="1" error="硬度を正しく入力して下さい。" sqref="O2:P49 O59:P443">
      <formula1>0</formula1>
      <formula2>7</formula2>
    </dataValidation>
    <dataValidation operator="equal" allowBlank="1" showInputMessage="1" showErrorMessage="1" sqref="B2:B100"/>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3700839-4227-4AF4-BC05-40EEAF0BEAA2}"/>
</file>

<file path=customXml/itemProps2.xml><?xml version="1.0" encoding="utf-8"?>
<ds:datastoreItem xmlns:ds="http://schemas.openxmlformats.org/officeDocument/2006/customXml" ds:itemID="{13868B87-67E1-482E-8B62-DDE78683C120}"/>
</file>

<file path=customXml/itemProps3.xml><?xml version="1.0" encoding="utf-8"?>
<ds:datastoreItem xmlns:ds="http://schemas.openxmlformats.org/officeDocument/2006/customXml" ds:itemID="{D868F6D8-8337-4E96-99D3-12FF7A74940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tokyo-east(ota)</vt:lpstr>
      <vt:lpstr>tokyo-west(kato)</vt:lpstr>
      <vt:lpstr>hiroshima!Print_Area</vt:lpstr>
      <vt:lpstr>'tokyo-east(ota)'!Print_Area</vt:lpstr>
      <vt:lpstr>nagoya!栽培方法</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共通 ユーザー</cp:lastModifiedBy>
  <dcterms:created xsi:type="dcterms:W3CDTF">2012-06-11T10:59:48Z</dcterms:created>
  <dcterms:modified xsi:type="dcterms:W3CDTF">2018-07-09T02:03:17Z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