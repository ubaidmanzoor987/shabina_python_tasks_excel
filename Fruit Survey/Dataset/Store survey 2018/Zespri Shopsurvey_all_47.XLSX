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32" r:id="rId3"/>
    <sheet name="osaka" sheetId="27" r:id="rId4"/>
    <sheet name="hiroshima" sheetId="28" r:id="rId5"/>
    <sheet name="fukuoka" sheetId="29" r:id="rId6"/>
    <sheet name="tokyo-east(ota)" sheetId="30" r:id="rId7"/>
    <sheet name="tokyo-west(kato)" sheetId="31"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fukuoka!$A$1:$BA$146</definedName>
    <definedName name="_xlnm._FilterDatabase" localSheetId="4" hidden="1">hiroshima!$A$1:$BA$1</definedName>
    <definedName name="_xlnm._FilterDatabase" localSheetId="1" hidden="1">miyagi!$A$1:$BA$85</definedName>
    <definedName name="_xlnm._FilterDatabase" localSheetId="2" hidden="1">nagoya!$A$1:$BA$52</definedName>
    <definedName name="_xlnm._FilterDatabase" localSheetId="3" hidden="1">osaka!$A$1:$BA$79</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52" i="32" l="1"/>
  <c r="V52" i="32" s="1"/>
  <c r="Q52" i="32"/>
  <c r="T51" i="32"/>
  <c r="V51" i="32" s="1"/>
  <c r="Q51" i="32"/>
  <c r="T50" i="32"/>
  <c r="V50" i="32" s="1"/>
  <c r="Q50" i="32"/>
  <c r="V49" i="32"/>
  <c r="T49" i="32"/>
  <c r="Q49" i="32"/>
  <c r="T48" i="32"/>
  <c r="V48" i="32" s="1"/>
  <c r="Q48" i="32"/>
  <c r="V47" i="32"/>
  <c r="T47" i="32"/>
  <c r="Q47" i="32"/>
  <c r="T46" i="32"/>
  <c r="V46" i="32" s="1"/>
  <c r="Q46" i="32"/>
  <c r="V45" i="32"/>
  <c r="T45" i="32"/>
  <c r="Q45" i="32"/>
  <c r="T44" i="32"/>
  <c r="V44" i="32" s="1"/>
  <c r="Q44" i="32"/>
  <c r="V43" i="32"/>
  <c r="T43" i="32"/>
  <c r="Q43" i="32"/>
  <c r="T42" i="32"/>
  <c r="V42" i="32" s="1"/>
  <c r="Q42" i="32"/>
  <c r="V41" i="32"/>
  <c r="T41" i="32"/>
  <c r="Q41" i="32"/>
  <c r="T40" i="32"/>
  <c r="V40" i="32" s="1"/>
  <c r="Q40" i="32"/>
  <c r="V39" i="32"/>
  <c r="T39" i="32"/>
  <c r="Q39" i="32"/>
  <c r="T38" i="32"/>
  <c r="V38" i="32" s="1"/>
  <c r="Q38" i="32"/>
  <c r="V37" i="32"/>
  <c r="T37" i="32"/>
  <c r="Q37" i="32"/>
  <c r="T36" i="32"/>
  <c r="V36" i="32" s="1"/>
  <c r="Q36" i="32"/>
  <c r="V35" i="32"/>
  <c r="T35" i="32"/>
  <c r="Q35" i="32"/>
  <c r="T34" i="32"/>
  <c r="V34" i="32" s="1"/>
  <c r="Q34" i="32"/>
  <c r="V33" i="32"/>
  <c r="T33" i="32"/>
  <c r="Q33" i="32"/>
  <c r="T32" i="32"/>
  <c r="V32" i="32" s="1"/>
  <c r="Q32" i="32"/>
  <c r="V31" i="32"/>
  <c r="T31" i="32"/>
  <c r="Q31" i="32"/>
  <c r="T30" i="32"/>
  <c r="V30" i="32" s="1"/>
  <c r="Q30" i="32"/>
  <c r="V29" i="32"/>
  <c r="T29" i="32"/>
  <c r="Q29" i="32"/>
  <c r="T28" i="32"/>
  <c r="V28" i="32" s="1"/>
  <c r="Q28" i="32"/>
  <c r="V27" i="32"/>
  <c r="T27" i="32"/>
  <c r="Q27" i="32"/>
  <c r="T26" i="32"/>
  <c r="V26" i="32" s="1"/>
  <c r="Q26" i="32"/>
  <c r="V25" i="32"/>
  <c r="T25" i="32"/>
  <c r="Q25" i="32"/>
  <c r="T24" i="32"/>
  <c r="V24" i="32" s="1"/>
  <c r="Q24" i="32"/>
  <c r="V23" i="32"/>
  <c r="T23" i="32"/>
  <c r="Q23" i="32"/>
  <c r="T22" i="32"/>
  <c r="V22" i="32" s="1"/>
  <c r="Q22" i="32"/>
  <c r="V21" i="32"/>
  <c r="T21" i="32"/>
  <c r="Q21" i="32"/>
  <c r="T20" i="32"/>
  <c r="V20" i="32" s="1"/>
  <c r="Q20" i="32"/>
  <c r="V19" i="32"/>
  <c r="T19" i="32"/>
  <c r="Q19" i="32"/>
  <c r="T18" i="32"/>
  <c r="V18" i="32" s="1"/>
  <c r="Q18" i="32"/>
  <c r="V17" i="32"/>
  <c r="T17" i="32"/>
  <c r="Q17" i="32"/>
  <c r="T16" i="32"/>
  <c r="V16" i="32" s="1"/>
  <c r="Q16" i="32"/>
  <c r="V15" i="32"/>
  <c r="T15" i="32"/>
  <c r="Q15" i="32"/>
  <c r="T14" i="32"/>
  <c r="V14" i="32" s="1"/>
  <c r="Q14" i="32"/>
  <c r="V13" i="32"/>
  <c r="T13" i="32"/>
  <c r="Q13" i="32"/>
  <c r="T12" i="32"/>
  <c r="V12" i="32" s="1"/>
  <c r="Q12" i="32"/>
  <c r="V11" i="32"/>
  <c r="T11" i="32"/>
  <c r="Q11" i="32"/>
  <c r="T10" i="32"/>
  <c r="V10" i="32" s="1"/>
  <c r="Q10" i="32"/>
  <c r="V9" i="32"/>
  <c r="T9" i="32"/>
  <c r="Q9" i="32"/>
  <c r="T8" i="32"/>
  <c r="V8" i="32" s="1"/>
  <c r="Q8" i="32"/>
  <c r="V7" i="32"/>
  <c r="T7" i="32"/>
  <c r="Q7" i="32"/>
  <c r="T6" i="32"/>
  <c r="V6" i="32" s="1"/>
  <c r="Q6" i="32"/>
  <c r="V5" i="32"/>
  <c r="T5" i="32"/>
  <c r="Q5" i="32"/>
  <c r="T4" i="32"/>
  <c r="V4" i="32" s="1"/>
  <c r="Q4" i="32"/>
  <c r="V3" i="32"/>
  <c r="T3" i="32"/>
  <c r="Q3" i="32"/>
  <c r="T2" i="32"/>
  <c r="V2" i="32" s="1"/>
  <c r="Q2" i="32"/>
  <c r="V82" i="31" l="1"/>
  <c r="T82" i="31"/>
  <c r="Q82" i="31"/>
  <c r="T81" i="31"/>
  <c r="V81" i="31" s="1"/>
  <c r="Q81" i="31"/>
  <c r="T80" i="31"/>
  <c r="V80" i="31" s="1"/>
  <c r="Q80" i="31"/>
  <c r="V79" i="31"/>
  <c r="T79" i="31"/>
  <c r="Q79" i="31"/>
  <c r="V78" i="31"/>
  <c r="T78" i="31"/>
  <c r="Q78" i="31"/>
  <c r="T77" i="31"/>
  <c r="V77" i="31" s="1"/>
  <c r="Q77" i="31"/>
  <c r="T76" i="31"/>
  <c r="V76" i="31" s="1"/>
  <c r="Q76" i="31"/>
  <c r="V75" i="31"/>
  <c r="T75" i="31"/>
  <c r="Q75" i="31"/>
  <c r="V74" i="31"/>
  <c r="T74" i="31"/>
  <c r="Q74" i="31"/>
  <c r="T73" i="31"/>
  <c r="V73" i="31" s="1"/>
  <c r="Q73" i="31"/>
  <c r="T72" i="31"/>
  <c r="V72" i="31" s="1"/>
  <c r="Q72" i="31"/>
  <c r="V71" i="31"/>
  <c r="T71" i="31"/>
  <c r="Q71" i="31"/>
  <c r="V70" i="31"/>
  <c r="T70" i="31"/>
  <c r="Q70" i="31"/>
  <c r="T69" i="31"/>
  <c r="V69" i="31" s="1"/>
  <c r="Q69" i="31"/>
  <c r="T68" i="31"/>
  <c r="V68" i="31" s="1"/>
  <c r="Q68" i="31"/>
  <c r="V67" i="31"/>
  <c r="T67" i="31"/>
  <c r="Q67" i="31"/>
  <c r="V66" i="31"/>
  <c r="T66" i="31"/>
  <c r="Q66" i="31"/>
  <c r="T65" i="31"/>
  <c r="V65" i="31" s="1"/>
  <c r="Q65" i="31"/>
  <c r="T64" i="31"/>
  <c r="V64" i="31" s="1"/>
  <c r="Q64" i="31"/>
  <c r="V63" i="31"/>
  <c r="T63" i="31"/>
  <c r="Q63" i="31"/>
  <c r="V62" i="31"/>
  <c r="T62" i="31"/>
  <c r="Q62" i="31"/>
  <c r="T61" i="31"/>
  <c r="V61" i="31" s="1"/>
  <c r="Q61" i="31"/>
  <c r="T60" i="31"/>
  <c r="V60" i="31" s="1"/>
  <c r="Q60" i="31"/>
  <c r="V59" i="31"/>
  <c r="T59" i="31"/>
  <c r="Q59" i="31"/>
  <c r="V58" i="31"/>
  <c r="T58" i="31"/>
  <c r="Q58" i="31"/>
  <c r="T57" i="31"/>
  <c r="V57" i="31" s="1"/>
  <c r="Q57" i="31"/>
  <c r="T56" i="31"/>
  <c r="V56" i="31" s="1"/>
  <c r="Q56" i="31"/>
  <c r="V55" i="31"/>
  <c r="T55" i="31"/>
  <c r="Q55" i="31"/>
  <c r="V54" i="31"/>
  <c r="T54" i="31"/>
  <c r="Q54" i="31"/>
  <c r="T53" i="31"/>
  <c r="V53" i="31" s="1"/>
  <c r="Q53" i="31"/>
  <c r="T52" i="31"/>
  <c r="V52" i="31" s="1"/>
  <c r="Q52" i="31"/>
  <c r="V51" i="31"/>
  <c r="T51" i="31"/>
  <c r="Q51" i="31"/>
  <c r="V50" i="31"/>
  <c r="T50" i="31"/>
  <c r="Q50" i="31"/>
  <c r="T49" i="31"/>
  <c r="V49" i="31" s="1"/>
  <c r="Q49" i="31"/>
  <c r="T48" i="31"/>
  <c r="V48" i="31" s="1"/>
  <c r="Q48" i="31"/>
  <c r="V47" i="31"/>
  <c r="T47" i="31"/>
  <c r="Q47" i="31"/>
  <c r="V46" i="31"/>
  <c r="T46" i="31"/>
  <c r="Q46" i="31"/>
  <c r="T45" i="31"/>
  <c r="V45" i="31" s="1"/>
  <c r="Q45" i="31"/>
  <c r="T44" i="31"/>
  <c r="V44" i="31" s="1"/>
  <c r="Q44" i="31"/>
  <c r="V43" i="31"/>
  <c r="T43" i="31"/>
  <c r="Q43" i="31"/>
  <c r="V42" i="31"/>
  <c r="T42" i="31"/>
  <c r="Q42" i="31"/>
  <c r="T41" i="31"/>
  <c r="V41" i="31" s="1"/>
  <c r="Q41" i="31"/>
  <c r="T40" i="31"/>
  <c r="V40" i="31" s="1"/>
  <c r="Q40" i="31"/>
  <c r="V39" i="31"/>
  <c r="T39" i="31"/>
  <c r="Q39" i="31"/>
  <c r="V38" i="31"/>
  <c r="T38" i="31"/>
  <c r="Q38" i="31"/>
  <c r="T37" i="31"/>
  <c r="V37" i="31" s="1"/>
  <c r="Q37" i="31"/>
  <c r="T36" i="31"/>
  <c r="V36" i="31" s="1"/>
  <c r="Q36" i="31"/>
  <c r="V35" i="31"/>
  <c r="T35" i="31"/>
  <c r="Q35" i="31"/>
  <c r="V34" i="31"/>
  <c r="T34" i="31"/>
  <c r="Q34" i="31"/>
  <c r="T33" i="31"/>
  <c r="V33" i="31" s="1"/>
  <c r="Q33" i="31"/>
  <c r="T32" i="31"/>
  <c r="V32" i="31" s="1"/>
  <c r="Q32" i="31"/>
  <c r="V31" i="31"/>
  <c r="T31" i="31"/>
  <c r="Q31" i="31"/>
  <c r="V30" i="31"/>
  <c r="T30" i="31"/>
  <c r="Q30" i="31"/>
  <c r="T29" i="31"/>
  <c r="V29" i="31" s="1"/>
  <c r="Q29" i="31"/>
  <c r="T28" i="31"/>
  <c r="V28" i="31" s="1"/>
  <c r="Q28" i="31"/>
  <c r="V27" i="31"/>
  <c r="T27" i="31"/>
  <c r="Q27" i="31"/>
  <c r="V26" i="31"/>
  <c r="T26" i="31"/>
  <c r="Q26" i="31"/>
  <c r="T25" i="31"/>
  <c r="V25" i="31" s="1"/>
  <c r="Q25" i="31"/>
  <c r="T24" i="31"/>
  <c r="V24" i="31" s="1"/>
  <c r="Q24" i="31"/>
  <c r="V23" i="31"/>
  <c r="T23" i="31"/>
  <c r="Q23" i="31"/>
  <c r="V22" i="31"/>
  <c r="T22" i="31"/>
  <c r="Q22" i="31"/>
  <c r="T21" i="31"/>
  <c r="V21" i="31" s="1"/>
  <c r="Q21" i="31"/>
  <c r="T20" i="31"/>
  <c r="V20" i="31" s="1"/>
  <c r="Q20" i="31"/>
  <c r="V19" i="31"/>
  <c r="T19" i="31"/>
  <c r="Q19" i="31"/>
  <c r="V18" i="31"/>
  <c r="T18" i="31"/>
  <c r="Q18" i="31"/>
  <c r="T17" i="31"/>
  <c r="V17" i="31" s="1"/>
  <c r="Q17" i="31"/>
  <c r="T16" i="31"/>
  <c r="V16" i="31" s="1"/>
  <c r="Q16" i="31"/>
  <c r="V15" i="31"/>
  <c r="T15" i="31"/>
  <c r="Q15" i="31"/>
  <c r="V14" i="31"/>
  <c r="T14" i="31"/>
  <c r="Q14" i="31"/>
  <c r="T13" i="31"/>
  <c r="V13" i="31" s="1"/>
  <c r="Q13" i="31"/>
  <c r="T12" i="31"/>
  <c r="V12" i="31" s="1"/>
  <c r="Q12" i="31"/>
  <c r="V11" i="31"/>
  <c r="T11" i="31"/>
  <c r="Q11" i="31"/>
  <c r="V10" i="31"/>
  <c r="T10" i="31"/>
  <c r="Q10" i="31"/>
  <c r="T9" i="31"/>
  <c r="V9" i="31" s="1"/>
  <c r="Q9" i="31"/>
  <c r="T8" i="31"/>
  <c r="V8" i="31" s="1"/>
  <c r="Q8" i="31"/>
  <c r="V7" i="31"/>
  <c r="T7" i="31"/>
  <c r="Q7" i="31"/>
  <c r="V6" i="31"/>
  <c r="T6" i="31"/>
  <c r="Q6" i="31"/>
  <c r="T5" i="31"/>
  <c r="V5" i="31" s="1"/>
  <c r="Q5" i="31"/>
  <c r="T4" i="31"/>
  <c r="V4" i="31" s="1"/>
  <c r="Q4" i="31"/>
  <c r="V3" i="31"/>
  <c r="T3" i="31"/>
  <c r="Q3" i="31"/>
  <c r="T2" i="31"/>
  <c r="V2" i="31" s="1"/>
  <c r="Q2" i="31"/>
  <c r="V91" i="30" l="1"/>
  <c r="T91" i="30"/>
  <c r="Q91" i="30"/>
  <c r="T90" i="30"/>
  <c r="V90" i="30" s="1"/>
  <c r="Q90" i="30"/>
  <c r="V89" i="30"/>
  <c r="T89" i="30"/>
  <c r="Q89" i="30"/>
  <c r="T88" i="30"/>
  <c r="V88" i="30" s="1"/>
  <c r="Q88" i="30"/>
  <c r="V87" i="30"/>
  <c r="T87" i="30"/>
  <c r="Q87" i="30"/>
  <c r="T86" i="30"/>
  <c r="V86" i="30" s="1"/>
  <c r="Q86" i="30"/>
  <c r="V85" i="30"/>
  <c r="T85" i="30"/>
  <c r="Q85" i="30"/>
  <c r="T84" i="30"/>
  <c r="V84" i="30" s="1"/>
  <c r="Q84" i="30"/>
  <c r="V83" i="30"/>
  <c r="T83" i="30"/>
  <c r="Q83" i="30"/>
  <c r="T82" i="30"/>
  <c r="V82" i="30" s="1"/>
  <c r="Q82" i="30"/>
  <c r="V81" i="30"/>
  <c r="T81" i="30"/>
  <c r="Q81" i="30"/>
  <c r="T80" i="30"/>
  <c r="V80" i="30" s="1"/>
  <c r="Q80" i="30"/>
  <c r="V79" i="30"/>
  <c r="T79" i="30"/>
  <c r="Q79" i="30"/>
  <c r="T78" i="30"/>
  <c r="V78" i="30" s="1"/>
  <c r="Q78" i="30"/>
  <c r="V77" i="30"/>
  <c r="T77" i="30"/>
  <c r="Q77" i="30"/>
  <c r="T76" i="30"/>
  <c r="V76" i="30" s="1"/>
  <c r="Q76" i="30"/>
  <c r="V75" i="30"/>
  <c r="T75" i="30"/>
  <c r="Q75" i="30"/>
  <c r="T74" i="30"/>
  <c r="V74" i="30" s="1"/>
  <c r="Q74" i="30"/>
  <c r="V73" i="30"/>
  <c r="T73" i="30"/>
  <c r="Q73" i="30"/>
  <c r="T72" i="30"/>
  <c r="V72" i="30" s="1"/>
  <c r="Q72" i="30"/>
  <c r="V71" i="30"/>
  <c r="T71" i="30"/>
  <c r="Q71" i="30"/>
  <c r="T70" i="30"/>
  <c r="V70" i="30" s="1"/>
  <c r="Q70" i="30"/>
  <c r="V69" i="30"/>
  <c r="T69" i="30"/>
  <c r="Q69" i="30"/>
  <c r="T68" i="30"/>
  <c r="V68" i="30" s="1"/>
  <c r="Q68" i="30"/>
  <c r="V67" i="30"/>
  <c r="T67" i="30"/>
  <c r="Q67" i="30"/>
  <c r="T66" i="30"/>
  <c r="V66" i="30" s="1"/>
  <c r="Q66" i="30"/>
  <c r="V65" i="30"/>
  <c r="T65" i="30"/>
  <c r="Q65" i="30"/>
  <c r="T64" i="30"/>
  <c r="V64" i="30" s="1"/>
  <c r="Q64" i="30"/>
  <c r="V63" i="30"/>
  <c r="T63" i="30"/>
  <c r="Q63" i="30"/>
  <c r="T62" i="30"/>
  <c r="V62" i="30" s="1"/>
  <c r="Q62" i="30"/>
  <c r="T40" i="30"/>
  <c r="V40" i="30" s="1"/>
  <c r="Q40" i="30"/>
  <c r="T39" i="30"/>
  <c r="V39" i="30" s="1"/>
  <c r="Q39" i="30"/>
  <c r="V38" i="30"/>
  <c r="T38" i="30"/>
  <c r="Q38" i="30"/>
  <c r="T37" i="30"/>
  <c r="V37" i="30" s="1"/>
  <c r="Q37" i="30"/>
  <c r="T36" i="30"/>
  <c r="V36" i="30" s="1"/>
  <c r="Q36" i="30"/>
  <c r="T35" i="30"/>
  <c r="V35" i="30" s="1"/>
  <c r="Q35" i="30"/>
  <c r="V34" i="30"/>
  <c r="T34" i="30"/>
  <c r="Q34" i="30"/>
  <c r="T33" i="30"/>
  <c r="V33" i="30" s="1"/>
  <c r="Q33" i="30"/>
  <c r="T32" i="30"/>
  <c r="V32" i="30" s="1"/>
  <c r="Q32" i="30"/>
  <c r="T31" i="30"/>
  <c r="V31" i="30" s="1"/>
  <c r="Q31" i="30"/>
  <c r="V30" i="30"/>
  <c r="T30" i="30"/>
  <c r="Q30" i="30"/>
  <c r="T29" i="30"/>
  <c r="V29" i="30" s="1"/>
  <c r="Q29" i="30"/>
  <c r="V28" i="30"/>
  <c r="T28" i="30"/>
  <c r="Q28" i="30"/>
  <c r="T27" i="30"/>
  <c r="V27" i="30" s="1"/>
  <c r="Q27" i="30"/>
  <c r="V26" i="30"/>
  <c r="T26" i="30"/>
  <c r="Q26" i="30"/>
  <c r="T25" i="30"/>
  <c r="V25" i="30" s="1"/>
  <c r="Q25" i="30"/>
  <c r="V24" i="30"/>
  <c r="T24" i="30"/>
  <c r="Q24" i="30"/>
  <c r="T23" i="30"/>
  <c r="V23" i="30" s="1"/>
  <c r="Q23" i="30"/>
  <c r="V22" i="30"/>
  <c r="T22" i="30"/>
  <c r="Q22" i="30"/>
  <c r="T21" i="30"/>
  <c r="V21" i="30" s="1"/>
  <c r="Q21" i="30"/>
  <c r="V20" i="30"/>
  <c r="T20" i="30"/>
  <c r="Q20" i="30"/>
  <c r="T19" i="30"/>
  <c r="V19" i="30" s="1"/>
  <c r="Q19" i="30"/>
  <c r="V18" i="30"/>
  <c r="T18" i="30"/>
  <c r="Q18" i="30"/>
  <c r="T17" i="30"/>
  <c r="V17" i="30" s="1"/>
  <c r="Q17" i="30"/>
  <c r="V16" i="30"/>
  <c r="T16" i="30"/>
  <c r="Q16" i="30"/>
  <c r="T15" i="30"/>
  <c r="V15" i="30" s="1"/>
  <c r="Q15" i="30"/>
  <c r="V14" i="30"/>
  <c r="T14" i="30"/>
  <c r="Q14" i="30"/>
  <c r="T13" i="30"/>
  <c r="V13" i="30" s="1"/>
  <c r="Q13" i="30"/>
  <c r="V12" i="30"/>
  <c r="T12" i="30"/>
  <c r="Q12" i="30"/>
  <c r="T11" i="30"/>
  <c r="V11" i="30" s="1"/>
  <c r="Q11" i="30"/>
  <c r="V10" i="30"/>
  <c r="T10" i="30"/>
  <c r="Q10" i="30"/>
  <c r="T9" i="30"/>
  <c r="V9" i="30" s="1"/>
  <c r="Q9" i="30"/>
  <c r="V8" i="30"/>
  <c r="T8" i="30"/>
  <c r="Q8" i="30"/>
  <c r="T7" i="30"/>
  <c r="V7" i="30" s="1"/>
  <c r="Q7" i="30"/>
  <c r="V6" i="30"/>
  <c r="T6" i="30"/>
  <c r="Q6" i="30"/>
  <c r="T5" i="30"/>
  <c r="V5" i="30" s="1"/>
  <c r="Q5" i="30"/>
  <c r="V4" i="30"/>
  <c r="T4" i="30"/>
  <c r="Q4" i="30"/>
  <c r="T3" i="30"/>
  <c r="V3" i="30" s="1"/>
  <c r="Q3" i="30"/>
  <c r="V2" i="30"/>
  <c r="T2" i="30"/>
  <c r="Q2" i="30"/>
  <c r="V146" i="29" l="1"/>
  <c r="T146" i="29"/>
  <c r="Q146" i="29"/>
  <c r="V145" i="29"/>
  <c r="T145" i="29"/>
  <c r="Q145" i="29"/>
  <c r="V144" i="29"/>
  <c r="T144" i="29"/>
  <c r="Q144" i="29"/>
  <c r="V143" i="29"/>
  <c r="T143" i="29"/>
  <c r="Q143" i="29"/>
  <c r="V142" i="29"/>
  <c r="T142" i="29"/>
  <c r="Q142" i="29"/>
  <c r="V141" i="29"/>
  <c r="T141" i="29"/>
  <c r="Q141" i="29"/>
  <c r="V140" i="29"/>
  <c r="T140" i="29"/>
  <c r="Q140" i="29"/>
  <c r="V139" i="29"/>
  <c r="T139" i="29"/>
  <c r="Q139" i="29"/>
  <c r="V138" i="29"/>
  <c r="T138" i="29"/>
  <c r="Q138" i="29"/>
  <c r="V137" i="29"/>
  <c r="T137" i="29"/>
  <c r="Q137" i="29"/>
  <c r="V136" i="29"/>
  <c r="T136" i="29"/>
  <c r="Q136" i="29"/>
  <c r="V135" i="29"/>
  <c r="T135" i="29"/>
  <c r="Q135" i="29"/>
  <c r="V134" i="29"/>
  <c r="T134" i="29"/>
  <c r="Q134" i="29"/>
  <c r="V133" i="29"/>
  <c r="T133" i="29"/>
  <c r="Q133" i="29"/>
  <c r="V132" i="29"/>
  <c r="T132" i="29"/>
  <c r="Q132" i="29"/>
  <c r="V131" i="29"/>
  <c r="T131" i="29"/>
  <c r="Q131" i="29"/>
  <c r="V130" i="29"/>
  <c r="T130" i="29"/>
  <c r="Q130" i="29"/>
  <c r="V129" i="29"/>
  <c r="T129" i="29"/>
  <c r="Q129" i="29"/>
  <c r="V128" i="29"/>
  <c r="T128" i="29"/>
  <c r="Q128" i="29"/>
  <c r="V127" i="29"/>
  <c r="T127" i="29"/>
  <c r="Q127" i="29"/>
  <c r="V126" i="29"/>
  <c r="T126" i="29"/>
  <c r="Q126" i="29"/>
  <c r="V125" i="29"/>
  <c r="T125" i="29"/>
  <c r="Q125" i="29"/>
  <c r="V124" i="29"/>
  <c r="T124" i="29"/>
  <c r="Q124" i="29"/>
  <c r="V123" i="29"/>
  <c r="T123" i="29"/>
  <c r="Q123" i="29"/>
  <c r="V122" i="29"/>
  <c r="T122" i="29"/>
  <c r="Q122" i="29"/>
  <c r="V121" i="29"/>
  <c r="T121" i="29"/>
  <c r="Q121" i="29"/>
  <c r="V120" i="29"/>
  <c r="T120" i="29"/>
  <c r="Q120" i="29"/>
  <c r="V119" i="29"/>
  <c r="T119" i="29"/>
  <c r="Q119" i="29"/>
  <c r="V118" i="29"/>
  <c r="T118" i="29"/>
  <c r="Q118" i="29"/>
  <c r="V117" i="29"/>
  <c r="T117" i="29"/>
  <c r="Q117" i="29"/>
  <c r="V116" i="29"/>
  <c r="T116" i="29"/>
  <c r="Q116" i="29"/>
  <c r="V115" i="29"/>
  <c r="T115" i="29"/>
  <c r="Q115" i="29"/>
  <c r="V114" i="29"/>
  <c r="T114" i="29"/>
  <c r="Q114" i="29"/>
  <c r="V113" i="29"/>
  <c r="T113" i="29"/>
  <c r="Q113" i="29"/>
  <c r="V112" i="29"/>
  <c r="T112" i="29"/>
  <c r="Q112" i="29"/>
  <c r="V111" i="29"/>
  <c r="T111" i="29"/>
  <c r="Q111" i="29"/>
  <c r="V110" i="29"/>
  <c r="T110" i="29"/>
  <c r="Q110" i="29"/>
  <c r="V109" i="29"/>
  <c r="T109" i="29"/>
  <c r="Q109" i="29"/>
  <c r="V108" i="29"/>
  <c r="T108" i="29"/>
  <c r="Q108" i="29"/>
  <c r="V107" i="29"/>
  <c r="T107" i="29"/>
  <c r="Q107" i="29"/>
  <c r="V106" i="29"/>
  <c r="T106" i="29"/>
  <c r="Q106" i="29"/>
  <c r="V105" i="29"/>
  <c r="T105" i="29"/>
  <c r="Q105" i="29"/>
  <c r="V104" i="29"/>
  <c r="T104" i="29"/>
  <c r="Q104" i="29"/>
  <c r="V103" i="29"/>
  <c r="T103" i="29"/>
  <c r="Q103" i="29"/>
  <c r="V102" i="29"/>
  <c r="T102" i="29"/>
  <c r="Q102" i="29"/>
  <c r="V101" i="29"/>
  <c r="T101" i="29"/>
  <c r="Q101" i="29"/>
  <c r="V100" i="29"/>
  <c r="T100" i="29"/>
  <c r="Q100" i="29"/>
  <c r="V99" i="29"/>
  <c r="T99" i="29"/>
  <c r="Q99" i="29"/>
  <c r="V98" i="29"/>
  <c r="T98" i="29"/>
  <c r="Q98" i="29"/>
  <c r="V97" i="29"/>
  <c r="T97" i="29"/>
  <c r="Q97" i="29"/>
  <c r="V96" i="29"/>
  <c r="T96" i="29"/>
  <c r="Q96" i="29"/>
  <c r="V95" i="29"/>
  <c r="T95" i="29"/>
  <c r="Q95" i="29"/>
  <c r="V67" i="29"/>
  <c r="T67" i="29"/>
  <c r="Q67" i="29"/>
  <c r="V66" i="29"/>
  <c r="T66" i="29"/>
  <c r="Q66" i="29"/>
  <c r="V65" i="29"/>
  <c r="T65" i="29"/>
  <c r="Q65" i="29"/>
  <c r="V64" i="29"/>
  <c r="T64" i="29"/>
  <c r="Q64" i="29"/>
  <c r="V63" i="29"/>
  <c r="T63" i="29"/>
  <c r="Q63" i="29"/>
  <c r="V62" i="29"/>
  <c r="T62" i="29"/>
  <c r="Q62" i="29"/>
  <c r="V61" i="29"/>
  <c r="T61" i="29"/>
  <c r="Q61" i="29"/>
  <c r="V60" i="29"/>
  <c r="T60" i="29"/>
  <c r="Q60" i="29"/>
  <c r="V59" i="29"/>
  <c r="T59" i="29"/>
  <c r="Q59" i="29"/>
  <c r="V58" i="29"/>
  <c r="T58" i="29"/>
  <c r="Q58" i="29"/>
  <c r="V57" i="29"/>
  <c r="T57" i="29"/>
  <c r="Q57" i="29"/>
  <c r="V56" i="29"/>
  <c r="T56" i="29"/>
  <c r="Q56" i="29"/>
  <c r="V55" i="29"/>
  <c r="T55" i="29"/>
  <c r="Q55" i="29"/>
  <c r="V54" i="29"/>
  <c r="T54" i="29"/>
  <c r="Q54" i="29"/>
  <c r="V53" i="29"/>
  <c r="T53" i="29"/>
  <c r="Q53" i="29"/>
  <c r="V52" i="29"/>
  <c r="T52" i="29"/>
  <c r="Q52" i="29"/>
  <c r="V51" i="29"/>
  <c r="T51" i="29"/>
  <c r="Q51" i="29"/>
  <c r="V50" i="29"/>
  <c r="T50" i="29"/>
  <c r="Q50" i="29"/>
  <c r="V49" i="29"/>
  <c r="T49" i="29"/>
  <c r="Q49" i="29"/>
  <c r="V48" i="29"/>
  <c r="T48" i="29"/>
  <c r="Q48" i="29"/>
  <c r="V47" i="29"/>
  <c r="T47" i="29"/>
  <c r="Q47" i="29"/>
  <c r="V46" i="29"/>
  <c r="T46" i="29"/>
  <c r="Q46" i="29"/>
  <c r="V45" i="29"/>
  <c r="T45" i="29"/>
  <c r="Q45" i="29"/>
  <c r="V44" i="29"/>
  <c r="T44" i="29"/>
  <c r="Q44" i="29"/>
  <c r="V43" i="29"/>
  <c r="T43" i="29"/>
  <c r="Q43" i="29"/>
  <c r="V42" i="29"/>
  <c r="T42" i="29"/>
  <c r="Q42" i="29"/>
  <c r="V41" i="29"/>
  <c r="T41" i="29"/>
  <c r="Q41" i="29"/>
  <c r="V40" i="29"/>
  <c r="T40" i="29"/>
  <c r="Q40" i="29"/>
  <c r="V39" i="29"/>
  <c r="T39" i="29"/>
  <c r="Q39" i="29"/>
  <c r="V38" i="29"/>
  <c r="T38" i="29"/>
  <c r="Q38" i="29"/>
  <c r="V37" i="29"/>
  <c r="T37" i="29"/>
  <c r="Q37" i="29"/>
  <c r="V36" i="29"/>
  <c r="T36" i="29"/>
  <c r="Q36" i="29"/>
  <c r="V35" i="29"/>
  <c r="T35" i="29"/>
  <c r="Q35" i="29"/>
  <c r="V34" i="29"/>
  <c r="T34" i="29"/>
  <c r="Q34" i="29"/>
  <c r="V33" i="29"/>
  <c r="T33" i="29"/>
  <c r="Q33" i="29"/>
  <c r="V32" i="29"/>
  <c r="T32" i="29"/>
  <c r="Q32" i="29"/>
  <c r="V31" i="29"/>
  <c r="T31" i="29"/>
  <c r="Q31" i="29"/>
  <c r="V30" i="29"/>
  <c r="T30" i="29"/>
  <c r="Q30" i="29"/>
  <c r="V29" i="29"/>
  <c r="T29" i="29"/>
  <c r="Q29" i="29"/>
  <c r="V28" i="29"/>
  <c r="T28" i="29"/>
  <c r="Q28" i="29"/>
  <c r="V27" i="29"/>
  <c r="T27" i="29"/>
  <c r="Q27" i="29"/>
  <c r="V26" i="29"/>
  <c r="T26" i="29"/>
  <c r="Q26" i="29"/>
  <c r="V25" i="29"/>
  <c r="T25" i="29"/>
  <c r="Q25" i="29"/>
  <c r="V24" i="29"/>
  <c r="T24" i="29"/>
  <c r="Q24" i="29"/>
  <c r="V23" i="29"/>
  <c r="T23" i="29"/>
  <c r="Q23" i="29"/>
  <c r="V22" i="29"/>
  <c r="T22" i="29"/>
  <c r="Q22" i="29"/>
  <c r="V21" i="29"/>
  <c r="T21" i="29"/>
  <c r="Q21" i="29"/>
  <c r="V20" i="29"/>
  <c r="T20" i="29"/>
  <c r="Q20" i="29"/>
  <c r="V19" i="29"/>
  <c r="T19" i="29"/>
  <c r="Q19" i="29"/>
  <c r="V18" i="29"/>
  <c r="T18" i="29"/>
  <c r="Q18" i="29"/>
  <c r="V17" i="29"/>
  <c r="T17" i="29"/>
  <c r="Q17" i="29"/>
  <c r="V16" i="29"/>
  <c r="T16" i="29"/>
  <c r="Q16" i="29"/>
  <c r="V15" i="29"/>
  <c r="T15" i="29"/>
  <c r="Q15" i="29"/>
  <c r="V14" i="29"/>
  <c r="T14" i="29"/>
  <c r="Q14" i="29"/>
  <c r="V13" i="29"/>
  <c r="T13" i="29"/>
  <c r="Q13" i="29"/>
  <c r="V12" i="29"/>
  <c r="T12" i="29"/>
  <c r="Q12" i="29"/>
  <c r="V11" i="29"/>
  <c r="T11" i="29"/>
  <c r="Q11" i="29"/>
  <c r="V10" i="29"/>
  <c r="T10" i="29"/>
  <c r="Q10" i="29"/>
  <c r="V9" i="29"/>
  <c r="T9" i="29"/>
  <c r="Q9" i="29"/>
  <c r="V8" i="29"/>
  <c r="T8" i="29"/>
  <c r="Q8" i="29"/>
  <c r="V7" i="29"/>
  <c r="T7" i="29"/>
  <c r="Q7" i="29"/>
  <c r="V6" i="29"/>
  <c r="T6" i="29"/>
  <c r="Q6" i="29"/>
  <c r="V5" i="29"/>
  <c r="T5" i="29"/>
  <c r="Q5" i="29"/>
  <c r="V4" i="29"/>
  <c r="T4" i="29"/>
  <c r="Q4" i="29"/>
  <c r="V3" i="29"/>
  <c r="T3" i="29"/>
  <c r="Q3" i="29"/>
  <c r="V2" i="29"/>
  <c r="T2" i="29"/>
  <c r="Q2" i="29"/>
  <c r="V67" i="28" l="1"/>
  <c r="T67" i="28"/>
  <c r="Q67" i="28"/>
  <c r="T66" i="28"/>
  <c r="V66" i="28" s="1"/>
  <c r="Q66" i="28"/>
  <c r="T65" i="28"/>
  <c r="V65" i="28" s="1"/>
  <c r="Q65" i="28"/>
  <c r="T64" i="28"/>
  <c r="V64" i="28" s="1"/>
  <c r="Q64" i="28"/>
  <c r="V63" i="28"/>
  <c r="T63" i="28"/>
  <c r="Q63" i="28"/>
  <c r="T62" i="28"/>
  <c r="V62" i="28" s="1"/>
  <c r="Q62" i="28"/>
  <c r="T61" i="28"/>
  <c r="V61" i="28" s="1"/>
  <c r="Q61" i="28"/>
  <c r="T60" i="28"/>
  <c r="V60" i="28" s="1"/>
  <c r="Q60" i="28"/>
  <c r="V59" i="28"/>
  <c r="T59" i="28"/>
  <c r="Q59" i="28"/>
  <c r="T58" i="28"/>
  <c r="V58" i="28" s="1"/>
  <c r="Q58" i="28"/>
  <c r="T57" i="28"/>
  <c r="V57" i="28" s="1"/>
  <c r="Q57" i="28"/>
  <c r="T56" i="28"/>
  <c r="V56" i="28" s="1"/>
  <c r="Q56" i="28"/>
  <c r="V55" i="28"/>
  <c r="T55" i="28"/>
  <c r="Q55" i="28"/>
  <c r="T54" i="28"/>
  <c r="V54" i="28" s="1"/>
  <c r="Q54" i="28"/>
  <c r="T53" i="28"/>
  <c r="V53" i="28" s="1"/>
  <c r="Q53" i="28"/>
  <c r="T52" i="28"/>
  <c r="V52" i="28" s="1"/>
  <c r="Q52" i="28"/>
  <c r="V51" i="28"/>
  <c r="T51" i="28"/>
  <c r="Q51" i="28"/>
  <c r="T50" i="28"/>
  <c r="V50" i="28" s="1"/>
  <c r="Q50" i="28"/>
  <c r="T49" i="28"/>
  <c r="V49" i="28" s="1"/>
  <c r="Q49" i="28"/>
  <c r="T48" i="28"/>
  <c r="V48" i="28" s="1"/>
  <c r="Q48" i="28"/>
  <c r="V47" i="28"/>
  <c r="T47" i="28"/>
  <c r="Q47" i="28"/>
  <c r="T46" i="28"/>
  <c r="V46" i="28" s="1"/>
  <c r="Q46" i="28"/>
  <c r="T45" i="28"/>
  <c r="V45" i="28" s="1"/>
  <c r="Q45" i="28"/>
  <c r="T44" i="28"/>
  <c r="V44" i="28" s="1"/>
  <c r="Q44" i="28"/>
  <c r="V43" i="28"/>
  <c r="T43" i="28"/>
  <c r="Q43" i="28"/>
  <c r="T42" i="28"/>
  <c r="V42" i="28" s="1"/>
  <c r="Q42" i="28"/>
  <c r="T41" i="28"/>
  <c r="V41" i="28" s="1"/>
  <c r="Q41" i="28"/>
  <c r="T40" i="28"/>
  <c r="V40" i="28" s="1"/>
  <c r="Q40" i="28"/>
  <c r="V39" i="28"/>
  <c r="T39" i="28"/>
  <c r="Q39" i="28"/>
  <c r="T38" i="28"/>
  <c r="V38" i="28" s="1"/>
  <c r="Q38" i="28"/>
  <c r="T37" i="28"/>
  <c r="V37" i="28" s="1"/>
  <c r="Q37" i="28"/>
  <c r="T36" i="28"/>
  <c r="V36" i="28" s="1"/>
  <c r="Q36" i="28"/>
  <c r="V35" i="28"/>
  <c r="T35" i="28"/>
  <c r="Q35" i="28"/>
  <c r="T34" i="28"/>
  <c r="V34" i="28" s="1"/>
  <c r="Q34" i="28"/>
  <c r="T33" i="28"/>
  <c r="V33" i="28" s="1"/>
  <c r="Q33" i="28"/>
  <c r="T32" i="28"/>
  <c r="V32" i="28" s="1"/>
  <c r="Q32" i="28"/>
  <c r="V31" i="28"/>
  <c r="T31" i="28"/>
  <c r="Q31" i="28"/>
  <c r="T30" i="28"/>
  <c r="V30" i="28" s="1"/>
  <c r="Q30" i="28"/>
  <c r="T29" i="28"/>
  <c r="V29" i="28" s="1"/>
  <c r="Q29" i="28"/>
  <c r="T28" i="28"/>
  <c r="V28" i="28" s="1"/>
  <c r="Q28" i="28"/>
  <c r="V27" i="28"/>
  <c r="T27" i="28"/>
  <c r="Q27" i="28"/>
  <c r="T26" i="28"/>
  <c r="V26" i="28" s="1"/>
  <c r="Q26" i="28"/>
  <c r="T25" i="28"/>
  <c r="V25" i="28" s="1"/>
  <c r="Q25" i="28"/>
  <c r="T24" i="28"/>
  <c r="V24" i="28" s="1"/>
  <c r="Q24" i="28"/>
  <c r="V23" i="28"/>
  <c r="T23" i="28"/>
  <c r="Q23" i="28"/>
  <c r="T22" i="28"/>
  <c r="V22" i="28" s="1"/>
  <c r="Q22" i="28"/>
  <c r="T21" i="28"/>
  <c r="V21" i="28" s="1"/>
  <c r="Q21" i="28"/>
  <c r="T20" i="28"/>
  <c r="V20" i="28" s="1"/>
  <c r="Q20" i="28"/>
  <c r="V19" i="28"/>
  <c r="T19" i="28"/>
  <c r="Q19" i="28"/>
  <c r="T18" i="28"/>
  <c r="V18" i="28" s="1"/>
  <c r="Q18" i="28"/>
  <c r="T17" i="28"/>
  <c r="V17" i="28" s="1"/>
  <c r="Q17" i="28"/>
  <c r="T16" i="28"/>
  <c r="V16" i="28" s="1"/>
  <c r="Q16" i="28"/>
  <c r="V15" i="28"/>
  <c r="T15" i="28"/>
  <c r="Q15" i="28"/>
  <c r="T14" i="28"/>
  <c r="V14" i="28" s="1"/>
  <c r="Q14" i="28"/>
  <c r="T13" i="28"/>
  <c r="V13" i="28" s="1"/>
  <c r="Q13" i="28"/>
  <c r="T12" i="28"/>
  <c r="V12" i="28" s="1"/>
  <c r="Q12" i="28"/>
  <c r="V11" i="28"/>
  <c r="T11" i="28"/>
  <c r="Q11" i="28"/>
  <c r="T10" i="28"/>
  <c r="V10" i="28" s="1"/>
  <c r="Q10" i="28"/>
  <c r="T9" i="28"/>
  <c r="V9" i="28" s="1"/>
  <c r="Q9" i="28"/>
  <c r="T8" i="28"/>
  <c r="V8" i="28" s="1"/>
  <c r="Q8" i="28"/>
  <c r="V7" i="28"/>
  <c r="T7" i="28"/>
  <c r="Q7" i="28"/>
  <c r="T6" i="28"/>
  <c r="V6" i="28" s="1"/>
  <c r="Q6" i="28"/>
  <c r="T5" i="28"/>
  <c r="V5" i="28" s="1"/>
  <c r="Q5" i="28"/>
  <c r="T4" i="28"/>
  <c r="V4" i="28" s="1"/>
  <c r="Q4" i="28"/>
  <c r="V3" i="28"/>
  <c r="T3" i="28"/>
  <c r="Q3" i="28"/>
  <c r="T2" i="28"/>
  <c r="V2" i="28" s="1"/>
  <c r="Q2" i="28"/>
  <c r="T79" i="27" l="1"/>
  <c r="V79" i="27" s="1"/>
  <c r="Q79" i="27"/>
  <c r="T78" i="27"/>
  <c r="V78" i="27" s="1"/>
  <c r="Q78" i="27"/>
  <c r="V77" i="27"/>
  <c r="T77" i="27"/>
  <c r="Q77" i="27"/>
  <c r="V76" i="27"/>
  <c r="T76" i="27"/>
  <c r="Q76" i="27"/>
  <c r="T75" i="27"/>
  <c r="V75" i="27" s="1"/>
  <c r="Q75" i="27"/>
  <c r="T74" i="27"/>
  <c r="V74" i="27" s="1"/>
  <c r="Q74" i="27"/>
  <c r="V73" i="27"/>
  <c r="T73" i="27"/>
  <c r="Q73" i="27"/>
  <c r="V72" i="27"/>
  <c r="T72" i="27"/>
  <c r="Q72" i="27"/>
  <c r="T71" i="27"/>
  <c r="V71" i="27" s="1"/>
  <c r="Q71" i="27"/>
  <c r="T70" i="27"/>
  <c r="V70" i="27" s="1"/>
  <c r="Q70" i="27"/>
  <c r="V69" i="27"/>
  <c r="T69" i="27"/>
  <c r="Q69" i="27"/>
  <c r="V68" i="27"/>
  <c r="T68" i="27"/>
  <c r="Q68" i="27"/>
  <c r="T67" i="27"/>
  <c r="V67" i="27" s="1"/>
  <c r="Q67" i="27"/>
  <c r="T66" i="27"/>
  <c r="V66" i="27" s="1"/>
  <c r="Q66" i="27"/>
  <c r="V65" i="27"/>
  <c r="T65" i="27"/>
  <c r="Q65" i="27"/>
  <c r="V64" i="27"/>
  <c r="T64" i="27"/>
  <c r="Q64" i="27"/>
  <c r="T63" i="27"/>
  <c r="V63" i="27" s="1"/>
  <c r="Q63" i="27"/>
  <c r="T62" i="27"/>
  <c r="V62" i="27" s="1"/>
  <c r="Q62" i="27"/>
  <c r="V61" i="27"/>
  <c r="T61" i="27"/>
  <c r="Q61" i="27"/>
  <c r="V60" i="27"/>
  <c r="T60" i="27"/>
  <c r="Q60" i="27"/>
  <c r="T59" i="27"/>
  <c r="V59" i="27" s="1"/>
  <c r="Q59" i="27"/>
  <c r="T58" i="27"/>
  <c r="V58" i="27" s="1"/>
  <c r="Q58" i="27"/>
  <c r="V57" i="27"/>
  <c r="T57" i="27"/>
  <c r="Q57" i="27"/>
  <c r="V56" i="27"/>
  <c r="T56" i="27"/>
  <c r="Q56" i="27"/>
  <c r="T55" i="27"/>
  <c r="V55" i="27" s="1"/>
  <c r="Q55" i="27"/>
  <c r="T54" i="27"/>
  <c r="V54" i="27" s="1"/>
  <c r="Q54" i="27"/>
  <c r="T53" i="27"/>
  <c r="V53" i="27" s="1"/>
  <c r="Q53" i="27"/>
  <c r="V52" i="27"/>
  <c r="T52" i="27"/>
  <c r="Q52" i="27"/>
  <c r="T51" i="27"/>
  <c r="V51" i="27" s="1"/>
  <c r="Q51" i="27"/>
  <c r="T50" i="27"/>
  <c r="V50" i="27" s="1"/>
  <c r="Q50" i="27"/>
  <c r="V49" i="27"/>
  <c r="T49" i="27"/>
  <c r="Q49" i="27"/>
  <c r="V48" i="27"/>
  <c r="T48" i="27"/>
  <c r="Q48" i="27"/>
  <c r="T47" i="27"/>
  <c r="V47" i="27" s="1"/>
  <c r="Q47" i="27"/>
  <c r="T46" i="27"/>
  <c r="V46" i="27" s="1"/>
  <c r="Q46" i="27"/>
  <c r="V45" i="27"/>
  <c r="T45" i="27"/>
  <c r="Q45" i="27"/>
  <c r="V44" i="27"/>
  <c r="T44" i="27"/>
  <c r="Q44" i="27"/>
  <c r="T43" i="27"/>
  <c r="V43" i="27" s="1"/>
  <c r="Q43" i="27"/>
  <c r="T42" i="27"/>
  <c r="V42" i="27" s="1"/>
  <c r="Q42" i="27"/>
  <c r="V41" i="27"/>
  <c r="T41" i="27"/>
  <c r="Q41" i="27"/>
  <c r="V40" i="27"/>
  <c r="T40" i="27"/>
  <c r="Q40" i="27"/>
  <c r="T39" i="27"/>
  <c r="V39" i="27" s="1"/>
  <c r="Q39" i="27"/>
  <c r="T38" i="27"/>
  <c r="V38" i="27" s="1"/>
  <c r="Q38" i="27"/>
  <c r="V37" i="27"/>
  <c r="T37" i="27"/>
  <c r="Q37" i="27"/>
  <c r="V36" i="27"/>
  <c r="T36" i="27"/>
  <c r="Q36" i="27"/>
  <c r="T35" i="27"/>
  <c r="V35" i="27" s="1"/>
  <c r="Q35" i="27"/>
  <c r="T34" i="27"/>
  <c r="V34" i="27" s="1"/>
  <c r="Q34" i="27"/>
  <c r="V33" i="27"/>
  <c r="T33" i="27"/>
  <c r="Q33" i="27"/>
  <c r="V32" i="27"/>
  <c r="T32" i="27"/>
  <c r="Q32" i="27"/>
  <c r="T31" i="27"/>
  <c r="V31" i="27" s="1"/>
  <c r="Q31" i="27"/>
  <c r="T30" i="27"/>
  <c r="V30" i="27" s="1"/>
  <c r="Q30" i="27"/>
  <c r="V29" i="27"/>
  <c r="T29" i="27"/>
  <c r="Q29" i="27"/>
  <c r="V28" i="27"/>
  <c r="T28" i="27"/>
  <c r="Q28" i="27"/>
  <c r="T27" i="27"/>
  <c r="V27" i="27" s="1"/>
  <c r="Q27" i="27"/>
  <c r="T26" i="27"/>
  <c r="V26" i="27" s="1"/>
  <c r="Q26" i="27"/>
  <c r="V25" i="27"/>
  <c r="T25" i="27"/>
  <c r="Q25" i="27"/>
  <c r="V24" i="27"/>
  <c r="T24" i="27"/>
  <c r="Q24" i="27"/>
  <c r="T23" i="27"/>
  <c r="V23" i="27" s="1"/>
  <c r="Q23" i="27"/>
  <c r="T22" i="27"/>
  <c r="V22" i="27" s="1"/>
  <c r="Q22" i="27"/>
  <c r="V21" i="27"/>
  <c r="T21" i="27"/>
  <c r="Q21" i="27"/>
  <c r="V20" i="27"/>
  <c r="T20" i="27"/>
  <c r="Q20" i="27"/>
  <c r="T19" i="27"/>
  <c r="V19" i="27" s="1"/>
  <c r="Q19" i="27"/>
  <c r="T18" i="27"/>
  <c r="V18" i="27" s="1"/>
  <c r="Q18" i="27"/>
  <c r="V17" i="27"/>
  <c r="T17" i="27"/>
  <c r="Q17" i="27"/>
  <c r="V16" i="27"/>
  <c r="T16" i="27"/>
  <c r="Q16" i="27"/>
  <c r="T15" i="27"/>
  <c r="V15" i="27" s="1"/>
  <c r="Q15" i="27"/>
  <c r="T14" i="27"/>
  <c r="V14" i="27" s="1"/>
  <c r="Q14" i="27"/>
  <c r="V13" i="27"/>
  <c r="T13" i="27"/>
  <c r="Q13" i="27"/>
  <c r="V12" i="27"/>
  <c r="T12" i="27"/>
  <c r="Q12" i="27"/>
  <c r="T11" i="27"/>
  <c r="V11" i="27" s="1"/>
  <c r="Q11" i="27"/>
  <c r="T10" i="27"/>
  <c r="V10" i="27" s="1"/>
  <c r="Q10" i="27"/>
  <c r="V9" i="27"/>
  <c r="T9" i="27"/>
  <c r="Q9" i="27"/>
  <c r="V8" i="27"/>
  <c r="T8" i="27"/>
  <c r="Q8" i="27"/>
  <c r="T7" i="27"/>
  <c r="V7" i="27" s="1"/>
  <c r="Q7" i="27"/>
  <c r="T6" i="27"/>
  <c r="V6" i="27" s="1"/>
  <c r="Q6" i="27"/>
  <c r="V5" i="27"/>
  <c r="T5" i="27"/>
  <c r="Q5" i="27"/>
  <c r="V4" i="27"/>
  <c r="T4" i="27"/>
  <c r="Q4" i="27"/>
  <c r="T3" i="27"/>
  <c r="V3" i="27" s="1"/>
  <c r="Q3" i="27"/>
  <c r="T2" i="27"/>
  <c r="V2" i="27" s="1"/>
  <c r="Q2" i="27"/>
  <c r="T73" i="26" l="1"/>
  <c r="V73" i="26" s="1"/>
  <c r="Q73" i="26"/>
  <c r="T72" i="26"/>
  <c r="V72" i="26" s="1"/>
  <c r="Q72" i="26"/>
  <c r="V71" i="26"/>
  <c r="T71" i="26"/>
  <c r="Q71" i="26"/>
  <c r="T70" i="26"/>
  <c r="V70" i="26" s="1"/>
  <c r="Q70" i="26"/>
  <c r="T69" i="26"/>
  <c r="V69" i="26" s="1"/>
  <c r="Q69" i="26"/>
  <c r="T68" i="26"/>
  <c r="V68" i="26" s="1"/>
  <c r="Q68" i="26"/>
  <c r="V67" i="26"/>
  <c r="T67" i="26"/>
  <c r="Q67" i="26"/>
  <c r="T66" i="26"/>
  <c r="V66" i="26" s="1"/>
  <c r="Q66" i="26"/>
  <c r="T65" i="26"/>
  <c r="V65" i="26" s="1"/>
  <c r="Q65" i="26"/>
  <c r="T64" i="26"/>
  <c r="V64" i="26" s="1"/>
  <c r="Q64" i="26"/>
  <c r="V63" i="26"/>
  <c r="T63" i="26"/>
  <c r="Q63" i="26"/>
  <c r="T62" i="26"/>
  <c r="V62" i="26" s="1"/>
  <c r="Q62" i="26"/>
  <c r="T61" i="26"/>
  <c r="V61" i="26" s="1"/>
  <c r="Q61" i="26"/>
  <c r="T60" i="26"/>
  <c r="V60" i="26" s="1"/>
  <c r="Q60" i="26"/>
  <c r="V59" i="26"/>
  <c r="T59" i="26"/>
  <c r="Q59" i="26"/>
  <c r="T58" i="26"/>
  <c r="V58" i="26" s="1"/>
  <c r="Q58" i="26"/>
  <c r="T57" i="26"/>
  <c r="V57" i="26" s="1"/>
  <c r="Q57" i="26"/>
  <c r="T56" i="26"/>
  <c r="V56" i="26" s="1"/>
  <c r="Q56" i="26"/>
  <c r="V55" i="26"/>
  <c r="T55" i="26"/>
  <c r="Q55" i="26"/>
  <c r="T54" i="26"/>
  <c r="V54" i="26" s="1"/>
  <c r="Q54" i="26"/>
  <c r="T53" i="26"/>
  <c r="V53" i="26" s="1"/>
  <c r="Q53" i="26"/>
  <c r="T52" i="26"/>
  <c r="V52" i="26" s="1"/>
  <c r="Q52" i="26"/>
  <c r="V51" i="26"/>
  <c r="T51" i="26"/>
  <c r="Q51" i="26"/>
  <c r="T50" i="26"/>
  <c r="V50" i="26" s="1"/>
  <c r="Q50" i="26"/>
  <c r="T49" i="26"/>
  <c r="V49" i="26" s="1"/>
  <c r="Q49" i="26"/>
  <c r="T48" i="26"/>
  <c r="V48" i="26" s="1"/>
  <c r="Q48" i="26"/>
  <c r="V47" i="26"/>
  <c r="T47" i="26"/>
  <c r="Q47" i="26"/>
  <c r="T46" i="26"/>
  <c r="V46" i="26" s="1"/>
  <c r="Q46" i="26"/>
  <c r="T45" i="26"/>
  <c r="V45" i="26" s="1"/>
  <c r="Q45" i="26"/>
  <c r="T44" i="26"/>
  <c r="V44" i="26" s="1"/>
  <c r="Q44" i="26"/>
  <c r="V43" i="26"/>
  <c r="T43" i="26"/>
  <c r="Q43" i="26"/>
  <c r="T42" i="26"/>
  <c r="V42" i="26" s="1"/>
  <c r="Q42" i="26"/>
  <c r="T41" i="26"/>
  <c r="V41" i="26" s="1"/>
  <c r="Q41" i="26"/>
  <c r="T40" i="26"/>
  <c r="V40" i="26" s="1"/>
  <c r="Q40" i="26"/>
  <c r="V39" i="26"/>
  <c r="T39" i="26"/>
  <c r="Q39" i="26"/>
  <c r="T38" i="26"/>
  <c r="V38" i="26" s="1"/>
  <c r="Q38" i="26"/>
  <c r="T37" i="26"/>
  <c r="V37" i="26" s="1"/>
  <c r="Q37" i="26"/>
  <c r="T36" i="26"/>
  <c r="V36" i="26" s="1"/>
  <c r="Q36" i="26"/>
  <c r="V35" i="26"/>
  <c r="T35" i="26"/>
  <c r="Q35" i="26"/>
  <c r="T34" i="26"/>
  <c r="V34" i="26" s="1"/>
  <c r="Q34" i="26"/>
  <c r="T33" i="26"/>
  <c r="V33" i="26" s="1"/>
  <c r="Q33" i="26"/>
  <c r="T32" i="26"/>
  <c r="V32" i="26" s="1"/>
  <c r="Q32" i="26"/>
  <c r="V31" i="26"/>
  <c r="T31" i="26"/>
  <c r="Q31" i="26"/>
  <c r="T30" i="26"/>
  <c r="V30" i="26" s="1"/>
  <c r="Q30" i="26"/>
  <c r="T29" i="26"/>
  <c r="V29" i="26" s="1"/>
  <c r="Q29" i="26"/>
  <c r="T28" i="26"/>
  <c r="V28" i="26" s="1"/>
  <c r="Q28" i="26"/>
  <c r="V27" i="26"/>
  <c r="T27" i="26"/>
  <c r="Q27" i="26"/>
  <c r="T26" i="26"/>
  <c r="V26" i="26" s="1"/>
  <c r="Q26" i="26"/>
  <c r="T25" i="26"/>
  <c r="V25" i="26" s="1"/>
  <c r="Q25" i="26"/>
  <c r="T24" i="26"/>
  <c r="V24" i="26" s="1"/>
  <c r="Q24" i="26"/>
  <c r="V23" i="26"/>
  <c r="T23" i="26"/>
  <c r="Q23" i="26"/>
  <c r="T22" i="26"/>
  <c r="V22" i="26" s="1"/>
  <c r="Q22" i="26"/>
  <c r="T21" i="26"/>
  <c r="V21" i="26" s="1"/>
  <c r="Q21" i="26"/>
  <c r="T20" i="26"/>
  <c r="V20" i="26" s="1"/>
  <c r="Q20" i="26"/>
  <c r="V19" i="26"/>
  <c r="T19" i="26"/>
  <c r="Q19" i="26"/>
  <c r="T18" i="26"/>
  <c r="V18" i="26" s="1"/>
  <c r="Q18" i="26"/>
  <c r="T17" i="26"/>
  <c r="V17" i="26" s="1"/>
  <c r="Q17" i="26"/>
  <c r="T16" i="26"/>
  <c r="V16" i="26" s="1"/>
  <c r="Q16" i="26"/>
  <c r="V15" i="26"/>
  <c r="T15" i="26"/>
  <c r="Q15" i="26"/>
  <c r="T14" i="26"/>
  <c r="V14" i="26" s="1"/>
  <c r="Q14" i="26"/>
  <c r="T13" i="26"/>
  <c r="V13" i="26" s="1"/>
  <c r="Q13" i="26"/>
  <c r="T12" i="26"/>
  <c r="V12" i="26" s="1"/>
  <c r="Q12" i="26"/>
  <c r="V11" i="26"/>
  <c r="T11" i="26"/>
  <c r="Q11" i="26"/>
  <c r="T10" i="26"/>
  <c r="V10" i="26" s="1"/>
  <c r="Q10" i="26"/>
  <c r="T9" i="26"/>
  <c r="V9" i="26" s="1"/>
  <c r="Q9" i="26"/>
  <c r="T8" i="26"/>
  <c r="V8" i="26" s="1"/>
  <c r="Q8" i="26"/>
  <c r="V7" i="26"/>
  <c r="T7" i="26"/>
  <c r="Q7" i="26"/>
  <c r="T6" i="26"/>
  <c r="V6" i="26" s="1"/>
  <c r="Q6" i="26"/>
  <c r="T5" i="26"/>
  <c r="V5" i="26" s="1"/>
  <c r="Q5" i="26"/>
  <c r="T4" i="26"/>
  <c r="V4" i="26" s="1"/>
  <c r="Q4" i="26"/>
  <c r="V3" i="26"/>
  <c r="T3" i="26"/>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<sst xmlns="http://schemas.openxmlformats.org/spreadsheetml/2006/main" count="8456" uniqueCount="518">
  <si>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</si>
  <si>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</si>
  <si>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</si>
  <si>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</si>
  <si>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</si>
  <si>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</si>
  <si>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</si>
  <si>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</si>
  <si>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</si>
  <si>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</si>
  <si>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</si>
  <si>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</si>
  <si>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</si>
  <si>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</si>
  <si>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</si>
  <si>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</si>
  <si>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</si>
  <si>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</si>
  <si>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</si>
  <si>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</si>
  <si>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</si>
  <si>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</si>
  <si>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</si>
  <si>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</si>
  <si>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</si>
  <si>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</si>
  <si>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</si>
  <si>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</si>
  <si>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</si>
  <si>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</si>
  <si>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</si>
  <si>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</si>
  <si>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</si>
  <si>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</si>
  <si>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</si>
  <si>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</si>
  <si>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</si>
  <si>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</si>
  <si>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</si>
  <si>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</si>
  <si>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</si>
  <si>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</si>
  <si>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</si>
  <si>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</si>
  <si>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</si>
  <si>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</si>
  <si>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</si>
  <si>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</si>
  <si>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</si>
  <si>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</si>
  <si>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</si>
  <si>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</si>
  <si>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</si>
  <si>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</si>
  <si>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</si>
  <si>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</si>
  <si>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</si>
  <si>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</si>
  <si>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</si>
  <si>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</si>
  <si>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</si>
  <si>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</si>
  <si>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</si>
  <si>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</si>
  <si>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</si>
  <si>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</si>
  <si>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</si>
  <si>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</si>
  <si>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</si>
  <si>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</si>
  <si>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</si>
  <si>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</si>
  <si>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</si>
  <si>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</si>
  <si>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</si>
  <si>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</si>
  <si>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</si>
  <si>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</si>
  <si>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</si>
  <si>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</si>
  <si>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</si>
  <si>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</si>
  <si>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</si>
  <si>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</si>
  <si>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</si>
  <si>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</si>
  <si>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</si>
  <si>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</si>
  <si>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</si>
  <si>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</si>
  <si>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</si>
  <si>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</si>
  <si>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</si>
  <si>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</si>
  <si>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</si>
  <si>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</si>
  <si>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</si>
  <si>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</si>
  <si>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</si>
  <si>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</si>
  <si>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</si>
  <si>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</si>
  <si>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</si>
  <si>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</si>
  <si>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</si>
  <si>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</si>
  <si>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</si>
  <si>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</si>
  <si>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</si>
  <si>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</si>
  <si>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</si>
  <si>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</si>
  <si>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</si>
  <si>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</si>
  <si>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</si>
  <si>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</si>
  <si>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</si>
  <si>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</si>
  <si>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</si>
  <si>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</si>
  <si>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</si>
  <si>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</si>
  <si>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</si>
  <si>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</si>
  <si>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</si>
  <si>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</si>
  <si>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</si>
  <si>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</si>
  <si>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</si>
  <si>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</si>
  <si>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</si>
  <si>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</si>
  <si>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</si>
  <si>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</si>
  <si>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</si>
  <si>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</si>
  <si>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</si>
  <si>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</si>
  <si>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</si>
  <si>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</si>
  <si>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</si>
  <si>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</si>
  <si>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</si>
  <si>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</si>
  <si>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</si>
  <si>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</si>
  <si>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</si>
  <si>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</si>
  <si>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</si>
  <si>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</si>
  <si>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</si>
  <si>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</si>
  <si>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</si>
  <si>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</si>
  <si>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</si>
  <si>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</si>
  <si>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</si>
  <si>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</si>
  <si>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</si>
  <si>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</si>
  <si>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</si>
  <si>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</si>
  <si>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</si>
  <si>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</si>
  <si>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</si>
  <si>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D'lish</t>
    <phoneticPr fontId="4"/>
  </si>
  <si>
    <t>GA</t>
  </si>
  <si>
    <t>HW</t>
    <phoneticPr fontId="4"/>
  </si>
  <si>
    <t>CK</t>
    <phoneticPr fontId="4"/>
  </si>
  <si>
    <t>GK</t>
    <phoneticPr fontId="4"/>
  </si>
  <si>
    <t>OB</t>
    <phoneticPr fontId="4"/>
  </si>
  <si>
    <t>佐賀</t>
    <rPh sb="0" eb="2">
      <t>サガ</t>
    </rPh>
    <phoneticPr fontId="3"/>
  </si>
  <si>
    <t>ラフランス</t>
  </si>
  <si>
    <t>西友</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</si>
  <si>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</si>
  <si>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</si>
  <si>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</si>
  <si>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</si>
  <si>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</si>
  <si>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</si>
  <si>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</si>
  <si>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</si>
  <si>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</si>
  <si>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</si>
  <si>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</si>
  <si>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</si>
  <si>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</si>
  <si>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</si>
  <si>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</si>
  <si>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</si>
  <si>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</si>
  <si>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</si>
  <si>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</si>
  <si>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</si>
  <si>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</si>
  <si>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</si>
  <si>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</si>
  <si>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</si>
  <si>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</si>
  <si>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</si>
  <si>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</si>
  <si>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</si>
  <si>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</si>
  <si>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</si>
  <si>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</si>
  <si>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</si>
  <si>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</si>
  <si>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</si>
  <si>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</si>
  <si>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</si>
  <si>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</si>
  <si>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</si>
  <si>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</si>
  <si>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</si>
  <si>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</si>
  <si>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</si>
  <si>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キンショー</t>
  </si>
  <si>
    <t>東湊店</t>
  </si>
  <si>
    <t>万代</t>
  </si>
  <si>
    <t>イズミヤ</t>
  </si>
  <si>
    <t>泉北店</t>
  </si>
  <si>
    <t>岩手</t>
  </si>
  <si>
    <t>ダイエーグルメシティ</t>
  </si>
  <si>
    <t>長崎</t>
  </si>
  <si>
    <t>福島</t>
  </si>
  <si>
    <t>和歌山</t>
  </si>
  <si>
    <t>佐賀</t>
  </si>
  <si>
    <t>熊本</t>
  </si>
  <si>
    <t>岐阜</t>
  </si>
  <si>
    <t>兵庫</t>
  </si>
  <si>
    <t>京都</t>
  </si>
  <si>
    <t>ＪＡ大分</t>
  </si>
  <si>
    <t>ＪＡ山梨</t>
  </si>
  <si>
    <t>ＪＡ香川</t>
  </si>
  <si>
    <t>山梨</t>
  </si>
  <si>
    <t>ＪＡ徳島</t>
  </si>
  <si>
    <t>いちじく</t>
  </si>
  <si>
    <t>ＪＡ広島</t>
  </si>
  <si>
    <t>ＪＡ山形</t>
  </si>
  <si>
    <t>ＪＡ神奈川</t>
  </si>
  <si>
    <t>ＪＡ石川</t>
  </si>
  <si>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</si>
  <si>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</si>
  <si>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</si>
  <si>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</si>
  <si>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</si>
  <si>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</si>
  <si>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</si>
  <si>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</si>
  <si>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</si>
  <si>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</si>
  <si>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</si>
  <si>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</si>
  <si>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</si>
  <si>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</si>
  <si>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</si>
  <si>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</si>
  <si>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</si>
  <si>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</si>
  <si>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</si>
  <si>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</si>
  <si>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</si>
  <si>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</si>
  <si>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</si>
  <si>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</si>
  <si>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</si>
  <si>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</si>
  <si>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</si>
  <si>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</si>
  <si>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</si>
  <si>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</si>
  <si>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</si>
  <si>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</si>
  <si>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</si>
  <si>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</si>
  <si>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</si>
  <si>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</si>
  <si>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</si>
  <si>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</si>
  <si>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</si>
  <si>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</si>
  <si>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</si>
  <si>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</si>
  <si>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</si>
  <si>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</si>
  <si>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</si>
  <si>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</si>
  <si>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</si>
  <si>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</si>
  <si>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</si>
  <si>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</si>
  <si>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</si>
  <si>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</si>
  <si>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</si>
  <si>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</si>
  <si>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</si>
  <si>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</si>
  <si>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</si>
  <si>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</si>
  <si>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</si>
  <si>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</si>
  <si>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</si>
  <si>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</si>
  <si>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</si>
  <si>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</si>
  <si>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</si>
  <si>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</si>
  <si>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</si>
  <si>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</si>
  <si>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</si>
  <si>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</si>
  <si>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</si>
  <si>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</si>
  <si>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</si>
  <si>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</si>
  <si>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</si>
  <si>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</si>
  <si>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</si>
  <si>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</si>
  <si>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</si>
  <si>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</si>
  <si>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</si>
  <si>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</si>
  <si>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</si>
  <si>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</si>
  <si>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</si>
  <si>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</si>
  <si>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</si>
  <si>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</si>
  <si>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</si>
  <si>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</si>
  <si>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</si>
  <si>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</si>
  <si>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</si>
  <si>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</si>
  <si>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</si>
  <si>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</si>
  <si>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</si>
  <si>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</si>
  <si>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</si>
  <si>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20.11.2018</t>
  </si>
  <si>
    <t>20.11.2018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</si>
  <si>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</si>
  <si>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</si>
  <si>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</si>
  <si>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</si>
  <si>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</si>
  <si>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</si>
  <si>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</si>
  <si>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</si>
  <si>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</si>
  <si>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</si>
  <si>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</si>
  <si>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19.11.2018</t>
    <phoneticPr fontId="3"/>
  </si>
  <si>
    <t>19.11.2018</t>
    <phoneticPr fontId="3"/>
  </si>
  <si>
    <t>ﾆｭｰｼﾞｰﾗﾝﾄﾞ</t>
    <phoneticPr fontId="4"/>
  </si>
  <si>
    <t>19.11.2018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</si>
  <si>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</si>
  <si>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</si>
  <si>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</si>
  <si>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</si>
  <si>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</si>
  <si>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</si>
  <si>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</si>
  <si>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</si>
  <si>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</si>
  <si>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</si>
  <si>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</si>
  <si>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</si>
  <si>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</si>
  <si>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JPY</t>
    <phoneticPr fontId="3"/>
  </si>
  <si>
    <t>22.11.2018</t>
  </si>
  <si>
    <t>津久野店</t>
  </si>
  <si>
    <t>宮崎</t>
  </si>
  <si>
    <t>県名</t>
    <phoneticPr fontId="3"/>
  </si>
  <si>
    <t>シーズン</t>
    <phoneticPr fontId="4"/>
  </si>
  <si>
    <t>チェーン名</t>
    <phoneticPr fontId="3"/>
  </si>
  <si>
    <t>JP</t>
    <phoneticPr fontId="3"/>
  </si>
  <si>
    <t>19.11.2018</t>
    <phoneticPr fontId="3"/>
  </si>
  <si>
    <t>CK</t>
    <phoneticPr fontId="3"/>
  </si>
  <si>
    <t>JPY</t>
    <phoneticPr fontId="3"/>
  </si>
  <si>
    <t>JP</t>
    <phoneticPr fontId="3"/>
  </si>
  <si>
    <t>19.11.2018</t>
    <phoneticPr fontId="3"/>
  </si>
  <si>
    <t>JPY</t>
    <phoneticPr fontId="3"/>
  </si>
  <si>
    <t>バナナ</t>
    <phoneticPr fontId="4"/>
  </si>
  <si>
    <t>JP</t>
    <phoneticPr fontId="3"/>
  </si>
  <si>
    <t>19.11.2018</t>
    <phoneticPr fontId="3"/>
  </si>
  <si>
    <t>JPY</t>
    <phoneticPr fontId="3"/>
  </si>
  <si>
    <t>パパイヤ</t>
    <phoneticPr fontId="4"/>
  </si>
  <si>
    <t>JP</t>
    <phoneticPr fontId="3"/>
  </si>
  <si>
    <t>19.11.2018</t>
    <phoneticPr fontId="3"/>
  </si>
  <si>
    <t>JPY</t>
    <phoneticPr fontId="3"/>
  </si>
  <si>
    <t>びわ</t>
    <phoneticPr fontId="4"/>
  </si>
  <si>
    <t>JP</t>
    <phoneticPr fontId="3"/>
  </si>
  <si>
    <t>19.11.2018</t>
    <phoneticPr fontId="3"/>
  </si>
  <si>
    <t>JPY</t>
    <phoneticPr fontId="3"/>
  </si>
  <si>
    <t>メロン</t>
    <phoneticPr fontId="4"/>
  </si>
  <si>
    <t>桃</t>
    <phoneticPr fontId="4"/>
  </si>
  <si>
    <t>JP</t>
    <phoneticPr fontId="3"/>
  </si>
  <si>
    <t>19.11.2018</t>
    <phoneticPr fontId="3"/>
  </si>
  <si>
    <t>JPY</t>
    <phoneticPr fontId="3"/>
  </si>
  <si>
    <t>ブドウ</t>
    <phoneticPr fontId="4"/>
  </si>
  <si>
    <t>ラフランス</t>
    <phoneticPr fontId="4"/>
  </si>
  <si>
    <t>りんご</t>
    <phoneticPr fontId="4"/>
  </si>
  <si>
    <t>みかん</t>
    <phoneticPr fontId="4"/>
  </si>
  <si>
    <t>マンゴー</t>
    <phoneticPr fontId="3"/>
  </si>
  <si>
    <t>キラキラ</t>
    <phoneticPr fontId="4"/>
  </si>
  <si>
    <t>グリーンアイ</t>
    <phoneticPr fontId="4"/>
  </si>
  <si>
    <t>CK</t>
    <phoneticPr fontId="3"/>
  </si>
  <si>
    <t>ひこさか</t>
    <phoneticPr fontId="3"/>
  </si>
  <si>
    <t>21.11.2018</t>
    <phoneticPr fontId="3"/>
  </si>
  <si>
    <t>マルショク</t>
    <phoneticPr fontId="3"/>
  </si>
  <si>
    <t>JPY</t>
    <phoneticPr fontId="4"/>
  </si>
  <si>
    <t>一般栽培</t>
    <phoneticPr fontId="4"/>
  </si>
  <si>
    <t>ﾆｭｰｼﾞｰﾗﾝﾄﾞ</t>
    <phoneticPr fontId="4"/>
  </si>
  <si>
    <t>JP</t>
    <phoneticPr fontId="3"/>
  </si>
  <si>
    <t>21.11.2018</t>
    <phoneticPr fontId="3"/>
  </si>
  <si>
    <t>マルショク</t>
    <phoneticPr fontId="3"/>
  </si>
  <si>
    <t>バナナ</t>
    <phoneticPr fontId="3"/>
  </si>
  <si>
    <t>JP</t>
    <phoneticPr fontId="3"/>
  </si>
  <si>
    <t>21.11.2018</t>
    <phoneticPr fontId="3"/>
  </si>
  <si>
    <t>マルショク</t>
    <phoneticPr fontId="3"/>
  </si>
  <si>
    <t>HW</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</si>
  <si>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</si>
  <si>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</si>
  <si>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</si>
  <si>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</si>
  <si>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</si>
  <si>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</si>
  <si>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</si>
  <si>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</si>
  <si>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</si>
  <si>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21.11.2018</t>
    <phoneticPr fontId="3"/>
  </si>
  <si>
    <t>マルショク</t>
    <phoneticPr fontId="3"/>
  </si>
  <si>
    <t>HE</t>
    <phoneticPr fontId="4"/>
  </si>
  <si>
    <t>JP</t>
    <phoneticPr fontId="3"/>
  </si>
  <si>
    <t>21.11.2018</t>
    <phoneticPr fontId="3"/>
  </si>
  <si>
    <t>JPY</t>
    <phoneticPr fontId="4"/>
  </si>
  <si>
    <t>HW</t>
    <phoneticPr fontId="4"/>
  </si>
  <si>
    <t>CK</t>
    <phoneticPr fontId="4"/>
  </si>
  <si>
    <t>Del Monte</t>
    <phoneticPr fontId="4"/>
  </si>
  <si>
    <t>いちご</t>
    <phoneticPr fontId="3"/>
  </si>
  <si>
    <t>GK</t>
    <phoneticPr fontId="4"/>
  </si>
  <si>
    <t>OB</t>
    <phoneticPr fontId="4"/>
  </si>
  <si>
    <t>JPY</t>
    <phoneticPr fontId="4"/>
  </si>
  <si>
    <t>オレンジ</t>
    <phoneticPr fontId="3"/>
  </si>
  <si>
    <t>JP</t>
    <phoneticPr fontId="3"/>
  </si>
  <si>
    <t>21.11.2018</t>
    <phoneticPr fontId="3"/>
  </si>
  <si>
    <t>21.11.2018</t>
    <phoneticPr fontId="3"/>
  </si>
  <si>
    <t>21.11.2018</t>
    <phoneticPr fontId="3"/>
  </si>
  <si>
    <t>21.11.2018</t>
    <phoneticPr fontId="3"/>
  </si>
  <si>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</si>
  <si>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</si>
  <si>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</si>
  <si>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</si>
  <si>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</si>
  <si>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</si>
  <si>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</si>
  <si>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</si>
  <si>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</si>
  <si>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</si>
  <si>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</si>
  <si>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</si>
  <si>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</si>
  <si>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</si>
  <si>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</si>
  <si>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</si>
  <si>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</si>
  <si>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</si>
  <si>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</si>
  <si>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</si>
  <si>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23.11.2018</t>
    <phoneticPr fontId="3"/>
  </si>
  <si>
    <t>サミット</t>
  </si>
  <si>
    <t>JPY</t>
    <phoneticPr fontId="3"/>
  </si>
  <si>
    <t>カドヤ</t>
    <phoneticPr fontId="4"/>
  </si>
  <si>
    <t>ﾆｭｰｼﾞｰﾗﾝﾄﾞ</t>
    <phoneticPr fontId="4"/>
  </si>
  <si>
    <t>23.11.2018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</si>
  <si>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</si>
  <si>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</si>
  <si>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</si>
  <si>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</si>
  <si>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</si>
  <si>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</si>
  <si>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</si>
  <si>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</si>
  <si>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</si>
  <si>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</si>
  <si>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</si>
  <si>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</si>
  <si>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</si>
  <si>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</si>
  <si>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</si>
  <si>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</si>
  <si>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</si>
  <si>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22.11.2018</t>
    <phoneticPr fontId="3"/>
  </si>
  <si>
    <t>アオキスーパー</t>
  </si>
  <si>
    <t>マックスバリュ</t>
    <phoneticPr fontId="4"/>
  </si>
  <si>
    <t>HE</t>
    <phoneticPr fontId="4"/>
  </si>
  <si>
    <t>22.11.2018</t>
    <phoneticPr fontId="3"/>
  </si>
  <si>
    <t>カネトク</t>
    <phoneticPr fontId="4"/>
  </si>
  <si>
    <t>22.11.2018</t>
    <phoneticPr fontId="3"/>
  </si>
  <si>
    <t>マックスバリュ</t>
    <phoneticPr fontId="4"/>
  </si>
  <si>
    <t>長久手店</t>
    <phoneticPr fontId="4"/>
  </si>
  <si>
    <t>ピアゴ</t>
  </si>
  <si>
    <t>長久手南店</t>
  </si>
  <si>
    <t>アピタ</t>
    <phoneticPr fontId="4"/>
  </si>
  <si>
    <t>22.11.2018</t>
    <phoneticPr fontId="3"/>
  </si>
  <si>
    <t>アオキスーパー</t>
    <phoneticPr fontId="4"/>
  </si>
  <si>
    <t>長久手店</t>
    <phoneticPr fontId="4"/>
  </si>
  <si>
    <t>22.11.2018</t>
    <phoneticPr fontId="3"/>
  </si>
  <si>
    <t>22.11.2018</t>
    <phoneticPr fontId="3"/>
  </si>
  <si>
    <t>22.11.2018</t>
    <phoneticPr fontId="3"/>
  </si>
  <si>
    <t>カネスエ</t>
  </si>
  <si>
    <t>長久手店</t>
  </si>
  <si>
    <t>ラフランス</t>
    <phoneticPr fontId="4"/>
  </si>
  <si>
    <t>カネトク</t>
  </si>
  <si>
    <t>アピタ</t>
  </si>
  <si>
    <t>JPY</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</si>
</sst>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7">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0" fontId="1" fillId="4" borderId="36" xfId="1" applyFill="1" applyBorder="1"/>
    <xf numFmtId="178" fontId="1" fillId="3" borderId="37" xfId="1" applyNumberFormat="1" applyFill="1" applyBorder="1"/>
    <xf numFmtId="0" fontId="1" fillId="0" borderId="38" xfId="1" applyBorder="1"/>
    <xf numFmtId="0" fontId="1" fillId="0" borderId="39" xfId="1" applyFill="1" applyBorder="1"/>
    <xf numFmtId="0" fontId="1" fillId="3" borderId="0" xfId="1" applyFill="1" applyBorder="1"/>
    <xf numFmtId="0" fontId="1" fillId="0" borderId="40" xfId="1" applyFill="1" applyBorder="1"/>
    <xf numFmtId="0" fontId="1" fillId="4" borderId="41" xfId="1" applyFill="1" applyBorder="1"/>
    <xf numFmtId="0" fontId="1" fillId="4" borderId="12" xfId="1" applyFill="1" applyBorder="1"/>
    <xf numFmtId="0" fontId="1" fillId="0" borderId="42" xfId="1" applyBorder="1"/>
    <xf numFmtId="0" fontId="1" fillId="4" borderId="39" xfId="1" applyFill="1" applyBorder="1"/>
    <xf numFmtId="0" fontId="1" fillId="0" borderId="40" xfId="1" applyBorder="1"/>
    <xf numFmtId="0" fontId="1" fillId="4" borderId="16" xfId="1" applyFill="1" applyBorder="1"/>
    <xf numFmtId="0" fontId="1" fillId="4" borderId="17" xfId="1" applyFill="1" applyBorder="1"/>
    <xf numFmtId="0" fontId="1" fillId="0" borderId="39" xfId="1" applyBorder="1"/>
    <xf numFmtId="0" fontId="1" fillId="0" borderId="41" xfId="1" applyBorder="1"/>
    <xf numFmtId="0" fontId="1" fillId="0" borderId="41" xfId="1" applyFont="1" applyBorder="1"/>
    <xf numFmtId="0" fontId="1" fillId="0" borderId="17" xfId="1" applyFill="1" applyBorder="1"/>
    <xf numFmtId="0" fontId="1" fillId="0" borderId="42" xfId="1" applyFont="1" applyBorder="1"/>
    <xf numFmtId="0" fontId="1" fillId="0" borderId="34" xfId="1" applyBorder="1"/>
    <xf numFmtId="0" fontId="1" fillId="4" borderId="32" xfId="1" applyFill="1" applyBorder="1"/>
    <xf numFmtId="49" fontId="2" fillId="5" borderId="43"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178" fontId="1" fillId="3" borderId="0" xfId="1" applyNumberFormat="1" applyFont="1" applyFill="1"/>
    <xf numFmtId="0" fontId="14" fillId="0" borderId="0" xfId="1" applyFont="1" applyFill="1"/>
    <xf numFmtId="0" fontId="1" fillId="0" borderId="18" xfId="5" applyFont="1" applyBorder="1" applyAlignment="1"/>
    <xf numFmtId="14" fontId="0" fillId="4" borderId="44" xfId="1" applyNumberFormat="1" applyFont="1" applyFill="1" applyBorder="1"/>
    <xf numFmtId="14" fontId="0" fillId="4" borderId="45" xfId="1" applyNumberFormat="1" applyFont="1" applyFill="1" applyBorder="1"/>
    <xf numFmtId="14" fontId="0" fillId="0" borderId="0" xfId="1" applyNumberFormat="1" applyFont="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4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osaka4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hiroshima_4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fukuoka_4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467;&#12500;&#12540;Zespri%20Shopsurvey_ota_4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kato_4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nagoya_4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 val="Sheet1"/>
      <sheetName val="Sheet2"/>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C22" sqref="AC2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333</v>
      </c>
      <c r="B2" s="15" t="s">
        <v>335</v>
      </c>
      <c r="C2" s="15">
        <v>2018</v>
      </c>
      <c r="D2" s="50" t="s">
        <v>341</v>
      </c>
      <c r="E2" s="15" t="s">
        <v>141</v>
      </c>
      <c r="F2" s="15" t="s">
        <v>149</v>
      </c>
      <c r="G2" s="15" t="s">
        <v>36</v>
      </c>
      <c r="H2" s="15" t="s">
        <v>155</v>
      </c>
      <c r="I2" s="15" t="s">
        <v>153</v>
      </c>
      <c r="J2" s="15" t="s">
        <v>38</v>
      </c>
      <c r="K2" s="7" t="s">
        <v>154</v>
      </c>
      <c r="L2" s="7">
        <v>1</v>
      </c>
      <c r="N2" s="47">
        <v>1</v>
      </c>
      <c r="O2" s="15">
        <v>0.55000000000000004</v>
      </c>
      <c r="P2" s="15">
        <v>0.6</v>
      </c>
      <c r="Q2" s="51">
        <f t="shared" ref="Q2:Q65" si="0">IF(OR(O2="",P2=""),"",AVERAGE(O2,P2))</f>
        <v>0.57499999999999996</v>
      </c>
      <c r="R2" s="15">
        <v>12.2</v>
      </c>
      <c r="S2" s="15">
        <v>109</v>
      </c>
      <c r="T2" s="38">
        <f t="shared" ref="T2:T59" si="1">IF(H2="","",IF(OR(H2="GREEN",H2="GK"),IF(S2&gt;=$AX$2,VLOOKUP(S2,$AX$2:$AY$12,2,1),""),IF(S2&gt;=$AZ$2,VLOOKUP(S2,$AZ$2:$BA$12,2,1),"")))</f>
        <v>33</v>
      </c>
      <c r="U2" s="15">
        <v>51</v>
      </c>
      <c r="V2" s="38">
        <f t="shared" ref="V2:V65" si="2">IF(OR(N2="",U2="",T2=""),"",U2/N2*T2)</f>
        <v>1683</v>
      </c>
      <c r="W2" s="15">
        <v>3</v>
      </c>
      <c r="X2" s="15" t="s">
        <v>39</v>
      </c>
      <c r="Y2" s="15" t="s">
        <v>84</v>
      </c>
      <c r="Z2" s="15" t="s">
        <v>90</v>
      </c>
      <c r="AA2" s="15" t="s">
        <v>50</v>
      </c>
      <c r="AB2" s="39" t="s">
        <v>337</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333</v>
      </c>
      <c r="B3" s="15" t="s">
        <v>334</v>
      </c>
      <c r="C3" s="15">
        <v>2018</v>
      </c>
      <c r="D3" s="37" t="s">
        <v>340</v>
      </c>
      <c r="E3" s="15" t="s">
        <v>141</v>
      </c>
      <c r="F3" s="7" t="s">
        <v>149</v>
      </c>
      <c r="G3" s="7" t="s">
        <v>36</v>
      </c>
      <c r="H3" s="15" t="s">
        <v>155</v>
      </c>
      <c r="I3" s="7" t="s">
        <v>153</v>
      </c>
      <c r="J3" s="15" t="s">
        <v>38</v>
      </c>
      <c r="K3" s="7" t="s">
        <v>154</v>
      </c>
      <c r="L3" s="7">
        <v>2</v>
      </c>
      <c r="N3" s="7">
        <v>1</v>
      </c>
      <c r="O3" s="34">
        <v>0.55000000000000004</v>
      </c>
      <c r="P3" s="7">
        <v>0.7</v>
      </c>
      <c r="Q3" s="52">
        <f t="shared" si="0"/>
        <v>0.625</v>
      </c>
      <c r="R3" s="7">
        <v>12.4</v>
      </c>
      <c r="S3" s="7">
        <v>118</v>
      </c>
      <c r="T3" s="16">
        <f t="shared" si="1"/>
        <v>30</v>
      </c>
      <c r="U3" s="15">
        <v>51</v>
      </c>
      <c r="V3" s="16">
        <f t="shared" si="2"/>
        <v>1530</v>
      </c>
      <c r="W3" s="15">
        <v>3</v>
      </c>
      <c r="X3" s="15" t="s">
        <v>39</v>
      </c>
      <c r="Y3" s="211" t="s">
        <v>84</v>
      </c>
      <c r="Z3" s="211" t="s">
        <v>90</v>
      </c>
      <c r="AA3" s="211" t="s">
        <v>50</v>
      </c>
      <c r="AB3" s="39" t="s">
        <v>336</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333</v>
      </c>
      <c r="B4" s="15" t="s">
        <v>334</v>
      </c>
      <c r="C4" s="15">
        <v>2018</v>
      </c>
      <c r="D4" s="37" t="s">
        <v>340</v>
      </c>
      <c r="E4" s="15" t="s">
        <v>141</v>
      </c>
      <c r="F4" s="7" t="s">
        <v>149</v>
      </c>
      <c r="G4" s="7" t="s">
        <v>36</v>
      </c>
      <c r="H4" s="15" t="s">
        <v>155</v>
      </c>
      <c r="I4" s="203" t="s">
        <v>153</v>
      </c>
      <c r="J4" s="15" t="s">
        <v>38</v>
      </c>
      <c r="K4" s="7" t="s">
        <v>154</v>
      </c>
      <c r="L4" s="7">
        <v>3</v>
      </c>
      <c r="N4" s="7">
        <v>1</v>
      </c>
      <c r="O4" s="7">
        <v>0.8</v>
      </c>
      <c r="P4" s="7">
        <v>0.8</v>
      </c>
      <c r="Q4" s="52">
        <f t="shared" si="0"/>
        <v>0.8</v>
      </c>
      <c r="R4" s="7">
        <v>11.2</v>
      </c>
      <c r="S4" s="7">
        <v>111</v>
      </c>
      <c r="T4" s="16">
        <f t="shared" si="1"/>
        <v>33</v>
      </c>
      <c r="U4" s="15">
        <v>51</v>
      </c>
      <c r="V4" s="16">
        <f t="shared" si="2"/>
        <v>1683</v>
      </c>
      <c r="W4" s="15">
        <v>3</v>
      </c>
      <c r="X4" s="211" t="s">
        <v>39</v>
      </c>
      <c r="Y4" s="211" t="s">
        <v>84</v>
      </c>
      <c r="Z4" s="211" t="s">
        <v>90</v>
      </c>
      <c r="AA4" s="211" t="s">
        <v>50</v>
      </c>
      <c r="AB4" s="39" t="s">
        <v>336</v>
      </c>
      <c r="AE4" s="22" t="s">
        <v>34</v>
      </c>
      <c r="AG4" s="49" t="s">
        <v>338</v>
      </c>
      <c r="AH4" s="49" t="s">
        <v>339</v>
      </c>
      <c r="AJ4" s="27" t="s">
        <v>48</v>
      </c>
      <c r="AL4" s="27" t="s">
        <v>129</v>
      </c>
      <c r="AN4" s="28" t="s">
        <v>49</v>
      </c>
      <c r="AP4" s="23" t="s">
        <v>93</v>
      </c>
      <c r="AR4" s="41" t="s">
        <v>121</v>
      </c>
      <c r="AT4" s="28"/>
      <c r="AV4" s="23" t="s">
        <v>50</v>
      </c>
      <c r="AX4" s="24">
        <v>75</v>
      </c>
      <c r="AY4" s="25">
        <v>42</v>
      </c>
      <c r="AZ4" s="25">
        <v>76</v>
      </c>
      <c r="BA4" s="26">
        <v>39</v>
      </c>
    </row>
    <row r="5" spans="1:53" x14ac:dyDescent="0.15">
      <c r="A5" s="15" t="s">
        <v>333</v>
      </c>
      <c r="B5" s="15" t="s">
        <v>334</v>
      </c>
      <c r="C5" s="15">
        <v>2018</v>
      </c>
      <c r="D5" s="37" t="s">
        <v>340</v>
      </c>
      <c r="E5" s="15" t="s">
        <v>133</v>
      </c>
      <c r="F5" s="15" t="s">
        <v>150</v>
      </c>
      <c r="G5" s="7" t="s">
        <v>36</v>
      </c>
      <c r="H5" s="15" t="s">
        <v>155</v>
      </c>
      <c r="I5" s="203" t="s">
        <v>153</v>
      </c>
      <c r="J5" s="15" t="s">
        <v>38</v>
      </c>
      <c r="K5" s="7" t="s">
        <v>154</v>
      </c>
      <c r="L5" s="7">
        <v>1</v>
      </c>
      <c r="N5" s="7">
        <v>1</v>
      </c>
      <c r="O5" s="7">
        <v>0.7</v>
      </c>
      <c r="P5" s="7">
        <v>0.75</v>
      </c>
      <c r="Q5" s="52">
        <f t="shared" si="0"/>
        <v>0.72499999999999998</v>
      </c>
      <c r="R5" s="7">
        <v>13.3</v>
      </c>
      <c r="S5" s="7">
        <v>121</v>
      </c>
      <c r="T5" s="16">
        <f t="shared" si="1"/>
        <v>27</v>
      </c>
      <c r="U5" s="15">
        <v>62</v>
      </c>
      <c r="V5" s="16">
        <f t="shared" si="2"/>
        <v>1674</v>
      </c>
      <c r="W5" s="15">
        <v>10</v>
      </c>
      <c r="X5" s="211" t="s">
        <v>46</v>
      </c>
      <c r="Y5" s="211" t="s">
        <v>102</v>
      </c>
      <c r="Z5" s="211" t="s">
        <v>50</v>
      </c>
      <c r="AA5" s="211" t="s">
        <v>90</v>
      </c>
      <c r="AB5" s="39" t="s">
        <v>336</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333</v>
      </c>
      <c r="B6" s="15" t="s">
        <v>334</v>
      </c>
      <c r="C6" s="15">
        <v>2018</v>
      </c>
      <c r="D6" s="37" t="s">
        <v>340</v>
      </c>
      <c r="E6" s="15" t="s">
        <v>133</v>
      </c>
      <c r="F6" s="7" t="s">
        <v>150</v>
      </c>
      <c r="G6" s="7" t="s">
        <v>36</v>
      </c>
      <c r="H6" s="211" t="s">
        <v>155</v>
      </c>
      <c r="I6" s="203" t="s">
        <v>153</v>
      </c>
      <c r="J6" s="211" t="s">
        <v>38</v>
      </c>
      <c r="K6" s="203" t="s">
        <v>154</v>
      </c>
      <c r="L6" s="7">
        <v>2</v>
      </c>
      <c r="N6" s="7">
        <v>1</v>
      </c>
      <c r="O6" s="7">
        <v>0.6</v>
      </c>
      <c r="P6" s="7">
        <v>0.5</v>
      </c>
      <c r="Q6" s="52">
        <f t="shared" si="0"/>
        <v>0.55000000000000004</v>
      </c>
      <c r="R6" s="7">
        <v>12.5</v>
      </c>
      <c r="S6" s="7">
        <v>117</v>
      </c>
      <c r="T6" s="16">
        <f t="shared" si="1"/>
        <v>30</v>
      </c>
      <c r="U6" s="211">
        <v>62</v>
      </c>
      <c r="V6" s="16">
        <f t="shared" si="2"/>
        <v>1860</v>
      </c>
      <c r="W6" s="15">
        <v>10</v>
      </c>
      <c r="X6" s="211" t="s">
        <v>46</v>
      </c>
      <c r="Y6" s="211" t="s">
        <v>102</v>
      </c>
      <c r="Z6" s="211" t="s">
        <v>50</v>
      </c>
      <c r="AA6" s="211" t="s">
        <v>90</v>
      </c>
      <c r="AB6" s="39" t="s">
        <v>336</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333</v>
      </c>
      <c r="B7" s="15" t="s">
        <v>334</v>
      </c>
      <c r="C7" s="15">
        <v>2018</v>
      </c>
      <c r="D7" s="37" t="s">
        <v>340</v>
      </c>
      <c r="E7" s="15" t="s">
        <v>133</v>
      </c>
      <c r="F7" s="7" t="s">
        <v>150</v>
      </c>
      <c r="G7" s="7" t="s">
        <v>36</v>
      </c>
      <c r="H7" s="211" t="s">
        <v>155</v>
      </c>
      <c r="I7" s="203" t="s">
        <v>153</v>
      </c>
      <c r="J7" s="211" t="s">
        <v>38</v>
      </c>
      <c r="K7" s="203" t="s">
        <v>154</v>
      </c>
      <c r="L7" s="7">
        <v>3</v>
      </c>
      <c r="N7" s="7">
        <v>1</v>
      </c>
      <c r="O7" s="7">
        <v>0.65</v>
      </c>
      <c r="P7" s="7">
        <v>0.6</v>
      </c>
      <c r="Q7" s="52">
        <f t="shared" si="0"/>
        <v>0.625</v>
      </c>
      <c r="R7" s="34">
        <v>13.3</v>
      </c>
      <c r="S7" s="7">
        <v>117</v>
      </c>
      <c r="T7" s="16">
        <f t="shared" si="1"/>
        <v>30</v>
      </c>
      <c r="U7" s="211">
        <v>62</v>
      </c>
      <c r="V7" s="16">
        <f t="shared" si="2"/>
        <v>1860</v>
      </c>
      <c r="W7" s="15">
        <v>10</v>
      </c>
      <c r="X7" s="211" t="s">
        <v>46</v>
      </c>
      <c r="Y7" s="211" t="s">
        <v>102</v>
      </c>
      <c r="Z7" s="211" t="s">
        <v>50</v>
      </c>
      <c r="AA7" s="211" t="s">
        <v>90</v>
      </c>
      <c r="AB7" s="39" t="s">
        <v>336</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333</v>
      </c>
      <c r="B8" s="15" t="s">
        <v>334</v>
      </c>
      <c r="C8" s="15">
        <v>2018</v>
      </c>
      <c r="D8" s="37" t="s">
        <v>340</v>
      </c>
      <c r="E8" s="15" t="s">
        <v>133</v>
      </c>
      <c r="F8" s="7" t="s">
        <v>150</v>
      </c>
      <c r="G8" s="7" t="s">
        <v>36</v>
      </c>
      <c r="H8" s="15" t="s">
        <v>166</v>
      </c>
      <c r="I8" s="203" t="s">
        <v>153</v>
      </c>
      <c r="J8" s="15" t="s">
        <v>38</v>
      </c>
      <c r="K8" s="7" t="s">
        <v>154</v>
      </c>
      <c r="L8" s="7">
        <v>1</v>
      </c>
      <c r="N8" s="203">
        <v>4</v>
      </c>
      <c r="O8" s="7">
        <v>0.7</v>
      </c>
      <c r="P8" s="7">
        <v>0.6</v>
      </c>
      <c r="Q8" s="52">
        <f t="shared" si="0"/>
        <v>0.64999999999999991</v>
      </c>
      <c r="R8" s="34">
        <v>14.6</v>
      </c>
      <c r="S8" s="7">
        <v>102</v>
      </c>
      <c r="T8" s="16">
        <f t="shared" si="1"/>
        <v>33</v>
      </c>
      <c r="U8" s="15">
        <v>537</v>
      </c>
      <c r="V8" s="16">
        <f t="shared" si="2"/>
        <v>4430.25</v>
      </c>
      <c r="W8" s="15">
        <v>2</v>
      </c>
      <c r="X8" s="211" t="s">
        <v>46</v>
      </c>
      <c r="Y8" s="211" t="s">
        <v>102</v>
      </c>
      <c r="Z8" s="211" t="s">
        <v>50</v>
      </c>
      <c r="AA8" s="211" t="s">
        <v>90</v>
      </c>
      <c r="AB8" s="39" t="s">
        <v>336</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333</v>
      </c>
      <c r="B9" s="15" t="s">
        <v>334</v>
      </c>
      <c r="C9" s="15">
        <v>2018</v>
      </c>
      <c r="D9" s="37" t="s">
        <v>340</v>
      </c>
      <c r="E9" s="15" t="s">
        <v>133</v>
      </c>
      <c r="F9" s="7" t="s">
        <v>150</v>
      </c>
      <c r="G9" s="7" t="s">
        <v>36</v>
      </c>
      <c r="H9" s="211" t="s">
        <v>166</v>
      </c>
      <c r="I9" s="203" t="s">
        <v>153</v>
      </c>
      <c r="J9" s="211" t="s">
        <v>38</v>
      </c>
      <c r="K9" s="203" t="s">
        <v>154</v>
      </c>
      <c r="L9" s="7">
        <v>2</v>
      </c>
      <c r="N9" s="203">
        <v>4</v>
      </c>
      <c r="O9" s="7">
        <v>0.55000000000000004</v>
      </c>
      <c r="P9" s="7">
        <v>0.7</v>
      </c>
      <c r="Q9" s="52">
        <f t="shared" si="0"/>
        <v>0.625</v>
      </c>
      <c r="R9" s="7">
        <v>15.8</v>
      </c>
      <c r="S9" s="7">
        <v>96</v>
      </c>
      <c r="T9" s="16">
        <f t="shared" si="1"/>
        <v>36</v>
      </c>
      <c r="U9" s="211">
        <v>537</v>
      </c>
      <c r="V9" s="16">
        <f t="shared" si="2"/>
        <v>4833</v>
      </c>
      <c r="W9" s="15">
        <v>2</v>
      </c>
      <c r="X9" s="211" t="s">
        <v>46</v>
      </c>
      <c r="Y9" s="211" t="s">
        <v>102</v>
      </c>
      <c r="Z9" s="211" t="s">
        <v>50</v>
      </c>
      <c r="AA9" s="211" t="s">
        <v>90</v>
      </c>
      <c r="AB9" s="39" t="s">
        <v>369</v>
      </c>
      <c r="AE9" s="22" t="s">
        <v>98</v>
      </c>
      <c r="AG9" s="49" t="s">
        <v>133</v>
      </c>
      <c r="AH9" s="49" t="s">
        <v>150</v>
      </c>
      <c r="AL9" s="34"/>
      <c r="AP9" s="23" t="s">
        <v>95</v>
      </c>
      <c r="AR9" s="30" t="s">
        <v>89</v>
      </c>
      <c r="AV9" s="23" t="s">
        <v>102</v>
      </c>
      <c r="AX9" s="24">
        <v>128</v>
      </c>
      <c r="AY9" s="25">
        <v>27</v>
      </c>
      <c r="AZ9" s="25">
        <v>129</v>
      </c>
      <c r="BA9" s="26">
        <v>25</v>
      </c>
    </row>
    <row r="10" spans="1:53" x14ac:dyDescent="0.15">
      <c r="A10" s="15" t="s">
        <v>333</v>
      </c>
      <c r="B10" s="15" t="s">
        <v>334</v>
      </c>
      <c r="C10" s="15">
        <v>2018</v>
      </c>
      <c r="D10" s="37" t="s">
        <v>340</v>
      </c>
      <c r="E10" s="15" t="s">
        <v>133</v>
      </c>
      <c r="F10" s="7" t="s">
        <v>150</v>
      </c>
      <c r="G10" s="7" t="s">
        <v>36</v>
      </c>
      <c r="H10" s="211" t="s">
        <v>166</v>
      </c>
      <c r="I10" s="203" t="s">
        <v>153</v>
      </c>
      <c r="J10" s="211" t="s">
        <v>38</v>
      </c>
      <c r="K10" s="203" t="s">
        <v>154</v>
      </c>
      <c r="L10" s="7">
        <v>3</v>
      </c>
      <c r="N10" s="203">
        <v>4</v>
      </c>
      <c r="O10" s="7">
        <v>0.5</v>
      </c>
      <c r="P10" s="7">
        <v>0.5</v>
      </c>
      <c r="Q10" s="52">
        <f t="shared" si="0"/>
        <v>0.5</v>
      </c>
      <c r="R10" s="7">
        <v>18.8</v>
      </c>
      <c r="S10" s="7">
        <v>106</v>
      </c>
      <c r="T10" s="16">
        <f t="shared" si="1"/>
        <v>33</v>
      </c>
      <c r="U10" s="211">
        <v>537</v>
      </c>
      <c r="V10" s="16">
        <f t="shared" si="2"/>
        <v>4430.25</v>
      </c>
      <c r="W10" s="15">
        <v>2</v>
      </c>
      <c r="X10" s="211" t="s">
        <v>46</v>
      </c>
      <c r="Y10" s="211" t="s">
        <v>102</v>
      </c>
      <c r="Z10" s="211" t="s">
        <v>50</v>
      </c>
      <c r="AA10" s="211" t="s">
        <v>90</v>
      </c>
      <c r="AB10" s="39" t="s">
        <v>336</v>
      </c>
      <c r="AE10" s="22" t="s">
        <v>103</v>
      </c>
      <c r="AG10" s="49" t="s">
        <v>142</v>
      </c>
      <c r="AH10" s="49" t="s">
        <v>151</v>
      </c>
      <c r="AP10" s="23" t="s">
        <v>100</v>
      </c>
      <c r="AR10" s="30" t="s">
        <v>123</v>
      </c>
      <c r="AV10" s="23" t="s">
        <v>106</v>
      </c>
      <c r="AX10" s="24">
        <v>138</v>
      </c>
      <c r="AY10" s="25">
        <v>25</v>
      </c>
      <c r="AZ10" s="25">
        <v>138</v>
      </c>
      <c r="BA10" s="26">
        <v>22</v>
      </c>
    </row>
    <row r="11" spans="1:53" x14ac:dyDescent="0.15">
      <c r="A11" s="15" t="s">
        <v>333</v>
      </c>
      <c r="B11" s="15" t="s">
        <v>334</v>
      </c>
      <c r="C11" s="15">
        <v>2018</v>
      </c>
      <c r="D11" s="37" t="s">
        <v>340</v>
      </c>
      <c r="E11" s="15" t="s">
        <v>133</v>
      </c>
      <c r="F11" s="7" t="s">
        <v>150</v>
      </c>
      <c r="G11" s="7" t="s">
        <v>36</v>
      </c>
      <c r="H11" s="211" t="s">
        <v>128</v>
      </c>
      <c r="I11" s="7" t="s">
        <v>153</v>
      </c>
      <c r="J11" s="15" t="s">
        <v>80</v>
      </c>
      <c r="K11" s="7" t="s">
        <v>45</v>
      </c>
      <c r="L11" s="7">
        <v>1</v>
      </c>
      <c r="N11" s="203">
        <v>1</v>
      </c>
      <c r="O11" s="7">
        <v>2</v>
      </c>
      <c r="P11" s="7">
        <v>2.15</v>
      </c>
      <c r="Q11" s="52">
        <f t="shared" si="0"/>
        <v>2.0750000000000002</v>
      </c>
      <c r="R11" s="7">
        <v>17.100000000000001</v>
      </c>
      <c r="S11" s="7">
        <v>127</v>
      </c>
      <c r="T11" s="16">
        <f t="shared" si="1"/>
        <v>27</v>
      </c>
      <c r="U11" s="7">
        <v>62</v>
      </c>
      <c r="V11" s="16">
        <f t="shared" si="2"/>
        <v>1674</v>
      </c>
      <c r="W11" s="7">
        <v>2</v>
      </c>
      <c r="X11" s="211" t="s">
        <v>46</v>
      </c>
      <c r="Y11" s="211" t="s">
        <v>102</v>
      </c>
      <c r="Z11" s="211" t="s">
        <v>50</v>
      </c>
      <c r="AA11" s="211" t="s">
        <v>90</v>
      </c>
      <c r="AB11" s="39" t="s">
        <v>336</v>
      </c>
      <c r="AE11" s="22" t="s">
        <v>65</v>
      </c>
      <c r="AG11" s="49" t="s">
        <v>143</v>
      </c>
      <c r="AH11" s="49" t="s">
        <v>152</v>
      </c>
      <c r="AP11" s="23" t="s">
        <v>104</v>
      </c>
      <c r="AR11" s="30" t="s">
        <v>87</v>
      </c>
      <c r="AV11" s="23" t="s">
        <v>69</v>
      </c>
      <c r="AX11" s="24">
        <v>151</v>
      </c>
      <c r="AY11" s="25">
        <v>22</v>
      </c>
      <c r="AZ11" s="25">
        <v>152</v>
      </c>
      <c r="BA11" s="26">
        <v>18</v>
      </c>
    </row>
    <row r="12" spans="1:53" x14ac:dyDescent="0.15">
      <c r="A12" s="15" t="s">
        <v>333</v>
      </c>
      <c r="B12" s="15" t="s">
        <v>334</v>
      </c>
      <c r="C12" s="15">
        <v>2018</v>
      </c>
      <c r="D12" s="37" t="s">
        <v>340</v>
      </c>
      <c r="E12" s="15" t="s">
        <v>133</v>
      </c>
      <c r="F12" s="7" t="s">
        <v>150</v>
      </c>
      <c r="G12" s="7" t="s">
        <v>36</v>
      </c>
      <c r="H12" s="211" t="s">
        <v>128</v>
      </c>
      <c r="I12" s="203" t="s">
        <v>153</v>
      </c>
      <c r="J12" s="211" t="s">
        <v>80</v>
      </c>
      <c r="K12" s="203" t="s">
        <v>45</v>
      </c>
      <c r="L12" s="7">
        <v>2</v>
      </c>
      <c r="N12" s="7">
        <v>1</v>
      </c>
      <c r="O12" s="7">
        <v>1.55</v>
      </c>
      <c r="P12" s="7">
        <v>1.65</v>
      </c>
      <c r="Q12" s="52">
        <f t="shared" si="0"/>
        <v>1.6</v>
      </c>
      <c r="R12" s="34">
        <v>16.7</v>
      </c>
      <c r="S12" s="7">
        <v>139</v>
      </c>
      <c r="T12" s="16">
        <f t="shared" si="1"/>
        <v>22</v>
      </c>
      <c r="U12" s="203">
        <v>62</v>
      </c>
      <c r="V12" s="16">
        <f t="shared" si="2"/>
        <v>1364</v>
      </c>
      <c r="W12" s="7">
        <v>2</v>
      </c>
      <c r="X12" s="211" t="s">
        <v>46</v>
      </c>
      <c r="Y12" s="211" t="s">
        <v>102</v>
      </c>
      <c r="Z12" s="211" t="s">
        <v>50</v>
      </c>
      <c r="AA12" s="211" t="s">
        <v>90</v>
      </c>
      <c r="AB12" s="39" t="s">
        <v>336</v>
      </c>
      <c r="AE12" s="22" t="s">
        <v>70</v>
      </c>
      <c r="AG12" s="40"/>
      <c r="AH12" s="40"/>
      <c r="AP12" s="23" t="s">
        <v>67</v>
      </c>
      <c r="AR12" s="30" t="s">
        <v>124</v>
      </c>
      <c r="AV12" s="23" t="s">
        <v>72</v>
      </c>
      <c r="AX12" s="31">
        <v>180</v>
      </c>
      <c r="AY12" s="32">
        <v>18</v>
      </c>
      <c r="AZ12" s="32">
        <v>181</v>
      </c>
      <c r="BA12" s="33">
        <v>16</v>
      </c>
    </row>
    <row r="13" spans="1:53" x14ac:dyDescent="0.15">
      <c r="A13" s="15" t="s">
        <v>333</v>
      </c>
      <c r="B13" s="15" t="s">
        <v>334</v>
      </c>
      <c r="C13" s="15">
        <v>2018</v>
      </c>
      <c r="D13" s="37" t="s">
        <v>340</v>
      </c>
      <c r="E13" s="15" t="s">
        <v>133</v>
      </c>
      <c r="F13" s="7" t="s">
        <v>150</v>
      </c>
      <c r="G13" s="7" t="s">
        <v>36</v>
      </c>
      <c r="H13" s="211" t="s">
        <v>128</v>
      </c>
      <c r="I13" s="203" t="s">
        <v>153</v>
      </c>
      <c r="J13" s="211" t="s">
        <v>80</v>
      </c>
      <c r="K13" s="203" t="s">
        <v>45</v>
      </c>
      <c r="L13" s="7">
        <v>3</v>
      </c>
      <c r="N13" s="7">
        <v>1</v>
      </c>
      <c r="O13" s="7">
        <v>2.0499999999999998</v>
      </c>
      <c r="P13" s="7">
        <v>2.1</v>
      </c>
      <c r="Q13" s="52">
        <f t="shared" si="0"/>
        <v>2.0750000000000002</v>
      </c>
      <c r="R13" s="7">
        <v>15.9</v>
      </c>
      <c r="S13" s="7">
        <v>129</v>
      </c>
      <c r="T13" s="16">
        <f t="shared" si="1"/>
        <v>25</v>
      </c>
      <c r="U13" s="203">
        <v>62</v>
      </c>
      <c r="V13" s="16">
        <f t="shared" si="2"/>
        <v>1550</v>
      </c>
      <c r="W13" s="7">
        <v>2</v>
      </c>
      <c r="X13" s="211" t="s">
        <v>46</v>
      </c>
      <c r="Y13" s="211" t="s">
        <v>102</v>
      </c>
      <c r="Z13" s="211" t="s">
        <v>50</v>
      </c>
      <c r="AA13" s="211" t="s">
        <v>90</v>
      </c>
      <c r="AB13" s="39" t="s">
        <v>336</v>
      </c>
      <c r="AE13" s="22" t="s">
        <v>73</v>
      </c>
      <c r="AG13" s="23"/>
      <c r="AH13" s="23"/>
      <c r="AP13" s="23" t="s">
        <v>71</v>
      </c>
      <c r="AR13" s="30" t="s">
        <v>103</v>
      </c>
      <c r="AV13" s="23" t="s">
        <v>75</v>
      </c>
    </row>
    <row r="14" spans="1:53" x14ac:dyDescent="0.15">
      <c r="A14" s="15" t="s">
        <v>333</v>
      </c>
      <c r="B14" s="15" t="s">
        <v>334</v>
      </c>
      <c r="C14" s="15">
        <v>2018</v>
      </c>
      <c r="D14" s="37" t="s">
        <v>340</v>
      </c>
      <c r="E14" s="15" t="s">
        <v>142</v>
      </c>
      <c r="F14" s="7" t="s">
        <v>151</v>
      </c>
      <c r="G14" s="7" t="s">
        <v>36</v>
      </c>
      <c r="H14" s="15" t="s">
        <v>155</v>
      </c>
      <c r="I14" s="7" t="s">
        <v>153</v>
      </c>
      <c r="J14" s="15" t="s">
        <v>38</v>
      </c>
      <c r="K14" s="7" t="s">
        <v>154</v>
      </c>
      <c r="L14" s="7">
        <v>1</v>
      </c>
      <c r="N14" s="7">
        <v>1</v>
      </c>
      <c r="O14" s="7">
        <v>0.5</v>
      </c>
      <c r="P14" s="7">
        <v>0.5</v>
      </c>
      <c r="Q14" s="52">
        <f t="shared" si="0"/>
        <v>0.5</v>
      </c>
      <c r="R14" s="7">
        <v>11</v>
      </c>
      <c r="S14" s="7">
        <v>134</v>
      </c>
      <c r="T14" s="16">
        <f t="shared" si="1"/>
        <v>25</v>
      </c>
      <c r="U14" s="7">
        <v>149</v>
      </c>
      <c r="V14" s="16">
        <f t="shared" si="2"/>
        <v>3725</v>
      </c>
      <c r="W14" s="7">
        <v>8</v>
      </c>
      <c r="X14" s="15" t="s">
        <v>39</v>
      </c>
      <c r="Y14" s="211" t="s">
        <v>50</v>
      </c>
      <c r="Z14" s="211" t="s">
        <v>84</v>
      </c>
      <c r="AA14" s="211" t="s">
        <v>90</v>
      </c>
      <c r="AB14" s="39" t="s">
        <v>336</v>
      </c>
      <c r="AE14" s="22" t="s">
        <v>76</v>
      </c>
      <c r="AG14" s="23"/>
      <c r="AH14" s="23"/>
      <c r="AP14" s="23" t="s">
        <v>74</v>
      </c>
      <c r="AR14" s="30" t="s">
        <v>125</v>
      </c>
      <c r="AV14" s="23" t="s">
        <v>78</v>
      </c>
    </row>
    <row r="15" spans="1:53" x14ac:dyDescent="0.15">
      <c r="A15" s="15" t="s">
        <v>333</v>
      </c>
      <c r="B15" s="15" t="s">
        <v>334</v>
      </c>
      <c r="C15" s="15">
        <v>2018</v>
      </c>
      <c r="D15" s="37" t="s">
        <v>340</v>
      </c>
      <c r="E15" s="15" t="s">
        <v>142</v>
      </c>
      <c r="F15" s="7" t="s">
        <v>151</v>
      </c>
      <c r="G15" s="7" t="s">
        <v>36</v>
      </c>
      <c r="H15" s="211" t="s">
        <v>155</v>
      </c>
      <c r="I15" s="203" t="s">
        <v>153</v>
      </c>
      <c r="J15" s="211" t="s">
        <v>38</v>
      </c>
      <c r="K15" s="203" t="s">
        <v>154</v>
      </c>
      <c r="L15" s="7">
        <v>2</v>
      </c>
      <c r="N15" s="7">
        <v>1</v>
      </c>
      <c r="O15" s="7">
        <v>0.9</v>
      </c>
      <c r="P15" s="7">
        <v>0.9</v>
      </c>
      <c r="Q15" s="52">
        <f t="shared" si="0"/>
        <v>0.9</v>
      </c>
      <c r="R15" s="7">
        <v>13.2</v>
      </c>
      <c r="S15" s="7">
        <v>145</v>
      </c>
      <c r="T15" s="16">
        <f t="shared" si="1"/>
        <v>22</v>
      </c>
      <c r="U15" s="203">
        <v>149</v>
      </c>
      <c r="V15" s="16">
        <f t="shared" si="2"/>
        <v>3278</v>
      </c>
      <c r="W15" s="7">
        <v>8</v>
      </c>
      <c r="X15" s="211" t="s">
        <v>39</v>
      </c>
      <c r="Y15" s="211" t="s">
        <v>50</v>
      </c>
      <c r="Z15" s="211" t="s">
        <v>84</v>
      </c>
      <c r="AA15" s="211" t="s">
        <v>90</v>
      </c>
      <c r="AB15" s="39" t="s">
        <v>336</v>
      </c>
      <c r="AE15" s="22" t="s">
        <v>79</v>
      </c>
      <c r="AG15" s="23"/>
      <c r="AH15" s="23"/>
      <c r="AP15" s="23" t="s">
        <v>77</v>
      </c>
      <c r="AR15" s="30" t="s">
        <v>94</v>
      </c>
      <c r="AV15" s="23" t="s">
        <v>107</v>
      </c>
    </row>
    <row r="16" spans="1:53" x14ac:dyDescent="0.15">
      <c r="A16" s="15" t="s">
        <v>333</v>
      </c>
      <c r="B16" s="15" t="s">
        <v>334</v>
      </c>
      <c r="C16" s="15">
        <v>2018</v>
      </c>
      <c r="D16" s="37" t="s">
        <v>340</v>
      </c>
      <c r="E16" s="15" t="s">
        <v>142</v>
      </c>
      <c r="F16" s="7" t="s">
        <v>151</v>
      </c>
      <c r="G16" s="7" t="s">
        <v>36</v>
      </c>
      <c r="H16" s="211" t="s">
        <v>155</v>
      </c>
      <c r="I16" s="203" t="s">
        <v>153</v>
      </c>
      <c r="J16" s="211" t="s">
        <v>38</v>
      </c>
      <c r="K16" s="203" t="s">
        <v>154</v>
      </c>
      <c r="L16" s="7">
        <v>3</v>
      </c>
      <c r="N16" s="7">
        <v>1</v>
      </c>
      <c r="O16" s="7">
        <v>0.7</v>
      </c>
      <c r="P16" s="7">
        <v>0.75</v>
      </c>
      <c r="Q16" s="52">
        <f t="shared" si="0"/>
        <v>0.72499999999999998</v>
      </c>
      <c r="R16" s="7">
        <v>15</v>
      </c>
      <c r="S16" s="7">
        <v>125</v>
      </c>
      <c r="T16" s="16">
        <f t="shared" si="1"/>
        <v>27</v>
      </c>
      <c r="U16" s="203">
        <v>149</v>
      </c>
      <c r="V16" s="16">
        <f t="shared" si="2"/>
        <v>4023</v>
      </c>
      <c r="W16" s="7">
        <v>8</v>
      </c>
      <c r="X16" s="211" t="s">
        <v>39</v>
      </c>
      <c r="Y16" s="211" t="s">
        <v>50</v>
      </c>
      <c r="Z16" s="211" t="s">
        <v>84</v>
      </c>
      <c r="AA16" s="211" t="s">
        <v>90</v>
      </c>
      <c r="AB16" s="39" t="s">
        <v>336</v>
      </c>
      <c r="AE16" s="22" t="s">
        <v>82</v>
      </c>
      <c r="AG16" s="28"/>
      <c r="AH16" s="28"/>
      <c r="AP16" s="23" t="s">
        <v>80</v>
      </c>
      <c r="AR16" s="41" t="s">
        <v>63</v>
      </c>
      <c r="AV16" s="23" t="s">
        <v>84</v>
      </c>
    </row>
    <row r="17" spans="1:48" x14ac:dyDescent="0.15">
      <c r="A17" s="15" t="s">
        <v>333</v>
      </c>
      <c r="B17" s="15" t="s">
        <v>334</v>
      </c>
      <c r="C17" s="15">
        <v>2018</v>
      </c>
      <c r="D17" s="37" t="s">
        <v>340</v>
      </c>
      <c r="E17" s="15" t="s">
        <v>142</v>
      </c>
      <c r="F17" s="7" t="s">
        <v>151</v>
      </c>
      <c r="G17" s="7" t="s">
        <v>36</v>
      </c>
      <c r="H17" s="15" t="s">
        <v>166</v>
      </c>
      <c r="I17" s="203" t="s">
        <v>153</v>
      </c>
      <c r="J17" s="211" t="s">
        <v>38</v>
      </c>
      <c r="K17" s="203" t="s">
        <v>54</v>
      </c>
      <c r="L17" s="7">
        <v>1</v>
      </c>
      <c r="N17" s="7">
        <v>3</v>
      </c>
      <c r="O17" s="7">
        <v>0.5</v>
      </c>
      <c r="P17" s="7">
        <v>0.7</v>
      </c>
      <c r="Q17" s="52">
        <f t="shared" si="0"/>
        <v>0.6</v>
      </c>
      <c r="R17" s="7">
        <v>13.6</v>
      </c>
      <c r="S17" s="7">
        <v>113</v>
      </c>
      <c r="T17" s="16">
        <f t="shared" si="1"/>
        <v>30</v>
      </c>
      <c r="U17" s="7">
        <v>170</v>
      </c>
      <c r="V17" s="16">
        <f t="shared" si="2"/>
        <v>1700</v>
      </c>
      <c r="W17" s="7">
        <v>1</v>
      </c>
      <c r="X17" s="211" t="s">
        <v>39</v>
      </c>
      <c r="Y17" s="211" t="s">
        <v>50</v>
      </c>
      <c r="Z17" s="211" t="s">
        <v>84</v>
      </c>
      <c r="AA17" s="211" t="s">
        <v>90</v>
      </c>
      <c r="AB17" s="39" t="s">
        <v>336</v>
      </c>
      <c r="AE17" s="22" t="s">
        <v>85</v>
      </c>
      <c r="AP17" s="43" t="s">
        <v>110</v>
      </c>
      <c r="AR17" s="41" t="s">
        <v>96</v>
      </c>
      <c r="AV17" s="23" t="s">
        <v>86</v>
      </c>
    </row>
    <row r="18" spans="1:48" x14ac:dyDescent="0.15">
      <c r="A18" s="15" t="s">
        <v>333</v>
      </c>
      <c r="B18" s="15" t="s">
        <v>334</v>
      </c>
      <c r="C18" s="15">
        <v>2018</v>
      </c>
      <c r="D18" s="37" t="s">
        <v>340</v>
      </c>
      <c r="E18" s="15" t="s">
        <v>142</v>
      </c>
      <c r="F18" s="7" t="s">
        <v>151</v>
      </c>
      <c r="G18" s="7" t="s">
        <v>36</v>
      </c>
      <c r="H18" s="211" t="s">
        <v>166</v>
      </c>
      <c r="I18" s="203" t="s">
        <v>153</v>
      </c>
      <c r="J18" s="211" t="s">
        <v>38</v>
      </c>
      <c r="K18" s="203" t="s">
        <v>54</v>
      </c>
      <c r="L18" s="7">
        <v>2</v>
      </c>
      <c r="N18" s="7">
        <v>3</v>
      </c>
      <c r="O18" s="7">
        <v>0.5</v>
      </c>
      <c r="P18" s="7">
        <v>0.5</v>
      </c>
      <c r="Q18" s="52">
        <f t="shared" si="0"/>
        <v>0.5</v>
      </c>
      <c r="R18" s="7">
        <v>17.2</v>
      </c>
      <c r="S18" s="7">
        <v>110</v>
      </c>
      <c r="T18" s="16">
        <f t="shared" si="1"/>
        <v>33</v>
      </c>
      <c r="U18" s="203">
        <v>170</v>
      </c>
      <c r="V18" s="16">
        <f t="shared" si="2"/>
        <v>1870</v>
      </c>
      <c r="W18" s="7">
        <v>1</v>
      </c>
      <c r="X18" s="211" t="s">
        <v>39</v>
      </c>
      <c r="Y18" s="211" t="s">
        <v>50</v>
      </c>
      <c r="Z18" s="211" t="s">
        <v>84</v>
      </c>
      <c r="AA18" s="211" t="s">
        <v>90</v>
      </c>
      <c r="AB18" s="39" t="s">
        <v>336</v>
      </c>
      <c r="AE18" s="22" t="s">
        <v>87</v>
      </c>
      <c r="AP18" s="43" t="s">
        <v>111</v>
      </c>
      <c r="AR18" s="41" t="s">
        <v>101</v>
      </c>
      <c r="AV18" s="23" t="s">
        <v>88</v>
      </c>
    </row>
    <row r="19" spans="1:48" x14ac:dyDescent="0.15">
      <c r="A19" s="15" t="s">
        <v>333</v>
      </c>
      <c r="B19" s="15" t="s">
        <v>334</v>
      </c>
      <c r="C19" s="15">
        <v>2018</v>
      </c>
      <c r="D19" s="37" t="s">
        <v>340</v>
      </c>
      <c r="E19" s="15" t="s">
        <v>142</v>
      </c>
      <c r="F19" s="7" t="s">
        <v>151</v>
      </c>
      <c r="G19" s="7" t="s">
        <v>36</v>
      </c>
      <c r="H19" s="211" t="s">
        <v>166</v>
      </c>
      <c r="I19" s="203" t="s">
        <v>153</v>
      </c>
      <c r="J19" s="211" t="s">
        <v>38</v>
      </c>
      <c r="K19" s="203" t="s">
        <v>54</v>
      </c>
      <c r="L19" s="7">
        <v>3</v>
      </c>
      <c r="N19" s="7">
        <v>3</v>
      </c>
      <c r="O19" s="7">
        <v>0.5</v>
      </c>
      <c r="P19" s="7">
        <v>0.55000000000000004</v>
      </c>
      <c r="Q19" s="52">
        <f t="shared" si="0"/>
        <v>0.52500000000000002</v>
      </c>
      <c r="R19" s="7">
        <v>15.2</v>
      </c>
      <c r="S19" s="7">
        <v>105</v>
      </c>
      <c r="T19" s="16">
        <f t="shared" si="1"/>
        <v>33</v>
      </c>
      <c r="U19" s="203">
        <v>170</v>
      </c>
      <c r="V19" s="16">
        <f t="shared" si="2"/>
        <v>1870</v>
      </c>
      <c r="W19" s="7">
        <v>1</v>
      </c>
      <c r="X19" s="211" t="s">
        <v>39</v>
      </c>
      <c r="Y19" s="211" t="s">
        <v>50</v>
      </c>
      <c r="Z19" s="211" t="s">
        <v>84</v>
      </c>
      <c r="AA19" s="211" t="s">
        <v>90</v>
      </c>
      <c r="AB19" s="39" t="s">
        <v>336</v>
      </c>
      <c r="AE19" s="35" t="s">
        <v>89</v>
      </c>
      <c r="AP19" s="43" t="s">
        <v>112</v>
      </c>
      <c r="AR19" s="30" t="s">
        <v>126</v>
      </c>
      <c r="AV19" s="23" t="s">
        <v>90</v>
      </c>
    </row>
    <row r="20" spans="1:48" x14ac:dyDescent="0.15">
      <c r="A20" s="15" t="s">
        <v>333</v>
      </c>
      <c r="B20" s="15" t="s">
        <v>334</v>
      </c>
      <c r="C20" s="15">
        <v>2018</v>
      </c>
      <c r="D20" s="37" t="s">
        <v>340</v>
      </c>
      <c r="E20" s="15" t="s">
        <v>143</v>
      </c>
      <c r="F20" s="7" t="s">
        <v>152</v>
      </c>
      <c r="G20" s="7" t="s">
        <v>36</v>
      </c>
      <c r="H20" s="15" t="s">
        <v>155</v>
      </c>
      <c r="I20" s="203" t="s">
        <v>153</v>
      </c>
      <c r="J20" s="15" t="s">
        <v>38</v>
      </c>
      <c r="K20" s="7" t="s">
        <v>154</v>
      </c>
      <c r="L20" s="7">
        <v>1</v>
      </c>
      <c r="N20" s="7">
        <v>1</v>
      </c>
      <c r="O20" s="7">
        <v>0.55000000000000004</v>
      </c>
      <c r="P20" s="34">
        <v>0.55000000000000004</v>
      </c>
      <c r="Q20" s="52">
        <f t="shared" si="0"/>
        <v>0.55000000000000004</v>
      </c>
      <c r="R20" s="7">
        <v>14.2</v>
      </c>
      <c r="S20" s="7">
        <v>103</v>
      </c>
      <c r="T20" s="16">
        <f t="shared" si="1"/>
        <v>33</v>
      </c>
      <c r="U20" s="7">
        <v>51</v>
      </c>
      <c r="V20" s="16">
        <f t="shared" si="2"/>
        <v>1683</v>
      </c>
      <c r="W20" s="7">
        <v>3</v>
      </c>
      <c r="X20" s="211" t="s">
        <v>39</v>
      </c>
      <c r="Y20" s="211" t="s">
        <v>50</v>
      </c>
      <c r="Z20" s="211" t="s">
        <v>90</v>
      </c>
      <c r="AA20" s="211" t="s">
        <v>84</v>
      </c>
      <c r="AB20" s="39" t="s">
        <v>336</v>
      </c>
      <c r="AE20" s="22"/>
      <c r="AP20" s="43" t="s">
        <v>113</v>
      </c>
      <c r="AR20" s="41" t="s">
        <v>105</v>
      </c>
      <c r="AV20" s="27" t="s">
        <v>135</v>
      </c>
    </row>
    <row r="21" spans="1:48" x14ac:dyDescent="0.15">
      <c r="A21" s="15" t="s">
        <v>333</v>
      </c>
      <c r="B21" s="15" t="s">
        <v>334</v>
      </c>
      <c r="C21" s="15">
        <v>2018</v>
      </c>
      <c r="D21" s="37" t="s">
        <v>340</v>
      </c>
      <c r="E21" s="15" t="s">
        <v>143</v>
      </c>
      <c r="F21" s="7" t="s">
        <v>152</v>
      </c>
      <c r="G21" s="7" t="s">
        <v>36</v>
      </c>
      <c r="H21" s="211" t="s">
        <v>155</v>
      </c>
      <c r="I21" s="203" t="s">
        <v>153</v>
      </c>
      <c r="J21" s="211" t="s">
        <v>38</v>
      </c>
      <c r="K21" s="203" t="s">
        <v>154</v>
      </c>
      <c r="L21" s="7">
        <v>2</v>
      </c>
      <c r="N21" s="7">
        <v>1</v>
      </c>
      <c r="O21" s="7">
        <v>0.7</v>
      </c>
      <c r="P21" s="7">
        <v>0.55000000000000004</v>
      </c>
      <c r="Q21" s="52">
        <f t="shared" si="0"/>
        <v>0.625</v>
      </c>
      <c r="R21" s="7">
        <v>13.5</v>
      </c>
      <c r="S21" s="7">
        <v>105</v>
      </c>
      <c r="T21" s="16">
        <f t="shared" si="1"/>
        <v>33</v>
      </c>
      <c r="U21" s="203">
        <v>51</v>
      </c>
      <c r="V21" s="16">
        <f t="shared" si="2"/>
        <v>1683</v>
      </c>
      <c r="W21" s="7">
        <v>3</v>
      </c>
      <c r="X21" s="211" t="s">
        <v>39</v>
      </c>
      <c r="Y21" s="211" t="s">
        <v>50</v>
      </c>
      <c r="Z21" s="211" t="s">
        <v>90</v>
      </c>
      <c r="AA21" s="211" t="s">
        <v>84</v>
      </c>
      <c r="AB21" s="39" t="s">
        <v>336</v>
      </c>
      <c r="AE21" s="22"/>
      <c r="AP21" s="43" t="s">
        <v>114</v>
      </c>
      <c r="AR21" s="41" t="s">
        <v>68</v>
      </c>
      <c r="AV21" s="27" t="s">
        <v>136</v>
      </c>
    </row>
    <row r="22" spans="1:48" x14ac:dyDescent="0.15">
      <c r="A22" s="15" t="s">
        <v>333</v>
      </c>
      <c r="B22" s="15" t="s">
        <v>334</v>
      </c>
      <c r="C22" s="15">
        <v>2018</v>
      </c>
      <c r="D22" s="37" t="s">
        <v>340</v>
      </c>
      <c r="E22" s="15" t="s">
        <v>143</v>
      </c>
      <c r="F22" s="7" t="s">
        <v>152</v>
      </c>
      <c r="G22" s="7" t="s">
        <v>36</v>
      </c>
      <c r="H22" s="211" t="s">
        <v>155</v>
      </c>
      <c r="I22" s="203" t="s">
        <v>153</v>
      </c>
      <c r="J22" s="211" t="s">
        <v>38</v>
      </c>
      <c r="K22" s="203" t="s">
        <v>154</v>
      </c>
      <c r="L22" s="7">
        <v>3</v>
      </c>
      <c r="N22" s="7">
        <v>1</v>
      </c>
      <c r="O22" s="34">
        <v>0.65</v>
      </c>
      <c r="P22" s="7">
        <v>0.5</v>
      </c>
      <c r="Q22" s="52">
        <f t="shared" si="0"/>
        <v>0.57499999999999996</v>
      </c>
      <c r="R22" s="7">
        <v>15.9</v>
      </c>
      <c r="S22" s="7">
        <v>103</v>
      </c>
      <c r="T22" s="16">
        <f t="shared" si="1"/>
        <v>33</v>
      </c>
      <c r="U22" s="203">
        <v>51</v>
      </c>
      <c r="V22" s="16">
        <f t="shared" si="2"/>
        <v>1683</v>
      </c>
      <c r="W22" s="7">
        <v>3</v>
      </c>
      <c r="X22" s="211" t="s">
        <v>39</v>
      </c>
      <c r="Y22" s="211" t="s">
        <v>50</v>
      </c>
      <c r="Z22" s="211" t="s">
        <v>90</v>
      </c>
      <c r="AA22" s="211" t="s">
        <v>84</v>
      </c>
      <c r="AB22" s="39" t="s">
        <v>336</v>
      </c>
      <c r="AE22" s="35"/>
      <c r="AP22" s="43" t="s">
        <v>115</v>
      </c>
      <c r="AR22" s="41" t="s">
        <v>83</v>
      </c>
      <c r="AV22" s="27"/>
    </row>
    <row r="23" spans="1:48" x14ac:dyDescent="0.15">
      <c r="A23" s="15" t="s">
        <v>333</v>
      </c>
      <c r="B23" s="15" t="s">
        <v>334</v>
      </c>
      <c r="C23" s="15">
        <v>2018</v>
      </c>
      <c r="D23" s="37" t="s">
        <v>340</v>
      </c>
      <c r="E23" s="7" t="s">
        <v>131</v>
      </c>
      <c r="F23" s="7" t="s">
        <v>144</v>
      </c>
      <c r="G23" s="7" t="s">
        <v>36</v>
      </c>
      <c r="H23" s="15" t="s">
        <v>155</v>
      </c>
      <c r="I23" s="203" t="s">
        <v>153</v>
      </c>
      <c r="J23" s="15" t="s">
        <v>38</v>
      </c>
      <c r="K23" s="7" t="s">
        <v>154</v>
      </c>
      <c r="L23" s="7">
        <v>1</v>
      </c>
      <c r="N23" s="7">
        <v>1</v>
      </c>
      <c r="O23" s="34">
        <v>0.55000000000000004</v>
      </c>
      <c r="P23" s="7">
        <v>0.7</v>
      </c>
      <c r="Q23" s="52">
        <f t="shared" si="0"/>
        <v>0.625</v>
      </c>
      <c r="R23" s="7">
        <v>15.8</v>
      </c>
      <c r="S23" s="7">
        <v>114</v>
      </c>
      <c r="T23" s="16">
        <f t="shared" si="1"/>
        <v>30</v>
      </c>
      <c r="U23" s="7">
        <v>59</v>
      </c>
      <c r="V23" s="16">
        <f t="shared" si="2"/>
        <v>1770</v>
      </c>
      <c r="W23" s="7">
        <v>4</v>
      </c>
      <c r="X23" s="211" t="s">
        <v>46</v>
      </c>
      <c r="Y23" s="211" t="s">
        <v>84</v>
      </c>
      <c r="Z23" s="211" t="s">
        <v>50</v>
      </c>
      <c r="AA23" s="211" t="s">
        <v>90</v>
      </c>
      <c r="AB23" s="39" t="s">
        <v>336</v>
      </c>
      <c r="AE23" s="22"/>
      <c r="AP23" s="43" t="s">
        <v>137</v>
      </c>
      <c r="AR23" s="41" t="s">
        <v>61</v>
      </c>
      <c r="AV23" s="27"/>
    </row>
    <row r="24" spans="1:48" x14ac:dyDescent="0.15">
      <c r="A24" s="15" t="s">
        <v>333</v>
      </c>
      <c r="B24" s="15" t="s">
        <v>334</v>
      </c>
      <c r="C24" s="15">
        <v>2018</v>
      </c>
      <c r="D24" s="37" t="s">
        <v>340</v>
      </c>
      <c r="E24" s="7" t="s">
        <v>131</v>
      </c>
      <c r="F24" s="7" t="s">
        <v>144</v>
      </c>
      <c r="G24" s="7" t="s">
        <v>36</v>
      </c>
      <c r="H24" s="211" t="s">
        <v>155</v>
      </c>
      <c r="I24" s="203" t="s">
        <v>153</v>
      </c>
      <c r="J24" s="15" t="s">
        <v>38</v>
      </c>
      <c r="K24" s="7" t="s">
        <v>154</v>
      </c>
      <c r="L24" s="7">
        <v>2</v>
      </c>
      <c r="N24" s="7">
        <v>1</v>
      </c>
      <c r="O24" s="7">
        <v>0.5</v>
      </c>
      <c r="P24" s="7">
        <v>0.5</v>
      </c>
      <c r="Q24" s="52">
        <f t="shared" si="0"/>
        <v>0.5</v>
      </c>
      <c r="R24" s="7">
        <v>15.3</v>
      </c>
      <c r="S24" s="7">
        <v>113</v>
      </c>
      <c r="T24" s="16">
        <f t="shared" si="1"/>
        <v>30</v>
      </c>
      <c r="U24" s="203">
        <v>59</v>
      </c>
      <c r="V24" s="16">
        <f t="shared" si="2"/>
        <v>1770</v>
      </c>
      <c r="W24" s="7">
        <v>4</v>
      </c>
      <c r="X24" s="211" t="s">
        <v>46</v>
      </c>
      <c r="Y24" s="211" t="s">
        <v>84</v>
      </c>
      <c r="Z24" s="211" t="s">
        <v>50</v>
      </c>
      <c r="AA24" s="211" t="s">
        <v>90</v>
      </c>
      <c r="AB24" s="39" t="s">
        <v>336</v>
      </c>
      <c r="AE24" s="22"/>
      <c r="AP24" s="43" t="s">
        <v>138</v>
      </c>
      <c r="AR24" s="41" t="s">
        <v>91</v>
      </c>
      <c r="AV24" s="27"/>
    </row>
    <row r="25" spans="1:48" x14ac:dyDescent="0.15">
      <c r="A25" s="15" t="s">
        <v>333</v>
      </c>
      <c r="B25" s="15" t="s">
        <v>334</v>
      </c>
      <c r="C25" s="15">
        <v>2018</v>
      </c>
      <c r="D25" s="37" t="s">
        <v>340</v>
      </c>
      <c r="E25" s="7" t="s">
        <v>131</v>
      </c>
      <c r="F25" s="7" t="s">
        <v>144</v>
      </c>
      <c r="G25" s="7" t="s">
        <v>36</v>
      </c>
      <c r="H25" s="211" t="s">
        <v>155</v>
      </c>
      <c r="I25" s="203" t="s">
        <v>153</v>
      </c>
      <c r="J25" s="15" t="s">
        <v>38</v>
      </c>
      <c r="K25" s="7" t="s">
        <v>154</v>
      </c>
      <c r="L25" s="7">
        <v>3</v>
      </c>
      <c r="N25" s="7">
        <v>1</v>
      </c>
      <c r="O25" s="7">
        <v>0.6</v>
      </c>
      <c r="P25" s="7">
        <v>0.6</v>
      </c>
      <c r="Q25" s="52">
        <f t="shared" si="0"/>
        <v>0.6</v>
      </c>
      <c r="R25" s="7">
        <v>13.1</v>
      </c>
      <c r="S25" s="7">
        <v>114</v>
      </c>
      <c r="T25" s="16">
        <f t="shared" si="1"/>
        <v>30</v>
      </c>
      <c r="U25" s="203">
        <v>59</v>
      </c>
      <c r="V25" s="16">
        <f t="shared" si="2"/>
        <v>1770</v>
      </c>
      <c r="W25" s="7">
        <v>4</v>
      </c>
      <c r="X25" s="211" t="s">
        <v>46</v>
      </c>
      <c r="Y25" s="211" t="s">
        <v>84</v>
      </c>
      <c r="Z25" s="211" t="s">
        <v>50</v>
      </c>
      <c r="AA25" s="211" t="s">
        <v>90</v>
      </c>
      <c r="AB25" s="39" t="s">
        <v>336</v>
      </c>
      <c r="AE25" s="35"/>
      <c r="AP25" s="43" t="s">
        <v>116</v>
      </c>
      <c r="AR25" s="42" t="s">
        <v>92</v>
      </c>
      <c r="AV25" s="27"/>
    </row>
    <row r="26" spans="1:48" x14ac:dyDescent="0.15">
      <c r="A26" s="15" t="s">
        <v>333</v>
      </c>
      <c r="B26" s="15" t="s">
        <v>334</v>
      </c>
      <c r="C26" s="15">
        <v>2018</v>
      </c>
      <c r="D26" s="37" t="s">
        <v>340</v>
      </c>
      <c r="E26" s="7" t="s">
        <v>131</v>
      </c>
      <c r="F26" s="7" t="s">
        <v>144</v>
      </c>
      <c r="G26" s="7" t="s">
        <v>36</v>
      </c>
      <c r="H26" s="15" t="s">
        <v>155</v>
      </c>
      <c r="I26" s="203" t="s">
        <v>156</v>
      </c>
      <c r="J26" s="15" t="s">
        <v>38</v>
      </c>
      <c r="K26" s="7" t="s">
        <v>154</v>
      </c>
      <c r="L26" s="7">
        <v>1</v>
      </c>
      <c r="N26" s="7">
        <v>4</v>
      </c>
      <c r="O26" s="7">
        <v>0.5</v>
      </c>
      <c r="P26" s="7">
        <v>0.7</v>
      </c>
      <c r="Q26" s="52">
        <f t="shared" si="0"/>
        <v>0.6</v>
      </c>
      <c r="R26" s="7">
        <v>13.1</v>
      </c>
      <c r="S26" s="7">
        <v>94</v>
      </c>
      <c r="T26" s="16">
        <f t="shared" si="1"/>
        <v>36</v>
      </c>
      <c r="U26" s="7">
        <v>430</v>
      </c>
      <c r="V26" s="16">
        <f t="shared" si="2"/>
        <v>3870</v>
      </c>
      <c r="W26" s="7">
        <v>2</v>
      </c>
      <c r="X26" s="211" t="s">
        <v>46</v>
      </c>
      <c r="Y26" s="211" t="s">
        <v>84</v>
      </c>
      <c r="Z26" s="211" t="s">
        <v>50</v>
      </c>
      <c r="AA26" s="211" t="s">
        <v>90</v>
      </c>
      <c r="AB26" s="39" t="s">
        <v>336</v>
      </c>
      <c r="AE26" s="35"/>
      <c r="AP26" s="43" t="s">
        <v>117</v>
      </c>
      <c r="AR26" s="23" t="s">
        <v>286</v>
      </c>
      <c r="AV26" s="28"/>
    </row>
    <row r="27" spans="1:48" x14ac:dyDescent="0.15">
      <c r="A27" s="15" t="s">
        <v>333</v>
      </c>
      <c r="B27" s="15" t="s">
        <v>334</v>
      </c>
      <c r="C27" s="15">
        <v>2018</v>
      </c>
      <c r="D27" s="37" t="s">
        <v>340</v>
      </c>
      <c r="E27" s="7" t="s">
        <v>131</v>
      </c>
      <c r="F27" s="7" t="s">
        <v>144</v>
      </c>
      <c r="G27" s="7" t="s">
        <v>36</v>
      </c>
      <c r="H27" s="211" t="s">
        <v>155</v>
      </c>
      <c r="I27" s="203" t="s">
        <v>156</v>
      </c>
      <c r="J27" s="15" t="s">
        <v>38</v>
      </c>
      <c r="K27" s="7" t="s">
        <v>154</v>
      </c>
      <c r="L27" s="7">
        <v>2</v>
      </c>
      <c r="N27" s="7">
        <v>4</v>
      </c>
      <c r="O27" s="7">
        <v>0.7</v>
      </c>
      <c r="P27" s="7">
        <v>0.8</v>
      </c>
      <c r="Q27" s="52">
        <f t="shared" si="0"/>
        <v>0.75</v>
      </c>
      <c r="R27" s="7">
        <v>11.2</v>
      </c>
      <c r="S27" s="7">
        <v>96</v>
      </c>
      <c r="T27" s="16">
        <f t="shared" si="1"/>
        <v>36</v>
      </c>
      <c r="U27" s="203">
        <v>430</v>
      </c>
      <c r="V27" s="16">
        <f t="shared" si="2"/>
        <v>3870</v>
      </c>
      <c r="W27" s="7">
        <v>2</v>
      </c>
      <c r="X27" s="15" t="s">
        <v>46</v>
      </c>
      <c r="Y27" s="211" t="s">
        <v>84</v>
      </c>
      <c r="Z27" s="211" t="s">
        <v>50</v>
      </c>
      <c r="AA27" s="211" t="s">
        <v>90</v>
      </c>
      <c r="AB27" s="39" t="s">
        <v>336</v>
      </c>
      <c r="AE27" s="28"/>
      <c r="AP27" s="43" t="s">
        <v>118</v>
      </c>
      <c r="AR27" s="23"/>
    </row>
    <row r="28" spans="1:48" x14ac:dyDescent="0.15">
      <c r="A28" s="15" t="s">
        <v>333</v>
      </c>
      <c r="B28" s="15" t="s">
        <v>334</v>
      </c>
      <c r="C28" s="15">
        <v>2018</v>
      </c>
      <c r="D28" s="37" t="s">
        <v>340</v>
      </c>
      <c r="E28" s="7" t="s">
        <v>131</v>
      </c>
      <c r="F28" s="7" t="s">
        <v>144</v>
      </c>
      <c r="G28" s="7" t="s">
        <v>36</v>
      </c>
      <c r="H28" s="211" t="s">
        <v>155</v>
      </c>
      <c r="I28" s="203" t="s">
        <v>156</v>
      </c>
      <c r="J28" s="15" t="s">
        <v>38</v>
      </c>
      <c r="K28" s="7" t="s">
        <v>154</v>
      </c>
      <c r="L28" s="7">
        <v>3</v>
      </c>
      <c r="N28" s="7">
        <v>4</v>
      </c>
      <c r="O28" s="7">
        <v>0.5</v>
      </c>
      <c r="P28" s="7">
        <v>0.55000000000000004</v>
      </c>
      <c r="Q28" s="52">
        <f t="shared" si="0"/>
        <v>0.52500000000000002</v>
      </c>
      <c r="R28" s="7">
        <v>12.7</v>
      </c>
      <c r="S28" s="7">
        <v>85</v>
      </c>
      <c r="T28" s="16">
        <f t="shared" si="1"/>
        <v>36</v>
      </c>
      <c r="U28" s="203">
        <v>430</v>
      </c>
      <c r="V28" s="16">
        <f t="shared" si="2"/>
        <v>3870</v>
      </c>
      <c r="W28" s="7">
        <v>2</v>
      </c>
      <c r="X28" s="15" t="s">
        <v>46</v>
      </c>
      <c r="Y28" s="211" t="s">
        <v>84</v>
      </c>
      <c r="Z28" s="211" t="s">
        <v>50</v>
      </c>
      <c r="AA28" s="211" t="s">
        <v>90</v>
      </c>
      <c r="AB28" s="39" t="s">
        <v>336</v>
      </c>
      <c r="AP28" s="27"/>
      <c r="AR28" s="23"/>
    </row>
    <row r="29" spans="1:48" x14ac:dyDescent="0.15">
      <c r="A29" s="15" t="s">
        <v>333</v>
      </c>
      <c r="B29" s="15" t="s">
        <v>334</v>
      </c>
      <c r="C29" s="15">
        <v>2018</v>
      </c>
      <c r="D29" s="37" t="s">
        <v>340</v>
      </c>
      <c r="E29" s="7" t="s">
        <v>139</v>
      </c>
      <c r="F29" s="7" t="s">
        <v>145</v>
      </c>
      <c r="G29" s="7" t="s">
        <v>36</v>
      </c>
      <c r="H29" s="211" t="s">
        <v>155</v>
      </c>
      <c r="I29" s="203" t="s">
        <v>153</v>
      </c>
      <c r="J29" s="15" t="s">
        <v>38</v>
      </c>
      <c r="K29" s="7" t="s">
        <v>154</v>
      </c>
      <c r="L29" s="7">
        <v>1</v>
      </c>
      <c r="N29" s="7">
        <v>1</v>
      </c>
      <c r="O29" s="7">
        <v>0.75</v>
      </c>
      <c r="P29" s="7">
        <v>0.85</v>
      </c>
      <c r="Q29" s="52">
        <f t="shared" si="0"/>
        <v>0.8</v>
      </c>
      <c r="R29" s="7">
        <v>12.6</v>
      </c>
      <c r="S29" s="7">
        <v>139</v>
      </c>
      <c r="T29" s="16">
        <f t="shared" si="1"/>
        <v>22</v>
      </c>
      <c r="U29" s="7">
        <v>100</v>
      </c>
      <c r="V29" s="16">
        <f t="shared" si="2"/>
        <v>2200</v>
      </c>
      <c r="W29" s="7">
        <v>3</v>
      </c>
      <c r="X29" s="15" t="s">
        <v>46</v>
      </c>
      <c r="Y29" s="211" t="s">
        <v>84</v>
      </c>
      <c r="Z29" s="211" t="s">
        <v>50</v>
      </c>
      <c r="AA29" s="211" t="s">
        <v>90</v>
      </c>
      <c r="AB29" s="39" t="s">
        <v>336</v>
      </c>
      <c r="AP29" s="27"/>
      <c r="AR29" s="27"/>
      <c r="AV29" s="28"/>
    </row>
    <row r="30" spans="1:48" x14ac:dyDescent="0.15">
      <c r="A30" s="15" t="s">
        <v>333</v>
      </c>
      <c r="B30" s="15" t="s">
        <v>334</v>
      </c>
      <c r="C30" s="15">
        <v>2018</v>
      </c>
      <c r="D30" s="37" t="s">
        <v>340</v>
      </c>
      <c r="E30" s="7" t="s">
        <v>139</v>
      </c>
      <c r="F30" s="7" t="s">
        <v>145</v>
      </c>
      <c r="G30" s="7" t="s">
        <v>36</v>
      </c>
      <c r="H30" s="211" t="s">
        <v>155</v>
      </c>
      <c r="I30" s="203" t="s">
        <v>153</v>
      </c>
      <c r="J30" s="15" t="s">
        <v>38</v>
      </c>
      <c r="K30" s="7" t="s">
        <v>154</v>
      </c>
      <c r="L30" s="7">
        <v>2</v>
      </c>
      <c r="N30" s="7">
        <v>1</v>
      </c>
      <c r="O30" s="7">
        <v>0.55000000000000004</v>
      </c>
      <c r="P30" s="7">
        <v>0.6</v>
      </c>
      <c r="Q30" s="52">
        <f t="shared" si="0"/>
        <v>0.57499999999999996</v>
      </c>
      <c r="R30" s="7">
        <v>12.5</v>
      </c>
      <c r="S30" s="7">
        <v>137</v>
      </c>
      <c r="T30" s="16">
        <f t="shared" si="1"/>
        <v>25</v>
      </c>
      <c r="U30" s="203">
        <v>100</v>
      </c>
      <c r="V30" s="16">
        <f t="shared" si="2"/>
        <v>2500</v>
      </c>
      <c r="W30" s="7">
        <v>3</v>
      </c>
      <c r="X30" s="15" t="s">
        <v>46</v>
      </c>
      <c r="Y30" s="211" t="s">
        <v>84</v>
      </c>
      <c r="Z30" s="211" t="s">
        <v>50</v>
      </c>
      <c r="AA30" s="211" t="s">
        <v>90</v>
      </c>
      <c r="AB30" s="39" t="s">
        <v>336</v>
      </c>
      <c r="AP30" s="27"/>
      <c r="AR30" s="27"/>
    </row>
    <row r="31" spans="1:48" x14ac:dyDescent="0.15">
      <c r="A31" s="15" t="s">
        <v>333</v>
      </c>
      <c r="B31" s="15" t="s">
        <v>334</v>
      </c>
      <c r="C31" s="15">
        <v>2018</v>
      </c>
      <c r="D31" s="37" t="s">
        <v>340</v>
      </c>
      <c r="E31" s="7" t="s">
        <v>139</v>
      </c>
      <c r="F31" s="7" t="s">
        <v>145</v>
      </c>
      <c r="G31" s="7" t="s">
        <v>36</v>
      </c>
      <c r="H31" s="211" t="s">
        <v>155</v>
      </c>
      <c r="I31" s="203" t="s">
        <v>153</v>
      </c>
      <c r="J31" s="15" t="s">
        <v>38</v>
      </c>
      <c r="K31" s="7" t="s">
        <v>154</v>
      </c>
      <c r="L31" s="7">
        <v>3</v>
      </c>
      <c r="N31" s="7">
        <v>1</v>
      </c>
      <c r="O31" s="7">
        <v>0.5</v>
      </c>
      <c r="P31" s="7">
        <v>0.5</v>
      </c>
      <c r="Q31" s="52">
        <f t="shared" si="0"/>
        <v>0.5</v>
      </c>
      <c r="R31" s="7">
        <v>14.1</v>
      </c>
      <c r="S31" s="7">
        <v>147</v>
      </c>
      <c r="T31" s="16">
        <f t="shared" si="1"/>
        <v>22</v>
      </c>
      <c r="U31" s="203">
        <v>100</v>
      </c>
      <c r="V31" s="16">
        <f t="shared" si="2"/>
        <v>2200</v>
      </c>
      <c r="W31" s="7">
        <v>3</v>
      </c>
      <c r="X31" s="15" t="s">
        <v>46</v>
      </c>
      <c r="Y31" s="211" t="s">
        <v>84</v>
      </c>
      <c r="Z31" s="211" t="s">
        <v>50</v>
      </c>
      <c r="AA31" s="211" t="s">
        <v>90</v>
      </c>
      <c r="AB31" s="39" t="s">
        <v>336</v>
      </c>
      <c r="AP31" s="27"/>
      <c r="AR31" s="27"/>
    </row>
    <row r="32" spans="1:48" x14ac:dyDescent="0.15">
      <c r="A32" s="15" t="s">
        <v>333</v>
      </c>
      <c r="B32" s="15" t="s">
        <v>334</v>
      </c>
      <c r="C32" s="15">
        <v>2018</v>
      </c>
      <c r="D32" s="37" t="s">
        <v>340</v>
      </c>
      <c r="E32" s="7" t="s">
        <v>312</v>
      </c>
      <c r="F32" s="7" t="s">
        <v>339</v>
      </c>
      <c r="G32" s="7" t="s">
        <v>36</v>
      </c>
      <c r="H32" s="15" t="s">
        <v>155</v>
      </c>
      <c r="I32" s="203" t="s">
        <v>153</v>
      </c>
      <c r="J32" s="15" t="s">
        <v>38</v>
      </c>
      <c r="K32" s="7" t="s">
        <v>154</v>
      </c>
      <c r="L32" s="7">
        <v>1</v>
      </c>
      <c r="N32" s="7">
        <v>1</v>
      </c>
      <c r="O32" s="7">
        <v>0.55000000000000004</v>
      </c>
      <c r="P32" s="7">
        <v>0.55000000000000004</v>
      </c>
      <c r="Q32" s="52">
        <f t="shared" si="0"/>
        <v>0.55000000000000004</v>
      </c>
      <c r="R32" s="7">
        <v>15.2</v>
      </c>
      <c r="S32" s="7">
        <v>146</v>
      </c>
      <c r="T32" s="16">
        <f t="shared" si="1"/>
        <v>22</v>
      </c>
      <c r="U32" s="7">
        <v>81</v>
      </c>
      <c r="V32" s="16">
        <f t="shared" si="2"/>
        <v>1782</v>
      </c>
      <c r="W32" s="7">
        <v>6</v>
      </c>
      <c r="X32" s="15" t="s">
        <v>46</v>
      </c>
      <c r="Y32" s="211" t="s">
        <v>84</v>
      </c>
      <c r="Z32" s="211" t="s">
        <v>50</v>
      </c>
      <c r="AA32" s="211" t="s">
        <v>90</v>
      </c>
      <c r="AB32" s="39" t="s">
        <v>336</v>
      </c>
      <c r="AP32" s="28"/>
      <c r="AR32" s="28"/>
    </row>
    <row r="33" spans="1:44" x14ac:dyDescent="0.15">
      <c r="A33" s="15" t="s">
        <v>333</v>
      </c>
      <c r="B33" s="15" t="s">
        <v>334</v>
      </c>
      <c r="C33" s="15">
        <v>2018</v>
      </c>
      <c r="D33" s="37" t="s">
        <v>340</v>
      </c>
      <c r="E33" s="7" t="s">
        <v>312</v>
      </c>
      <c r="F33" s="7" t="s">
        <v>339</v>
      </c>
      <c r="G33" s="7" t="s">
        <v>36</v>
      </c>
      <c r="H33" s="211" t="s">
        <v>155</v>
      </c>
      <c r="I33" s="203" t="s">
        <v>153</v>
      </c>
      <c r="J33" s="15" t="s">
        <v>38</v>
      </c>
      <c r="K33" s="7" t="s">
        <v>154</v>
      </c>
      <c r="L33" s="7">
        <v>2</v>
      </c>
      <c r="N33" s="7">
        <v>1</v>
      </c>
      <c r="O33" s="7">
        <v>0.7</v>
      </c>
      <c r="P33" s="7">
        <v>0.7</v>
      </c>
      <c r="Q33" s="52">
        <f t="shared" si="0"/>
        <v>0.7</v>
      </c>
      <c r="R33" s="7">
        <v>14.8</v>
      </c>
      <c r="S33" s="7">
        <v>146</v>
      </c>
      <c r="T33" s="16">
        <f t="shared" si="1"/>
        <v>22</v>
      </c>
      <c r="U33" s="203">
        <v>81</v>
      </c>
      <c r="V33" s="16">
        <f t="shared" si="2"/>
        <v>1782</v>
      </c>
      <c r="W33" s="7">
        <v>6</v>
      </c>
      <c r="X33" s="15" t="s">
        <v>46</v>
      </c>
      <c r="Y33" s="211" t="s">
        <v>84</v>
      </c>
      <c r="Z33" s="211" t="s">
        <v>50</v>
      </c>
      <c r="AA33" s="211" t="s">
        <v>90</v>
      </c>
      <c r="AB33" s="39" t="s">
        <v>336</v>
      </c>
    </row>
    <row r="34" spans="1:44" x14ac:dyDescent="0.15">
      <c r="A34" s="15" t="s">
        <v>333</v>
      </c>
      <c r="B34" s="15" t="s">
        <v>334</v>
      </c>
      <c r="C34" s="15">
        <v>2018</v>
      </c>
      <c r="D34" s="37" t="s">
        <v>340</v>
      </c>
      <c r="E34" s="7" t="s">
        <v>312</v>
      </c>
      <c r="F34" s="7" t="s">
        <v>339</v>
      </c>
      <c r="G34" s="7" t="s">
        <v>36</v>
      </c>
      <c r="H34" s="211" t="s">
        <v>155</v>
      </c>
      <c r="I34" s="203" t="s">
        <v>153</v>
      </c>
      <c r="J34" s="15" t="s">
        <v>38</v>
      </c>
      <c r="K34" s="7" t="s">
        <v>154</v>
      </c>
      <c r="L34" s="7">
        <v>3</v>
      </c>
      <c r="N34" s="7">
        <v>1</v>
      </c>
      <c r="O34" s="7">
        <v>0.5</v>
      </c>
      <c r="P34" s="7">
        <v>0.65</v>
      </c>
      <c r="Q34" s="52">
        <f t="shared" si="0"/>
        <v>0.57499999999999996</v>
      </c>
      <c r="R34" s="7">
        <v>14.2</v>
      </c>
      <c r="S34" s="7">
        <v>138</v>
      </c>
      <c r="T34" s="16">
        <f t="shared" si="1"/>
        <v>22</v>
      </c>
      <c r="U34" s="203">
        <v>81</v>
      </c>
      <c r="V34" s="16">
        <f t="shared" si="2"/>
        <v>1782</v>
      </c>
      <c r="W34" s="7">
        <v>6</v>
      </c>
      <c r="X34" s="15" t="s">
        <v>46</v>
      </c>
      <c r="Y34" s="211" t="s">
        <v>84</v>
      </c>
      <c r="Z34" s="211" t="s">
        <v>50</v>
      </c>
      <c r="AA34" s="211" t="s">
        <v>90</v>
      </c>
      <c r="AB34" s="39" t="s">
        <v>336</v>
      </c>
    </row>
    <row r="35" spans="1:44" x14ac:dyDescent="0.15">
      <c r="A35" s="15" t="s">
        <v>333</v>
      </c>
      <c r="B35" s="15" t="s">
        <v>334</v>
      </c>
      <c r="C35" s="15">
        <v>2018</v>
      </c>
      <c r="D35" s="37" t="s">
        <v>340</v>
      </c>
      <c r="E35" s="7" t="s">
        <v>312</v>
      </c>
      <c r="F35" s="7" t="s">
        <v>339</v>
      </c>
      <c r="G35" s="7" t="s">
        <v>36</v>
      </c>
      <c r="H35" s="211" t="s">
        <v>166</v>
      </c>
      <c r="I35" s="203" t="s">
        <v>153</v>
      </c>
      <c r="J35" s="15" t="s">
        <v>38</v>
      </c>
      <c r="K35" s="7" t="s">
        <v>154</v>
      </c>
      <c r="L35" s="7">
        <v>1</v>
      </c>
      <c r="N35" s="7">
        <v>1</v>
      </c>
      <c r="O35" s="7">
        <v>0.5</v>
      </c>
      <c r="P35" s="7">
        <v>0.5</v>
      </c>
      <c r="Q35" s="52">
        <f t="shared" si="0"/>
        <v>0.5</v>
      </c>
      <c r="R35" s="7">
        <v>16</v>
      </c>
      <c r="S35" s="7">
        <v>117</v>
      </c>
      <c r="T35" s="16">
        <f t="shared" si="1"/>
        <v>30</v>
      </c>
      <c r="U35" s="7">
        <v>138</v>
      </c>
      <c r="V35" s="16">
        <f t="shared" si="2"/>
        <v>4140</v>
      </c>
      <c r="W35" s="7">
        <v>2</v>
      </c>
      <c r="X35" s="15" t="s">
        <v>46</v>
      </c>
      <c r="Y35" s="211" t="s">
        <v>84</v>
      </c>
      <c r="Z35" s="211" t="s">
        <v>50</v>
      </c>
      <c r="AA35" s="211" t="s">
        <v>90</v>
      </c>
      <c r="AB35" s="39" t="s">
        <v>336</v>
      </c>
      <c r="AP35" s="28"/>
      <c r="AR35" s="28"/>
    </row>
    <row r="36" spans="1:44" x14ac:dyDescent="0.15">
      <c r="A36" s="15" t="s">
        <v>333</v>
      </c>
      <c r="B36" s="15" t="s">
        <v>334</v>
      </c>
      <c r="C36" s="15">
        <v>2018</v>
      </c>
      <c r="D36" s="37" t="s">
        <v>340</v>
      </c>
      <c r="E36" s="7" t="s">
        <v>312</v>
      </c>
      <c r="F36" s="7" t="s">
        <v>339</v>
      </c>
      <c r="G36" s="7" t="s">
        <v>36</v>
      </c>
      <c r="H36" s="211" t="s">
        <v>166</v>
      </c>
      <c r="I36" s="203" t="s">
        <v>153</v>
      </c>
      <c r="J36" s="15" t="s">
        <v>38</v>
      </c>
      <c r="K36" s="7" t="s">
        <v>154</v>
      </c>
      <c r="L36" s="7">
        <v>2</v>
      </c>
      <c r="N36" s="203">
        <v>1</v>
      </c>
      <c r="O36" s="7">
        <v>0.5</v>
      </c>
      <c r="P36" s="7">
        <v>0.55000000000000004</v>
      </c>
      <c r="Q36" s="52">
        <f t="shared" si="0"/>
        <v>0.52500000000000002</v>
      </c>
      <c r="R36" s="7">
        <v>15.6</v>
      </c>
      <c r="S36" s="7">
        <v>118</v>
      </c>
      <c r="T36" s="16">
        <f t="shared" si="1"/>
        <v>30</v>
      </c>
      <c r="U36" s="203">
        <v>138</v>
      </c>
      <c r="V36" s="16">
        <f t="shared" si="2"/>
        <v>4140</v>
      </c>
      <c r="W36" s="7">
        <v>2</v>
      </c>
      <c r="X36" s="15" t="s">
        <v>46</v>
      </c>
      <c r="Y36" s="211" t="s">
        <v>84</v>
      </c>
      <c r="Z36" s="211" t="s">
        <v>50</v>
      </c>
      <c r="AA36" s="211" t="s">
        <v>90</v>
      </c>
      <c r="AB36" s="39" t="s">
        <v>336</v>
      </c>
    </row>
    <row r="37" spans="1:44" x14ac:dyDescent="0.15">
      <c r="A37" s="15" t="s">
        <v>333</v>
      </c>
      <c r="B37" s="15" t="s">
        <v>334</v>
      </c>
      <c r="C37" s="15">
        <v>2018</v>
      </c>
      <c r="D37" s="37" t="s">
        <v>340</v>
      </c>
      <c r="E37" s="7" t="s">
        <v>312</v>
      </c>
      <c r="F37" s="7" t="s">
        <v>339</v>
      </c>
      <c r="G37" s="7" t="s">
        <v>36</v>
      </c>
      <c r="H37" s="211" t="s">
        <v>166</v>
      </c>
      <c r="I37" s="203" t="s">
        <v>153</v>
      </c>
      <c r="J37" s="15" t="s">
        <v>38</v>
      </c>
      <c r="K37" s="7" t="s">
        <v>154</v>
      </c>
      <c r="L37" s="7">
        <v>3</v>
      </c>
      <c r="N37" s="203">
        <v>1</v>
      </c>
      <c r="O37" s="34">
        <v>0.55000000000000004</v>
      </c>
      <c r="P37" s="34">
        <v>0.5</v>
      </c>
      <c r="Q37" s="52">
        <f t="shared" si="0"/>
        <v>0.52500000000000002</v>
      </c>
      <c r="R37" s="7">
        <v>16.8</v>
      </c>
      <c r="S37" s="7">
        <v>124</v>
      </c>
      <c r="T37" s="16">
        <f t="shared" si="1"/>
        <v>27</v>
      </c>
      <c r="U37" s="203">
        <v>138</v>
      </c>
      <c r="V37" s="16">
        <f t="shared" si="2"/>
        <v>3726</v>
      </c>
      <c r="W37" s="7">
        <v>2</v>
      </c>
      <c r="X37" s="15" t="s">
        <v>46</v>
      </c>
      <c r="Y37" s="211" t="s">
        <v>84</v>
      </c>
      <c r="Z37" s="211" t="s">
        <v>50</v>
      </c>
      <c r="AA37" s="211" t="s">
        <v>90</v>
      </c>
      <c r="AB37" s="39" t="s">
        <v>336</v>
      </c>
    </row>
    <row r="38" spans="1:44" x14ac:dyDescent="0.15">
      <c r="A38" s="15" t="s">
        <v>333</v>
      </c>
      <c r="B38" s="15" t="s">
        <v>334</v>
      </c>
      <c r="C38" s="15">
        <v>2018</v>
      </c>
      <c r="D38" s="37" t="s">
        <v>340</v>
      </c>
      <c r="E38" s="7" t="s">
        <v>130</v>
      </c>
      <c r="F38" s="7" t="s">
        <v>146</v>
      </c>
      <c r="G38" s="7" t="s">
        <v>36</v>
      </c>
      <c r="H38" s="211" t="s">
        <v>155</v>
      </c>
      <c r="I38" s="7" t="s">
        <v>153</v>
      </c>
      <c r="J38" s="211" t="s">
        <v>38</v>
      </c>
      <c r="K38" s="203" t="s">
        <v>154</v>
      </c>
      <c r="L38" s="7">
        <v>1</v>
      </c>
      <c r="N38" s="203">
        <v>1</v>
      </c>
      <c r="O38" s="34">
        <v>0.7</v>
      </c>
      <c r="P38" s="34">
        <v>0.85</v>
      </c>
      <c r="Q38" s="52">
        <f t="shared" si="0"/>
        <v>0.77499999999999991</v>
      </c>
      <c r="R38" s="7">
        <v>11.8</v>
      </c>
      <c r="S38" s="7">
        <v>109</v>
      </c>
      <c r="T38" s="16">
        <f t="shared" si="1"/>
        <v>33</v>
      </c>
      <c r="U38" s="7">
        <v>51</v>
      </c>
      <c r="V38" s="16">
        <f t="shared" si="2"/>
        <v>1683</v>
      </c>
      <c r="W38" s="7">
        <v>6</v>
      </c>
      <c r="X38" s="15" t="s">
        <v>46</v>
      </c>
      <c r="Y38" s="211" t="s">
        <v>84</v>
      </c>
      <c r="Z38" s="211" t="s">
        <v>90</v>
      </c>
      <c r="AA38" s="211" t="s">
        <v>50</v>
      </c>
      <c r="AB38" s="39" t="s">
        <v>336</v>
      </c>
    </row>
    <row r="39" spans="1:44" x14ac:dyDescent="0.15">
      <c r="A39" s="15" t="s">
        <v>333</v>
      </c>
      <c r="B39" s="15" t="s">
        <v>334</v>
      </c>
      <c r="C39" s="15">
        <v>2018</v>
      </c>
      <c r="D39" s="37" t="s">
        <v>340</v>
      </c>
      <c r="E39" s="7" t="s">
        <v>130</v>
      </c>
      <c r="F39" s="7" t="s">
        <v>146</v>
      </c>
      <c r="G39" s="7" t="s">
        <v>36</v>
      </c>
      <c r="H39" s="211" t="s">
        <v>155</v>
      </c>
      <c r="I39" s="203" t="s">
        <v>153</v>
      </c>
      <c r="J39" s="211" t="s">
        <v>38</v>
      </c>
      <c r="K39" s="203" t="s">
        <v>154</v>
      </c>
      <c r="L39" s="7">
        <v>2</v>
      </c>
      <c r="N39" s="203">
        <v>1</v>
      </c>
      <c r="O39" s="7">
        <v>0.75</v>
      </c>
      <c r="P39" s="7">
        <v>0.65</v>
      </c>
      <c r="Q39" s="52">
        <f t="shared" si="0"/>
        <v>0.7</v>
      </c>
      <c r="R39" s="34">
        <v>12.1</v>
      </c>
      <c r="S39" s="7">
        <v>113</v>
      </c>
      <c r="T39" s="16">
        <f t="shared" si="1"/>
        <v>30</v>
      </c>
      <c r="U39" s="203">
        <v>51</v>
      </c>
      <c r="V39" s="16">
        <f t="shared" si="2"/>
        <v>1530</v>
      </c>
      <c r="W39" s="7">
        <v>6</v>
      </c>
      <c r="X39" s="15" t="s">
        <v>46</v>
      </c>
      <c r="Y39" s="211" t="s">
        <v>84</v>
      </c>
      <c r="Z39" s="211" t="s">
        <v>90</v>
      </c>
      <c r="AA39" s="211" t="s">
        <v>50</v>
      </c>
      <c r="AB39" s="39" t="s">
        <v>336</v>
      </c>
    </row>
    <row r="40" spans="1:44" x14ac:dyDescent="0.15">
      <c r="A40" s="15" t="s">
        <v>333</v>
      </c>
      <c r="B40" s="15" t="s">
        <v>334</v>
      </c>
      <c r="C40" s="15">
        <v>2018</v>
      </c>
      <c r="D40" s="37" t="s">
        <v>340</v>
      </c>
      <c r="E40" s="7" t="s">
        <v>130</v>
      </c>
      <c r="F40" s="7" t="s">
        <v>146</v>
      </c>
      <c r="G40" s="7" t="s">
        <v>36</v>
      </c>
      <c r="H40" s="211" t="s">
        <v>155</v>
      </c>
      <c r="I40" s="203" t="s">
        <v>153</v>
      </c>
      <c r="J40" s="211" t="s">
        <v>38</v>
      </c>
      <c r="K40" s="203" t="s">
        <v>154</v>
      </c>
      <c r="L40" s="7">
        <v>3</v>
      </c>
      <c r="N40" s="203">
        <v>1</v>
      </c>
      <c r="O40" s="7">
        <v>0.8</v>
      </c>
      <c r="P40" s="7">
        <v>0.8</v>
      </c>
      <c r="Q40" s="52">
        <f t="shared" si="0"/>
        <v>0.8</v>
      </c>
      <c r="R40" s="7">
        <v>15</v>
      </c>
      <c r="S40" s="7">
        <v>111</v>
      </c>
      <c r="T40" s="16">
        <f t="shared" si="1"/>
        <v>33</v>
      </c>
      <c r="U40" s="203">
        <v>51</v>
      </c>
      <c r="V40" s="16">
        <f t="shared" si="2"/>
        <v>1683</v>
      </c>
      <c r="W40" s="7">
        <v>6</v>
      </c>
      <c r="X40" s="15" t="s">
        <v>46</v>
      </c>
      <c r="Y40" s="211" t="s">
        <v>84</v>
      </c>
      <c r="Z40" s="211" t="s">
        <v>90</v>
      </c>
      <c r="AA40" s="211" t="s">
        <v>50</v>
      </c>
      <c r="AB40" s="39" t="s">
        <v>336</v>
      </c>
    </row>
    <row r="41" spans="1:44" ht="12.75" customHeight="1" x14ac:dyDescent="0.15">
      <c r="A41" s="15" t="s">
        <v>333</v>
      </c>
      <c r="B41" s="15" t="s">
        <v>334</v>
      </c>
      <c r="C41" s="15">
        <v>2018</v>
      </c>
      <c r="D41" s="37" t="s">
        <v>340</v>
      </c>
      <c r="E41" s="7" t="s">
        <v>130</v>
      </c>
      <c r="F41" s="7" t="s">
        <v>146</v>
      </c>
      <c r="G41" s="7" t="s">
        <v>36</v>
      </c>
      <c r="H41" s="15" t="s">
        <v>166</v>
      </c>
      <c r="I41" s="7" t="s">
        <v>153</v>
      </c>
      <c r="J41" s="15" t="s">
        <v>38</v>
      </c>
      <c r="K41" s="7" t="s">
        <v>54</v>
      </c>
      <c r="L41" s="7">
        <v>1</v>
      </c>
      <c r="N41" s="203">
        <v>1</v>
      </c>
      <c r="O41" s="7">
        <v>0.55000000000000004</v>
      </c>
      <c r="P41" s="7">
        <v>0.65</v>
      </c>
      <c r="Q41" s="52">
        <f t="shared" si="0"/>
        <v>0.60000000000000009</v>
      </c>
      <c r="R41" s="7">
        <v>17.100000000000001</v>
      </c>
      <c r="S41" s="7">
        <v>109</v>
      </c>
      <c r="T41" s="16">
        <f t="shared" si="1"/>
        <v>33</v>
      </c>
      <c r="U41" s="7">
        <v>145</v>
      </c>
      <c r="V41" s="16">
        <f t="shared" si="2"/>
        <v>4785</v>
      </c>
      <c r="W41" s="7">
        <v>4</v>
      </c>
      <c r="X41" s="15" t="s">
        <v>46</v>
      </c>
      <c r="Y41" s="211" t="s">
        <v>84</v>
      </c>
      <c r="Z41" s="211" t="s">
        <v>90</v>
      </c>
      <c r="AA41" s="211" t="s">
        <v>50</v>
      </c>
      <c r="AB41" s="39" t="s">
        <v>336</v>
      </c>
    </row>
    <row r="42" spans="1:44" x14ac:dyDescent="0.15">
      <c r="A42" s="15" t="s">
        <v>333</v>
      </c>
      <c r="B42" s="15" t="s">
        <v>334</v>
      </c>
      <c r="C42" s="15">
        <v>2018</v>
      </c>
      <c r="D42" s="37" t="s">
        <v>340</v>
      </c>
      <c r="E42" s="7" t="s">
        <v>130</v>
      </c>
      <c r="F42" s="7" t="s">
        <v>146</v>
      </c>
      <c r="G42" s="7" t="s">
        <v>36</v>
      </c>
      <c r="H42" s="211" t="s">
        <v>166</v>
      </c>
      <c r="I42" s="203" t="s">
        <v>153</v>
      </c>
      <c r="J42" s="15" t="s">
        <v>38</v>
      </c>
      <c r="K42" s="7" t="s">
        <v>54</v>
      </c>
      <c r="L42" s="7">
        <v>2</v>
      </c>
      <c r="N42" s="203">
        <v>1</v>
      </c>
      <c r="O42" s="7">
        <v>0.65</v>
      </c>
      <c r="P42" s="7">
        <v>0.8</v>
      </c>
      <c r="Q42" s="52">
        <f t="shared" si="0"/>
        <v>0.72500000000000009</v>
      </c>
      <c r="R42" s="7">
        <v>18</v>
      </c>
      <c r="S42" s="7">
        <v>116</v>
      </c>
      <c r="T42" s="16">
        <f t="shared" si="1"/>
        <v>30</v>
      </c>
      <c r="U42" s="203">
        <v>145</v>
      </c>
      <c r="V42" s="16">
        <f t="shared" si="2"/>
        <v>4350</v>
      </c>
      <c r="W42" s="7">
        <v>4</v>
      </c>
      <c r="X42" s="15" t="s">
        <v>46</v>
      </c>
      <c r="Y42" s="211" t="s">
        <v>84</v>
      </c>
      <c r="Z42" s="211" t="s">
        <v>90</v>
      </c>
      <c r="AA42" s="211" t="s">
        <v>50</v>
      </c>
      <c r="AB42" s="39" t="s">
        <v>336</v>
      </c>
    </row>
    <row r="43" spans="1:44" x14ac:dyDescent="0.15">
      <c r="A43" s="15" t="s">
        <v>333</v>
      </c>
      <c r="B43" s="15" t="s">
        <v>334</v>
      </c>
      <c r="C43" s="15">
        <v>2018</v>
      </c>
      <c r="D43" s="37" t="s">
        <v>340</v>
      </c>
      <c r="E43" s="7" t="s">
        <v>130</v>
      </c>
      <c r="F43" s="7" t="s">
        <v>146</v>
      </c>
      <c r="G43" s="7" t="s">
        <v>36</v>
      </c>
      <c r="H43" s="211" t="s">
        <v>166</v>
      </c>
      <c r="I43" s="203" t="s">
        <v>153</v>
      </c>
      <c r="J43" s="15" t="s">
        <v>38</v>
      </c>
      <c r="K43" s="7" t="s">
        <v>54</v>
      </c>
      <c r="L43" s="7">
        <v>3</v>
      </c>
      <c r="N43" s="203">
        <v>1</v>
      </c>
      <c r="O43" s="7">
        <v>0.65</v>
      </c>
      <c r="P43" s="7">
        <v>0.75</v>
      </c>
      <c r="Q43" s="52">
        <f t="shared" si="0"/>
        <v>0.7</v>
      </c>
      <c r="R43" s="7">
        <v>16.7</v>
      </c>
      <c r="S43" s="7">
        <v>109</v>
      </c>
      <c r="T43" s="16">
        <f t="shared" si="1"/>
        <v>33</v>
      </c>
      <c r="U43" s="203">
        <v>145</v>
      </c>
      <c r="V43" s="16">
        <f t="shared" si="2"/>
        <v>4785</v>
      </c>
      <c r="W43" s="7">
        <v>4</v>
      </c>
      <c r="X43" s="15" t="s">
        <v>46</v>
      </c>
      <c r="Y43" s="211" t="s">
        <v>84</v>
      </c>
      <c r="Z43" s="211" t="s">
        <v>90</v>
      </c>
      <c r="AA43" s="211" t="s">
        <v>50</v>
      </c>
      <c r="AB43" s="39" t="s">
        <v>336</v>
      </c>
    </row>
    <row r="44" spans="1:44" x14ac:dyDescent="0.15">
      <c r="A44" s="15" t="s">
        <v>333</v>
      </c>
      <c r="B44" s="15" t="s">
        <v>334</v>
      </c>
      <c r="C44" s="15">
        <v>2018</v>
      </c>
      <c r="D44" s="37" t="s">
        <v>340</v>
      </c>
      <c r="E44" s="7" t="s">
        <v>132</v>
      </c>
      <c r="F44" s="7" t="s">
        <v>147</v>
      </c>
      <c r="G44" s="7" t="s">
        <v>36</v>
      </c>
      <c r="H44" s="15" t="s">
        <v>155</v>
      </c>
      <c r="I44" s="203" t="s">
        <v>153</v>
      </c>
      <c r="J44" s="15" t="s">
        <v>38</v>
      </c>
      <c r="K44" s="7" t="s">
        <v>154</v>
      </c>
      <c r="L44" s="7">
        <v>1</v>
      </c>
      <c r="N44" s="203">
        <v>1</v>
      </c>
      <c r="O44" s="7">
        <v>0.6</v>
      </c>
      <c r="P44" s="7">
        <v>0.8</v>
      </c>
      <c r="Q44" s="52">
        <f t="shared" si="0"/>
        <v>0.7</v>
      </c>
      <c r="R44" s="7">
        <v>14.6</v>
      </c>
      <c r="S44" s="7">
        <v>142</v>
      </c>
      <c r="T44" s="16">
        <f t="shared" si="1"/>
        <v>22</v>
      </c>
      <c r="U44" s="7">
        <v>95</v>
      </c>
      <c r="V44" s="16">
        <f t="shared" si="2"/>
        <v>2090</v>
      </c>
      <c r="W44" s="7">
        <v>9</v>
      </c>
      <c r="X44" s="15" t="s">
        <v>46</v>
      </c>
      <c r="Y44" s="211" t="s">
        <v>50</v>
      </c>
      <c r="Z44" s="211" t="s">
        <v>84</v>
      </c>
      <c r="AA44" s="211" t="s">
        <v>90</v>
      </c>
      <c r="AB44" s="39" t="s">
        <v>336</v>
      </c>
    </row>
    <row r="45" spans="1:44" x14ac:dyDescent="0.15">
      <c r="A45" s="15" t="s">
        <v>333</v>
      </c>
      <c r="B45" s="15" t="s">
        <v>334</v>
      </c>
      <c r="C45" s="15">
        <v>2018</v>
      </c>
      <c r="D45" s="37" t="s">
        <v>340</v>
      </c>
      <c r="E45" s="7" t="s">
        <v>132</v>
      </c>
      <c r="F45" s="7" t="s">
        <v>147</v>
      </c>
      <c r="G45" s="7" t="s">
        <v>36</v>
      </c>
      <c r="H45" s="211" t="s">
        <v>155</v>
      </c>
      <c r="I45" s="203" t="s">
        <v>153</v>
      </c>
      <c r="J45" s="15" t="s">
        <v>38</v>
      </c>
      <c r="K45" s="7" t="s">
        <v>154</v>
      </c>
      <c r="L45" s="7">
        <v>2</v>
      </c>
      <c r="N45" s="203">
        <v>1</v>
      </c>
      <c r="O45" s="7">
        <v>0.5</v>
      </c>
      <c r="P45" s="7">
        <v>0.5</v>
      </c>
      <c r="Q45" s="52">
        <f t="shared" si="0"/>
        <v>0.5</v>
      </c>
      <c r="R45" s="7">
        <v>13.9</v>
      </c>
      <c r="S45" s="7">
        <v>146</v>
      </c>
      <c r="T45" s="16">
        <f t="shared" si="1"/>
        <v>22</v>
      </c>
      <c r="U45" s="203">
        <v>95</v>
      </c>
      <c r="V45" s="16">
        <f t="shared" si="2"/>
        <v>2090</v>
      </c>
      <c r="W45" s="7">
        <v>9</v>
      </c>
      <c r="X45" s="15" t="s">
        <v>46</v>
      </c>
      <c r="Y45" s="211" t="s">
        <v>50</v>
      </c>
      <c r="Z45" s="211" t="s">
        <v>84</v>
      </c>
      <c r="AA45" s="211" t="s">
        <v>90</v>
      </c>
      <c r="AB45" s="39" t="s">
        <v>336</v>
      </c>
    </row>
    <row r="46" spans="1:44" x14ac:dyDescent="0.15">
      <c r="A46" s="15" t="s">
        <v>333</v>
      </c>
      <c r="B46" s="15" t="s">
        <v>334</v>
      </c>
      <c r="C46" s="15">
        <v>2018</v>
      </c>
      <c r="D46" s="37" t="s">
        <v>340</v>
      </c>
      <c r="E46" s="7" t="s">
        <v>132</v>
      </c>
      <c r="F46" s="7" t="s">
        <v>147</v>
      </c>
      <c r="G46" s="7" t="s">
        <v>36</v>
      </c>
      <c r="H46" s="211" t="s">
        <v>155</v>
      </c>
      <c r="I46" s="203" t="s">
        <v>153</v>
      </c>
      <c r="J46" s="15" t="s">
        <v>38</v>
      </c>
      <c r="K46" s="7" t="s">
        <v>154</v>
      </c>
      <c r="L46" s="7">
        <v>3</v>
      </c>
      <c r="N46" s="7">
        <v>1</v>
      </c>
      <c r="O46" s="7">
        <v>0.6</v>
      </c>
      <c r="P46" s="34">
        <v>0.75</v>
      </c>
      <c r="Q46" s="52">
        <f t="shared" si="0"/>
        <v>0.67500000000000004</v>
      </c>
      <c r="R46" s="7">
        <v>13.5</v>
      </c>
      <c r="S46" s="7">
        <v>136</v>
      </c>
      <c r="T46" s="16">
        <f t="shared" si="1"/>
        <v>25</v>
      </c>
      <c r="U46" s="203">
        <v>95</v>
      </c>
      <c r="V46" s="16">
        <f t="shared" si="2"/>
        <v>2375</v>
      </c>
      <c r="W46" s="7">
        <v>9</v>
      </c>
      <c r="X46" s="15" t="s">
        <v>46</v>
      </c>
      <c r="Y46" s="211" t="s">
        <v>50</v>
      </c>
      <c r="Z46" s="211" t="s">
        <v>84</v>
      </c>
      <c r="AA46" s="211" t="s">
        <v>90</v>
      </c>
      <c r="AB46" s="39" t="s">
        <v>336</v>
      </c>
    </row>
    <row r="47" spans="1:44" x14ac:dyDescent="0.15">
      <c r="A47" s="15" t="s">
        <v>333</v>
      </c>
      <c r="B47" s="15" t="s">
        <v>334</v>
      </c>
      <c r="C47" s="15">
        <v>2018</v>
      </c>
      <c r="D47" s="37" t="s">
        <v>340</v>
      </c>
      <c r="E47" s="7" t="s">
        <v>140</v>
      </c>
      <c r="F47" s="7" t="s">
        <v>148</v>
      </c>
      <c r="G47" s="7" t="s">
        <v>36</v>
      </c>
      <c r="H47" s="15" t="s">
        <v>155</v>
      </c>
      <c r="I47" s="203" t="s">
        <v>153</v>
      </c>
      <c r="J47" s="15" t="s">
        <v>38</v>
      </c>
      <c r="K47" s="7" t="s">
        <v>154</v>
      </c>
      <c r="L47" s="7">
        <v>1</v>
      </c>
      <c r="N47" s="7">
        <v>1</v>
      </c>
      <c r="O47" s="7">
        <v>0.5</v>
      </c>
      <c r="P47" s="7">
        <v>0.5</v>
      </c>
      <c r="Q47" s="52">
        <f t="shared" si="0"/>
        <v>0.5</v>
      </c>
      <c r="R47" s="7">
        <v>13.7</v>
      </c>
      <c r="S47" s="7">
        <v>129</v>
      </c>
      <c r="T47" s="16">
        <f t="shared" si="1"/>
        <v>25</v>
      </c>
      <c r="U47" s="7">
        <v>54</v>
      </c>
      <c r="V47" s="16">
        <f t="shared" si="2"/>
        <v>1350</v>
      </c>
      <c r="W47" s="7">
        <v>6</v>
      </c>
      <c r="X47" s="15" t="s">
        <v>46</v>
      </c>
      <c r="Y47" s="211" t="s">
        <v>84</v>
      </c>
      <c r="Z47" s="211" t="s">
        <v>90</v>
      </c>
      <c r="AA47" s="211" t="s">
        <v>69</v>
      </c>
      <c r="AB47" s="39" t="s">
        <v>336</v>
      </c>
    </row>
    <row r="48" spans="1:44" x14ac:dyDescent="0.15">
      <c r="A48" s="15" t="s">
        <v>333</v>
      </c>
      <c r="B48" s="15" t="s">
        <v>334</v>
      </c>
      <c r="C48" s="15">
        <v>2018</v>
      </c>
      <c r="D48" s="37" t="s">
        <v>340</v>
      </c>
      <c r="E48" s="7" t="s">
        <v>140</v>
      </c>
      <c r="F48" s="7" t="s">
        <v>148</v>
      </c>
      <c r="G48" s="7" t="s">
        <v>36</v>
      </c>
      <c r="H48" s="211" t="s">
        <v>155</v>
      </c>
      <c r="I48" s="203" t="s">
        <v>153</v>
      </c>
      <c r="J48" s="211" t="s">
        <v>38</v>
      </c>
      <c r="K48" s="203" t="s">
        <v>154</v>
      </c>
      <c r="L48" s="7">
        <v>2</v>
      </c>
      <c r="N48" s="7">
        <v>1</v>
      </c>
      <c r="O48" s="7">
        <v>0.5</v>
      </c>
      <c r="P48" s="7">
        <v>0.5</v>
      </c>
      <c r="Q48" s="52">
        <f t="shared" si="0"/>
        <v>0.5</v>
      </c>
      <c r="R48" s="7">
        <v>14</v>
      </c>
      <c r="S48" s="7">
        <v>131</v>
      </c>
      <c r="T48" s="16">
        <f t="shared" si="1"/>
        <v>25</v>
      </c>
      <c r="U48" s="203">
        <v>54</v>
      </c>
      <c r="V48" s="16">
        <f t="shared" si="2"/>
        <v>1350</v>
      </c>
      <c r="W48" s="7">
        <v>6</v>
      </c>
      <c r="X48" s="15" t="s">
        <v>46</v>
      </c>
      <c r="Y48" s="211" t="s">
        <v>84</v>
      </c>
      <c r="Z48" s="211" t="s">
        <v>90</v>
      </c>
      <c r="AA48" s="211" t="s">
        <v>69</v>
      </c>
      <c r="AB48" s="39" t="s">
        <v>336</v>
      </c>
    </row>
    <row r="49" spans="1:29" x14ac:dyDescent="0.15">
      <c r="A49" s="15" t="s">
        <v>333</v>
      </c>
      <c r="B49" s="15" t="s">
        <v>334</v>
      </c>
      <c r="C49" s="15">
        <v>2018</v>
      </c>
      <c r="D49" s="37" t="s">
        <v>340</v>
      </c>
      <c r="E49" s="7" t="s">
        <v>140</v>
      </c>
      <c r="F49" s="7" t="s">
        <v>148</v>
      </c>
      <c r="G49" s="7" t="s">
        <v>36</v>
      </c>
      <c r="H49" s="211" t="s">
        <v>155</v>
      </c>
      <c r="I49" s="203" t="s">
        <v>153</v>
      </c>
      <c r="J49" s="211" t="s">
        <v>38</v>
      </c>
      <c r="K49" s="203" t="s">
        <v>154</v>
      </c>
      <c r="L49" s="7">
        <v>3</v>
      </c>
      <c r="N49" s="7">
        <v>1</v>
      </c>
      <c r="O49" s="7">
        <v>0.5</v>
      </c>
      <c r="P49" s="34">
        <v>0.55000000000000004</v>
      </c>
      <c r="Q49" s="52">
        <f t="shared" si="0"/>
        <v>0.52500000000000002</v>
      </c>
      <c r="R49" s="7">
        <v>15.2</v>
      </c>
      <c r="S49" s="7">
        <v>135</v>
      </c>
      <c r="T49" s="16">
        <f t="shared" si="1"/>
        <v>25</v>
      </c>
      <c r="U49" s="203">
        <v>54</v>
      </c>
      <c r="V49" s="16">
        <f t="shared" si="2"/>
        <v>1350</v>
      </c>
      <c r="W49" s="7">
        <v>6</v>
      </c>
      <c r="X49" s="15" t="s">
        <v>46</v>
      </c>
      <c r="Y49" s="211" t="s">
        <v>84</v>
      </c>
      <c r="Z49" s="211" t="s">
        <v>90</v>
      </c>
      <c r="AA49" s="211" t="s">
        <v>69</v>
      </c>
      <c r="AB49" s="39" t="s">
        <v>336</v>
      </c>
    </row>
    <row r="50" spans="1:29" x14ac:dyDescent="0.15">
      <c r="A50" s="15" t="s">
        <v>333</v>
      </c>
      <c r="B50" s="15" t="s">
        <v>334</v>
      </c>
      <c r="C50" s="15">
        <v>2018</v>
      </c>
      <c r="D50" s="37" t="s">
        <v>340</v>
      </c>
      <c r="E50" s="7" t="s">
        <v>140</v>
      </c>
      <c r="F50" s="7" t="s">
        <v>148</v>
      </c>
      <c r="G50" s="7" t="s">
        <v>36</v>
      </c>
      <c r="H50" s="15" t="s">
        <v>166</v>
      </c>
      <c r="I50" s="203" t="s">
        <v>153</v>
      </c>
      <c r="J50" s="15" t="s">
        <v>38</v>
      </c>
      <c r="K50" s="7" t="s">
        <v>54</v>
      </c>
      <c r="L50" s="7">
        <v>1</v>
      </c>
      <c r="N50" s="7">
        <v>1</v>
      </c>
      <c r="O50" s="7">
        <v>0.55000000000000004</v>
      </c>
      <c r="P50" s="7">
        <v>0.7</v>
      </c>
      <c r="Q50" s="52">
        <f t="shared" si="0"/>
        <v>0.625</v>
      </c>
      <c r="R50" s="7">
        <v>14.4</v>
      </c>
      <c r="S50" s="7">
        <v>117</v>
      </c>
      <c r="T50" s="16">
        <f t="shared" si="1"/>
        <v>30</v>
      </c>
      <c r="U50" s="203">
        <v>170</v>
      </c>
      <c r="V50" s="16">
        <f t="shared" si="2"/>
        <v>5100</v>
      </c>
      <c r="W50" s="7">
        <v>2</v>
      </c>
      <c r="X50" s="15" t="s">
        <v>46</v>
      </c>
      <c r="Y50" s="211" t="s">
        <v>84</v>
      </c>
      <c r="Z50" s="211" t="s">
        <v>90</v>
      </c>
      <c r="AA50" s="211" t="s">
        <v>69</v>
      </c>
      <c r="AB50" s="39" t="s">
        <v>336</v>
      </c>
    </row>
    <row r="51" spans="1:29" x14ac:dyDescent="0.15">
      <c r="A51" s="15" t="s">
        <v>333</v>
      </c>
      <c r="B51" s="15" t="s">
        <v>334</v>
      </c>
      <c r="C51" s="15">
        <v>2018</v>
      </c>
      <c r="D51" s="37" t="s">
        <v>340</v>
      </c>
      <c r="E51" s="7" t="s">
        <v>140</v>
      </c>
      <c r="F51" s="7" t="s">
        <v>148</v>
      </c>
      <c r="G51" s="7" t="s">
        <v>36</v>
      </c>
      <c r="H51" s="211" t="s">
        <v>166</v>
      </c>
      <c r="I51" s="203" t="s">
        <v>153</v>
      </c>
      <c r="J51" s="15" t="s">
        <v>38</v>
      </c>
      <c r="K51" s="7" t="s">
        <v>54</v>
      </c>
      <c r="L51" s="7">
        <v>2</v>
      </c>
      <c r="N51" s="7">
        <v>1</v>
      </c>
      <c r="O51" s="7">
        <v>0.6</v>
      </c>
      <c r="P51" s="7">
        <v>0.7</v>
      </c>
      <c r="Q51" s="52">
        <f t="shared" si="0"/>
        <v>0.64999999999999991</v>
      </c>
      <c r="R51" s="7">
        <v>13.7</v>
      </c>
      <c r="S51" s="7">
        <v>112</v>
      </c>
      <c r="T51" s="16">
        <f t="shared" si="1"/>
        <v>33</v>
      </c>
      <c r="U51" s="203">
        <v>170</v>
      </c>
      <c r="V51" s="16">
        <f t="shared" si="2"/>
        <v>5610</v>
      </c>
      <c r="W51" s="7">
        <v>2</v>
      </c>
      <c r="X51" s="15" t="s">
        <v>46</v>
      </c>
      <c r="Y51" s="211" t="s">
        <v>84</v>
      </c>
      <c r="Z51" s="211" t="s">
        <v>90</v>
      </c>
      <c r="AA51" s="211" t="s">
        <v>69</v>
      </c>
      <c r="AB51" s="39" t="s">
        <v>336</v>
      </c>
    </row>
    <row r="52" spans="1:29" x14ac:dyDescent="0.15">
      <c r="A52" s="15" t="s">
        <v>333</v>
      </c>
      <c r="B52" s="15" t="s">
        <v>334</v>
      </c>
      <c r="C52" s="15">
        <v>2018</v>
      </c>
      <c r="D52" s="37" t="s">
        <v>340</v>
      </c>
      <c r="E52" s="7" t="s">
        <v>140</v>
      </c>
      <c r="F52" s="7" t="s">
        <v>148</v>
      </c>
      <c r="G52" s="7" t="s">
        <v>36</v>
      </c>
      <c r="H52" s="211" t="s">
        <v>166</v>
      </c>
      <c r="I52" s="203" t="s">
        <v>153</v>
      </c>
      <c r="J52" s="15" t="s">
        <v>38</v>
      </c>
      <c r="K52" s="7" t="s">
        <v>54</v>
      </c>
      <c r="L52" s="7">
        <v>3</v>
      </c>
      <c r="N52" s="7">
        <v>1</v>
      </c>
      <c r="O52" s="7">
        <v>0.6</v>
      </c>
      <c r="P52" s="7">
        <v>0.75</v>
      </c>
      <c r="Q52" s="52">
        <f t="shared" si="0"/>
        <v>0.67500000000000004</v>
      </c>
      <c r="R52" s="7">
        <v>14</v>
      </c>
      <c r="S52" s="7">
        <v>114</v>
      </c>
      <c r="T52" s="16">
        <f t="shared" si="1"/>
        <v>30</v>
      </c>
      <c r="U52" s="203">
        <v>170</v>
      </c>
      <c r="V52" s="16">
        <f t="shared" si="2"/>
        <v>5100</v>
      </c>
      <c r="W52" s="7">
        <v>2</v>
      </c>
      <c r="X52" s="15" t="s">
        <v>46</v>
      </c>
      <c r="Y52" s="211" t="s">
        <v>84</v>
      </c>
      <c r="Z52" s="211" t="s">
        <v>90</v>
      </c>
      <c r="AA52" s="211" t="s">
        <v>69</v>
      </c>
      <c r="AB52" s="39" t="s">
        <v>336</v>
      </c>
    </row>
    <row r="53" spans="1:29" x14ac:dyDescent="0.15">
      <c r="A53" s="15"/>
      <c r="B53" s="15"/>
      <c r="C53" s="15"/>
      <c r="D53" s="37"/>
      <c r="H53" s="15"/>
      <c r="I53" s="203"/>
      <c r="J53" s="15"/>
      <c r="Q53" s="52" t="str">
        <f t="shared" si="0"/>
        <v/>
      </c>
      <c r="T53" s="16" t="str">
        <f t="shared" si="1"/>
        <v/>
      </c>
      <c r="V53" s="16" t="str">
        <f t="shared" si="2"/>
        <v/>
      </c>
      <c r="X53" s="15"/>
      <c r="Y53" s="211"/>
      <c r="Z53" s="211"/>
      <c r="AA53" s="211"/>
      <c r="AB53" s="39"/>
      <c r="AC53" s="36"/>
    </row>
    <row r="54" spans="1:29" x14ac:dyDescent="0.15">
      <c r="A54" s="15"/>
      <c r="B54" s="15"/>
      <c r="C54" s="15"/>
      <c r="D54" s="37"/>
      <c r="H54" s="211"/>
      <c r="I54" s="203"/>
      <c r="J54" s="211"/>
      <c r="Q54" s="52" t="str">
        <f t="shared" si="0"/>
        <v/>
      </c>
      <c r="T54" s="16" t="str">
        <f t="shared" si="1"/>
        <v/>
      </c>
      <c r="U54" s="203"/>
      <c r="V54" s="16" t="str">
        <f t="shared" si="2"/>
        <v/>
      </c>
      <c r="X54" s="15"/>
      <c r="Y54" s="211"/>
      <c r="Z54" s="211"/>
      <c r="AA54" s="211"/>
      <c r="AB54" s="39"/>
      <c r="AC54" s="36"/>
    </row>
    <row r="55" spans="1:29" x14ac:dyDescent="0.15">
      <c r="A55" s="15"/>
      <c r="B55" s="15"/>
      <c r="C55" s="15"/>
      <c r="D55" s="37"/>
      <c r="H55" s="211"/>
      <c r="I55" s="203"/>
      <c r="J55" s="211"/>
      <c r="N55" s="203"/>
      <c r="Q55" s="52" t="str">
        <f t="shared" si="0"/>
        <v/>
      </c>
      <c r="T55" s="16" t="str">
        <f t="shared" si="1"/>
        <v/>
      </c>
      <c r="U55" s="203"/>
      <c r="V55" s="16" t="str">
        <f t="shared" si="2"/>
        <v/>
      </c>
      <c r="X55" s="15"/>
      <c r="Y55" s="211"/>
      <c r="Z55" s="211"/>
      <c r="AA55" s="211"/>
      <c r="AB55" s="39"/>
      <c r="AC55" s="36"/>
    </row>
    <row r="56" spans="1:29" x14ac:dyDescent="0.15">
      <c r="A56" s="15"/>
      <c r="B56" s="15"/>
      <c r="C56" s="15"/>
      <c r="D56" s="37"/>
      <c r="H56" s="15"/>
      <c r="I56" s="203"/>
      <c r="J56" s="15"/>
      <c r="N56" s="203"/>
      <c r="Q56" s="52" t="str">
        <f t="shared" si="0"/>
        <v/>
      </c>
      <c r="T56" s="16" t="str">
        <f t="shared" si="1"/>
        <v/>
      </c>
      <c r="U56" s="203"/>
      <c r="V56" s="16" t="str">
        <f t="shared" si="2"/>
        <v/>
      </c>
      <c r="X56" s="15"/>
      <c r="Y56" s="211"/>
      <c r="Z56" s="211"/>
      <c r="AA56" s="211"/>
      <c r="AB56" s="39"/>
    </row>
    <row r="57" spans="1:29" x14ac:dyDescent="0.15">
      <c r="A57" s="15"/>
      <c r="B57" s="15"/>
      <c r="C57" s="15"/>
      <c r="D57" s="37"/>
      <c r="H57" s="211"/>
      <c r="I57" s="203"/>
      <c r="J57" s="15"/>
      <c r="K57" s="203"/>
      <c r="N57" s="203"/>
      <c r="Q57" s="52" t="str">
        <f t="shared" si="0"/>
        <v/>
      </c>
      <c r="T57" s="16" t="str">
        <f t="shared" si="1"/>
        <v/>
      </c>
      <c r="U57" s="203"/>
      <c r="V57" s="16" t="str">
        <f t="shared" si="2"/>
        <v/>
      </c>
      <c r="X57" s="15"/>
      <c r="Y57" s="211"/>
      <c r="Z57" s="211"/>
      <c r="AA57" s="211"/>
      <c r="AB57" s="39"/>
    </row>
    <row r="58" spans="1:29" x14ac:dyDescent="0.15">
      <c r="A58" s="15"/>
      <c r="B58" s="15"/>
      <c r="C58" s="15"/>
      <c r="D58" s="37"/>
      <c r="H58" s="211"/>
      <c r="I58" s="203"/>
      <c r="J58" s="15"/>
      <c r="K58" s="203"/>
      <c r="N58" s="203"/>
      <c r="Q58" s="52" t="str">
        <f t="shared" si="0"/>
        <v/>
      </c>
      <c r="T58" s="16" t="str">
        <f t="shared" si="1"/>
        <v/>
      </c>
      <c r="U58" s="203"/>
      <c r="V58" s="16" t="str">
        <f t="shared" si="2"/>
        <v/>
      </c>
      <c r="X58" s="15"/>
      <c r="Y58" s="211"/>
      <c r="Z58" s="211"/>
      <c r="AA58" s="211"/>
      <c r="AB58" s="39"/>
    </row>
    <row r="59" spans="1:29" x14ac:dyDescent="0.15">
      <c r="A59" s="15"/>
      <c r="B59" s="15"/>
      <c r="C59" s="15"/>
      <c r="D59" s="37"/>
      <c r="H59" s="15"/>
      <c r="I59" s="203"/>
      <c r="J59" s="15"/>
      <c r="N59" s="203"/>
      <c r="Q59" s="52" t="str">
        <f t="shared" si="0"/>
        <v/>
      </c>
      <c r="T59" s="16" t="str">
        <f t="shared" si="1"/>
        <v/>
      </c>
      <c r="V59" s="16" t="str">
        <f t="shared" si="2"/>
        <v/>
      </c>
      <c r="X59" s="15"/>
      <c r="Y59" s="211"/>
      <c r="Z59" s="211"/>
      <c r="AA59" s="211"/>
      <c r="AB59" s="39"/>
    </row>
    <row r="60" spans="1:29" x14ac:dyDescent="0.15">
      <c r="A60" s="15"/>
      <c r="B60" s="15"/>
      <c r="C60" s="15"/>
      <c r="D60" s="37"/>
      <c r="H60" s="211"/>
      <c r="I60" s="203"/>
      <c r="J60" s="15"/>
      <c r="Q60" s="52" t="str">
        <f t="shared" si="0"/>
        <v/>
      </c>
      <c r="T60" s="16" t="str">
        <f>IF(H60="","",IF(OR(H60="GREEN",H60="GK"),IF(S60&gt;=$AX$2,VLOOKUP(S60,$AX$2:$AY$12,2,1),""),IF(S60&gt;=$AZ$2,VLOOKUP(S60,$AZ$2:$BA$12,2,1),"")))</f>
        <v/>
      </c>
      <c r="U60" s="203"/>
      <c r="V60" s="16" t="str">
        <f t="shared" si="2"/>
        <v/>
      </c>
      <c r="X60" s="211"/>
      <c r="Y60" s="211"/>
      <c r="Z60" s="211"/>
      <c r="AA60" s="211"/>
      <c r="AB60" s="39"/>
    </row>
    <row r="61" spans="1:29" x14ac:dyDescent="0.15">
      <c r="A61" s="15"/>
      <c r="B61" s="15"/>
      <c r="C61" s="15"/>
      <c r="D61" s="37"/>
      <c r="H61" s="211"/>
      <c r="I61" s="203"/>
      <c r="J61" s="15"/>
      <c r="Q61" s="52" t="str">
        <f t="shared" si="0"/>
        <v/>
      </c>
      <c r="T61" s="16" t="str">
        <f>IF(H61="","",IF(OR(H61="GREEN",H61="GK"),IF(S61&gt;=$AX$2,VLOOKUP(S61,$AX$2:$AY$12,2,1),""),IF(S61&gt;=$AZ$2,VLOOKUP(S61,$AZ$2:$BA$12,2,1),"")))</f>
        <v/>
      </c>
      <c r="U61" s="203"/>
      <c r="V61" s="16" t="str">
        <f t="shared" si="2"/>
        <v/>
      </c>
      <c r="X61" s="211"/>
      <c r="Y61" s="211"/>
      <c r="Z61" s="211"/>
      <c r="AA61" s="211"/>
      <c r="AB61" s="39"/>
    </row>
    <row r="62" spans="1:29" x14ac:dyDescent="0.15">
      <c r="A62" s="15"/>
      <c r="B62" s="15"/>
      <c r="C62" s="15"/>
      <c r="D62" s="37"/>
      <c r="H62" s="15"/>
      <c r="I62" s="203"/>
      <c r="J62" s="15"/>
      <c r="Q62" s="52" t="str">
        <f t="shared" si="0"/>
        <v/>
      </c>
      <c r="T62" s="16" t="str">
        <f t="shared" ref="T62:T120" si="3">IF(H62="","",IF(OR(H62="GREEN",H62="GK"),IF(S62&gt;=$AX$2,VLOOKUP(S62,$AX$2:$AY$12,2,1),""),IF(S62&gt;=$AZ$2,VLOOKUP(S62,$AZ$2:$BA$12,2,1),"")))</f>
        <v/>
      </c>
      <c r="V62" s="16" t="str">
        <f t="shared" si="2"/>
        <v/>
      </c>
      <c r="X62" s="211"/>
      <c r="Y62" s="211"/>
      <c r="Z62" s="211"/>
      <c r="AA62" s="211"/>
      <c r="AB62" s="39"/>
    </row>
    <row r="63" spans="1:29" x14ac:dyDescent="0.15">
      <c r="A63" s="15"/>
      <c r="B63" s="15"/>
      <c r="C63" s="15"/>
      <c r="D63" s="37"/>
      <c r="H63" s="211"/>
      <c r="I63" s="203"/>
      <c r="J63" s="15"/>
      <c r="Q63" s="52" t="str">
        <f t="shared" si="0"/>
        <v/>
      </c>
      <c r="T63" s="16" t="str">
        <f t="shared" si="3"/>
        <v/>
      </c>
      <c r="U63" s="203"/>
      <c r="V63" s="16" t="str">
        <f t="shared" si="2"/>
        <v/>
      </c>
      <c r="X63" s="211"/>
      <c r="Y63" s="211"/>
      <c r="Z63" s="211"/>
      <c r="AA63" s="211"/>
      <c r="AB63" s="39"/>
    </row>
    <row r="64" spans="1:29" x14ac:dyDescent="0.15">
      <c r="A64" s="15"/>
      <c r="B64" s="15"/>
      <c r="C64" s="15"/>
      <c r="D64" s="37"/>
      <c r="H64" s="211"/>
      <c r="I64" s="203"/>
      <c r="J64" s="15"/>
      <c r="Q64" s="52" t="str">
        <f t="shared" si="0"/>
        <v/>
      </c>
      <c r="T64" s="16" t="str">
        <f t="shared" si="3"/>
        <v/>
      </c>
      <c r="U64" s="203"/>
      <c r="V64" s="16" t="str">
        <f t="shared" si="2"/>
        <v/>
      </c>
      <c r="X64" s="211"/>
      <c r="Y64" s="211"/>
      <c r="Z64" s="211"/>
      <c r="AA64" s="211"/>
      <c r="AB64" s="39"/>
    </row>
    <row r="65" spans="1:28" x14ac:dyDescent="0.15">
      <c r="A65" s="15"/>
      <c r="B65" s="15"/>
      <c r="C65" s="15"/>
      <c r="D65" s="37"/>
      <c r="H65" s="15"/>
      <c r="I65" s="203"/>
      <c r="J65" s="15"/>
      <c r="Q65" s="52" t="str">
        <f t="shared" si="0"/>
        <v/>
      </c>
      <c r="T65" s="16" t="str">
        <f t="shared" si="3"/>
        <v/>
      </c>
      <c r="V65" s="16" t="str">
        <f t="shared" si="2"/>
        <v/>
      </c>
      <c r="X65" s="211"/>
      <c r="Y65" s="211"/>
      <c r="Z65" s="211"/>
      <c r="AA65" s="211"/>
      <c r="AB65" s="39"/>
    </row>
    <row r="66" spans="1:28" x14ac:dyDescent="0.15">
      <c r="A66" s="15"/>
      <c r="B66" s="15"/>
      <c r="C66" s="15"/>
      <c r="D66" s="37"/>
      <c r="H66" s="211"/>
      <c r="I66" s="203"/>
      <c r="J66" s="15"/>
      <c r="Q66" s="52" t="str">
        <f t="shared" ref="Q66:Q77" si="4">IF(OR(O66="",P66=""),"",AVERAGE(O66,P66))</f>
        <v/>
      </c>
      <c r="T66" s="16" t="str">
        <f t="shared" si="3"/>
        <v/>
      </c>
      <c r="U66" s="203"/>
      <c r="V66" s="16" t="str">
        <f t="shared" ref="V66:V70" si="5">IF(OR(N66="",U66="",T66=""),"",U66/N66*T66)</f>
        <v/>
      </c>
      <c r="X66" s="211"/>
      <c r="Y66" s="211"/>
      <c r="Z66" s="211"/>
      <c r="AA66" s="211"/>
      <c r="AB66" s="39"/>
    </row>
    <row r="67" spans="1:28" x14ac:dyDescent="0.15">
      <c r="A67" s="15"/>
      <c r="B67" s="15"/>
      <c r="C67" s="15"/>
      <c r="D67" s="37"/>
      <c r="H67" s="211"/>
      <c r="I67" s="203"/>
      <c r="J67" s="15"/>
      <c r="Q67" s="52" t="str">
        <f t="shared" si="4"/>
        <v/>
      </c>
      <c r="T67" s="16" t="str">
        <f t="shared" si="3"/>
        <v/>
      </c>
      <c r="U67" s="203"/>
      <c r="V67" s="16" t="str">
        <f t="shared" si="5"/>
        <v/>
      </c>
      <c r="X67" s="211"/>
      <c r="Y67" s="211"/>
      <c r="Z67" s="211"/>
      <c r="AA67" s="211"/>
      <c r="AB67" s="39"/>
    </row>
    <row r="68" spans="1:28" x14ac:dyDescent="0.15">
      <c r="A68" s="15"/>
      <c r="B68" s="15"/>
      <c r="C68" s="15"/>
      <c r="D68" s="37"/>
      <c r="H68" s="15"/>
      <c r="I68" s="203"/>
      <c r="J68" s="15"/>
      <c r="Q68" s="52" t="str">
        <f t="shared" si="4"/>
        <v/>
      </c>
      <c r="T68" s="16" t="str">
        <f t="shared" si="3"/>
        <v/>
      </c>
      <c r="V68" s="16" t="str">
        <f t="shared" si="5"/>
        <v/>
      </c>
      <c r="X68" s="211"/>
      <c r="Y68" s="211"/>
      <c r="Z68" s="211"/>
      <c r="AA68" s="211"/>
      <c r="AB68" s="39"/>
    </row>
    <row r="69" spans="1:28" x14ac:dyDescent="0.15">
      <c r="A69" s="15"/>
      <c r="B69" s="15"/>
      <c r="C69" s="15"/>
      <c r="D69" s="37"/>
      <c r="H69" s="211"/>
      <c r="I69" s="203"/>
      <c r="J69" s="15"/>
      <c r="N69" s="203"/>
      <c r="Q69" s="52" t="str">
        <f t="shared" si="4"/>
        <v/>
      </c>
      <c r="T69" s="16" t="str">
        <f t="shared" si="3"/>
        <v/>
      </c>
      <c r="U69" s="203"/>
      <c r="V69" s="16" t="str">
        <f t="shared" si="5"/>
        <v/>
      </c>
      <c r="X69" s="211"/>
      <c r="Y69" s="211"/>
      <c r="Z69" s="211"/>
      <c r="AA69" s="211"/>
      <c r="AB69" s="39"/>
    </row>
    <row r="70" spans="1:28" x14ac:dyDescent="0.15">
      <c r="A70" s="15"/>
      <c r="B70" s="15"/>
      <c r="C70" s="15"/>
      <c r="D70" s="37"/>
      <c r="H70" s="211"/>
      <c r="I70" s="203"/>
      <c r="J70" s="15"/>
      <c r="N70" s="203"/>
      <c r="Q70" s="52" t="str">
        <f t="shared" si="4"/>
        <v/>
      </c>
      <c r="T70" s="16" t="str">
        <f t="shared" si="3"/>
        <v/>
      </c>
      <c r="U70" s="203"/>
      <c r="V70" s="16" t="str">
        <f t="shared" si="5"/>
        <v/>
      </c>
      <c r="X70" s="211"/>
      <c r="Y70" s="211"/>
      <c r="Z70" s="211"/>
      <c r="AA70" s="211"/>
      <c r="AB70" s="39"/>
    </row>
    <row r="71" spans="1:28" x14ac:dyDescent="0.15">
      <c r="A71" s="15"/>
      <c r="B71" s="15"/>
      <c r="C71" s="15"/>
      <c r="D71" s="37"/>
      <c r="H71" s="15"/>
      <c r="I71" s="203"/>
      <c r="J71" s="15"/>
      <c r="N71" s="203"/>
      <c r="Q71" s="52" t="str">
        <f t="shared" si="4"/>
        <v/>
      </c>
      <c r="T71" s="16" t="str">
        <f t="shared" si="3"/>
        <v/>
      </c>
      <c r="V71" s="16" t="str">
        <f>IF(OR(N71="",U71="",T71=""),"",U71/N71*T71)</f>
        <v/>
      </c>
      <c r="X71" s="15"/>
      <c r="Y71" s="15"/>
      <c r="Z71" s="15"/>
      <c r="AA71" s="15"/>
      <c r="AB71" s="39"/>
    </row>
    <row r="72" spans="1:28" x14ac:dyDescent="0.15">
      <c r="A72" s="15"/>
      <c r="B72" s="15"/>
      <c r="C72" s="15"/>
      <c r="D72" s="37"/>
      <c r="H72" s="211"/>
      <c r="I72" s="203"/>
      <c r="J72" s="211"/>
      <c r="K72" s="203"/>
      <c r="N72" s="203"/>
      <c r="Q72" s="52" t="str">
        <f t="shared" si="4"/>
        <v/>
      </c>
      <c r="T72" s="16" t="str">
        <f t="shared" si="3"/>
        <v/>
      </c>
      <c r="U72" s="203"/>
      <c r="V72" s="16" t="str">
        <f t="shared" ref="V72:V74" si="6">IF(OR(N72="",U72="",T72=""),"",U72/N72*T72)</f>
        <v/>
      </c>
      <c r="X72" s="15"/>
      <c r="Y72" s="211"/>
      <c r="Z72" s="211"/>
      <c r="AA72" s="211"/>
      <c r="AB72" s="39"/>
    </row>
    <row r="73" spans="1:28" x14ac:dyDescent="0.15">
      <c r="A73" s="15"/>
      <c r="B73" s="15"/>
      <c r="C73" s="15"/>
      <c r="D73" s="37"/>
      <c r="H73" s="211"/>
      <c r="I73" s="203"/>
      <c r="J73" s="211"/>
      <c r="K73" s="203"/>
      <c r="N73" s="203"/>
      <c r="Q73" s="52" t="str">
        <f t="shared" si="4"/>
        <v/>
      </c>
      <c r="T73" s="16" t="str">
        <f t="shared" si="3"/>
        <v/>
      </c>
      <c r="U73" s="203"/>
      <c r="V73" s="16" t="str">
        <f>IF(OR(N73="",U73="",T73=""),"",U73/N73*T73)</f>
        <v/>
      </c>
      <c r="X73" s="15"/>
      <c r="Y73" s="211"/>
      <c r="Z73" s="211"/>
      <c r="AA73" s="211"/>
      <c r="AB73" s="39"/>
    </row>
    <row r="74" spans="1:28" x14ac:dyDescent="0.15">
      <c r="A74" s="15"/>
      <c r="B74" s="15"/>
      <c r="C74" s="15"/>
      <c r="D74" s="37"/>
      <c r="H74" s="15"/>
      <c r="I74" s="203"/>
      <c r="J74" s="15"/>
      <c r="N74" s="203"/>
      <c r="Q74" s="52" t="str">
        <f t="shared" si="4"/>
        <v/>
      </c>
      <c r="T74" s="16" t="str">
        <f t="shared" si="3"/>
        <v/>
      </c>
      <c r="V74" s="16" t="str">
        <f t="shared" si="6"/>
        <v/>
      </c>
      <c r="X74" s="15"/>
      <c r="Y74" s="211"/>
      <c r="Z74" s="211"/>
      <c r="AA74" s="211"/>
      <c r="AB74" s="39"/>
    </row>
    <row r="75" spans="1:28" x14ac:dyDescent="0.15">
      <c r="A75" s="15"/>
      <c r="B75" s="15"/>
      <c r="C75" s="15"/>
      <c r="D75" s="37"/>
      <c r="H75" s="211"/>
      <c r="I75" s="203"/>
      <c r="J75" s="15"/>
      <c r="N75" s="203"/>
      <c r="Q75" s="52" t="str">
        <f t="shared" si="4"/>
        <v/>
      </c>
      <c r="T75" s="16" t="str">
        <f t="shared" si="3"/>
        <v/>
      </c>
      <c r="U75" s="203"/>
      <c r="V75" s="16" t="str">
        <f>IF(OR(N75="",U75="",T75=""),"",U75/N75*T75)</f>
        <v/>
      </c>
      <c r="X75" s="15"/>
      <c r="Y75" s="211"/>
      <c r="Z75" s="211"/>
      <c r="AA75" s="211"/>
      <c r="AB75" s="39"/>
    </row>
    <row r="76" spans="1:28" x14ac:dyDescent="0.15">
      <c r="A76" s="15"/>
      <c r="B76" s="15"/>
      <c r="C76" s="15"/>
      <c r="D76" s="37"/>
      <c r="H76" s="211"/>
      <c r="I76" s="203"/>
      <c r="J76" s="15"/>
      <c r="N76" s="203"/>
      <c r="Q76" s="52" t="str">
        <f t="shared" si="4"/>
        <v/>
      </c>
      <c r="T76" s="16" t="str">
        <f t="shared" si="3"/>
        <v/>
      </c>
      <c r="U76" s="203"/>
      <c r="V76" s="16" t="str">
        <f>IF(OR(N76="",U76="",T76=""),"",U76/N76*T76)</f>
        <v/>
      </c>
      <c r="X76" s="15"/>
      <c r="Y76" s="211"/>
      <c r="Z76" s="211"/>
      <c r="AA76" s="211"/>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
  <sheetViews>
    <sheetView topLeftCell="A22" zoomScale="80" zoomScaleNormal="80" workbookViewId="0">
      <selection activeCell="F51" sqref="F51"/>
    </sheetView>
  </sheetViews>
  <sheetFormatPr defaultColWidth="9" defaultRowHeight="13.5" x14ac:dyDescent="0.15"/>
  <cols>
    <col min="1" max="3" width="9" style="232"/>
    <col min="4" max="4" width="11" style="232" bestFit="1" customWidth="1"/>
    <col min="5" max="5" width="10.875" style="232" bestFit="1" customWidth="1"/>
    <col min="6" max="16" width="9" style="232"/>
    <col min="17" max="17" width="9" style="57"/>
    <col min="18" max="18" width="9" style="232"/>
    <col min="19" max="19" width="11.625" style="232" bestFit="1" customWidth="1"/>
    <col min="20" max="20" width="9" style="57"/>
    <col min="21" max="21" width="9" style="232"/>
    <col min="22" max="22" width="9" style="58"/>
    <col min="23" max="32" width="9" style="232"/>
    <col min="33" max="33" width="14.375" style="232" bestFit="1" customWidth="1"/>
    <col min="34" max="34" width="11.375" style="232" bestFit="1" customWidth="1"/>
    <col min="35" max="16384" width="9" style="232"/>
  </cols>
  <sheetData>
    <row r="1" spans="1:53" ht="45" x14ac:dyDescent="0.15">
      <c r="A1" s="235" t="s">
        <v>0</v>
      </c>
      <c r="B1" s="197" t="s">
        <v>1</v>
      </c>
      <c r="C1" s="197" t="s">
        <v>342</v>
      </c>
      <c r="D1" s="198" t="s">
        <v>3</v>
      </c>
      <c r="E1" s="236" t="s">
        <v>4</v>
      </c>
      <c r="F1" s="236" t="s">
        <v>5</v>
      </c>
      <c r="G1" s="236" t="s">
        <v>6</v>
      </c>
      <c r="H1" s="236" t="s">
        <v>7</v>
      </c>
      <c r="I1" s="236" t="s">
        <v>8</v>
      </c>
      <c r="J1" s="236" t="s">
        <v>9</v>
      </c>
      <c r="K1" s="236" t="s">
        <v>10</v>
      </c>
      <c r="L1" s="198" t="s">
        <v>343</v>
      </c>
      <c r="M1" s="198" t="s">
        <v>12</v>
      </c>
      <c r="N1" s="198" t="s">
        <v>13</v>
      </c>
      <c r="O1" s="198" t="s">
        <v>344</v>
      </c>
      <c r="P1" s="198" t="s">
        <v>345</v>
      </c>
      <c r="Q1" s="53" t="s">
        <v>16</v>
      </c>
      <c r="R1" s="198" t="s">
        <v>346</v>
      </c>
      <c r="S1" s="198" t="s">
        <v>347</v>
      </c>
      <c r="T1" s="53" t="s">
        <v>19</v>
      </c>
      <c r="U1" s="200" t="s">
        <v>108</v>
      </c>
      <c r="V1" s="54" t="s">
        <v>20</v>
      </c>
      <c r="W1" s="198" t="s">
        <v>21</v>
      </c>
      <c r="X1" s="236" t="s">
        <v>22</v>
      </c>
      <c r="Y1" s="236" t="s">
        <v>23</v>
      </c>
      <c r="Z1" s="236" t="s">
        <v>24</v>
      </c>
      <c r="AA1" s="236" t="s">
        <v>25</v>
      </c>
      <c r="AB1" s="237" t="s">
        <v>348</v>
      </c>
      <c r="AE1" s="204" t="s">
        <v>0</v>
      </c>
      <c r="AF1" s="205"/>
      <c r="AG1" s="204" t="s">
        <v>4</v>
      </c>
      <c r="AH1" s="204" t="s">
        <v>5</v>
      </c>
      <c r="AI1" s="205"/>
      <c r="AJ1" s="204" t="s">
        <v>6</v>
      </c>
      <c r="AK1" s="205"/>
      <c r="AL1" s="206" t="s">
        <v>7</v>
      </c>
      <c r="AM1" s="205"/>
      <c r="AN1" s="206" t="s">
        <v>8</v>
      </c>
      <c r="AO1" s="205"/>
      <c r="AP1" s="206" t="s">
        <v>27</v>
      </c>
      <c r="AQ1" s="205"/>
      <c r="AR1" s="206" t="s">
        <v>10</v>
      </c>
      <c r="AS1" s="205"/>
      <c r="AT1" s="207" t="s">
        <v>28</v>
      </c>
      <c r="AU1" s="205"/>
      <c r="AV1" s="206" t="s">
        <v>29</v>
      </c>
      <c r="AX1" s="208" t="s">
        <v>349</v>
      </c>
      <c r="AY1" s="209" t="s">
        <v>350</v>
      </c>
      <c r="AZ1" s="209" t="s">
        <v>351</v>
      </c>
      <c r="BA1" s="210" t="s">
        <v>352</v>
      </c>
    </row>
    <row r="2" spans="1:53" s="55" customFormat="1" x14ac:dyDescent="0.15">
      <c r="A2" s="55" t="s">
        <v>41</v>
      </c>
      <c r="B2" s="232" t="s">
        <v>334</v>
      </c>
      <c r="C2" s="149">
        <v>2018</v>
      </c>
      <c r="D2" s="56" t="s">
        <v>354</v>
      </c>
      <c r="E2" s="232" t="s">
        <v>133</v>
      </c>
      <c r="F2" s="232" t="s">
        <v>292</v>
      </c>
      <c r="G2" s="55" t="s">
        <v>42</v>
      </c>
      <c r="H2" s="55" t="s">
        <v>155</v>
      </c>
      <c r="I2" s="55" t="s">
        <v>153</v>
      </c>
      <c r="J2" s="55" t="s">
        <v>38</v>
      </c>
      <c r="K2" s="55" t="s">
        <v>154</v>
      </c>
      <c r="L2" s="232">
        <v>1</v>
      </c>
      <c r="M2" s="232"/>
      <c r="N2" s="55">
        <v>1</v>
      </c>
      <c r="O2" s="232">
        <v>0.95</v>
      </c>
      <c r="P2" s="232">
        <v>1.1000000000000001</v>
      </c>
      <c r="Q2" s="251">
        <f t="shared" ref="Q2:Q16" si="0">IF(OR(O2="",P2=""),"",AVERAGE(O2,P2))</f>
        <v>1.0249999999999999</v>
      </c>
      <c r="R2" s="232">
        <v>13.8</v>
      </c>
      <c r="S2" s="55">
        <v>135</v>
      </c>
      <c r="T2" s="57">
        <f t="shared" ref="T2:T7" si="1">IF(H2="","",IF(OR(H2="GREEN",H2="GK"),IF(S2&gt;=$AX$2,VLOOKUP(S2,$AX$2:$AY$10,2,1),""),IF(S2&gt;=$AZ$2,VLOOKUP(S2,$AZ$2:$BA$10,2,1),"")))</f>
        <v>25</v>
      </c>
      <c r="U2" s="232">
        <v>105</v>
      </c>
      <c r="V2" s="58">
        <f t="shared" ref="V2:V16" si="2">IF(OR(N2="",U2="",T2=""),"",U2/N2*T2)</f>
        <v>2625</v>
      </c>
      <c r="W2" s="232">
        <v>6</v>
      </c>
      <c r="X2" s="55" t="s">
        <v>46</v>
      </c>
      <c r="Y2" s="55" t="s">
        <v>84</v>
      </c>
      <c r="Z2" s="55" t="s">
        <v>90</v>
      </c>
      <c r="AA2" s="55" t="s">
        <v>78</v>
      </c>
      <c r="AB2" s="55" t="s">
        <v>370</v>
      </c>
      <c r="AE2" s="213" t="s">
        <v>35</v>
      </c>
      <c r="AG2" s="59" t="s">
        <v>133</v>
      </c>
      <c r="AH2" s="60" t="s">
        <v>292</v>
      </c>
      <c r="AJ2" s="238" t="s">
        <v>36</v>
      </c>
      <c r="AL2" s="238" t="s">
        <v>127</v>
      </c>
      <c r="AN2" s="238" t="s">
        <v>37</v>
      </c>
      <c r="AP2" s="238" t="s">
        <v>38</v>
      </c>
      <c r="AR2" s="238" t="s">
        <v>355</v>
      </c>
      <c r="AT2" s="238" t="s">
        <v>39</v>
      </c>
      <c r="AV2" s="238" t="s">
        <v>40</v>
      </c>
      <c r="AX2" s="61">
        <v>1</v>
      </c>
      <c r="AY2" s="62">
        <v>50</v>
      </c>
      <c r="AZ2" s="62">
        <v>1</v>
      </c>
      <c r="BA2" s="63">
        <v>50</v>
      </c>
    </row>
    <row r="3" spans="1:53" x14ac:dyDescent="0.15">
      <c r="A3" s="55" t="s">
        <v>41</v>
      </c>
      <c r="B3" s="232" t="s">
        <v>334</v>
      </c>
      <c r="C3" s="149">
        <v>2018</v>
      </c>
      <c r="D3" s="56" t="s">
        <v>354</v>
      </c>
      <c r="E3" s="232" t="s">
        <v>133</v>
      </c>
      <c r="F3" s="232" t="s">
        <v>292</v>
      </c>
      <c r="G3" s="55" t="s">
        <v>42</v>
      </c>
      <c r="H3" s="55" t="s">
        <v>155</v>
      </c>
      <c r="I3" s="55" t="s">
        <v>153</v>
      </c>
      <c r="J3" s="55" t="s">
        <v>38</v>
      </c>
      <c r="K3" s="55" t="s">
        <v>154</v>
      </c>
      <c r="L3" s="232">
        <v>2</v>
      </c>
      <c r="N3" s="55">
        <v>1</v>
      </c>
      <c r="O3" s="232">
        <v>1</v>
      </c>
      <c r="P3" s="232">
        <v>1.05</v>
      </c>
      <c r="Q3" s="251">
        <f t="shared" si="0"/>
        <v>1.0249999999999999</v>
      </c>
      <c r="R3" s="232">
        <v>14.2</v>
      </c>
      <c r="S3" s="55">
        <v>137</v>
      </c>
      <c r="T3" s="57">
        <f t="shared" si="1"/>
        <v>25</v>
      </c>
      <c r="U3" s="232">
        <v>105</v>
      </c>
      <c r="V3" s="58">
        <f t="shared" si="2"/>
        <v>2625</v>
      </c>
      <c r="W3" s="232">
        <v>6</v>
      </c>
      <c r="X3" s="55" t="s">
        <v>46</v>
      </c>
      <c r="Y3" s="55" t="s">
        <v>84</v>
      </c>
      <c r="Z3" s="55" t="s">
        <v>90</v>
      </c>
      <c r="AA3" s="55" t="s">
        <v>78</v>
      </c>
      <c r="AB3" s="55" t="s">
        <v>370</v>
      </c>
      <c r="AE3" s="218" t="s">
        <v>41</v>
      </c>
      <c r="AG3" s="64" t="s">
        <v>287</v>
      </c>
      <c r="AH3" s="64" t="s">
        <v>292</v>
      </c>
      <c r="AJ3" s="65" t="s">
        <v>42</v>
      </c>
      <c r="AL3" s="65" t="s">
        <v>128</v>
      </c>
      <c r="AN3" s="65" t="s">
        <v>43</v>
      </c>
      <c r="AP3" s="65" t="s">
        <v>44</v>
      </c>
      <c r="AR3" s="226" t="s">
        <v>45</v>
      </c>
      <c r="AT3" s="65" t="s">
        <v>46</v>
      </c>
      <c r="AV3" s="65" t="s">
        <v>47</v>
      </c>
      <c r="AX3" s="66">
        <v>72</v>
      </c>
      <c r="AY3" s="67">
        <v>46</v>
      </c>
      <c r="AZ3" s="67">
        <v>71</v>
      </c>
      <c r="BA3" s="68">
        <v>42</v>
      </c>
    </row>
    <row r="4" spans="1:53" x14ac:dyDescent="0.15">
      <c r="A4" s="55" t="s">
        <v>41</v>
      </c>
      <c r="B4" s="232" t="s">
        <v>334</v>
      </c>
      <c r="C4" s="149">
        <v>2018</v>
      </c>
      <c r="D4" s="56" t="s">
        <v>356</v>
      </c>
      <c r="E4" s="232" t="s">
        <v>133</v>
      </c>
      <c r="F4" s="232" t="s">
        <v>292</v>
      </c>
      <c r="G4" s="55" t="s">
        <v>42</v>
      </c>
      <c r="H4" s="55" t="s">
        <v>155</v>
      </c>
      <c r="I4" s="55" t="s">
        <v>153</v>
      </c>
      <c r="J4" s="55" t="s">
        <v>38</v>
      </c>
      <c r="K4" s="55" t="s">
        <v>154</v>
      </c>
      <c r="L4" s="232">
        <v>3</v>
      </c>
      <c r="N4" s="55">
        <v>1</v>
      </c>
      <c r="O4" s="232">
        <v>0.9</v>
      </c>
      <c r="P4" s="232">
        <v>0.9</v>
      </c>
      <c r="Q4" s="251">
        <f t="shared" si="0"/>
        <v>0.9</v>
      </c>
      <c r="R4" s="232">
        <v>13.9</v>
      </c>
      <c r="S4" s="55">
        <v>136</v>
      </c>
      <c r="T4" s="57">
        <f t="shared" si="1"/>
        <v>25</v>
      </c>
      <c r="U4" s="232">
        <v>105</v>
      </c>
      <c r="V4" s="58">
        <f t="shared" si="2"/>
        <v>2625</v>
      </c>
      <c r="W4" s="232">
        <v>6</v>
      </c>
      <c r="X4" s="55" t="s">
        <v>46</v>
      </c>
      <c r="Y4" s="55" t="s">
        <v>84</v>
      </c>
      <c r="Z4" s="55" t="s">
        <v>90</v>
      </c>
      <c r="AA4" s="55" t="s">
        <v>78</v>
      </c>
      <c r="AB4" s="55" t="s">
        <v>370</v>
      </c>
      <c r="AE4" s="218" t="s">
        <v>34</v>
      </c>
      <c r="AG4" s="64" t="s">
        <v>287</v>
      </c>
      <c r="AH4" s="64" t="s">
        <v>293</v>
      </c>
      <c r="AJ4" s="69" t="s">
        <v>48</v>
      </c>
      <c r="AL4" s="69" t="s">
        <v>129</v>
      </c>
      <c r="AN4" s="239" t="s">
        <v>49</v>
      </c>
      <c r="AP4" s="65" t="s">
        <v>357</v>
      </c>
      <c r="AR4" s="226" t="s">
        <v>358</v>
      </c>
      <c r="AT4" s="239"/>
      <c r="AV4" s="65" t="s">
        <v>50</v>
      </c>
      <c r="AX4" s="66">
        <v>75</v>
      </c>
      <c r="AY4" s="67">
        <v>42</v>
      </c>
      <c r="AZ4" s="67">
        <v>76</v>
      </c>
      <c r="BA4" s="68">
        <v>39</v>
      </c>
    </row>
    <row r="5" spans="1:53" s="55" customFormat="1" ht="13.5" customHeight="1" x14ac:dyDescent="0.15">
      <c r="A5" s="55" t="s">
        <v>41</v>
      </c>
      <c r="B5" s="232" t="s">
        <v>334</v>
      </c>
      <c r="C5" s="149">
        <v>2018</v>
      </c>
      <c r="D5" s="56" t="s">
        <v>356</v>
      </c>
      <c r="E5" s="232" t="s">
        <v>133</v>
      </c>
      <c r="F5" s="232" t="s">
        <v>292</v>
      </c>
      <c r="G5" s="55" t="s">
        <v>42</v>
      </c>
      <c r="H5" s="55" t="s">
        <v>155</v>
      </c>
      <c r="I5" s="55" t="s">
        <v>153</v>
      </c>
      <c r="J5" s="55" t="s">
        <v>38</v>
      </c>
      <c r="K5" s="55" t="s">
        <v>154</v>
      </c>
      <c r="L5" s="232">
        <v>1</v>
      </c>
      <c r="N5" s="55">
        <v>8</v>
      </c>
      <c r="O5" s="55">
        <v>1.2</v>
      </c>
      <c r="P5" s="55">
        <v>1.3</v>
      </c>
      <c r="Q5" s="57">
        <f t="shared" si="0"/>
        <v>1.25</v>
      </c>
      <c r="R5" s="55">
        <v>15.1</v>
      </c>
      <c r="S5" s="232">
        <v>118</v>
      </c>
      <c r="T5" s="77">
        <f t="shared" si="1"/>
        <v>30</v>
      </c>
      <c r="U5" s="55">
        <v>753</v>
      </c>
      <c r="V5" s="78">
        <f t="shared" si="2"/>
        <v>2823.75</v>
      </c>
      <c r="W5" s="55">
        <v>2</v>
      </c>
      <c r="X5" s="55" t="s">
        <v>46</v>
      </c>
      <c r="Y5" s="55" t="s">
        <v>84</v>
      </c>
      <c r="Z5" s="55" t="s">
        <v>90</v>
      </c>
      <c r="AA5" s="55" t="s">
        <v>78</v>
      </c>
      <c r="AB5" s="55" t="s">
        <v>370</v>
      </c>
      <c r="AC5" s="232"/>
      <c r="AD5" s="232"/>
      <c r="AE5" s="70" t="s">
        <v>359</v>
      </c>
      <c r="AG5" s="64" t="s">
        <v>288</v>
      </c>
      <c r="AH5" s="64" t="s">
        <v>292</v>
      </c>
      <c r="AJ5" s="71"/>
      <c r="AL5" s="72" t="s">
        <v>360</v>
      </c>
      <c r="AN5" s="72" t="s">
        <v>361</v>
      </c>
      <c r="AP5" s="226" t="s">
        <v>362</v>
      </c>
      <c r="AR5" s="226" t="s">
        <v>54</v>
      </c>
      <c r="AV5" s="226" t="s">
        <v>55</v>
      </c>
      <c r="AX5" s="73">
        <v>84</v>
      </c>
      <c r="AY5" s="74">
        <v>39</v>
      </c>
      <c r="AZ5" s="74">
        <v>84</v>
      </c>
      <c r="BA5" s="75">
        <v>36</v>
      </c>
    </row>
    <row r="6" spans="1:53" x14ac:dyDescent="0.15">
      <c r="A6" s="55" t="s">
        <v>41</v>
      </c>
      <c r="B6" s="232" t="s">
        <v>334</v>
      </c>
      <c r="C6" s="149">
        <v>2018</v>
      </c>
      <c r="D6" s="56" t="s">
        <v>356</v>
      </c>
      <c r="E6" s="232" t="s">
        <v>133</v>
      </c>
      <c r="F6" s="232" t="s">
        <v>292</v>
      </c>
      <c r="G6" s="55" t="s">
        <v>42</v>
      </c>
      <c r="H6" s="55" t="s">
        <v>155</v>
      </c>
      <c r="I6" s="55" t="s">
        <v>153</v>
      </c>
      <c r="J6" s="55" t="s">
        <v>38</v>
      </c>
      <c r="K6" s="55" t="s">
        <v>154</v>
      </c>
      <c r="L6" s="232">
        <v>2</v>
      </c>
      <c r="N6" s="55">
        <v>8</v>
      </c>
      <c r="O6" s="55">
        <v>0.95</v>
      </c>
      <c r="P6" s="55">
        <v>1</v>
      </c>
      <c r="Q6" s="57">
        <f t="shared" si="0"/>
        <v>0.97499999999999998</v>
      </c>
      <c r="R6" s="55">
        <v>14.2</v>
      </c>
      <c r="S6" s="232">
        <v>120</v>
      </c>
      <c r="T6" s="77">
        <f t="shared" si="1"/>
        <v>30</v>
      </c>
      <c r="U6" s="55">
        <v>753</v>
      </c>
      <c r="V6" s="78">
        <f t="shared" si="2"/>
        <v>2823.75</v>
      </c>
      <c r="W6" s="55">
        <v>2</v>
      </c>
      <c r="X6" s="55" t="s">
        <v>46</v>
      </c>
      <c r="Y6" s="55" t="s">
        <v>84</v>
      </c>
      <c r="Z6" s="55" t="s">
        <v>90</v>
      </c>
      <c r="AA6" s="55" t="s">
        <v>78</v>
      </c>
      <c r="AB6" s="55" t="s">
        <v>370</v>
      </c>
      <c r="AE6" s="218" t="s">
        <v>56</v>
      </c>
      <c r="AG6" s="64" t="s">
        <v>288</v>
      </c>
      <c r="AH6" s="64" t="s">
        <v>294</v>
      </c>
      <c r="AL6" s="72" t="s">
        <v>363</v>
      </c>
      <c r="AN6" s="72" t="s">
        <v>364</v>
      </c>
      <c r="AP6" s="65" t="s">
        <v>53</v>
      </c>
      <c r="AR6" s="226" t="s">
        <v>59</v>
      </c>
      <c r="AV6" s="65" t="s">
        <v>60</v>
      </c>
      <c r="AX6" s="66">
        <v>97</v>
      </c>
      <c r="AY6" s="67">
        <v>36</v>
      </c>
      <c r="AZ6" s="67">
        <v>99</v>
      </c>
      <c r="BA6" s="68">
        <v>33</v>
      </c>
    </row>
    <row r="7" spans="1:53" x14ac:dyDescent="0.15">
      <c r="A7" s="55" t="s">
        <v>41</v>
      </c>
      <c r="B7" s="232" t="s">
        <v>334</v>
      </c>
      <c r="C7" s="149">
        <v>2018</v>
      </c>
      <c r="D7" s="56" t="s">
        <v>356</v>
      </c>
      <c r="E7" s="232" t="s">
        <v>133</v>
      </c>
      <c r="F7" s="232" t="s">
        <v>292</v>
      </c>
      <c r="G7" s="55" t="s">
        <v>42</v>
      </c>
      <c r="H7" s="55" t="s">
        <v>155</v>
      </c>
      <c r="I7" s="55" t="s">
        <v>153</v>
      </c>
      <c r="J7" s="55" t="s">
        <v>38</v>
      </c>
      <c r="K7" s="55" t="s">
        <v>154</v>
      </c>
      <c r="L7" s="232">
        <v>3</v>
      </c>
      <c r="N7" s="55">
        <v>8</v>
      </c>
      <c r="O7" s="55">
        <v>0.85</v>
      </c>
      <c r="P7" s="55">
        <v>0.9</v>
      </c>
      <c r="Q7" s="57">
        <f t="shared" si="0"/>
        <v>0.875</v>
      </c>
      <c r="R7" s="55">
        <v>14</v>
      </c>
      <c r="S7" s="232">
        <v>120</v>
      </c>
      <c r="T7" s="77">
        <f t="shared" si="1"/>
        <v>30</v>
      </c>
      <c r="U7" s="55">
        <v>753</v>
      </c>
      <c r="V7" s="78">
        <f t="shared" si="2"/>
        <v>2823.75</v>
      </c>
      <c r="W7" s="232">
        <v>2</v>
      </c>
      <c r="X7" s="55" t="s">
        <v>46</v>
      </c>
      <c r="Y7" s="55" t="s">
        <v>84</v>
      </c>
      <c r="Z7" s="55" t="s">
        <v>90</v>
      </c>
      <c r="AA7" s="55" t="s">
        <v>78</v>
      </c>
      <c r="AB7" s="55" t="s">
        <v>370</v>
      </c>
      <c r="AE7" s="218" t="s">
        <v>61</v>
      </c>
      <c r="AG7" s="64" t="s">
        <v>289</v>
      </c>
      <c r="AH7" s="64" t="s">
        <v>294</v>
      </c>
      <c r="AL7" s="76" t="s">
        <v>365</v>
      </c>
      <c r="AP7" s="65" t="s">
        <v>58</v>
      </c>
      <c r="AR7" s="226" t="s">
        <v>122</v>
      </c>
      <c r="AV7" s="65" t="s">
        <v>64</v>
      </c>
      <c r="AX7" s="66">
        <v>109</v>
      </c>
      <c r="AY7" s="67">
        <v>33</v>
      </c>
      <c r="AZ7" s="67">
        <v>113</v>
      </c>
      <c r="BA7" s="68">
        <v>30</v>
      </c>
    </row>
    <row r="8" spans="1:53" x14ac:dyDescent="0.15">
      <c r="A8" s="55" t="s">
        <v>41</v>
      </c>
      <c r="B8" s="232" t="s">
        <v>334</v>
      </c>
      <c r="C8" s="149">
        <v>2018</v>
      </c>
      <c r="D8" s="56" t="s">
        <v>356</v>
      </c>
      <c r="E8" s="232" t="s">
        <v>287</v>
      </c>
      <c r="F8" s="232" t="s">
        <v>292</v>
      </c>
      <c r="G8" s="55" t="s">
        <v>42</v>
      </c>
      <c r="H8" s="55" t="s">
        <v>155</v>
      </c>
      <c r="I8" s="55" t="s">
        <v>153</v>
      </c>
      <c r="J8" s="55" t="s">
        <v>38</v>
      </c>
      <c r="K8" s="55" t="s">
        <v>154</v>
      </c>
      <c r="L8" s="232">
        <v>1</v>
      </c>
      <c r="M8" s="55"/>
      <c r="N8" s="55">
        <v>1</v>
      </c>
      <c r="O8" s="55">
        <v>0.95</v>
      </c>
      <c r="P8" s="55">
        <v>0.95</v>
      </c>
      <c r="Q8" s="57">
        <f t="shared" si="0"/>
        <v>0.95</v>
      </c>
      <c r="R8" s="232">
        <v>13.5</v>
      </c>
      <c r="S8" s="232">
        <v>131</v>
      </c>
      <c r="T8" s="77">
        <f>IF(H8="","",IF(OR(H8="GREEN",H8="GK"),IF(S8&gt;=$AX$2,VLOOKUP(S8,$AX$2:$AY$12,2,1),""),IF(S8&gt;=$AZ$2,VLOOKUP(S8,$AZ$2:$BA$12,2,1),"")))</f>
        <v>25</v>
      </c>
      <c r="U8" s="55">
        <v>149</v>
      </c>
      <c r="V8" s="78">
        <f t="shared" si="2"/>
        <v>3725</v>
      </c>
      <c r="W8" s="55">
        <v>2</v>
      </c>
      <c r="X8" s="55" t="s">
        <v>39</v>
      </c>
      <c r="Y8" s="55" t="s">
        <v>84</v>
      </c>
      <c r="Z8" s="55" t="s">
        <v>90</v>
      </c>
      <c r="AA8" s="55" t="s">
        <v>50</v>
      </c>
      <c r="AB8" s="55" t="s">
        <v>370</v>
      </c>
      <c r="AC8" s="55"/>
      <c r="AD8" s="55"/>
      <c r="AE8" s="218" t="s">
        <v>59</v>
      </c>
      <c r="AG8" s="64" t="s">
        <v>290</v>
      </c>
      <c r="AH8" s="64" t="s">
        <v>295</v>
      </c>
      <c r="AL8" s="76" t="s">
        <v>366</v>
      </c>
      <c r="AP8" s="65" t="s">
        <v>62</v>
      </c>
      <c r="AR8" s="226" t="s">
        <v>81</v>
      </c>
      <c r="AV8" s="65" t="s">
        <v>97</v>
      </c>
      <c r="AX8" s="66">
        <v>119</v>
      </c>
      <c r="AY8" s="67">
        <v>30</v>
      </c>
      <c r="AZ8" s="67">
        <v>121</v>
      </c>
      <c r="BA8" s="68">
        <v>27</v>
      </c>
    </row>
    <row r="9" spans="1:53" x14ac:dyDescent="0.15">
      <c r="A9" s="55" t="s">
        <v>41</v>
      </c>
      <c r="B9" s="232" t="s">
        <v>334</v>
      </c>
      <c r="C9" s="149">
        <v>2018</v>
      </c>
      <c r="D9" s="56" t="s">
        <v>356</v>
      </c>
      <c r="E9" s="232" t="s">
        <v>287</v>
      </c>
      <c r="F9" s="232" t="s">
        <v>292</v>
      </c>
      <c r="G9" s="55" t="s">
        <v>42</v>
      </c>
      <c r="H9" s="55" t="s">
        <v>155</v>
      </c>
      <c r="I9" s="55" t="s">
        <v>153</v>
      </c>
      <c r="J9" s="55" t="s">
        <v>38</v>
      </c>
      <c r="K9" s="55" t="s">
        <v>154</v>
      </c>
      <c r="L9" s="232">
        <v>2</v>
      </c>
      <c r="N9" s="55">
        <v>1</v>
      </c>
      <c r="O9" s="55">
        <v>1</v>
      </c>
      <c r="P9" s="55">
        <v>0.95</v>
      </c>
      <c r="Q9" s="57">
        <f t="shared" si="0"/>
        <v>0.97499999999999998</v>
      </c>
      <c r="R9" s="232">
        <v>14</v>
      </c>
      <c r="S9" s="232">
        <v>130</v>
      </c>
      <c r="T9" s="77">
        <f>IF(H9="","",IF(OR(H9="GREEN",H9="GK"),IF(S9&gt;=$AX$2,VLOOKUP(S9,$AX$2:$AY$12,2,1),""),IF(S9&gt;=$AZ$2,VLOOKUP(S9,$AZ$2:$BA$12,2,1),"")))</f>
        <v>25</v>
      </c>
      <c r="U9" s="55">
        <v>149</v>
      </c>
      <c r="V9" s="58">
        <f t="shared" si="2"/>
        <v>3725</v>
      </c>
      <c r="W9" s="232">
        <v>2</v>
      </c>
      <c r="X9" s="55" t="s">
        <v>39</v>
      </c>
      <c r="Y9" s="55" t="s">
        <v>84</v>
      </c>
      <c r="Z9" s="55" t="s">
        <v>90</v>
      </c>
      <c r="AA9" s="55" t="s">
        <v>50</v>
      </c>
      <c r="AB9" s="55" t="s">
        <v>370</v>
      </c>
      <c r="AE9" s="218" t="s">
        <v>98</v>
      </c>
      <c r="AG9" s="64" t="s">
        <v>290</v>
      </c>
      <c r="AH9" s="64" t="s">
        <v>296</v>
      </c>
      <c r="AL9" s="72"/>
      <c r="AP9" s="65" t="s">
        <v>95</v>
      </c>
      <c r="AR9" s="226" t="s">
        <v>89</v>
      </c>
      <c r="AV9" s="65" t="s">
        <v>102</v>
      </c>
      <c r="AX9" s="66">
        <v>128</v>
      </c>
      <c r="AY9" s="67">
        <v>27</v>
      </c>
      <c r="AZ9" s="67">
        <v>129</v>
      </c>
      <c r="BA9" s="68">
        <v>25</v>
      </c>
    </row>
    <row r="10" spans="1:53" x14ac:dyDescent="0.15">
      <c r="A10" s="55" t="s">
        <v>41</v>
      </c>
      <c r="B10" s="232" t="s">
        <v>334</v>
      </c>
      <c r="C10" s="149">
        <v>2018</v>
      </c>
      <c r="D10" s="56" t="s">
        <v>356</v>
      </c>
      <c r="E10" s="232" t="s">
        <v>287</v>
      </c>
      <c r="F10" s="232" t="s">
        <v>292</v>
      </c>
      <c r="G10" s="55" t="s">
        <v>42</v>
      </c>
      <c r="H10" s="55" t="s">
        <v>155</v>
      </c>
      <c r="I10" s="55" t="s">
        <v>153</v>
      </c>
      <c r="J10" s="55" t="s">
        <v>38</v>
      </c>
      <c r="K10" s="55" t="s">
        <v>154</v>
      </c>
      <c r="L10" s="232">
        <v>3</v>
      </c>
      <c r="N10" s="55">
        <v>1</v>
      </c>
      <c r="O10" s="55">
        <v>0.9</v>
      </c>
      <c r="P10" s="55">
        <v>1</v>
      </c>
      <c r="Q10" s="57">
        <f t="shared" si="0"/>
        <v>0.95</v>
      </c>
      <c r="R10" s="232">
        <v>12.8</v>
      </c>
      <c r="S10" s="232">
        <v>132</v>
      </c>
      <c r="T10" s="77">
        <f>IF(H10="","",IF(OR(H10="GREEN",H10="GK"),IF(S10&gt;=$AX$2,VLOOKUP(S10,$AX$2:$AY$12,2,1),""),IF(S10&gt;=$AZ$2,VLOOKUP(S10,$AZ$2:$BA$12,2,1),"")))</f>
        <v>25</v>
      </c>
      <c r="U10" s="55">
        <v>149</v>
      </c>
      <c r="V10" s="58">
        <f t="shared" si="2"/>
        <v>3725</v>
      </c>
      <c r="W10" s="232">
        <v>2</v>
      </c>
      <c r="X10" s="55" t="s">
        <v>39</v>
      </c>
      <c r="Y10" s="55" t="s">
        <v>84</v>
      </c>
      <c r="Z10" s="55" t="s">
        <v>90</v>
      </c>
      <c r="AA10" s="55" t="s">
        <v>50</v>
      </c>
      <c r="AB10" s="55" t="s">
        <v>370</v>
      </c>
      <c r="AE10" s="218" t="s">
        <v>103</v>
      </c>
      <c r="AG10" s="64" t="s">
        <v>291</v>
      </c>
      <c r="AH10" s="64" t="s">
        <v>297</v>
      </c>
      <c r="AL10" s="76"/>
      <c r="AP10" s="65" t="s">
        <v>100</v>
      </c>
      <c r="AR10" s="226" t="s">
        <v>123</v>
      </c>
      <c r="AV10" s="65" t="s">
        <v>106</v>
      </c>
      <c r="AX10" s="66">
        <v>138</v>
      </c>
      <c r="AY10" s="67">
        <v>25</v>
      </c>
      <c r="AZ10" s="67">
        <v>138</v>
      </c>
      <c r="BA10" s="68">
        <v>22</v>
      </c>
    </row>
    <row r="11" spans="1:53" x14ac:dyDescent="0.15">
      <c r="A11" s="55" t="s">
        <v>41</v>
      </c>
      <c r="B11" s="232" t="s">
        <v>334</v>
      </c>
      <c r="C11" s="149">
        <v>2018</v>
      </c>
      <c r="D11" s="56" t="s">
        <v>356</v>
      </c>
      <c r="E11" s="232" t="s">
        <v>287</v>
      </c>
      <c r="F11" s="232" t="s">
        <v>292</v>
      </c>
      <c r="G11" s="55" t="s">
        <v>42</v>
      </c>
      <c r="H11" s="55" t="s">
        <v>155</v>
      </c>
      <c r="I11" s="55" t="s">
        <v>153</v>
      </c>
      <c r="J11" s="55" t="s">
        <v>38</v>
      </c>
      <c r="K11" s="55" t="s">
        <v>154</v>
      </c>
      <c r="L11" s="232">
        <v>1</v>
      </c>
      <c r="M11" s="55"/>
      <c r="N11" s="55">
        <v>6</v>
      </c>
      <c r="O11" s="55">
        <v>0.45</v>
      </c>
      <c r="P11" s="55">
        <v>0.5</v>
      </c>
      <c r="Q11" s="57">
        <f t="shared" si="0"/>
        <v>0.47499999999999998</v>
      </c>
      <c r="R11" s="232">
        <v>14.7</v>
      </c>
      <c r="S11" s="232">
        <v>110</v>
      </c>
      <c r="T11" s="77">
        <f>IF(H11="","",IF(OR(H11="GREEN",H11="GK"),IF(S11&gt;=$AX$2,VLOOKUP(S11,$AX$2:$AY$10,2,1),""),IF(S11&gt;=$AZ$2,VLOOKUP(S11,$AZ$2:$BA$10,2,1),"")))</f>
        <v>33</v>
      </c>
      <c r="U11" s="55">
        <v>429</v>
      </c>
      <c r="V11" s="78">
        <f t="shared" si="2"/>
        <v>2359.5</v>
      </c>
      <c r="W11" s="55">
        <v>1</v>
      </c>
      <c r="X11" s="55" t="s">
        <v>39</v>
      </c>
      <c r="Y11" s="55" t="s">
        <v>84</v>
      </c>
      <c r="Z11" s="55" t="s">
        <v>90</v>
      </c>
      <c r="AA11" s="55" t="s">
        <v>50</v>
      </c>
      <c r="AB11" s="55" t="s">
        <v>370</v>
      </c>
      <c r="AE11" s="218" t="s">
        <v>65</v>
      </c>
      <c r="AG11" s="64" t="s">
        <v>173</v>
      </c>
      <c r="AH11" s="64" t="s">
        <v>298</v>
      </c>
      <c r="AL11" s="76"/>
      <c r="AP11" s="65" t="s">
        <v>104</v>
      </c>
      <c r="AR11" s="226" t="s">
        <v>87</v>
      </c>
      <c r="AV11" s="65" t="s">
        <v>69</v>
      </c>
      <c r="AX11" s="66">
        <v>151</v>
      </c>
      <c r="AY11" s="67">
        <v>22</v>
      </c>
      <c r="AZ11" s="67">
        <v>152</v>
      </c>
      <c r="BA11" s="68">
        <v>18</v>
      </c>
    </row>
    <row r="12" spans="1:53" x14ac:dyDescent="0.15">
      <c r="A12" s="55" t="s">
        <v>41</v>
      </c>
      <c r="B12" s="232" t="s">
        <v>334</v>
      </c>
      <c r="C12" s="149">
        <v>2018</v>
      </c>
      <c r="D12" s="56" t="s">
        <v>356</v>
      </c>
      <c r="E12" s="232" t="s">
        <v>287</v>
      </c>
      <c r="F12" s="232" t="s">
        <v>292</v>
      </c>
      <c r="G12" s="55" t="s">
        <v>42</v>
      </c>
      <c r="H12" s="55" t="s">
        <v>155</v>
      </c>
      <c r="I12" s="55" t="s">
        <v>153</v>
      </c>
      <c r="J12" s="55" t="s">
        <v>38</v>
      </c>
      <c r="K12" s="55" t="s">
        <v>154</v>
      </c>
      <c r="L12" s="232">
        <v>2</v>
      </c>
      <c r="N12" s="55">
        <v>6</v>
      </c>
      <c r="O12" s="55">
        <v>0.65</v>
      </c>
      <c r="P12" s="55">
        <v>0.6</v>
      </c>
      <c r="Q12" s="57">
        <f t="shared" si="0"/>
        <v>0.625</v>
      </c>
      <c r="R12" s="232">
        <v>15.2</v>
      </c>
      <c r="S12" s="232">
        <v>112</v>
      </c>
      <c r="T12" s="77">
        <f>IF(H12="","",IF(OR(H12="GREEN",H12="GK"),IF(S12&gt;=$AX$2,VLOOKUP(S12,$AX$2:$AY$10,2,1),""),IF(S12&gt;=$AZ$2,VLOOKUP(S12,$AZ$2:$BA$10,2,1),"")))</f>
        <v>33</v>
      </c>
      <c r="U12" s="55">
        <v>429</v>
      </c>
      <c r="V12" s="58">
        <f t="shared" si="2"/>
        <v>2359.5</v>
      </c>
      <c r="W12" s="232">
        <v>1</v>
      </c>
      <c r="X12" s="55" t="s">
        <v>39</v>
      </c>
      <c r="Y12" s="55" t="s">
        <v>84</v>
      </c>
      <c r="Z12" s="55" t="s">
        <v>90</v>
      </c>
      <c r="AA12" s="55" t="s">
        <v>50</v>
      </c>
      <c r="AB12" s="55" t="s">
        <v>370</v>
      </c>
      <c r="AE12" s="218" t="s">
        <v>70</v>
      </c>
      <c r="AG12" s="70"/>
      <c r="AH12" s="70"/>
      <c r="AL12" s="76"/>
      <c r="AP12" s="65" t="s">
        <v>67</v>
      </c>
      <c r="AR12" s="226" t="s">
        <v>124</v>
      </c>
      <c r="AV12" s="65" t="s">
        <v>72</v>
      </c>
      <c r="AX12" s="79">
        <v>180</v>
      </c>
      <c r="AY12" s="80">
        <v>18</v>
      </c>
      <c r="AZ12" s="80">
        <v>181</v>
      </c>
      <c r="BA12" s="81">
        <v>16</v>
      </c>
    </row>
    <row r="13" spans="1:53" x14ac:dyDescent="0.15">
      <c r="A13" s="55" t="s">
        <v>41</v>
      </c>
      <c r="B13" s="232" t="s">
        <v>334</v>
      </c>
      <c r="C13" s="149">
        <v>2018</v>
      </c>
      <c r="D13" s="56" t="s">
        <v>356</v>
      </c>
      <c r="E13" s="232" t="s">
        <v>287</v>
      </c>
      <c r="F13" s="232" t="s">
        <v>292</v>
      </c>
      <c r="G13" s="55" t="s">
        <v>42</v>
      </c>
      <c r="H13" s="55" t="s">
        <v>155</v>
      </c>
      <c r="I13" s="55" t="s">
        <v>153</v>
      </c>
      <c r="J13" s="55" t="s">
        <v>38</v>
      </c>
      <c r="K13" s="55" t="s">
        <v>154</v>
      </c>
      <c r="L13" s="232">
        <v>3</v>
      </c>
      <c r="N13" s="55">
        <v>6</v>
      </c>
      <c r="O13" s="55">
        <v>0.7</v>
      </c>
      <c r="P13" s="55">
        <v>0.55000000000000004</v>
      </c>
      <c r="Q13" s="57">
        <f t="shared" si="0"/>
        <v>0.625</v>
      </c>
      <c r="R13" s="232">
        <v>16</v>
      </c>
      <c r="S13" s="232">
        <v>109</v>
      </c>
      <c r="T13" s="77">
        <f>IF(H13="","",IF(OR(H13="GREEN",H13="GK"),IF(S13&gt;=$AX$2,VLOOKUP(S13,$AX$2:$AY$10,2,1),""),IF(S13&gt;=$AZ$2,VLOOKUP(S13,$AZ$2:$BA$10,2,1),"")))</f>
        <v>33</v>
      </c>
      <c r="U13" s="55">
        <v>429</v>
      </c>
      <c r="V13" s="58">
        <f t="shared" si="2"/>
        <v>2359.5</v>
      </c>
      <c r="W13" s="232">
        <v>1</v>
      </c>
      <c r="X13" s="55" t="s">
        <v>39</v>
      </c>
      <c r="Y13" s="55" t="s">
        <v>84</v>
      </c>
      <c r="Z13" s="55" t="s">
        <v>90</v>
      </c>
      <c r="AA13" s="55" t="s">
        <v>50</v>
      </c>
      <c r="AB13" s="55" t="s">
        <v>370</v>
      </c>
      <c r="AE13" s="218" t="s">
        <v>73</v>
      </c>
      <c r="AG13" s="226"/>
      <c r="AH13" s="226"/>
      <c r="AP13" s="65" t="s">
        <v>71</v>
      </c>
      <c r="AR13" s="226" t="s">
        <v>103</v>
      </c>
      <c r="AV13" s="65" t="s">
        <v>75</v>
      </c>
    </row>
    <row r="14" spans="1:53" x14ac:dyDescent="0.15">
      <c r="A14" s="55" t="s">
        <v>41</v>
      </c>
      <c r="B14" s="232" t="s">
        <v>334</v>
      </c>
      <c r="C14" s="149">
        <v>2018</v>
      </c>
      <c r="D14" s="56" t="s">
        <v>356</v>
      </c>
      <c r="E14" s="232" t="s">
        <v>287</v>
      </c>
      <c r="F14" s="232" t="s">
        <v>292</v>
      </c>
      <c r="G14" s="55" t="s">
        <v>42</v>
      </c>
      <c r="H14" s="55" t="s">
        <v>129</v>
      </c>
      <c r="I14" s="55" t="s">
        <v>153</v>
      </c>
      <c r="J14" s="55" t="s">
        <v>58</v>
      </c>
      <c r="K14" s="55" t="s">
        <v>59</v>
      </c>
      <c r="L14" s="232">
        <v>1</v>
      </c>
      <c r="N14" s="55">
        <v>4</v>
      </c>
      <c r="O14" s="55">
        <v>0.25</v>
      </c>
      <c r="P14" s="55">
        <v>0.25</v>
      </c>
      <c r="Q14" s="57">
        <f t="shared" si="0"/>
        <v>0.25</v>
      </c>
      <c r="R14" s="232">
        <v>16.2</v>
      </c>
      <c r="S14" s="232">
        <v>80</v>
      </c>
      <c r="T14" s="77">
        <f t="shared" ref="T14:T16" si="3">IF(H14="","",IF(OR(H14="GREEN",H14="GK"),IF(S14&gt;=$AX$2,VLOOKUP(S14,$AX$2:$AY$10,2,1),""),IF(S14&gt;=$AZ$2,VLOOKUP(S14,$AZ$2:$BA$10,2,1),"")))</f>
        <v>39</v>
      </c>
      <c r="U14" s="55">
        <v>321</v>
      </c>
      <c r="V14" s="58">
        <f t="shared" si="2"/>
        <v>3129.75</v>
      </c>
      <c r="W14" s="232">
        <v>2</v>
      </c>
      <c r="X14" s="55" t="s">
        <v>39</v>
      </c>
      <c r="Y14" s="55" t="s">
        <v>84</v>
      </c>
      <c r="Z14" s="55" t="s">
        <v>90</v>
      </c>
      <c r="AA14" s="55" t="s">
        <v>50</v>
      </c>
      <c r="AB14" s="55" t="s">
        <v>370</v>
      </c>
      <c r="AE14" s="218" t="s">
        <v>76</v>
      </c>
      <c r="AG14" s="226"/>
      <c r="AH14" s="226"/>
      <c r="AP14" s="65" t="s">
        <v>74</v>
      </c>
      <c r="AR14" s="226" t="s">
        <v>125</v>
      </c>
      <c r="AV14" s="65" t="s">
        <v>78</v>
      </c>
    </row>
    <row r="15" spans="1:53" x14ac:dyDescent="0.15">
      <c r="A15" s="55" t="s">
        <v>41</v>
      </c>
      <c r="B15" s="232" t="s">
        <v>334</v>
      </c>
      <c r="C15" s="149">
        <v>2018</v>
      </c>
      <c r="D15" s="56" t="s">
        <v>356</v>
      </c>
      <c r="E15" s="232" t="s">
        <v>287</v>
      </c>
      <c r="F15" s="232" t="s">
        <v>292</v>
      </c>
      <c r="G15" s="55" t="s">
        <v>42</v>
      </c>
      <c r="H15" s="55" t="s">
        <v>129</v>
      </c>
      <c r="I15" s="55" t="s">
        <v>153</v>
      </c>
      <c r="J15" s="55" t="s">
        <v>58</v>
      </c>
      <c r="K15" s="55" t="s">
        <v>59</v>
      </c>
      <c r="L15" s="232">
        <v>2</v>
      </c>
      <c r="M15" s="55"/>
      <c r="N15" s="55">
        <v>4</v>
      </c>
      <c r="O15" s="55">
        <v>0.25</v>
      </c>
      <c r="P15" s="55">
        <v>0.25</v>
      </c>
      <c r="Q15" s="57">
        <f t="shared" si="0"/>
        <v>0.25</v>
      </c>
      <c r="R15" s="232">
        <v>14.2</v>
      </c>
      <c r="S15" s="232">
        <v>75</v>
      </c>
      <c r="T15" s="77">
        <f t="shared" si="3"/>
        <v>42</v>
      </c>
      <c r="U15" s="55">
        <v>321</v>
      </c>
      <c r="V15" s="78">
        <f t="shared" si="2"/>
        <v>3370.5</v>
      </c>
      <c r="W15" s="55">
        <v>2</v>
      </c>
      <c r="X15" s="55" t="s">
        <v>39</v>
      </c>
      <c r="Y15" s="55" t="s">
        <v>84</v>
      </c>
      <c r="Z15" s="55" t="s">
        <v>90</v>
      </c>
      <c r="AA15" s="55" t="s">
        <v>50</v>
      </c>
      <c r="AB15" s="55" t="s">
        <v>370</v>
      </c>
      <c r="AE15" s="218" t="s">
        <v>79</v>
      </c>
      <c r="AG15" s="226"/>
      <c r="AH15" s="226"/>
      <c r="AP15" s="65" t="s">
        <v>77</v>
      </c>
      <c r="AR15" s="226" t="s">
        <v>94</v>
      </c>
      <c r="AV15" s="65" t="s">
        <v>107</v>
      </c>
    </row>
    <row r="16" spans="1:53" x14ac:dyDescent="0.15">
      <c r="A16" s="55" t="s">
        <v>41</v>
      </c>
      <c r="B16" s="232" t="s">
        <v>334</v>
      </c>
      <c r="C16" s="149">
        <v>2018</v>
      </c>
      <c r="D16" s="56" t="s">
        <v>356</v>
      </c>
      <c r="E16" s="232" t="s">
        <v>287</v>
      </c>
      <c r="F16" s="232" t="s">
        <v>292</v>
      </c>
      <c r="G16" s="55" t="s">
        <v>42</v>
      </c>
      <c r="H16" s="55" t="s">
        <v>129</v>
      </c>
      <c r="I16" s="55" t="s">
        <v>153</v>
      </c>
      <c r="J16" s="55" t="s">
        <v>58</v>
      </c>
      <c r="K16" s="55" t="s">
        <v>59</v>
      </c>
      <c r="L16" s="232">
        <v>3</v>
      </c>
      <c r="N16" s="55">
        <v>4</v>
      </c>
      <c r="O16" s="55">
        <v>0.25</v>
      </c>
      <c r="P16" s="55">
        <v>0.25</v>
      </c>
      <c r="Q16" s="57">
        <f t="shared" si="0"/>
        <v>0.25</v>
      </c>
      <c r="R16" s="232">
        <v>13.8</v>
      </c>
      <c r="S16" s="232">
        <v>71</v>
      </c>
      <c r="T16" s="77">
        <f t="shared" si="3"/>
        <v>42</v>
      </c>
      <c r="U16" s="55">
        <v>321</v>
      </c>
      <c r="V16" s="58">
        <f t="shared" si="2"/>
        <v>3370.5</v>
      </c>
      <c r="W16" s="232">
        <v>2</v>
      </c>
      <c r="X16" s="55" t="s">
        <v>39</v>
      </c>
      <c r="Y16" s="55" t="s">
        <v>84</v>
      </c>
      <c r="Z16" s="55" t="s">
        <v>90</v>
      </c>
      <c r="AA16" s="55" t="s">
        <v>50</v>
      </c>
      <c r="AB16" s="55" t="s">
        <v>370</v>
      </c>
      <c r="AE16" s="218" t="s">
        <v>82</v>
      </c>
      <c r="AG16" s="71"/>
      <c r="AH16" s="71"/>
      <c r="AP16" s="65" t="s">
        <v>80</v>
      </c>
      <c r="AR16" s="226" t="s">
        <v>63</v>
      </c>
      <c r="AV16" s="65" t="s">
        <v>84</v>
      </c>
    </row>
    <row r="17" spans="1:49" x14ac:dyDescent="0.15">
      <c r="A17" s="55" t="s">
        <v>41</v>
      </c>
      <c r="B17" s="232" t="s">
        <v>334</v>
      </c>
      <c r="C17" s="149">
        <v>2018</v>
      </c>
      <c r="D17" s="56" t="s">
        <v>356</v>
      </c>
      <c r="E17" s="232" t="s">
        <v>287</v>
      </c>
      <c r="F17" s="232" t="s">
        <v>293</v>
      </c>
      <c r="G17" s="55" t="s">
        <v>42</v>
      </c>
      <c r="H17" s="55" t="s">
        <v>155</v>
      </c>
      <c r="I17" s="55" t="s">
        <v>153</v>
      </c>
      <c r="J17" s="55" t="s">
        <v>38</v>
      </c>
      <c r="K17" s="55" t="s">
        <v>154</v>
      </c>
      <c r="L17" s="232">
        <v>1</v>
      </c>
      <c r="M17" s="55"/>
      <c r="N17" s="55">
        <v>1</v>
      </c>
      <c r="O17" s="55">
        <v>1</v>
      </c>
      <c r="P17" s="55">
        <v>1.1000000000000001</v>
      </c>
      <c r="Q17" s="82">
        <f>IF(OR(O17="",P17=""),"",AVERAGE(O17,P17))</f>
        <v>1.05</v>
      </c>
      <c r="R17" s="55">
        <v>13</v>
      </c>
      <c r="S17" s="55">
        <v>130</v>
      </c>
      <c r="T17" s="77">
        <f>IF(H17="","",IF(OR(H17="GREEN",H17="GK"),IF(S17&gt;=$AX$2,VLOOKUP(S17,$AX$2:$AY$10,2,1),""),IF(S17&gt;=$AZ$2,VLOOKUP(S17,$AZ$2:$BA$10,2,1),"")))</f>
        <v>25</v>
      </c>
      <c r="U17" s="55">
        <v>149</v>
      </c>
      <c r="V17" s="78">
        <f>IF(OR(N17="",U17="",T17=""),"",U17/N17*T17)</f>
        <v>3725</v>
      </c>
      <c r="W17" s="55">
        <v>4</v>
      </c>
      <c r="X17" s="55" t="s">
        <v>39</v>
      </c>
      <c r="Y17" s="55" t="s">
        <v>84</v>
      </c>
      <c r="Z17" s="55" t="s">
        <v>90</v>
      </c>
      <c r="AA17" s="55" t="s">
        <v>78</v>
      </c>
      <c r="AB17" s="55" t="s">
        <v>370</v>
      </c>
      <c r="AE17" s="218" t="s">
        <v>85</v>
      </c>
      <c r="AP17" s="234" t="s">
        <v>110</v>
      </c>
      <c r="AR17" s="226" t="s">
        <v>96</v>
      </c>
      <c r="AV17" s="65" t="s">
        <v>86</v>
      </c>
    </row>
    <row r="18" spans="1:49" x14ac:dyDescent="0.15">
      <c r="A18" s="55" t="s">
        <v>41</v>
      </c>
      <c r="B18" s="232" t="s">
        <v>334</v>
      </c>
      <c r="C18" s="149">
        <v>2018</v>
      </c>
      <c r="D18" s="56" t="s">
        <v>356</v>
      </c>
      <c r="E18" s="232" t="s">
        <v>287</v>
      </c>
      <c r="F18" s="232" t="s">
        <v>293</v>
      </c>
      <c r="G18" s="55" t="s">
        <v>42</v>
      </c>
      <c r="H18" s="55" t="s">
        <v>155</v>
      </c>
      <c r="I18" s="55" t="s">
        <v>153</v>
      </c>
      <c r="J18" s="55" t="s">
        <v>38</v>
      </c>
      <c r="K18" s="55" t="s">
        <v>154</v>
      </c>
      <c r="L18" s="232">
        <v>2</v>
      </c>
      <c r="N18" s="55">
        <v>1</v>
      </c>
      <c r="O18" s="232">
        <v>0.95</v>
      </c>
      <c r="P18" s="232">
        <v>0.95</v>
      </c>
      <c r="Q18" s="57">
        <f>IF(OR(O18="",P18=""),"",AVERAGE(O18,P18))</f>
        <v>0.95</v>
      </c>
      <c r="R18" s="232">
        <v>12.9</v>
      </c>
      <c r="S18" s="232">
        <v>131</v>
      </c>
      <c r="T18" s="77">
        <f>IF(H18="","",IF(OR(H18="GREEN",H18="GK"),IF(S18&gt;=$AX$2,VLOOKUP(S18,$AX$2:$AY$10,2,1),""),IF(S18&gt;=$AZ$2,VLOOKUP(S18,$AZ$2:$BA$10,2,1),"")))</f>
        <v>25</v>
      </c>
      <c r="U18" s="55">
        <v>149</v>
      </c>
      <c r="V18" s="58">
        <f>IF(OR(N18="",U18="",T18=""),"",U18/N18*T18)</f>
        <v>3725</v>
      </c>
      <c r="W18" s="232">
        <v>4</v>
      </c>
      <c r="X18" s="55" t="s">
        <v>39</v>
      </c>
      <c r="Y18" s="55" t="s">
        <v>84</v>
      </c>
      <c r="Z18" s="55" t="s">
        <v>90</v>
      </c>
      <c r="AA18" s="55" t="s">
        <v>78</v>
      </c>
      <c r="AB18" s="55" t="s">
        <v>370</v>
      </c>
      <c r="AE18" s="218" t="s">
        <v>87</v>
      </c>
      <c r="AP18" s="234" t="s">
        <v>111</v>
      </c>
      <c r="AR18" s="226" t="s">
        <v>101</v>
      </c>
      <c r="AV18" s="65" t="s">
        <v>88</v>
      </c>
    </row>
    <row r="19" spans="1:49" x14ac:dyDescent="0.15">
      <c r="A19" s="55" t="s">
        <v>41</v>
      </c>
      <c r="B19" s="232" t="s">
        <v>334</v>
      </c>
      <c r="C19" s="149">
        <v>2018</v>
      </c>
      <c r="D19" s="56" t="s">
        <v>356</v>
      </c>
      <c r="E19" s="232" t="s">
        <v>287</v>
      </c>
      <c r="F19" s="232" t="s">
        <v>293</v>
      </c>
      <c r="G19" s="55" t="s">
        <v>42</v>
      </c>
      <c r="H19" s="55" t="s">
        <v>155</v>
      </c>
      <c r="I19" s="55" t="s">
        <v>153</v>
      </c>
      <c r="J19" s="55" t="s">
        <v>38</v>
      </c>
      <c r="K19" s="55" t="s">
        <v>154</v>
      </c>
      <c r="L19" s="232">
        <v>3</v>
      </c>
      <c r="N19" s="55">
        <v>1</v>
      </c>
      <c r="O19" s="232">
        <v>0.9</v>
      </c>
      <c r="P19" s="232">
        <v>1.1000000000000001</v>
      </c>
      <c r="Q19" s="57">
        <f>IF(OR(O19="",P19=""),"",AVERAGE(O19,P19))</f>
        <v>1</v>
      </c>
      <c r="R19" s="232">
        <v>13.8</v>
      </c>
      <c r="S19" s="232">
        <v>130</v>
      </c>
      <c r="T19" s="77">
        <f>IF(H19="","",IF(OR(H19="GREEN",H19="GK"),IF(S19&gt;=$AX$2,VLOOKUP(S19,$AX$2:$AY$10,2,1),""),IF(S19&gt;=$AZ$2,VLOOKUP(S19,$AZ$2:$BA$10,2,1),"")))</f>
        <v>25</v>
      </c>
      <c r="U19" s="55">
        <v>149</v>
      </c>
      <c r="V19" s="58">
        <f>IF(OR(N19="",U19="",T19=""),"",U19/N19*T19)</f>
        <v>3725</v>
      </c>
      <c r="W19" s="232">
        <v>4</v>
      </c>
      <c r="X19" s="55" t="s">
        <v>39</v>
      </c>
      <c r="Y19" s="55" t="s">
        <v>84</v>
      </c>
      <c r="Z19" s="55" t="s">
        <v>90</v>
      </c>
      <c r="AA19" s="55" t="s">
        <v>78</v>
      </c>
      <c r="AB19" s="55" t="s">
        <v>370</v>
      </c>
      <c r="AE19" s="231" t="s">
        <v>89</v>
      </c>
      <c r="AP19" s="234" t="s">
        <v>112</v>
      </c>
      <c r="AR19" s="226" t="s">
        <v>126</v>
      </c>
      <c r="AV19" s="65" t="s">
        <v>90</v>
      </c>
    </row>
    <row r="20" spans="1:49" x14ac:dyDescent="0.15">
      <c r="A20" s="55" t="s">
        <v>41</v>
      </c>
      <c r="B20" s="232" t="s">
        <v>334</v>
      </c>
      <c r="C20" s="149">
        <v>2018</v>
      </c>
      <c r="D20" s="56" t="s">
        <v>356</v>
      </c>
      <c r="E20" s="232" t="s">
        <v>287</v>
      </c>
      <c r="F20" s="232" t="s">
        <v>293</v>
      </c>
      <c r="G20" s="55" t="s">
        <v>42</v>
      </c>
      <c r="H20" s="55" t="s">
        <v>155</v>
      </c>
      <c r="I20" s="55" t="s">
        <v>153</v>
      </c>
      <c r="J20" s="55" t="s">
        <v>38</v>
      </c>
      <c r="K20" s="55" t="s">
        <v>154</v>
      </c>
      <c r="L20" s="232">
        <v>1</v>
      </c>
      <c r="M20" s="55"/>
      <c r="N20" s="55">
        <v>7</v>
      </c>
      <c r="O20" s="55">
        <v>0.65</v>
      </c>
      <c r="P20" s="55">
        <v>0.7</v>
      </c>
      <c r="Q20" s="82">
        <f t="shared" ref="Q20:Q58" si="4">IF(OR(O20="",P20=""),"",AVERAGE(O20,P20))</f>
        <v>0.67500000000000004</v>
      </c>
      <c r="R20" s="55">
        <v>14.4</v>
      </c>
      <c r="S20" s="55">
        <v>118</v>
      </c>
      <c r="T20" s="77">
        <f t="shared" ref="T20:T73" si="5">IF(H20="","",IF(OR(H20="GREEN",H20="GK"),IF(S20&gt;=$AX$2,VLOOKUP(S20,$AX$2:$AY$10,2,1),""),IF(S20&gt;=$AZ$2,VLOOKUP(S20,$AZ$2:$BA$10,2,1),"")))</f>
        <v>30</v>
      </c>
      <c r="U20" s="55">
        <v>540</v>
      </c>
      <c r="V20" s="78">
        <f t="shared" ref="V20:V73" si="6">IF(OR(N20="",U20="",T20=""),"",U20/N20*T20)</f>
        <v>2314.2857142857142</v>
      </c>
      <c r="W20" s="55">
        <v>1</v>
      </c>
      <c r="X20" s="55" t="s">
        <v>39</v>
      </c>
      <c r="Y20" s="55" t="s">
        <v>84</v>
      </c>
      <c r="Z20" s="55" t="s">
        <v>90</v>
      </c>
      <c r="AA20" s="55" t="s">
        <v>78</v>
      </c>
      <c r="AB20" s="55" t="s">
        <v>370</v>
      </c>
      <c r="AE20" s="231"/>
      <c r="AP20" s="234" t="s">
        <v>113</v>
      </c>
      <c r="AR20" s="226" t="s">
        <v>105</v>
      </c>
      <c r="AV20" s="69" t="s">
        <v>367</v>
      </c>
    </row>
    <row r="21" spans="1:49" x14ac:dyDescent="0.15">
      <c r="A21" s="55" t="s">
        <v>41</v>
      </c>
      <c r="B21" s="232" t="s">
        <v>334</v>
      </c>
      <c r="C21" s="149">
        <v>2018</v>
      </c>
      <c r="D21" s="56" t="s">
        <v>356</v>
      </c>
      <c r="E21" s="232" t="s">
        <v>287</v>
      </c>
      <c r="F21" s="232" t="s">
        <v>293</v>
      </c>
      <c r="G21" s="55" t="s">
        <v>42</v>
      </c>
      <c r="H21" s="55" t="s">
        <v>155</v>
      </c>
      <c r="I21" s="55" t="s">
        <v>153</v>
      </c>
      <c r="J21" s="55" t="s">
        <v>38</v>
      </c>
      <c r="K21" s="55" t="s">
        <v>154</v>
      </c>
      <c r="L21" s="232">
        <v>2</v>
      </c>
      <c r="N21" s="55">
        <v>7</v>
      </c>
      <c r="O21" s="232">
        <v>0.6</v>
      </c>
      <c r="P21" s="232">
        <v>0.65</v>
      </c>
      <c r="Q21" s="57">
        <f t="shared" si="4"/>
        <v>0.625</v>
      </c>
      <c r="R21" s="232">
        <v>15.1</v>
      </c>
      <c r="S21" s="232">
        <v>120</v>
      </c>
      <c r="T21" s="77">
        <f t="shared" si="5"/>
        <v>30</v>
      </c>
      <c r="U21" s="55">
        <v>540</v>
      </c>
      <c r="V21" s="58">
        <f t="shared" si="6"/>
        <v>2314.2857142857142</v>
      </c>
      <c r="W21" s="232">
        <v>1</v>
      </c>
      <c r="X21" s="55" t="s">
        <v>39</v>
      </c>
      <c r="Y21" s="55" t="s">
        <v>84</v>
      </c>
      <c r="Z21" s="55" t="s">
        <v>90</v>
      </c>
      <c r="AA21" s="55" t="s">
        <v>78</v>
      </c>
      <c r="AB21" s="55" t="s">
        <v>370</v>
      </c>
      <c r="AE21" s="239"/>
      <c r="AP21" s="234" t="s">
        <v>114</v>
      </c>
      <c r="AR21" s="226" t="s">
        <v>68</v>
      </c>
      <c r="AV21" s="69" t="s">
        <v>368</v>
      </c>
    </row>
    <row r="22" spans="1:49" x14ac:dyDescent="0.15">
      <c r="A22" s="55" t="s">
        <v>41</v>
      </c>
      <c r="B22" s="232" t="s">
        <v>334</v>
      </c>
      <c r="C22" s="149">
        <v>2018</v>
      </c>
      <c r="D22" s="56" t="s">
        <v>356</v>
      </c>
      <c r="E22" s="232" t="s">
        <v>287</v>
      </c>
      <c r="F22" s="232" t="s">
        <v>293</v>
      </c>
      <c r="G22" s="55" t="s">
        <v>42</v>
      </c>
      <c r="H22" s="55" t="s">
        <v>155</v>
      </c>
      <c r="I22" s="55" t="s">
        <v>153</v>
      </c>
      <c r="J22" s="55" t="s">
        <v>38</v>
      </c>
      <c r="K22" s="55" t="s">
        <v>154</v>
      </c>
      <c r="L22" s="232">
        <v>3</v>
      </c>
      <c r="N22" s="55">
        <v>7</v>
      </c>
      <c r="O22" s="232">
        <v>0.7</v>
      </c>
      <c r="P22" s="232">
        <v>0.5</v>
      </c>
      <c r="Q22" s="57">
        <f t="shared" si="4"/>
        <v>0.6</v>
      </c>
      <c r="R22" s="232">
        <v>14.9</v>
      </c>
      <c r="S22" s="232">
        <v>117</v>
      </c>
      <c r="T22" s="77">
        <f t="shared" si="5"/>
        <v>30</v>
      </c>
      <c r="U22" s="55">
        <v>540</v>
      </c>
      <c r="V22" s="58">
        <f t="shared" si="6"/>
        <v>2314.2857142857142</v>
      </c>
      <c r="W22" s="232">
        <v>1</v>
      </c>
      <c r="X22" s="55" t="s">
        <v>39</v>
      </c>
      <c r="Y22" s="55" t="s">
        <v>84</v>
      </c>
      <c r="Z22" s="55" t="s">
        <v>90</v>
      </c>
      <c r="AA22" s="55" t="s">
        <v>78</v>
      </c>
      <c r="AB22" s="55" t="s">
        <v>370</v>
      </c>
      <c r="AP22" s="234" t="s">
        <v>115</v>
      </c>
      <c r="AR22" s="226" t="s">
        <v>83</v>
      </c>
      <c r="AV22" s="69"/>
    </row>
    <row r="23" spans="1:49" x14ac:dyDescent="0.15">
      <c r="A23" s="55" t="s">
        <v>41</v>
      </c>
      <c r="B23" s="232" t="s">
        <v>334</v>
      </c>
      <c r="C23" s="149">
        <v>2018</v>
      </c>
      <c r="D23" s="56" t="s">
        <v>356</v>
      </c>
      <c r="E23" s="232" t="s">
        <v>288</v>
      </c>
      <c r="F23" s="232" t="s">
        <v>292</v>
      </c>
      <c r="G23" s="55" t="s">
        <v>42</v>
      </c>
      <c r="H23" s="55" t="s">
        <v>155</v>
      </c>
      <c r="I23" s="55" t="s">
        <v>153</v>
      </c>
      <c r="J23" s="55" t="s">
        <v>38</v>
      </c>
      <c r="K23" s="55" t="s">
        <v>154</v>
      </c>
      <c r="L23" s="232">
        <v>1</v>
      </c>
      <c r="N23" s="55">
        <v>1</v>
      </c>
      <c r="O23" s="55">
        <v>0.85</v>
      </c>
      <c r="P23" s="55">
        <v>0.95</v>
      </c>
      <c r="Q23" s="57">
        <f t="shared" si="4"/>
        <v>0.89999999999999991</v>
      </c>
      <c r="R23" s="232">
        <v>13.2</v>
      </c>
      <c r="S23" s="55">
        <v>127</v>
      </c>
      <c r="T23" s="57">
        <f t="shared" si="5"/>
        <v>27</v>
      </c>
      <c r="U23" s="232">
        <v>84</v>
      </c>
      <c r="V23" s="58">
        <f t="shared" si="6"/>
        <v>2268</v>
      </c>
      <c r="W23" s="232">
        <v>1</v>
      </c>
      <c r="X23" s="55" t="s">
        <v>46</v>
      </c>
      <c r="Y23" s="55" t="s">
        <v>50</v>
      </c>
      <c r="Z23" s="55" t="s">
        <v>84</v>
      </c>
      <c r="AA23" s="55" t="s">
        <v>90</v>
      </c>
      <c r="AB23" s="55" t="s">
        <v>370</v>
      </c>
      <c r="AP23" s="234" t="s">
        <v>117</v>
      </c>
      <c r="AR23" s="239" t="s">
        <v>286</v>
      </c>
      <c r="AV23" s="239"/>
    </row>
    <row r="24" spans="1:49" x14ac:dyDescent="0.15">
      <c r="A24" s="55" t="s">
        <v>41</v>
      </c>
      <c r="B24" s="232" t="s">
        <v>334</v>
      </c>
      <c r="C24" s="149">
        <v>2018</v>
      </c>
      <c r="D24" s="56" t="s">
        <v>356</v>
      </c>
      <c r="E24" s="232" t="s">
        <v>288</v>
      </c>
      <c r="F24" s="232" t="s">
        <v>292</v>
      </c>
      <c r="G24" s="55" t="s">
        <v>42</v>
      </c>
      <c r="H24" s="55" t="s">
        <v>155</v>
      </c>
      <c r="I24" s="55" t="s">
        <v>153</v>
      </c>
      <c r="J24" s="55" t="s">
        <v>38</v>
      </c>
      <c r="K24" s="55" t="s">
        <v>154</v>
      </c>
      <c r="L24" s="232">
        <v>2</v>
      </c>
      <c r="N24" s="55">
        <v>1</v>
      </c>
      <c r="O24" s="55">
        <v>0.9</v>
      </c>
      <c r="P24" s="55">
        <v>1</v>
      </c>
      <c r="Q24" s="57">
        <f t="shared" si="4"/>
        <v>0.95</v>
      </c>
      <c r="R24" s="232">
        <v>15.9</v>
      </c>
      <c r="S24" s="55">
        <v>125</v>
      </c>
      <c r="T24" s="57">
        <f t="shared" si="5"/>
        <v>27</v>
      </c>
      <c r="U24" s="232">
        <v>84</v>
      </c>
      <c r="V24" s="58">
        <f t="shared" si="6"/>
        <v>2268</v>
      </c>
      <c r="W24" s="232">
        <v>1</v>
      </c>
      <c r="X24" s="55" t="s">
        <v>46</v>
      </c>
      <c r="Y24" s="55" t="s">
        <v>50</v>
      </c>
      <c r="Z24" s="55" t="s">
        <v>84</v>
      </c>
      <c r="AA24" s="55" t="s">
        <v>90</v>
      </c>
      <c r="AB24" s="55" t="s">
        <v>370</v>
      </c>
      <c r="AP24" s="234" t="s">
        <v>118</v>
      </c>
    </row>
    <row r="25" spans="1:49" x14ac:dyDescent="0.15">
      <c r="A25" s="55" t="s">
        <v>41</v>
      </c>
      <c r="B25" s="232" t="s">
        <v>334</v>
      </c>
      <c r="C25" s="149">
        <v>2018</v>
      </c>
      <c r="D25" s="56" t="s">
        <v>356</v>
      </c>
      <c r="E25" s="232" t="s">
        <v>288</v>
      </c>
      <c r="F25" s="232" t="s">
        <v>292</v>
      </c>
      <c r="G25" s="55" t="s">
        <v>42</v>
      </c>
      <c r="H25" s="55" t="s">
        <v>155</v>
      </c>
      <c r="I25" s="55" t="s">
        <v>153</v>
      </c>
      <c r="J25" s="55" t="s">
        <v>38</v>
      </c>
      <c r="K25" s="55" t="s">
        <v>154</v>
      </c>
      <c r="L25" s="232">
        <v>3</v>
      </c>
      <c r="N25" s="55">
        <v>1</v>
      </c>
      <c r="O25" s="55">
        <v>1</v>
      </c>
      <c r="P25" s="55">
        <v>0.95</v>
      </c>
      <c r="Q25" s="57">
        <f t="shared" si="4"/>
        <v>0.97499999999999998</v>
      </c>
      <c r="R25" s="232">
        <v>14.1</v>
      </c>
      <c r="S25" s="55">
        <v>128</v>
      </c>
      <c r="T25" s="57">
        <f t="shared" si="5"/>
        <v>27</v>
      </c>
      <c r="U25" s="232">
        <v>84</v>
      </c>
      <c r="V25" s="58">
        <f t="shared" si="6"/>
        <v>2268</v>
      </c>
      <c r="W25" s="232">
        <v>1</v>
      </c>
      <c r="X25" s="55" t="s">
        <v>46</v>
      </c>
      <c r="Y25" s="55" t="s">
        <v>50</v>
      </c>
      <c r="Z25" s="55" t="s">
        <v>84</v>
      </c>
      <c r="AA25" s="55" t="s">
        <v>90</v>
      </c>
      <c r="AB25" s="55" t="s">
        <v>370</v>
      </c>
    </row>
    <row r="26" spans="1:49" x14ac:dyDescent="0.15">
      <c r="A26" s="55" t="s">
        <v>41</v>
      </c>
      <c r="B26" s="232" t="s">
        <v>334</v>
      </c>
      <c r="C26" s="149">
        <v>2018</v>
      </c>
      <c r="D26" s="56" t="s">
        <v>356</v>
      </c>
      <c r="E26" s="232" t="s">
        <v>288</v>
      </c>
      <c r="F26" s="232" t="s">
        <v>292</v>
      </c>
      <c r="G26" s="55" t="s">
        <v>42</v>
      </c>
      <c r="H26" s="55" t="s">
        <v>166</v>
      </c>
      <c r="I26" s="55" t="s">
        <v>153</v>
      </c>
      <c r="J26" s="55" t="s">
        <v>38</v>
      </c>
      <c r="K26" s="55" t="s">
        <v>154</v>
      </c>
      <c r="L26" s="232">
        <v>1</v>
      </c>
      <c r="N26" s="55">
        <v>4</v>
      </c>
      <c r="O26" s="55">
        <v>0.35</v>
      </c>
      <c r="P26" s="55">
        <v>0.25</v>
      </c>
      <c r="Q26" s="82">
        <f t="shared" si="4"/>
        <v>0.3</v>
      </c>
      <c r="R26" s="55">
        <v>13.9</v>
      </c>
      <c r="S26" s="55">
        <v>122</v>
      </c>
      <c r="T26" s="57">
        <f t="shared" si="5"/>
        <v>27</v>
      </c>
      <c r="U26" s="232">
        <v>645</v>
      </c>
      <c r="V26" s="58">
        <f t="shared" si="6"/>
        <v>4353.75</v>
      </c>
      <c r="W26" s="232">
        <v>2</v>
      </c>
      <c r="X26" s="55" t="s">
        <v>46</v>
      </c>
      <c r="Y26" s="55" t="s">
        <v>50</v>
      </c>
      <c r="Z26" s="55" t="s">
        <v>84</v>
      </c>
      <c r="AA26" s="55" t="s">
        <v>90</v>
      </c>
      <c r="AB26" s="55" t="s">
        <v>370</v>
      </c>
    </row>
    <row r="27" spans="1:49" x14ac:dyDescent="0.15">
      <c r="A27" s="55" t="s">
        <v>41</v>
      </c>
      <c r="B27" s="232" t="s">
        <v>334</v>
      </c>
      <c r="C27" s="149">
        <v>2018</v>
      </c>
      <c r="D27" s="56" t="s">
        <v>356</v>
      </c>
      <c r="E27" s="232" t="s">
        <v>288</v>
      </c>
      <c r="F27" s="232" t="s">
        <v>292</v>
      </c>
      <c r="G27" s="55" t="s">
        <v>42</v>
      </c>
      <c r="H27" s="55" t="s">
        <v>166</v>
      </c>
      <c r="I27" s="55" t="s">
        <v>153</v>
      </c>
      <c r="J27" s="55" t="s">
        <v>38</v>
      </c>
      <c r="K27" s="55" t="s">
        <v>154</v>
      </c>
      <c r="L27" s="232">
        <v>2</v>
      </c>
      <c r="N27" s="55">
        <v>4</v>
      </c>
      <c r="O27" s="55">
        <v>0.25</v>
      </c>
      <c r="P27" s="55">
        <v>0.25</v>
      </c>
      <c r="Q27" s="82">
        <f t="shared" si="4"/>
        <v>0.25</v>
      </c>
      <c r="R27" s="55">
        <v>15.4</v>
      </c>
      <c r="S27" s="55">
        <v>126</v>
      </c>
      <c r="T27" s="57">
        <f t="shared" si="5"/>
        <v>27</v>
      </c>
      <c r="U27" s="232">
        <v>645</v>
      </c>
      <c r="V27" s="58">
        <f t="shared" si="6"/>
        <v>4353.75</v>
      </c>
      <c r="W27" s="232">
        <v>2</v>
      </c>
      <c r="X27" s="55" t="s">
        <v>46</v>
      </c>
      <c r="Y27" s="55" t="s">
        <v>50</v>
      </c>
      <c r="Z27" s="55" t="s">
        <v>84</v>
      </c>
      <c r="AA27" s="55" t="s">
        <v>90</v>
      </c>
      <c r="AB27" s="55" t="s">
        <v>370</v>
      </c>
      <c r="AE27" s="248"/>
      <c r="AF27" s="248"/>
      <c r="AG27" s="248"/>
      <c r="AH27" s="248"/>
      <c r="AI27" s="248"/>
      <c r="AJ27" s="248"/>
      <c r="AK27" s="248"/>
      <c r="AL27" s="248"/>
      <c r="AM27" s="248"/>
      <c r="AN27" s="248"/>
      <c r="AO27" s="248"/>
      <c r="AP27" s="248"/>
      <c r="AQ27" s="248"/>
      <c r="AR27" s="248"/>
      <c r="AS27" s="248"/>
      <c r="AT27" s="248"/>
      <c r="AU27" s="248"/>
      <c r="AV27" s="248"/>
      <c r="AW27" s="248"/>
    </row>
    <row r="28" spans="1:49" x14ac:dyDescent="0.15">
      <c r="A28" s="55" t="s">
        <v>41</v>
      </c>
      <c r="B28" s="232" t="s">
        <v>334</v>
      </c>
      <c r="C28" s="149">
        <v>2018</v>
      </c>
      <c r="D28" s="56" t="s">
        <v>356</v>
      </c>
      <c r="E28" s="232" t="s">
        <v>288</v>
      </c>
      <c r="F28" s="232" t="s">
        <v>292</v>
      </c>
      <c r="G28" s="55" t="s">
        <v>42</v>
      </c>
      <c r="H28" s="55" t="s">
        <v>166</v>
      </c>
      <c r="I28" s="55" t="s">
        <v>153</v>
      </c>
      <c r="J28" s="55" t="s">
        <v>38</v>
      </c>
      <c r="K28" s="55" t="s">
        <v>154</v>
      </c>
      <c r="L28" s="232">
        <v>3</v>
      </c>
      <c r="N28" s="55">
        <v>4</v>
      </c>
      <c r="O28" s="55">
        <v>0.25</v>
      </c>
      <c r="P28" s="55">
        <v>0.25</v>
      </c>
      <c r="Q28" s="82">
        <f t="shared" si="4"/>
        <v>0.25</v>
      </c>
      <c r="R28" s="55">
        <v>14.8</v>
      </c>
      <c r="S28" s="55">
        <v>127</v>
      </c>
      <c r="T28" s="57">
        <f t="shared" si="5"/>
        <v>27</v>
      </c>
      <c r="U28" s="55">
        <v>645</v>
      </c>
      <c r="V28" s="58">
        <f t="shared" si="6"/>
        <v>4353.75</v>
      </c>
      <c r="W28" s="232">
        <v>2</v>
      </c>
      <c r="X28" s="55" t="s">
        <v>46</v>
      </c>
      <c r="Y28" s="55" t="s">
        <v>50</v>
      </c>
      <c r="Z28" s="55" t="s">
        <v>84</v>
      </c>
      <c r="AA28" s="55" t="s">
        <v>90</v>
      </c>
      <c r="AB28" s="55" t="s">
        <v>370</v>
      </c>
      <c r="AE28" s="248"/>
      <c r="AF28" s="248"/>
      <c r="AG28" s="248"/>
      <c r="AH28" s="248"/>
      <c r="AI28" s="248"/>
      <c r="AJ28" s="248"/>
      <c r="AK28" s="248"/>
      <c r="AL28" s="248"/>
      <c r="AM28" s="248"/>
      <c r="AN28" s="248"/>
      <c r="AO28" s="248"/>
      <c r="AP28" s="248"/>
      <c r="AQ28" s="248"/>
      <c r="AR28" s="248"/>
      <c r="AS28" s="248"/>
      <c r="AT28" s="248"/>
      <c r="AU28" s="248"/>
      <c r="AV28" s="248"/>
      <c r="AW28" s="248"/>
    </row>
    <row r="29" spans="1:49" x14ac:dyDescent="0.15">
      <c r="A29" s="55" t="s">
        <v>41</v>
      </c>
      <c r="B29" s="232" t="s">
        <v>334</v>
      </c>
      <c r="C29" s="149">
        <v>2018</v>
      </c>
      <c r="D29" s="56" t="s">
        <v>356</v>
      </c>
      <c r="E29" s="232" t="s">
        <v>288</v>
      </c>
      <c r="F29" s="232" t="s">
        <v>292</v>
      </c>
      <c r="G29" s="55" t="s">
        <v>42</v>
      </c>
      <c r="H29" s="55" t="s">
        <v>155</v>
      </c>
      <c r="I29" s="55" t="s">
        <v>153</v>
      </c>
      <c r="J29" s="55" t="s">
        <v>38</v>
      </c>
      <c r="K29" s="55" t="s">
        <v>154</v>
      </c>
      <c r="L29" s="232">
        <v>1</v>
      </c>
      <c r="N29" s="232">
        <v>5</v>
      </c>
      <c r="O29" s="55">
        <v>0.7</v>
      </c>
      <c r="P29" s="55">
        <v>0.65</v>
      </c>
      <c r="Q29" s="57">
        <f t="shared" si="4"/>
        <v>0.67500000000000004</v>
      </c>
      <c r="R29" s="55">
        <v>14.7</v>
      </c>
      <c r="S29" s="55">
        <v>120</v>
      </c>
      <c r="T29" s="57">
        <f t="shared" si="5"/>
        <v>30</v>
      </c>
      <c r="U29" s="232">
        <v>410</v>
      </c>
      <c r="V29" s="58">
        <f t="shared" si="6"/>
        <v>2460</v>
      </c>
      <c r="W29" s="232">
        <v>4</v>
      </c>
      <c r="X29" s="55" t="s">
        <v>46</v>
      </c>
      <c r="Y29" s="55" t="s">
        <v>50</v>
      </c>
      <c r="Z29" s="55" t="s">
        <v>84</v>
      </c>
      <c r="AA29" s="55" t="s">
        <v>90</v>
      </c>
      <c r="AB29" s="55" t="s">
        <v>370</v>
      </c>
    </row>
    <row r="30" spans="1:49" x14ac:dyDescent="0.15">
      <c r="A30" s="55" t="s">
        <v>41</v>
      </c>
      <c r="B30" s="232" t="s">
        <v>334</v>
      </c>
      <c r="C30" s="149">
        <v>2018</v>
      </c>
      <c r="D30" s="56" t="s">
        <v>356</v>
      </c>
      <c r="E30" s="232" t="s">
        <v>288</v>
      </c>
      <c r="F30" s="232" t="s">
        <v>292</v>
      </c>
      <c r="G30" s="55" t="s">
        <v>42</v>
      </c>
      <c r="H30" s="55" t="s">
        <v>155</v>
      </c>
      <c r="I30" s="55" t="s">
        <v>153</v>
      </c>
      <c r="J30" s="55" t="s">
        <v>38</v>
      </c>
      <c r="K30" s="55" t="s">
        <v>154</v>
      </c>
      <c r="L30" s="232">
        <v>2</v>
      </c>
      <c r="N30" s="232">
        <v>5</v>
      </c>
      <c r="O30" s="55">
        <v>0.85</v>
      </c>
      <c r="P30" s="55">
        <v>0.75</v>
      </c>
      <c r="Q30" s="57">
        <f t="shared" si="4"/>
        <v>0.8</v>
      </c>
      <c r="R30" s="55">
        <v>13.7</v>
      </c>
      <c r="S30" s="55">
        <v>118</v>
      </c>
      <c r="T30" s="57">
        <f t="shared" si="5"/>
        <v>30</v>
      </c>
      <c r="U30" s="232">
        <v>410</v>
      </c>
      <c r="V30" s="58">
        <f t="shared" si="6"/>
        <v>2460</v>
      </c>
      <c r="W30" s="232">
        <v>4</v>
      </c>
      <c r="X30" s="55" t="s">
        <v>46</v>
      </c>
      <c r="Y30" s="55" t="s">
        <v>50</v>
      </c>
      <c r="Z30" s="55" t="s">
        <v>84</v>
      </c>
      <c r="AA30" s="55" t="s">
        <v>90</v>
      </c>
      <c r="AB30" s="55" t="s">
        <v>370</v>
      </c>
    </row>
    <row r="31" spans="1:49" x14ac:dyDescent="0.15">
      <c r="A31" s="55" t="s">
        <v>41</v>
      </c>
      <c r="B31" s="232" t="s">
        <v>334</v>
      </c>
      <c r="C31" s="149">
        <v>2018</v>
      </c>
      <c r="D31" s="56" t="s">
        <v>356</v>
      </c>
      <c r="E31" s="232" t="s">
        <v>288</v>
      </c>
      <c r="F31" s="232" t="s">
        <v>292</v>
      </c>
      <c r="G31" s="55" t="s">
        <v>42</v>
      </c>
      <c r="H31" s="55" t="s">
        <v>155</v>
      </c>
      <c r="I31" s="55" t="s">
        <v>153</v>
      </c>
      <c r="J31" s="55" t="s">
        <v>38</v>
      </c>
      <c r="K31" s="55" t="s">
        <v>154</v>
      </c>
      <c r="L31" s="232">
        <v>3</v>
      </c>
      <c r="N31" s="232">
        <v>5</v>
      </c>
      <c r="O31" s="55">
        <v>0.8</v>
      </c>
      <c r="P31" s="55">
        <v>0.95</v>
      </c>
      <c r="Q31" s="57">
        <f t="shared" si="4"/>
        <v>0.875</v>
      </c>
      <c r="R31" s="55">
        <v>15</v>
      </c>
      <c r="S31" s="55">
        <v>117</v>
      </c>
      <c r="T31" s="57">
        <f t="shared" si="5"/>
        <v>30</v>
      </c>
      <c r="U31" s="232">
        <v>410</v>
      </c>
      <c r="V31" s="58">
        <f t="shared" si="6"/>
        <v>2460</v>
      </c>
      <c r="W31" s="232">
        <v>4</v>
      </c>
      <c r="X31" s="55" t="s">
        <v>46</v>
      </c>
      <c r="Y31" s="55" t="s">
        <v>50</v>
      </c>
      <c r="Z31" s="55" t="s">
        <v>84</v>
      </c>
      <c r="AA31" s="55" t="s">
        <v>90</v>
      </c>
      <c r="AB31" s="55" t="s">
        <v>370</v>
      </c>
    </row>
    <row r="32" spans="1:49" x14ac:dyDescent="0.15">
      <c r="A32" s="55" t="s">
        <v>41</v>
      </c>
      <c r="B32" s="232" t="s">
        <v>334</v>
      </c>
      <c r="C32" s="149">
        <v>2018</v>
      </c>
      <c r="D32" s="56" t="s">
        <v>356</v>
      </c>
      <c r="E32" s="232" t="s">
        <v>288</v>
      </c>
      <c r="F32" s="232" t="s">
        <v>294</v>
      </c>
      <c r="G32" s="55" t="s">
        <v>42</v>
      </c>
      <c r="H32" s="55" t="s">
        <v>155</v>
      </c>
      <c r="I32" s="55" t="s">
        <v>153</v>
      </c>
      <c r="J32" s="55" t="s">
        <v>38</v>
      </c>
      <c r="K32" s="55" t="s">
        <v>154</v>
      </c>
      <c r="L32" s="232">
        <v>1</v>
      </c>
      <c r="N32" s="55">
        <v>1</v>
      </c>
      <c r="O32" s="55">
        <v>0.95</v>
      </c>
      <c r="P32" s="55">
        <v>0.9</v>
      </c>
      <c r="Q32" s="57">
        <f t="shared" si="4"/>
        <v>0.92500000000000004</v>
      </c>
      <c r="R32" s="55">
        <v>13</v>
      </c>
      <c r="S32" s="55">
        <v>124</v>
      </c>
      <c r="T32" s="57">
        <f t="shared" si="5"/>
        <v>27</v>
      </c>
      <c r="U32" s="232">
        <v>62</v>
      </c>
      <c r="V32" s="58">
        <f t="shared" si="6"/>
        <v>1674</v>
      </c>
      <c r="W32" s="232">
        <v>4</v>
      </c>
      <c r="X32" s="55" t="s">
        <v>46</v>
      </c>
      <c r="Y32" s="55" t="s">
        <v>84</v>
      </c>
      <c r="Z32" s="55" t="s">
        <v>90</v>
      </c>
      <c r="AA32" s="55" t="s">
        <v>50</v>
      </c>
      <c r="AB32" s="55" t="s">
        <v>370</v>
      </c>
    </row>
    <row r="33" spans="1:30" x14ac:dyDescent="0.15">
      <c r="A33" s="55" t="s">
        <v>41</v>
      </c>
      <c r="B33" s="232" t="s">
        <v>334</v>
      </c>
      <c r="C33" s="149">
        <v>2018</v>
      </c>
      <c r="D33" s="56" t="s">
        <v>356</v>
      </c>
      <c r="E33" s="232" t="s">
        <v>288</v>
      </c>
      <c r="F33" s="232" t="s">
        <v>294</v>
      </c>
      <c r="G33" s="55" t="s">
        <v>42</v>
      </c>
      <c r="H33" s="55" t="s">
        <v>155</v>
      </c>
      <c r="I33" s="55" t="s">
        <v>153</v>
      </c>
      <c r="J33" s="55" t="s">
        <v>38</v>
      </c>
      <c r="K33" s="55" t="s">
        <v>154</v>
      </c>
      <c r="L33" s="232">
        <v>2</v>
      </c>
      <c r="N33" s="55">
        <v>1</v>
      </c>
      <c r="O33" s="55">
        <v>1</v>
      </c>
      <c r="P33" s="55">
        <v>1.1000000000000001</v>
      </c>
      <c r="Q33" s="57">
        <f t="shared" si="4"/>
        <v>1.05</v>
      </c>
      <c r="R33" s="55">
        <v>12.8</v>
      </c>
      <c r="S33" s="55">
        <v>122</v>
      </c>
      <c r="T33" s="57">
        <f t="shared" si="5"/>
        <v>27</v>
      </c>
      <c r="U33" s="232">
        <v>62</v>
      </c>
      <c r="V33" s="58">
        <f t="shared" si="6"/>
        <v>1674</v>
      </c>
      <c r="W33" s="232">
        <v>4</v>
      </c>
      <c r="X33" s="55" t="s">
        <v>46</v>
      </c>
      <c r="Y33" s="55" t="s">
        <v>84</v>
      </c>
      <c r="Z33" s="55" t="s">
        <v>90</v>
      </c>
      <c r="AA33" s="55" t="s">
        <v>50</v>
      </c>
      <c r="AB33" s="55" t="s">
        <v>370</v>
      </c>
    </row>
    <row r="34" spans="1:30" x14ac:dyDescent="0.15">
      <c r="A34" s="55" t="s">
        <v>41</v>
      </c>
      <c r="B34" s="232" t="s">
        <v>334</v>
      </c>
      <c r="C34" s="149">
        <v>2018</v>
      </c>
      <c r="D34" s="56" t="s">
        <v>356</v>
      </c>
      <c r="E34" s="232" t="s">
        <v>288</v>
      </c>
      <c r="F34" s="232" t="s">
        <v>294</v>
      </c>
      <c r="G34" s="55" t="s">
        <v>42</v>
      </c>
      <c r="H34" s="55" t="s">
        <v>155</v>
      </c>
      <c r="I34" s="55" t="s">
        <v>153</v>
      </c>
      <c r="J34" s="55" t="s">
        <v>38</v>
      </c>
      <c r="K34" s="55" t="s">
        <v>154</v>
      </c>
      <c r="L34" s="232">
        <v>3</v>
      </c>
      <c r="N34" s="55">
        <v>1</v>
      </c>
      <c r="O34" s="55">
        <v>0.85</v>
      </c>
      <c r="P34" s="55">
        <v>0.95</v>
      </c>
      <c r="Q34" s="57">
        <f t="shared" si="4"/>
        <v>0.89999999999999991</v>
      </c>
      <c r="R34" s="55">
        <v>16.2</v>
      </c>
      <c r="S34" s="55">
        <v>122</v>
      </c>
      <c r="T34" s="57">
        <f t="shared" si="5"/>
        <v>27</v>
      </c>
      <c r="U34" s="55">
        <v>62</v>
      </c>
      <c r="V34" s="58">
        <f t="shared" si="6"/>
        <v>1674</v>
      </c>
      <c r="W34" s="232">
        <v>4</v>
      </c>
      <c r="X34" s="55" t="s">
        <v>46</v>
      </c>
      <c r="Y34" s="55" t="s">
        <v>84</v>
      </c>
      <c r="Z34" s="55" t="s">
        <v>90</v>
      </c>
      <c r="AA34" s="55" t="s">
        <v>50</v>
      </c>
      <c r="AB34" s="55" t="s">
        <v>370</v>
      </c>
    </row>
    <row r="35" spans="1:30" x14ac:dyDescent="0.15">
      <c r="A35" s="55" t="s">
        <v>41</v>
      </c>
      <c r="B35" s="232" t="s">
        <v>334</v>
      </c>
      <c r="C35" s="149">
        <v>2018</v>
      </c>
      <c r="D35" s="56" t="s">
        <v>356</v>
      </c>
      <c r="E35" s="232" t="s">
        <v>288</v>
      </c>
      <c r="F35" s="232" t="s">
        <v>294</v>
      </c>
      <c r="G35" s="55" t="s">
        <v>42</v>
      </c>
      <c r="H35" s="55" t="s">
        <v>155</v>
      </c>
      <c r="I35" s="55" t="s">
        <v>153</v>
      </c>
      <c r="J35" s="55" t="s">
        <v>38</v>
      </c>
      <c r="K35" s="55" t="s">
        <v>154</v>
      </c>
      <c r="L35" s="232">
        <v>1</v>
      </c>
      <c r="N35" s="55">
        <v>5</v>
      </c>
      <c r="O35" s="232">
        <v>0.7</v>
      </c>
      <c r="P35" s="232">
        <v>0.85</v>
      </c>
      <c r="Q35" s="57">
        <f t="shared" si="4"/>
        <v>0.77499999999999991</v>
      </c>
      <c r="R35" s="232">
        <v>15.7</v>
      </c>
      <c r="S35" s="232">
        <v>121</v>
      </c>
      <c r="T35" s="57">
        <f t="shared" si="5"/>
        <v>27</v>
      </c>
      <c r="U35" s="232">
        <v>313</v>
      </c>
      <c r="V35" s="58">
        <f t="shared" si="6"/>
        <v>1690.2</v>
      </c>
      <c r="W35" s="232">
        <v>1</v>
      </c>
      <c r="X35" s="55" t="s">
        <v>46</v>
      </c>
      <c r="Y35" s="55" t="s">
        <v>84</v>
      </c>
      <c r="Z35" s="55" t="s">
        <v>90</v>
      </c>
      <c r="AA35" s="55" t="s">
        <v>50</v>
      </c>
      <c r="AB35" s="55" t="s">
        <v>370</v>
      </c>
    </row>
    <row r="36" spans="1:30" x14ac:dyDescent="0.15">
      <c r="A36" s="55" t="s">
        <v>41</v>
      </c>
      <c r="B36" s="232" t="s">
        <v>334</v>
      </c>
      <c r="C36" s="149">
        <v>2018</v>
      </c>
      <c r="D36" s="56" t="s">
        <v>356</v>
      </c>
      <c r="E36" s="232" t="s">
        <v>288</v>
      </c>
      <c r="F36" s="232" t="s">
        <v>294</v>
      </c>
      <c r="G36" s="55" t="s">
        <v>42</v>
      </c>
      <c r="H36" s="55" t="s">
        <v>155</v>
      </c>
      <c r="I36" s="55" t="s">
        <v>153</v>
      </c>
      <c r="J36" s="55" t="s">
        <v>38</v>
      </c>
      <c r="K36" s="55" t="s">
        <v>154</v>
      </c>
      <c r="L36" s="232">
        <v>2</v>
      </c>
      <c r="N36" s="55">
        <v>5</v>
      </c>
      <c r="O36" s="232">
        <v>0.75</v>
      </c>
      <c r="P36" s="232">
        <v>0.65</v>
      </c>
      <c r="Q36" s="57">
        <f t="shared" si="4"/>
        <v>0.7</v>
      </c>
      <c r="R36" s="232">
        <v>14.4</v>
      </c>
      <c r="S36" s="232">
        <v>124</v>
      </c>
      <c r="T36" s="57">
        <f t="shared" si="5"/>
        <v>27</v>
      </c>
      <c r="U36" s="232">
        <v>313</v>
      </c>
      <c r="V36" s="58">
        <f t="shared" si="6"/>
        <v>1690.2</v>
      </c>
      <c r="W36" s="232">
        <v>1</v>
      </c>
      <c r="X36" s="55" t="s">
        <v>46</v>
      </c>
      <c r="Y36" s="55" t="s">
        <v>84</v>
      </c>
      <c r="Z36" s="55" t="s">
        <v>90</v>
      </c>
      <c r="AA36" s="55" t="s">
        <v>50</v>
      </c>
      <c r="AB36" s="55" t="s">
        <v>370</v>
      </c>
    </row>
    <row r="37" spans="1:30" x14ac:dyDescent="0.15">
      <c r="A37" s="55" t="s">
        <v>41</v>
      </c>
      <c r="B37" s="232" t="s">
        <v>334</v>
      </c>
      <c r="C37" s="149">
        <v>2018</v>
      </c>
      <c r="D37" s="56" t="s">
        <v>356</v>
      </c>
      <c r="E37" s="232" t="s">
        <v>288</v>
      </c>
      <c r="F37" s="232" t="s">
        <v>294</v>
      </c>
      <c r="G37" s="55" t="s">
        <v>42</v>
      </c>
      <c r="H37" s="55" t="s">
        <v>155</v>
      </c>
      <c r="I37" s="55" t="s">
        <v>153</v>
      </c>
      <c r="J37" s="55" t="s">
        <v>38</v>
      </c>
      <c r="K37" s="55" t="s">
        <v>154</v>
      </c>
      <c r="L37" s="232">
        <v>3</v>
      </c>
      <c r="N37" s="55">
        <v>5</v>
      </c>
      <c r="O37" s="232">
        <v>0.65</v>
      </c>
      <c r="P37" s="232">
        <v>0.6</v>
      </c>
      <c r="Q37" s="57">
        <f t="shared" si="4"/>
        <v>0.625</v>
      </c>
      <c r="R37" s="232">
        <v>14.5</v>
      </c>
      <c r="S37" s="232">
        <v>122</v>
      </c>
      <c r="T37" s="57">
        <f t="shared" si="5"/>
        <v>27</v>
      </c>
      <c r="U37" s="55">
        <v>313</v>
      </c>
      <c r="V37" s="58">
        <f t="shared" si="6"/>
        <v>1690.2</v>
      </c>
      <c r="W37" s="232">
        <v>1</v>
      </c>
      <c r="X37" s="55" t="s">
        <v>46</v>
      </c>
      <c r="Y37" s="55" t="s">
        <v>84</v>
      </c>
      <c r="Z37" s="55" t="s">
        <v>90</v>
      </c>
      <c r="AA37" s="55" t="s">
        <v>50</v>
      </c>
      <c r="AB37" s="55" t="s">
        <v>370</v>
      </c>
    </row>
    <row r="38" spans="1:30" x14ac:dyDescent="0.15">
      <c r="A38" s="55" t="s">
        <v>41</v>
      </c>
      <c r="B38" s="232" t="s">
        <v>334</v>
      </c>
      <c r="C38" s="149">
        <v>2018</v>
      </c>
      <c r="D38" s="56" t="s">
        <v>356</v>
      </c>
      <c r="E38" s="232" t="s">
        <v>288</v>
      </c>
      <c r="F38" s="232" t="s">
        <v>294</v>
      </c>
      <c r="G38" s="55" t="s">
        <v>42</v>
      </c>
      <c r="H38" s="55" t="s">
        <v>155</v>
      </c>
      <c r="I38" s="55" t="s">
        <v>153</v>
      </c>
      <c r="J38" s="55" t="s">
        <v>38</v>
      </c>
      <c r="K38" s="55" t="s">
        <v>154</v>
      </c>
      <c r="L38" s="232">
        <v>1</v>
      </c>
      <c r="N38" s="55">
        <v>8</v>
      </c>
      <c r="O38" s="232">
        <v>0.25</v>
      </c>
      <c r="P38" s="232">
        <v>0.4</v>
      </c>
      <c r="Q38" s="57">
        <f t="shared" si="4"/>
        <v>0.32500000000000001</v>
      </c>
      <c r="R38" s="232">
        <v>13.4</v>
      </c>
      <c r="S38" s="232">
        <v>120</v>
      </c>
      <c r="T38" s="57">
        <f t="shared" si="5"/>
        <v>30</v>
      </c>
      <c r="U38" s="232">
        <v>626</v>
      </c>
      <c r="V38" s="58">
        <f t="shared" si="6"/>
        <v>2347.5</v>
      </c>
      <c r="W38" s="232">
        <v>2</v>
      </c>
      <c r="X38" s="55" t="s">
        <v>46</v>
      </c>
      <c r="Y38" s="55" t="s">
        <v>84</v>
      </c>
      <c r="Z38" s="55" t="s">
        <v>90</v>
      </c>
      <c r="AA38" s="55" t="s">
        <v>50</v>
      </c>
      <c r="AB38" s="55" t="s">
        <v>370</v>
      </c>
    </row>
    <row r="39" spans="1:30" x14ac:dyDescent="0.15">
      <c r="A39" s="55" t="s">
        <v>41</v>
      </c>
      <c r="B39" s="232" t="s">
        <v>334</v>
      </c>
      <c r="C39" s="149">
        <v>2018</v>
      </c>
      <c r="D39" s="56" t="s">
        <v>356</v>
      </c>
      <c r="E39" s="232" t="s">
        <v>288</v>
      </c>
      <c r="F39" s="232" t="s">
        <v>294</v>
      </c>
      <c r="G39" s="55" t="s">
        <v>42</v>
      </c>
      <c r="H39" s="55" t="s">
        <v>155</v>
      </c>
      <c r="I39" s="55" t="s">
        <v>153</v>
      </c>
      <c r="J39" s="55" t="s">
        <v>38</v>
      </c>
      <c r="K39" s="55" t="s">
        <v>154</v>
      </c>
      <c r="L39" s="232">
        <v>2</v>
      </c>
      <c r="N39" s="55">
        <v>8</v>
      </c>
      <c r="O39" s="232">
        <v>0.45</v>
      </c>
      <c r="P39" s="232">
        <v>0.35</v>
      </c>
      <c r="Q39" s="57">
        <f t="shared" si="4"/>
        <v>0.4</v>
      </c>
      <c r="R39" s="232">
        <v>13.3</v>
      </c>
      <c r="S39" s="232">
        <v>118</v>
      </c>
      <c r="T39" s="57">
        <f t="shared" si="5"/>
        <v>30</v>
      </c>
      <c r="U39" s="232">
        <v>626</v>
      </c>
      <c r="V39" s="58">
        <f t="shared" si="6"/>
        <v>2347.5</v>
      </c>
      <c r="W39" s="232">
        <v>2</v>
      </c>
      <c r="X39" s="55" t="s">
        <v>46</v>
      </c>
      <c r="Y39" s="55" t="s">
        <v>84</v>
      </c>
      <c r="Z39" s="55" t="s">
        <v>90</v>
      </c>
      <c r="AA39" s="55" t="s">
        <v>50</v>
      </c>
      <c r="AB39" s="55" t="s">
        <v>370</v>
      </c>
    </row>
    <row r="40" spans="1:30" x14ac:dyDescent="0.15">
      <c r="A40" s="55" t="s">
        <v>41</v>
      </c>
      <c r="B40" s="232" t="s">
        <v>334</v>
      </c>
      <c r="C40" s="149">
        <v>2018</v>
      </c>
      <c r="D40" s="56" t="s">
        <v>356</v>
      </c>
      <c r="E40" s="232" t="s">
        <v>288</v>
      </c>
      <c r="F40" s="232" t="s">
        <v>294</v>
      </c>
      <c r="G40" s="55" t="s">
        <v>42</v>
      </c>
      <c r="H40" s="55" t="s">
        <v>155</v>
      </c>
      <c r="I40" s="55" t="s">
        <v>153</v>
      </c>
      <c r="J40" s="55" t="s">
        <v>38</v>
      </c>
      <c r="K40" s="55" t="s">
        <v>154</v>
      </c>
      <c r="L40" s="232">
        <v>3</v>
      </c>
      <c r="N40" s="55">
        <v>8</v>
      </c>
      <c r="O40" s="232">
        <v>0.65</v>
      </c>
      <c r="P40" s="232">
        <v>0.45</v>
      </c>
      <c r="Q40" s="57">
        <f t="shared" si="4"/>
        <v>0.55000000000000004</v>
      </c>
      <c r="R40" s="232">
        <v>15.1</v>
      </c>
      <c r="S40" s="232">
        <v>115</v>
      </c>
      <c r="T40" s="57">
        <f t="shared" si="5"/>
        <v>30</v>
      </c>
      <c r="U40" s="55">
        <v>626</v>
      </c>
      <c r="V40" s="58">
        <f t="shared" si="6"/>
        <v>2347.5</v>
      </c>
      <c r="W40" s="232">
        <v>2</v>
      </c>
      <c r="X40" s="55" t="s">
        <v>46</v>
      </c>
      <c r="Y40" s="55" t="s">
        <v>84</v>
      </c>
      <c r="Z40" s="55" t="s">
        <v>90</v>
      </c>
      <c r="AA40" s="55" t="s">
        <v>50</v>
      </c>
      <c r="AB40" s="55" t="s">
        <v>370</v>
      </c>
    </row>
    <row r="41" spans="1:30" x14ac:dyDescent="0.15">
      <c r="A41" s="55" t="s">
        <v>41</v>
      </c>
      <c r="B41" s="232" t="s">
        <v>334</v>
      </c>
      <c r="C41" s="149">
        <v>2018</v>
      </c>
      <c r="D41" s="56" t="s">
        <v>356</v>
      </c>
      <c r="E41" s="55" t="s">
        <v>290</v>
      </c>
      <c r="F41" s="232" t="s">
        <v>295</v>
      </c>
      <c r="G41" s="55" t="s">
        <v>42</v>
      </c>
      <c r="H41" s="55" t="s">
        <v>155</v>
      </c>
      <c r="I41" s="55" t="s">
        <v>153</v>
      </c>
      <c r="J41" s="55" t="s">
        <v>38</v>
      </c>
      <c r="K41" s="55" t="s">
        <v>154</v>
      </c>
      <c r="L41" s="232">
        <v>1</v>
      </c>
      <c r="N41" s="232">
        <v>1</v>
      </c>
      <c r="O41" s="55">
        <v>0.65</v>
      </c>
      <c r="P41" s="55">
        <v>0.5</v>
      </c>
      <c r="Q41" s="57">
        <f t="shared" si="4"/>
        <v>0.57499999999999996</v>
      </c>
      <c r="R41" s="232">
        <v>14.3</v>
      </c>
      <c r="S41" s="232">
        <v>123</v>
      </c>
      <c r="T41" s="57">
        <f t="shared" si="5"/>
        <v>27</v>
      </c>
      <c r="U41" s="232">
        <v>105</v>
      </c>
      <c r="V41" s="58">
        <f t="shared" si="6"/>
        <v>2835</v>
      </c>
      <c r="W41" s="232">
        <v>4</v>
      </c>
      <c r="X41" s="55" t="s">
        <v>46</v>
      </c>
      <c r="Y41" s="55" t="s">
        <v>90</v>
      </c>
      <c r="Z41" s="55" t="s">
        <v>84</v>
      </c>
      <c r="AA41" s="55" t="s">
        <v>69</v>
      </c>
      <c r="AB41" s="55" t="s">
        <v>370</v>
      </c>
      <c r="AC41" s="55"/>
      <c r="AD41" s="55"/>
    </row>
    <row r="42" spans="1:30" x14ac:dyDescent="0.15">
      <c r="A42" s="55" t="s">
        <v>41</v>
      </c>
      <c r="B42" s="232" t="s">
        <v>334</v>
      </c>
      <c r="C42" s="149">
        <v>2018</v>
      </c>
      <c r="D42" s="56" t="s">
        <v>356</v>
      </c>
      <c r="E42" s="55" t="s">
        <v>290</v>
      </c>
      <c r="F42" s="232" t="s">
        <v>295</v>
      </c>
      <c r="G42" s="55" t="s">
        <v>42</v>
      </c>
      <c r="H42" s="55" t="s">
        <v>155</v>
      </c>
      <c r="I42" s="55" t="s">
        <v>153</v>
      </c>
      <c r="J42" s="55" t="s">
        <v>38</v>
      </c>
      <c r="K42" s="55" t="s">
        <v>154</v>
      </c>
      <c r="L42" s="232">
        <v>2</v>
      </c>
      <c r="N42" s="232">
        <v>1</v>
      </c>
      <c r="O42" s="55">
        <v>0.7</v>
      </c>
      <c r="P42" s="55">
        <v>0.65</v>
      </c>
      <c r="Q42" s="57">
        <f t="shared" si="4"/>
        <v>0.67500000000000004</v>
      </c>
      <c r="R42" s="232">
        <v>13.8</v>
      </c>
      <c r="S42" s="232">
        <v>124</v>
      </c>
      <c r="T42" s="57">
        <f t="shared" si="5"/>
        <v>27</v>
      </c>
      <c r="U42" s="232">
        <v>105</v>
      </c>
      <c r="V42" s="58">
        <f t="shared" si="6"/>
        <v>2835</v>
      </c>
      <c r="W42" s="232">
        <v>4</v>
      </c>
      <c r="X42" s="55" t="s">
        <v>46</v>
      </c>
      <c r="Y42" s="55" t="s">
        <v>90</v>
      </c>
      <c r="Z42" s="55" t="s">
        <v>84</v>
      </c>
      <c r="AA42" s="55" t="s">
        <v>69</v>
      </c>
      <c r="AB42" s="55" t="s">
        <v>370</v>
      </c>
      <c r="AC42" s="55"/>
      <c r="AD42" s="55"/>
    </row>
    <row r="43" spans="1:30" x14ac:dyDescent="0.15">
      <c r="A43" s="55" t="s">
        <v>41</v>
      </c>
      <c r="B43" s="232" t="s">
        <v>334</v>
      </c>
      <c r="C43" s="149">
        <v>2018</v>
      </c>
      <c r="D43" s="56" t="s">
        <v>356</v>
      </c>
      <c r="E43" s="55" t="s">
        <v>290</v>
      </c>
      <c r="F43" s="232" t="s">
        <v>295</v>
      </c>
      <c r="G43" s="55" t="s">
        <v>42</v>
      </c>
      <c r="H43" s="55" t="s">
        <v>155</v>
      </c>
      <c r="I43" s="55" t="s">
        <v>153</v>
      </c>
      <c r="J43" s="55" t="s">
        <v>38</v>
      </c>
      <c r="K43" s="55" t="s">
        <v>154</v>
      </c>
      <c r="L43" s="232">
        <v>3</v>
      </c>
      <c r="N43" s="232">
        <v>1</v>
      </c>
      <c r="O43" s="55">
        <v>0.65</v>
      </c>
      <c r="P43" s="252">
        <v>0.5</v>
      </c>
      <c r="Q43" s="57">
        <f t="shared" si="4"/>
        <v>0.57499999999999996</v>
      </c>
      <c r="R43" s="232">
        <v>14.7</v>
      </c>
      <c r="S43" s="232">
        <v>125</v>
      </c>
      <c r="T43" s="57">
        <f t="shared" si="5"/>
        <v>27</v>
      </c>
      <c r="U43" s="232">
        <v>105</v>
      </c>
      <c r="V43" s="58">
        <f t="shared" si="6"/>
        <v>2835</v>
      </c>
      <c r="W43" s="232">
        <v>4</v>
      </c>
      <c r="X43" s="55" t="s">
        <v>46</v>
      </c>
      <c r="Y43" s="55" t="s">
        <v>90</v>
      </c>
      <c r="Z43" s="55" t="s">
        <v>84</v>
      </c>
      <c r="AA43" s="55" t="s">
        <v>69</v>
      </c>
      <c r="AB43" s="55" t="s">
        <v>370</v>
      </c>
      <c r="AC43" s="55"/>
      <c r="AD43" s="55"/>
    </row>
    <row r="44" spans="1:30" x14ac:dyDescent="0.15">
      <c r="A44" s="55" t="s">
        <v>41</v>
      </c>
      <c r="B44" s="232" t="s">
        <v>334</v>
      </c>
      <c r="C44" s="149">
        <v>2018</v>
      </c>
      <c r="D44" s="56" t="s">
        <v>356</v>
      </c>
      <c r="E44" s="55" t="s">
        <v>290</v>
      </c>
      <c r="F44" s="232" t="s">
        <v>295</v>
      </c>
      <c r="G44" s="55" t="s">
        <v>42</v>
      </c>
      <c r="H44" s="55" t="s">
        <v>155</v>
      </c>
      <c r="I44" s="55" t="s">
        <v>153</v>
      </c>
      <c r="J44" s="55" t="s">
        <v>38</v>
      </c>
      <c r="K44" s="55" t="s">
        <v>154</v>
      </c>
      <c r="L44" s="232">
        <v>1</v>
      </c>
      <c r="N44" s="232">
        <v>3</v>
      </c>
      <c r="O44" s="55">
        <v>1</v>
      </c>
      <c r="P44" s="55">
        <v>0.95</v>
      </c>
      <c r="Q44" s="57">
        <f t="shared" si="4"/>
        <v>0.97499999999999998</v>
      </c>
      <c r="R44" s="232">
        <v>14.4</v>
      </c>
      <c r="S44" s="232">
        <v>128</v>
      </c>
      <c r="T44" s="57">
        <f t="shared" si="5"/>
        <v>27</v>
      </c>
      <c r="U44" s="232">
        <v>419</v>
      </c>
      <c r="V44" s="58">
        <f t="shared" si="6"/>
        <v>3770.9999999999995</v>
      </c>
      <c r="W44" s="232">
        <v>1</v>
      </c>
      <c r="X44" s="55" t="s">
        <v>46</v>
      </c>
      <c r="Y44" s="55" t="s">
        <v>90</v>
      </c>
      <c r="Z44" s="55" t="s">
        <v>84</v>
      </c>
      <c r="AA44" s="55" t="s">
        <v>69</v>
      </c>
      <c r="AB44" s="55" t="s">
        <v>370</v>
      </c>
      <c r="AC44" s="55"/>
      <c r="AD44" s="55"/>
    </row>
    <row r="45" spans="1:30" x14ac:dyDescent="0.15">
      <c r="A45" s="55" t="s">
        <v>41</v>
      </c>
      <c r="B45" s="232" t="s">
        <v>334</v>
      </c>
      <c r="C45" s="149">
        <v>2018</v>
      </c>
      <c r="D45" s="56" t="s">
        <v>356</v>
      </c>
      <c r="E45" s="55" t="s">
        <v>290</v>
      </c>
      <c r="F45" s="232" t="s">
        <v>295</v>
      </c>
      <c r="G45" s="55" t="s">
        <v>42</v>
      </c>
      <c r="H45" s="55" t="s">
        <v>155</v>
      </c>
      <c r="I45" s="55" t="s">
        <v>153</v>
      </c>
      <c r="J45" s="55" t="s">
        <v>38</v>
      </c>
      <c r="K45" s="55" t="s">
        <v>154</v>
      </c>
      <c r="L45" s="232">
        <v>2</v>
      </c>
      <c r="N45" s="232">
        <v>3</v>
      </c>
      <c r="O45" s="55">
        <v>0.95</v>
      </c>
      <c r="P45" s="55">
        <v>0.85</v>
      </c>
      <c r="Q45" s="57">
        <f t="shared" si="4"/>
        <v>0.89999999999999991</v>
      </c>
      <c r="R45" s="232">
        <v>13.8</v>
      </c>
      <c r="S45" s="232">
        <v>130</v>
      </c>
      <c r="T45" s="57">
        <f t="shared" si="5"/>
        <v>25</v>
      </c>
      <c r="U45" s="232">
        <v>419</v>
      </c>
      <c r="V45" s="58">
        <f t="shared" si="6"/>
        <v>3491.6666666666665</v>
      </c>
      <c r="W45" s="232">
        <v>1</v>
      </c>
      <c r="X45" s="55" t="s">
        <v>46</v>
      </c>
      <c r="Y45" s="55" t="s">
        <v>90</v>
      </c>
      <c r="Z45" s="55" t="s">
        <v>84</v>
      </c>
      <c r="AA45" s="55" t="s">
        <v>69</v>
      </c>
      <c r="AB45" s="55" t="s">
        <v>370</v>
      </c>
    </row>
    <row r="46" spans="1:30" x14ac:dyDescent="0.15">
      <c r="A46" s="55" t="s">
        <v>41</v>
      </c>
      <c r="B46" s="232" t="s">
        <v>334</v>
      </c>
      <c r="C46" s="149">
        <v>2018</v>
      </c>
      <c r="D46" s="56" t="s">
        <v>356</v>
      </c>
      <c r="E46" s="55" t="s">
        <v>290</v>
      </c>
      <c r="F46" s="232" t="s">
        <v>295</v>
      </c>
      <c r="G46" s="55" t="s">
        <v>42</v>
      </c>
      <c r="H46" s="55" t="s">
        <v>155</v>
      </c>
      <c r="I46" s="55" t="s">
        <v>153</v>
      </c>
      <c r="J46" s="55" t="s">
        <v>38</v>
      </c>
      <c r="K46" s="55" t="s">
        <v>154</v>
      </c>
      <c r="L46" s="232">
        <v>3</v>
      </c>
      <c r="N46" s="232">
        <v>3</v>
      </c>
      <c r="O46" s="55">
        <v>0.85</v>
      </c>
      <c r="P46" s="252">
        <v>0.8</v>
      </c>
      <c r="Q46" s="57">
        <f t="shared" si="4"/>
        <v>0.82499999999999996</v>
      </c>
      <c r="R46" s="232">
        <v>15.1</v>
      </c>
      <c r="S46" s="232">
        <v>127</v>
      </c>
      <c r="T46" s="57">
        <f t="shared" si="5"/>
        <v>27</v>
      </c>
      <c r="U46" s="232">
        <v>419</v>
      </c>
      <c r="V46" s="58">
        <f t="shared" si="6"/>
        <v>3770.9999999999995</v>
      </c>
      <c r="W46" s="232">
        <v>1</v>
      </c>
      <c r="X46" s="55" t="s">
        <v>46</v>
      </c>
      <c r="Y46" s="55" t="s">
        <v>90</v>
      </c>
      <c r="Z46" s="55" t="s">
        <v>84</v>
      </c>
      <c r="AA46" s="55" t="s">
        <v>69</v>
      </c>
      <c r="AB46" s="55" t="s">
        <v>370</v>
      </c>
    </row>
    <row r="47" spans="1:30" x14ac:dyDescent="0.15">
      <c r="A47" s="55" t="s">
        <v>41</v>
      </c>
      <c r="B47" s="232" t="s">
        <v>334</v>
      </c>
      <c r="C47" s="149">
        <v>2018</v>
      </c>
      <c r="D47" s="56" t="s">
        <v>356</v>
      </c>
      <c r="E47" s="55" t="s">
        <v>290</v>
      </c>
      <c r="F47" s="232" t="s">
        <v>296</v>
      </c>
      <c r="G47" s="55" t="s">
        <v>42</v>
      </c>
      <c r="H47" s="55" t="s">
        <v>155</v>
      </c>
      <c r="I47" s="55" t="s">
        <v>153</v>
      </c>
      <c r="J47" s="55" t="s">
        <v>38</v>
      </c>
      <c r="K47" s="55" t="s">
        <v>154</v>
      </c>
      <c r="L47" s="232">
        <v>1</v>
      </c>
      <c r="N47" s="232">
        <v>5</v>
      </c>
      <c r="O47" s="55">
        <v>0.65</v>
      </c>
      <c r="P47" s="55">
        <v>0.65</v>
      </c>
      <c r="Q47" s="57">
        <f t="shared" si="4"/>
        <v>0.65</v>
      </c>
      <c r="R47" s="232">
        <v>14.2</v>
      </c>
      <c r="S47" s="55">
        <v>114</v>
      </c>
      <c r="T47" s="57">
        <f t="shared" si="5"/>
        <v>30</v>
      </c>
      <c r="U47" s="232">
        <v>419</v>
      </c>
      <c r="V47" s="58">
        <f t="shared" si="6"/>
        <v>2514</v>
      </c>
      <c r="W47" s="232">
        <v>3</v>
      </c>
      <c r="X47" s="55" t="s">
        <v>46</v>
      </c>
      <c r="Y47" s="55" t="s">
        <v>84</v>
      </c>
      <c r="Z47" s="55" t="s">
        <v>78</v>
      </c>
      <c r="AA47" s="55" t="s">
        <v>90</v>
      </c>
      <c r="AB47" s="55" t="s">
        <v>370</v>
      </c>
    </row>
    <row r="48" spans="1:30" x14ac:dyDescent="0.15">
      <c r="A48" s="55" t="s">
        <v>41</v>
      </c>
      <c r="B48" s="232" t="s">
        <v>334</v>
      </c>
      <c r="C48" s="149">
        <v>2018</v>
      </c>
      <c r="D48" s="56" t="s">
        <v>356</v>
      </c>
      <c r="E48" s="55" t="s">
        <v>290</v>
      </c>
      <c r="F48" s="232" t="s">
        <v>296</v>
      </c>
      <c r="G48" s="55" t="s">
        <v>42</v>
      </c>
      <c r="H48" s="55" t="s">
        <v>155</v>
      </c>
      <c r="I48" s="55" t="s">
        <v>153</v>
      </c>
      <c r="J48" s="55" t="s">
        <v>38</v>
      </c>
      <c r="K48" s="55" t="s">
        <v>154</v>
      </c>
      <c r="L48" s="232">
        <v>2</v>
      </c>
      <c r="N48" s="232">
        <v>5</v>
      </c>
      <c r="O48" s="55">
        <v>0.7</v>
      </c>
      <c r="P48" s="55">
        <v>0.7</v>
      </c>
      <c r="Q48" s="57">
        <f t="shared" si="4"/>
        <v>0.7</v>
      </c>
      <c r="R48" s="55">
        <v>13.1</v>
      </c>
      <c r="S48" s="55">
        <v>115</v>
      </c>
      <c r="T48" s="57">
        <f t="shared" si="5"/>
        <v>30</v>
      </c>
      <c r="U48" s="232">
        <v>419</v>
      </c>
      <c r="V48" s="58">
        <f t="shared" si="6"/>
        <v>2514</v>
      </c>
      <c r="W48" s="232">
        <v>3</v>
      </c>
      <c r="X48" s="55" t="s">
        <v>46</v>
      </c>
      <c r="Y48" s="55" t="s">
        <v>84</v>
      </c>
      <c r="Z48" s="55" t="s">
        <v>78</v>
      </c>
      <c r="AA48" s="55" t="s">
        <v>90</v>
      </c>
      <c r="AB48" s="55" t="s">
        <v>370</v>
      </c>
    </row>
    <row r="49" spans="1:28" x14ac:dyDescent="0.15">
      <c r="A49" s="55" t="s">
        <v>41</v>
      </c>
      <c r="B49" s="232" t="s">
        <v>334</v>
      </c>
      <c r="C49" s="149">
        <v>2018</v>
      </c>
      <c r="D49" s="56" t="s">
        <v>356</v>
      </c>
      <c r="E49" s="55" t="s">
        <v>290</v>
      </c>
      <c r="F49" s="232" t="s">
        <v>296</v>
      </c>
      <c r="G49" s="55" t="s">
        <v>42</v>
      </c>
      <c r="H49" s="55" t="s">
        <v>155</v>
      </c>
      <c r="I49" s="55" t="s">
        <v>153</v>
      </c>
      <c r="J49" s="55" t="s">
        <v>38</v>
      </c>
      <c r="K49" s="55" t="s">
        <v>154</v>
      </c>
      <c r="L49" s="232">
        <v>3</v>
      </c>
      <c r="N49" s="232">
        <v>5</v>
      </c>
      <c r="O49" s="232">
        <v>0.8</v>
      </c>
      <c r="P49" s="232">
        <v>0.85</v>
      </c>
      <c r="Q49" s="57">
        <f t="shared" si="4"/>
        <v>0.82499999999999996</v>
      </c>
      <c r="R49" s="232">
        <v>14.8</v>
      </c>
      <c r="S49" s="232">
        <v>117</v>
      </c>
      <c r="T49" s="57">
        <f t="shared" si="5"/>
        <v>30</v>
      </c>
      <c r="U49" s="232">
        <v>419</v>
      </c>
      <c r="V49" s="58">
        <f t="shared" si="6"/>
        <v>2514</v>
      </c>
      <c r="W49" s="232">
        <v>3</v>
      </c>
      <c r="X49" s="55" t="s">
        <v>46</v>
      </c>
      <c r="Y49" s="55" t="s">
        <v>84</v>
      </c>
      <c r="Z49" s="55" t="s">
        <v>78</v>
      </c>
      <c r="AA49" s="55" t="s">
        <v>90</v>
      </c>
      <c r="AB49" s="55" t="s">
        <v>370</v>
      </c>
    </row>
    <row r="50" spans="1:28" x14ac:dyDescent="0.15">
      <c r="A50" s="55" t="s">
        <v>41</v>
      </c>
      <c r="B50" s="232" t="s">
        <v>334</v>
      </c>
      <c r="C50" s="149">
        <v>2018</v>
      </c>
      <c r="D50" s="56" t="s">
        <v>356</v>
      </c>
      <c r="E50" s="55" t="s">
        <v>290</v>
      </c>
      <c r="F50" s="232" t="s">
        <v>296</v>
      </c>
      <c r="G50" s="55" t="s">
        <v>42</v>
      </c>
      <c r="H50" s="55" t="s">
        <v>155</v>
      </c>
      <c r="I50" s="55" t="s">
        <v>153</v>
      </c>
      <c r="J50" s="55" t="s">
        <v>38</v>
      </c>
      <c r="K50" s="55" t="s">
        <v>154</v>
      </c>
      <c r="L50" s="232">
        <v>1</v>
      </c>
      <c r="N50" s="232">
        <v>1</v>
      </c>
      <c r="O50" s="232">
        <v>0.95</v>
      </c>
      <c r="P50" s="232">
        <v>1</v>
      </c>
      <c r="Q50" s="57">
        <f t="shared" si="4"/>
        <v>0.97499999999999998</v>
      </c>
      <c r="R50" s="232">
        <v>13.1</v>
      </c>
      <c r="S50" s="232">
        <v>124</v>
      </c>
      <c r="T50" s="57">
        <f t="shared" si="5"/>
        <v>27</v>
      </c>
      <c r="U50" s="232">
        <v>84</v>
      </c>
      <c r="V50" s="58">
        <f t="shared" si="6"/>
        <v>2268</v>
      </c>
      <c r="W50" s="232">
        <v>1</v>
      </c>
      <c r="X50" s="55" t="s">
        <v>46</v>
      </c>
      <c r="Y50" s="55" t="s">
        <v>84</v>
      </c>
      <c r="Z50" s="55" t="s">
        <v>78</v>
      </c>
      <c r="AA50" s="55" t="s">
        <v>90</v>
      </c>
      <c r="AB50" s="55" t="s">
        <v>370</v>
      </c>
    </row>
    <row r="51" spans="1:28" x14ac:dyDescent="0.15">
      <c r="A51" s="55" t="s">
        <v>41</v>
      </c>
      <c r="B51" s="232" t="s">
        <v>334</v>
      </c>
      <c r="C51" s="149">
        <v>2018</v>
      </c>
      <c r="D51" s="56" t="s">
        <v>356</v>
      </c>
      <c r="E51" s="55" t="s">
        <v>290</v>
      </c>
      <c r="F51" s="232" t="s">
        <v>296</v>
      </c>
      <c r="G51" s="55" t="s">
        <v>42</v>
      </c>
      <c r="H51" s="55" t="s">
        <v>155</v>
      </c>
      <c r="I51" s="55" t="s">
        <v>153</v>
      </c>
      <c r="J51" s="55" t="s">
        <v>38</v>
      </c>
      <c r="K51" s="55" t="s">
        <v>154</v>
      </c>
      <c r="L51" s="232">
        <v>2</v>
      </c>
      <c r="N51" s="232">
        <v>1</v>
      </c>
      <c r="O51" s="232">
        <v>0.8</v>
      </c>
      <c r="P51" s="232">
        <v>0.95</v>
      </c>
      <c r="Q51" s="57">
        <f t="shared" si="4"/>
        <v>0.875</v>
      </c>
      <c r="R51" s="232">
        <v>14.1</v>
      </c>
      <c r="S51" s="232">
        <v>123</v>
      </c>
      <c r="T51" s="57">
        <f t="shared" si="5"/>
        <v>27</v>
      </c>
      <c r="U51" s="232">
        <v>84</v>
      </c>
      <c r="V51" s="58">
        <f t="shared" si="6"/>
        <v>2268</v>
      </c>
      <c r="W51" s="232">
        <v>1</v>
      </c>
      <c r="X51" s="55" t="s">
        <v>46</v>
      </c>
      <c r="Y51" s="55" t="s">
        <v>84</v>
      </c>
      <c r="Z51" s="55" t="s">
        <v>78</v>
      </c>
      <c r="AA51" s="55" t="s">
        <v>90</v>
      </c>
      <c r="AB51" s="55" t="s">
        <v>370</v>
      </c>
    </row>
    <row r="52" spans="1:28" x14ac:dyDescent="0.15">
      <c r="A52" s="55" t="s">
        <v>41</v>
      </c>
      <c r="B52" s="232" t="s">
        <v>334</v>
      </c>
      <c r="C52" s="149">
        <v>2018</v>
      </c>
      <c r="D52" s="56" t="s">
        <v>356</v>
      </c>
      <c r="E52" s="55" t="s">
        <v>290</v>
      </c>
      <c r="F52" s="232" t="s">
        <v>296</v>
      </c>
      <c r="G52" s="55" t="s">
        <v>42</v>
      </c>
      <c r="H52" s="55" t="s">
        <v>155</v>
      </c>
      <c r="I52" s="55" t="s">
        <v>153</v>
      </c>
      <c r="J52" s="55" t="s">
        <v>38</v>
      </c>
      <c r="K52" s="55" t="s">
        <v>154</v>
      </c>
      <c r="L52" s="232">
        <v>3</v>
      </c>
      <c r="N52" s="232">
        <v>1</v>
      </c>
      <c r="O52" s="55">
        <v>0.95</v>
      </c>
      <c r="P52" s="55">
        <v>0.9</v>
      </c>
      <c r="Q52" s="82">
        <f t="shared" si="4"/>
        <v>0.92500000000000004</v>
      </c>
      <c r="R52" s="55">
        <v>14.6</v>
      </c>
      <c r="S52" s="55">
        <v>128</v>
      </c>
      <c r="T52" s="57">
        <f t="shared" si="5"/>
        <v>27</v>
      </c>
      <c r="U52" s="232">
        <v>84</v>
      </c>
      <c r="V52" s="58">
        <f t="shared" si="6"/>
        <v>2268</v>
      </c>
      <c r="W52" s="232">
        <v>1</v>
      </c>
      <c r="X52" s="55" t="s">
        <v>46</v>
      </c>
      <c r="Y52" s="55" t="s">
        <v>84</v>
      </c>
      <c r="Z52" s="55" t="s">
        <v>78</v>
      </c>
      <c r="AA52" s="55" t="s">
        <v>90</v>
      </c>
      <c r="AB52" s="55" t="s">
        <v>370</v>
      </c>
    </row>
    <row r="53" spans="1:28" x14ac:dyDescent="0.15">
      <c r="A53" s="55" t="s">
        <v>41</v>
      </c>
      <c r="B53" s="232" t="s">
        <v>334</v>
      </c>
      <c r="C53" s="149">
        <v>2018</v>
      </c>
      <c r="D53" s="56" t="s">
        <v>356</v>
      </c>
      <c r="E53" s="232" t="s">
        <v>291</v>
      </c>
      <c r="F53" s="232" t="s">
        <v>297</v>
      </c>
      <c r="G53" s="55" t="s">
        <v>42</v>
      </c>
      <c r="H53" s="55" t="s">
        <v>166</v>
      </c>
      <c r="I53" s="55" t="s">
        <v>153</v>
      </c>
      <c r="J53" s="55" t="s">
        <v>38</v>
      </c>
      <c r="K53" s="55" t="s">
        <v>286</v>
      </c>
      <c r="L53" s="232">
        <v>1</v>
      </c>
      <c r="N53" s="232">
        <v>1</v>
      </c>
      <c r="O53" s="55">
        <v>0.25</v>
      </c>
      <c r="P53" s="55">
        <v>0.25</v>
      </c>
      <c r="Q53" s="57">
        <f t="shared" si="4"/>
        <v>0.25</v>
      </c>
      <c r="R53" s="232">
        <v>16.5</v>
      </c>
      <c r="S53" s="55">
        <v>91</v>
      </c>
      <c r="T53" s="57">
        <f t="shared" si="5"/>
        <v>36</v>
      </c>
      <c r="U53" s="232">
        <v>105</v>
      </c>
      <c r="V53" s="58">
        <f t="shared" si="6"/>
        <v>3780</v>
      </c>
      <c r="W53" s="232">
        <v>2</v>
      </c>
      <c r="X53" s="55" t="s">
        <v>46</v>
      </c>
      <c r="Y53" s="55" t="s">
        <v>84</v>
      </c>
      <c r="Z53" s="55" t="s">
        <v>50</v>
      </c>
      <c r="AA53" s="55" t="s">
        <v>90</v>
      </c>
      <c r="AB53" s="55" t="s">
        <v>370</v>
      </c>
    </row>
    <row r="54" spans="1:28" x14ac:dyDescent="0.15">
      <c r="A54" s="55" t="s">
        <v>41</v>
      </c>
      <c r="B54" s="232" t="s">
        <v>334</v>
      </c>
      <c r="C54" s="149">
        <v>2018</v>
      </c>
      <c r="D54" s="56" t="s">
        <v>356</v>
      </c>
      <c r="E54" s="232" t="s">
        <v>291</v>
      </c>
      <c r="F54" s="232" t="s">
        <v>297</v>
      </c>
      <c r="G54" s="55" t="s">
        <v>42</v>
      </c>
      <c r="H54" s="55" t="s">
        <v>166</v>
      </c>
      <c r="I54" s="55" t="s">
        <v>153</v>
      </c>
      <c r="J54" s="55" t="s">
        <v>38</v>
      </c>
      <c r="K54" s="55" t="s">
        <v>286</v>
      </c>
      <c r="L54" s="232">
        <v>2</v>
      </c>
      <c r="N54" s="232">
        <v>1</v>
      </c>
      <c r="O54" s="55">
        <v>0.25</v>
      </c>
      <c r="P54" s="55">
        <v>0.25</v>
      </c>
      <c r="Q54" s="57">
        <f t="shared" si="4"/>
        <v>0.25</v>
      </c>
      <c r="R54" s="232">
        <v>14.8</v>
      </c>
      <c r="S54" s="55">
        <v>98</v>
      </c>
      <c r="T54" s="57">
        <f t="shared" si="5"/>
        <v>36</v>
      </c>
      <c r="U54" s="232">
        <v>105</v>
      </c>
      <c r="V54" s="58">
        <f t="shared" si="6"/>
        <v>3780</v>
      </c>
      <c r="W54" s="232">
        <v>2</v>
      </c>
      <c r="X54" s="55" t="s">
        <v>46</v>
      </c>
      <c r="Y54" s="55" t="s">
        <v>84</v>
      </c>
      <c r="Z54" s="55" t="s">
        <v>50</v>
      </c>
      <c r="AA54" s="55" t="s">
        <v>90</v>
      </c>
      <c r="AB54" s="55" t="s">
        <v>370</v>
      </c>
    </row>
    <row r="55" spans="1:28" x14ac:dyDescent="0.15">
      <c r="A55" s="55" t="s">
        <v>41</v>
      </c>
      <c r="B55" s="232" t="s">
        <v>334</v>
      </c>
      <c r="C55" s="149">
        <v>2018</v>
      </c>
      <c r="D55" s="56" t="s">
        <v>356</v>
      </c>
      <c r="E55" s="232" t="s">
        <v>291</v>
      </c>
      <c r="F55" s="232" t="s">
        <v>297</v>
      </c>
      <c r="G55" s="55" t="s">
        <v>42</v>
      </c>
      <c r="H55" s="55" t="s">
        <v>166</v>
      </c>
      <c r="I55" s="55" t="s">
        <v>153</v>
      </c>
      <c r="J55" s="55" t="s">
        <v>38</v>
      </c>
      <c r="K55" s="55" t="s">
        <v>286</v>
      </c>
      <c r="L55" s="232">
        <v>3</v>
      </c>
      <c r="N55" s="232">
        <v>1</v>
      </c>
      <c r="O55" s="55">
        <v>0.25</v>
      </c>
      <c r="P55" s="55">
        <v>0.25</v>
      </c>
      <c r="Q55" s="82">
        <f t="shared" si="4"/>
        <v>0.25</v>
      </c>
      <c r="R55" s="55">
        <v>15.1</v>
      </c>
      <c r="S55" s="55">
        <v>92</v>
      </c>
      <c r="T55" s="57">
        <f t="shared" si="5"/>
        <v>36</v>
      </c>
      <c r="U55" s="232">
        <v>105</v>
      </c>
      <c r="V55" s="58">
        <f t="shared" si="6"/>
        <v>3780</v>
      </c>
      <c r="W55" s="232">
        <v>2</v>
      </c>
      <c r="X55" s="55" t="s">
        <v>46</v>
      </c>
      <c r="Y55" s="55" t="s">
        <v>84</v>
      </c>
      <c r="Z55" s="55" t="s">
        <v>50</v>
      </c>
      <c r="AA55" s="55" t="s">
        <v>90</v>
      </c>
      <c r="AB55" s="55" t="s">
        <v>370</v>
      </c>
    </row>
    <row r="56" spans="1:28" x14ac:dyDescent="0.15">
      <c r="A56" s="55" t="s">
        <v>41</v>
      </c>
      <c r="B56" s="232" t="s">
        <v>334</v>
      </c>
      <c r="C56" s="149">
        <v>2018</v>
      </c>
      <c r="D56" s="56" t="s">
        <v>356</v>
      </c>
      <c r="E56" s="232" t="s">
        <v>291</v>
      </c>
      <c r="F56" s="232" t="s">
        <v>297</v>
      </c>
      <c r="G56" s="55" t="s">
        <v>42</v>
      </c>
      <c r="H56" s="55" t="s">
        <v>155</v>
      </c>
      <c r="I56" s="55" t="s">
        <v>153</v>
      </c>
      <c r="J56" s="55" t="s">
        <v>38</v>
      </c>
      <c r="K56" s="55" t="s">
        <v>154</v>
      </c>
      <c r="L56" s="232">
        <v>1</v>
      </c>
      <c r="N56" s="232">
        <v>1</v>
      </c>
      <c r="O56" s="232">
        <v>0.95</v>
      </c>
      <c r="P56" s="232">
        <v>0.95</v>
      </c>
      <c r="Q56" s="82">
        <f t="shared" si="4"/>
        <v>0.95</v>
      </c>
      <c r="R56" s="55">
        <v>13.8</v>
      </c>
      <c r="S56" s="55">
        <v>125</v>
      </c>
      <c r="T56" s="57">
        <f t="shared" si="5"/>
        <v>27</v>
      </c>
      <c r="U56" s="232">
        <v>85</v>
      </c>
      <c r="V56" s="58">
        <f t="shared" si="6"/>
        <v>2295</v>
      </c>
      <c r="W56" s="232">
        <v>2</v>
      </c>
      <c r="X56" s="55" t="s">
        <v>46</v>
      </c>
      <c r="Y56" s="55" t="s">
        <v>84</v>
      </c>
      <c r="Z56" s="55" t="s">
        <v>50</v>
      </c>
      <c r="AA56" s="55" t="s">
        <v>90</v>
      </c>
      <c r="AB56" s="55" t="s">
        <v>370</v>
      </c>
    </row>
    <row r="57" spans="1:28" x14ac:dyDescent="0.15">
      <c r="A57" s="55" t="s">
        <v>41</v>
      </c>
      <c r="B57" s="232" t="s">
        <v>334</v>
      </c>
      <c r="C57" s="149">
        <v>2018</v>
      </c>
      <c r="D57" s="56" t="s">
        <v>356</v>
      </c>
      <c r="E57" s="232" t="s">
        <v>291</v>
      </c>
      <c r="F57" s="232" t="s">
        <v>297</v>
      </c>
      <c r="G57" s="55" t="s">
        <v>42</v>
      </c>
      <c r="H57" s="55" t="s">
        <v>155</v>
      </c>
      <c r="I57" s="55" t="s">
        <v>153</v>
      </c>
      <c r="J57" s="55" t="s">
        <v>38</v>
      </c>
      <c r="K57" s="55" t="s">
        <v>154</v>
      </c>
      <c r="L57" s="232">
        <v>2</v>
      </c>
      <c r="N57" s="232">
        <v>1</v>
      </c>
      <c r="O57" s="232">
        <v>0.8</v>
      </c>
      <c r="P57" s="232">
        <v>0.85</v>
      </c>
      <c r="Q57" s="82">
        <f t="shared" si="4"/>
        <v>0.82499999999999996</v>
      </c>
      <c r="R57" s="55">
        <v>14.1</v>
      </c>
      <c r="S57" s="55">
        <v>124</v>
      </c>
      <c r="T57" s="57">
        <f t="shared" si="5"/>
        <v>27</v>
      </c>
      <c r="U57" s="232">
        <v>85</v>
      </c>
      <c r="V57" s="58">
        <f t="shared" si="6"/>
        <v>2295</v>
      </c>
      <c r="W57" s="232">
        <v>2</v>
      </c>
      <c r="X57" s="55" t="s">
        <v>46</v>
      </c>
      <c r="Y57" s="55" t="s">
        <v>84</v>
      </c>
      <c r="Z57" s="55" t="s">
        <v>50</v>
      </c>
      <c r="AA57" s="55" t="s">
        <v>90</v>
      </c>
      <c r="AB57" s="55" t="s">
        <v>370</v>
      </c>
    </row>
    <row r="58" spans="1:28" x14ac:dyDescent="0.15">
      <c r="A58" s="55" t="s">
        <v>41</v>
      </c>
      <c r="B58" s="232" t="s">
        <v>334</v>
      </c>
      <c r="C58" s="149">
        <v>2018</v>
      </c>
      <c r="D58" s="56" t="s">
        <v>356</v>
      </c>
      <c r="E58" s="232" t="s">
        <v>291</v>
      </c>
      <c r="F58" s="232" t="s">
        <v>297</v>
      </c>
      <c r="G58" s="55" t="s">
        <v>42</v>
      </c>
      <c r="H58" s="55" t="s">
        <v>155</v>
      </c>
      <c r="I58" s="55" t="s">
        <v>153</v>
      </c>
      <c r="J58" s="55" t="s">
        <v>38</v>
      </c>
      <c r="K58" s="55" t="s">
        <v>154</v>
      </c>
      <c r="L58" s="232">
        <v>3</v>
      </c>
      <c r="N58" s="232">
        <v>1</v>
      </c>
      <c r="O58" s="55">
        <v>0.95</v>
      </c>
      <c r="P58" s="55">
        <v>0.9</v>
      </c>
      <c r="Q58" s="82">
        <f t="shared" si="4"/>
        <v>0.92500000000000004</v>
      </c>
      <c r="R58" s="55">
        <v>15.1</v>
      </c>
      <c r="S58" s="55">
        <v>127</v>
      </c>
      <c r="T58" s="57">
        <f t="shared" si="5"/>
        <v>27</v>
      </c>
      <c r="U58" s="232">
        <v>85</v>
      </c>
      <c r="V58" s="58">
        <f t="shared" si="6"/>
        <v>2295</v>
      </c>
      <c r="W58" s="232">
        <v>2</v>
      </c>
      <c r="X58" s="55" t="s">
        <v>46</v>
      </c>
      <c r="Y58" s="55" t="s">
        <v>84</v>
      </c>
      <c r="Z58" s="55" t="s">
        <v>50</v>
      </c>
      <c r="AA58" s="55" t="s">
        <v>90</v>
      </c>
      <c r="AB58" s="55" t="s">
        <v>370</v>
      </c>
    </row>
    <row r="59" spans="1:28" x14ac:dyDescent="0.15">
      <c r="A59" s="55" t="s">
        <v>41</v>
      </c>
      <c r="B59" s="232" t="s">
        <v>334</v>
      </c>
      <c r="C59" s="149">
        <v>2018</v>
      </c>
      <c r="D59" s="56" t="s">
        <v>356</v>
      </c>
      <c r="E59" s="232" t="s">
        <v>291</v>
      </c>
      <c r="F59" s="232" t="s">
        <v>297</v>
      </c>
      <c r="G59" s="55" t="s">
        <v>42</v>
      </c>
      <c r="H59" s="55" t="s">
        <v>155</v>
      </c>
      <c r="I59" s="55" t="s">
        <v>153</v>
      </c>
      <c r="J59" s="55" t="s">
        <v>38</v>
      </c>
      <c r="K59" s="55" t="s">
        <v>154</v>
      </c>
      <c r="L59" s="232">
        <v>1</v>
      </c>
      <c r="N59" s="232">
        <v>4</v>
      </c>
      <c r="O59" s="55">
        <v>0.75</v>
      </c>
      <c r="P59" s="55">
        <v>0.65</v>
      </c>
      <c r="Q59" s="82">
        <f>IF(OR(O59="",P59=""),"",AVERAGE(O59,P59))</f>
        <v>0.7</v>
      </c>
      <c r="R59" s="232">
        <v>14</v>
      </c>
      <c r="S59" s="55">
        <v>120</v>
      </c>
      <c r="T59" s="57">
        <f t="shared" si="5"/>
        <v>30</v>
      </c>
      <c r="U59" s="232">
        <v>321</v>
      </c>
      <c r="V59" s="58">
        <f t="shared" si="6"/>
        <v>2407.5</v>
      </c>
      <c r="W59" s="232">
        <v>2</v>
      </c>
      <c r="X59" s="55" t="s">
        <v>46</v>
      </c>
      <c r="Y59" s="55" t="s">
        <v>84</v>
      </c>
      <c r="Z59" s="55" t="s">
        <v>50</v>
      </c>
      <c r="AA59" s="55" t="s">
        <v>90</v>
      </c>
      <c r="AB59" s="55" t="s">
        <v>370</v>
      </c>
    </row>
    <row r="60" spans="1:28" x14ac:dyDescent="0.15">
      <c r="A60" s="55" t="s">
        <v>41</v>
      </c>
      <c r="B60" s="232" t="s">
        <v>334</v>
      </c>
      <c r="C60" s="149">
        <v>2018</v>
      </c>
      <c r="D60" s="56" t="s">
        <v>356</v>
      </c>
      <c r="E60" s="232" t="s">
        <v>291</v>
      </c>
      <c r="F60" s="232" t="s">
        <v>297</v>
      </c>
      <c r="G60" s="55" t="s">
        <v>42</v>
      </c>
      <c r="H60" s="55" t="s">
        <v>155</v>
      </c>
      <c r="I60" s="55" t="s">
        <v>153</v>
      </c>
      <c r="J60" s="55" t="s">
        <v>38</v>
      </c>
      <c r="K60" s="55" t="s">
        <v>154</v>
      </c>
      <c r="L60" s="232">
        <v>2</v>
      </c>
      <c r="N60" s="232">
        <v>4</v>
      </c>
      <c r="O60" s="55">
        <v>0.65</v>
      </c>
      <c r="P60" s="55">
        <v>0.7</v>
      </c>
      <c r="Q60" s="82">
        <f>IF(OR(O60="",P60=""),"",AVERAGE(O60,P60))</f>
        <v>0.67500000000000004</v>
      </c>
      <c r="R60" s="232">
        <v>14.1</v>
      </c>
      <c r="S60" s="55">
        <v>120</v>
      </c>
      <c r="T60" s="57">
        <f t="shared" si="5"/>
        <v>30</v>
      </c>
      <c r="U60" s="232">
        <v>321</v>
      </c>
      <c r="V60" s="58">
        <f t="shared" si="6"/>
        <v>2407.5</v>
      </c>
      <c r="W60" s="232">
        <v>2</v>
      </c>
      <c r="X60" s="55" t="s">
        <v>46</v>
      </c>
      <c r="Y60" s="55" t="s">
        <v>84</v>
      </c>
      <c r="Z60" s="55" t="s">
        <v>50</v>
      </c>
      <c r="AA60" s="55" t="s">
        <v>90</v>
      </c>
      <c r="AB60" s="55" t="s">
        <v>370</v>
      </c>
    </row>
    <row r="61" spans="1:28" x14ac:dyDescent="0.15">
      <c r="A61" s="55" t="s">
        <v>41</v>
      </c>
      <c r="B61" s="232" t="s">
        <v>334</v>
      </c>
      <c r="C61" s="149">
        <v>2018</v>
      </c>
      <c r="D61" s="56" t="s">
        <v>356</v>
      </c>
      <c r="E61" s="232" t="s">
        <v>291</v>
      </c>
      <c r="F61" s="232" t="s">
        <v>297</v>
      </c>
      <c r="G61" s="55" t="s">
        <v>42</v>
      </c>
      <c r="H61" s="55" t="s">
        <v>155</v>
      </c>
      <c r="I61" s="55" t="s">
        <v>153</v>
      </c>
      <c r="J61" s="55" t="s">
        <v>38</v>
      </c>
      <c r="K61" s="55" t="s">
        <v>154</v>
      </c>
      <c r="L61" s="232">
        <v>3</v>
      </c>
      <c r="N61" s="232">
        <v>4</v>
      </c>
      <c r="O61" s="55">
        <v>0.5</v>
      </c>
      <c r="P61" s="55">
        <v>0.55000000000000004</v>
      </c>
      <c r="Q61" s="82">
        <f>IF(OR(O61="",P61=""),"",AVERAGE(O61,P61))</f>
        <v>0.52500000000000002</v>
      </c>
      <c r="R61" s="232">
        <v>13.8</v>
      </c>
      <c r="S61" s="55">
        <v>120</v>
      </c>
      <c r="T61" s="57">
        <f t="shared" si="5"/>
        <v>30</v>
      </c>
      <c r="U61" s="232">
        <v>321</v>
      </c>
      <c r="V61" s="58">
        <f t="shared" si="6"/>
        <v>2407.5</v>
      </c>
      <c r="W61" s="232">
        <v>2</v>
      </c>
      <c r="X61" s="55" t="s">
        <v>46</v>
      </c>
      <c r="Y61" s="55" t="s">
        <v>84</v>
      </c>
      <c r="Z61" s="55" t="s">
        <v>50</v>
      </c>
      <c r="AA61" s="55" t="s">
        <v>90</v>
      </c>
      <c r="AB61" s="55" t="s">
        <v>370</v>
      </c>
    </row>
    <row r="62" spans="1:28" x14ac:dyDescent="0.15">
      <c r="A62" s="55" t="s">
        <v>41</v>
      </c>
      <c r="B62" s="232" t="s">
        <v>334</v>
      </c>
      <c r="C62" s="149">
        <v>2018</v>
      </c>
      <c r="D62" s="56" t="s">
        <v>356</v>
      </c>
      <c r="E62" s="232" t="s">
        <v>173</v>
      </c>
      <c r="F62" s="232" t="s">
        <v>298</v>
      </c>
      <c r="G62" s="55" t="s">
        <v>42</v>
      </c>
      <c r="H62" s="55" t="s">
        <v>155</v>
      </c>
      <c r="I62" s="55" t="s">
        <v>153</v>
      </c>
      <c r="J62" s="55" t="s">
        <v>38</v>
      </c>
      <c r="K62" s="55" t="s">
        <v>154</v>
      </c>
      <c r="L62" s="232">
        <v>1</v>
      </c>
      <c r="N62" s="232">
        <v>1</v>
      </c>
      <c r="O62" s="55">
        <v>0.95</v>
      </c>
      <c r="P62" s="55">
        <v>1</v>
      </c>
      <c r="Q62" s="57">
        <f t="shared" ref="Q62:Q73" si="7">IF(OR(O62="",P62=""),"",AVERAGE(O62,P62))</f>
        <v>0.97499999999999998</v>
      </c>
      <c r="R62" s="232">
        <v>13.5</v>
      </c>
      <c r="S62" s="55">
        <v>130</v>
      </c>
      <c r="T62" s="57">
        <f t="shared" si="5"/>
        <v>25</v>
      </c>
      <c r="U62" s="232">
        <v>104</v>
      </c>
      <c r="V62" s="58">
        <f t="shared" si="6"/>
        <v>2600</v>
      </c>
      <c r="W62" s="232">
        <v>1</v>
      </c>
      <c r="X62" s="55" t="s">
        <v>39</v>
      </c>
      <c r="Y62" s="55" t="s">
        <v>84</v>
      </c>
      <c r="Z62" s="55" t="s">
        <v>90</v>
      </c>
      <c r="AA62" s="55" t="s">
        <v>78</v>
      </c>
      <c r="AB62" s="55" t="s">
        <v>370</v>
      </c>
    </row>
    <row r="63" spans="1:28" x14ac:dyDescent="0.15">
      <c r="A63" s="55" t="s">
        <v>41</v>
      </c>
      <c r="B63" s="232" t="s">
        <v>334</v>
      </c>
      <c r="C63" s="149">
        <v>2018</v>
      </c>
      <c r="D63" s="56" t="s">
        <v>356</v>
      </c>
      <c r="E63" s="232" t="s">
        <v>173</v>
      </c>
      <c r="F63" s="232" t="s">
        <v>298</v>
      </c>
      <c r="G63" s="55" t="s">
        <v>42</v>
      </c>
      <c r="H63" s="55" t="s">
        <v>155</v>
      </c>
      <c r="I63" s="55" t="s">
        <v>153</v>
      </c>
      <c r="J63" s="55" t="s">
        <v>38</v>
      </c>
      <c r="K63" s="55" t="s">
        <v>154</v>
      </c>
      <c r="L63" s="232">
        <v>2</v>
      </c>
      <c r="N63" s="232">
        <v>1</v>
      </c>
      <c r="O63" s="55">
        <v>0.8</v>
      </c>
      <c r="P63" s="55">
        <v>0.85</v>
      </c>
      <c r="Q63" s="57">
        <f t="shared" si="7"/>
        <v>0.82499999999999996</v>
      </c>
      <c r="R63" s="55">
        <v>12.8</v>
      </c>
      <c r="S63" s="55">
        <v>134</v>
      </c>
      <c r="T63" s="57">
        <f t="shared" si="5"/>
        <v>25</v>
      </c>
      <c r="U63" s="232">
        <v>104</v>
      </c>
      <c r="V63" s="58">
        <f t="shared" si="6"/>
        <v>2600</v>
      </c>
      <c r="W63" s="232">
        <v>1</v>
      </c>
      <c r="X63" s="55" t="s">
        <v>39</v>
      </c>
      <c r="Y63" s="55" t="s">
        <v>84</v>
      </c>
      <c r="Z63" s="55" t="s">
        <v>90</v>
      </c>
      <c r="AA63" s="55" t="s">
        <v>78</v>
      </c>
      <c r="AB63" s="55" t="s">
        <v>370</v>
      </c>
    </row>
    <row r="64" spans="1:28" x14ac:dyDescent="0.15">
      <c r="A64" s="55" t="s">
        <v>41</v>
      </c>
      <c r="B64" s="232" t="s">
        <v>334</v>
      </c>
      <c r="C64" s="149">
        <v>2018</v>
      </c>
      <c r="D64" s="56" t="s">
        <v>356</v>
      </c>
      <c r="E64" s="232" t="s">
        <v>173</v>
      </c>
      <c r="F64" s="232" t="s">
        <v>298</v>
      </c>
      <c r="G64" s="55" t="s">
        <v>42</v>
      </c>
      <c r="H64" s="55" t="s">
        <v>155</v>
      </c>
      <c r="I64" s="55" t="s">
        <v>153</v>
      </c>
      <c r="J64" s="55" t="s">
        <v>38</v>
      </c>
      <c r="K64" s="55" t="s">
        <v>154</v>
      </c>
      <c r="L64" s="232">
        <v>3</v>
      </c>
      <c r="N64" s="232">
        <v>1</v>
      </c>
      <c r="O64" s="55">
        <v>0.65</v>
      </c>
      <c r="P64" s="55">
        <v>0.7</v>
      </c>
      <c r="Q64" s="57">
        <f t="shared" si="7"/>
        <v>0.67500000000000004</v>
      </c>
      <c r="R64" s="55">
        <v>16.100000000000001</v>
      </c>
      <c r="S64" s="55">
        <v>135</v>
      </c>
      <c r="T64" s="57">
        <f t="shared" si="5"/>
        <v>25</v>
      </c>
      <c r="U64" s="232">
        <v>104</v>
      </c>
      <c r="V64" s="58">
        <f t="shared" si="6"/>
        <v>2600</v>
      </c>
      <c r="W64" s="232">
        <v>1</v>
      </c>
      <c r="X64" s="55" t="s">
        <v>39</v>
      </c>
      <c r="Y64" s="55" t="s">
        <v>84</v>
      </c>
      <c r="Z64" s="55" t="s">
        <v>90</v>
      </c>
      <c r="AA64" s="55" t="s">
        <v>78</v>
      </c>
      <c r="AB64" s="55" t="s">
        <v>370</v>
      </c>
    </row>
    <row r="65" spans="1:28" x14ac:dyDescent="0.15">
      <c r="A65" s="55" t="s">
        <v>41</v>
      </c>
      <c r="B65" s="232" t="s">
        <v>334</v>
      </c>
      <c r="C65" s="149">
        <v>2018</v>
      </c>
      <c r="D65" s="56" t="s">
        <v>356</v>
      </c>
      <c r="E65" s="232" t="s">
        <v>173</v>
      </c>
      <c r="F65" s="232" t="s">
        <v>298</v>
      </c>
      <c r="G65" s="55" t="s">
        <v>42</v>
      </c>
      <c r="H65" s="55" t="s">
        <v>155</v>
      </c>
      <c r="I65" s="55" t="s">
        <v>153</v>
      </c>
      <c r="J65" s="55" t="s">
        <v>38</v>
      </c>
      <c r="K65" s="55" t="s">
        <v>154</v>
      </c>
      <c r="L65" s="232">
        <v>1</v>
      </c>
      <c r="N65" s="232">
        <v>4</v>
      </c>
      <c r="O65" s="55">
        <v>1</v>
      </c>
      <c r="P65" s="55">
        <v>1</v>
      </c>
      <c r="Q65" s="57">
        <f t="shared" si="7"/>
        <v>1</v>
      </c>
      <c r="R65" s="232">
        <v>15</v>
      </c>
      <c r="S65" s="232">
        <v>122</v>
      </c>
      <c r="T65" s="57">
        <f t="shared" si="5"/>
        <v>27</v>
      </c>
      <c r="U65" s="232">
        <v>428</v>
      </c>
      <c r="V65" s="58">
        <f t="shared" si="6"/>
        <v>2889</v>
      </c>
      <c r="W65" s="232">
        <v>1</v>
      </c>
      <c r="X65" s="55" t="s">
        <v>39</v>
      </c>
      <c r="Y65" s="55" t="s">
        <v>84</v>
      </c>
      <c r="Z65" s="55" t="s">
        <v>90</v>
      </c>
      <c r="AA65" s="55" t="s">
        <v>78</v>
      </c>
      <c r="AB65" s="55" t="s">
        <v>370</v>
      </c>
    </row>
    <row r="66" spans="1:28" x14ac:dyDescent="0.15">
      <c r="A66" s="55" t="s">
        <v>41</v>
      </c>
      <c r="B66" s="232" t="s">
        <v>334</v>
      </c>
      <c r="C66" s="149">
        <v>2018</v>
      </c>
      <c r="D66" s="56" t="s">
        <v>356</v>
      </c>
      <c r="E66" s="232" t="s">
        <v>173</v>
      </c>
      <c r="F66" s="232" t="s">
        <v>298</v>
      </c>
      <c r="G66" s="55" t="s">
        <v>42</v>
      </c>
      <c r="H66" s="55" t="s">
        <v>155</v>
      </c>
      <c r="I66" s="55" t="s">
        <v>153</v>
      </c>
      <c r="J66" s="55" t="s">
        <v>38</v>
      </c>
      <c r="K66" s="55" t="s">
        <v>154</v>
      </c>
      <c r="L66" s="232">
        <v>2</v>
      </c>
      <c r="N66" s="232">
        <v>4</v>
      </c>
      <c r="O66" s="55">
        <v>1.25</v>
      </c>
      <c r="P66" s="55">
        <v>1.3</v>
      </c>
      <c r="Q66" s="57">
        <f t="shared" si="7"/>
        <v>1.2749999999999999</v>
      </c>
      <c r="R66" s="232">
        <v>14.1</v>
      </c>
      <c r="S66" s="232">
        <v>125</v>
      </c>
      <c r="T66" s="57">
        <f t="shared" si="5"/>
        <v>27</v>
      </c>
      <c r="U66" s="232">
        <v>428</v>
      </c>
      <c r="V66" s="58">
        <f t="shared" si="6"/>
        <v>2889</v>
      </c>
      <c r="W66" s="232">
        <v>1</v>
      </c>
      <c r="X66" s="55" t="s">
        <v>39</v>
      </c>
      <c r="Y66" s="55" t="s">
        <v>84</v>
      </c>
      <c r="Z66" s="55" t="s">
        <v>90</v>
      </c>
      <c r="AA66" s="55" t="s">
        <v>78</v>
      </c>
      <c r="AB66" s="55" t="s">
        <v>370</v>
      </c>
    </row>
    <row r="67" spans="1:28" x14ac:dyDescent="0.15">
      <c r="A67" s="55" t="s">
        <v>41</v>
      </c>
      <c r="B67" s="232" t="s">
        <v>334</v>
      </c>
      <c r="C67" s="149">
        <v>2018</v>
      </c>
      <c r="D67" s="56" t="s">
        <v>356</v>
      </c>
      <c r="E67" s="232" t="s">
        <v>173</v>
      </c>
      <c r="F67" s="232" t="s">
        <v>298</v>
      </c>
      <c r="G67" s="55" t="s">
        <v>42</v>
      </c>
      <c r="H67" s="55" t="s">
        <v>155</v>
      </c>
      <c r="I67" s="55" t="s">
        <v>153</v>
      </c>
      <c r="J67" s="55" t="s">
        <v>38</v>
      </c>
      <c r="K67" s="55" t="s">
        <v>154</v>
      </c>
      <c r="L67" s="232">
        <v>3</v>
      </c>
      <c r="N67" s="232">
        <v>4</v>
      </c>
      <c r="O67" s="55">
        <v>1.05</v>
      </c>
      <c r="P67" s="55">
        <v>1</v>
      </c>
      <c r="Q67" s="57">
        <f t="shared" si="7"/>
        <v>1.0249999999999999</v>
      </c>
      <c r="R67" s="232">
        <v>12.9</v>
      </c>
      <c r="S67" s="232">
        <v>127</v>
      </c>
      <c r="T67" s="57">
        <f t="shared" si="5"/>
        <v>27</v>
      </c>
      <c r="U67" s="232">
        <v>428</v>
      </c>
      <c r="V67" s="58">
        <f t="shared" si="6"/>
        <v>2889</v>
      </c>
      <c r="W67" s="232">
        <v>1</v>
      </c>
      <c r="X67" s="55" t="s">
        <v>39</v>
      </c>
      <c r="Y67" s="55" t="s">
        <v>84</v>
      </c>
      <c r="Z67" s="55" t="s">
        <v>90</v>
      </c>
      <c r="AA67" s="55" t="s">
        <v>78</v>
      </c>
      <c r="AB67" s="55" t="s">
        <v>370</v>
      </c>
    </row>
    <row r="68" spans="1:28" x14ac:dyDescent="0.15">
      <c r="A68" s="55" t="s">
        <v>41</v>
      </c>
      <c r="B68" s="232" t="s">
        <v>334</v>
      </c>
      <c r="C68" s="149">
        <v>2018</v>
      </c>
      <c r="D68" s="56" t="s">
        <v>356</v>
      </c>
      <c r="E68" s="232" t="s">
        <v>289</v>
      </c>
      <c r="F68" s="232" t="s">
        <v>294</v>
      </c>
      <c r="G68" s="55" t="s">
        <v>42</v>
      </c>
      <c r="H68" s="55" t="s">
        <v>155</v>
      </c>
      <c r="I68" s="55" t="s">
        <v>153</v>
      </c>
      <c r="J68" s="55" t="s">
        <v>38</v>
      </c>
      <c r="K68" s="55" t="s">
        <v>154</v>
      </c>
      <c r="L68" s="232">
        <v>1</v>
      </c>
      <c r="N68" s="232">
        <v>1</v>
      </c>
      <c r="O68" s="55">
        <v>0.65</v>
      </c>
      <c r="P68" s="55">
        <v>0.8</v>
      </c>
      <c r="Q68" s="57">
        <f t="shared" si="7"/>
        <v>0.72500000000000009</v>
      </c>
      <c r="R68" s="232">
        <v>15.2</v>
      </c>
      <c r="S68" s="232">
        <v>120</v>
      </c>
      <c r="T68" s="57">
        <f t="shared" si="5"/>
        <v>30</v>
      </c>
      <c r="U68" s="232">
        <v>104</v>
      </c>
      <c r="V68" s="58">
        <f t="shared" si="6"/>
        <v>3120</v>
      </c>
      <c r="W68" s="232">
        <v>4</v>
      </c>
      <c r="X68" s="55" t="s">
        <v>46</v>
      </c>
      <c r="Y68" s="55" t="s">
        <v>84</v>
      </c>
      <c r="Z68" s="55" t="s">
        <v>90</v>
      </c>
      <c r="AA68" s="55" t="s">
        <v>69</v>
      </c>
      <c r="AB68" s="55" t="s">
        <v>370</v>
      </c>
    </row>
    <row r="69" spans="1:28" x14ac:dyDescent="0.15">
      <c r="A69" s="55" t="s">
        <v>41</v>
      </c>
      <c r="B69" s="232" t="s">
        <v>334</v>
      </c>
      <c r="C69" s="149">
        <v>2018</v>
      </c>
      <c r="D69" s="56" t="s">
        <v>356</v>
      </c>
      <c r="E69" s="232" t="s">
        <v>289</v>
      </c>
      <c r="F69" s="232" t="s">
        <v>294</v>
      </c>
      <c r="G69" s="55" t="s">
        <v>42</v>
      </c>
      <c r="H69" s="55" t="s">
        <v>155</v>
      </c>
      <c r="I69" s="55" t="s">
        <v>153</v>
      </c>
      <c r="J69" s="55" t="s">
        <v>38</v>
      </c>
      <c r="K69" s="55" t="s">
        <v>154</v>
      </c>
      <c r="L69" s="232">
        <v>2</v>
      </c>
      <c r="N69" s="232">
        <v>1</v>
      </c>
      <c r="O69" s="55">
        <v>0.7</v>
      </c>
      <c r="P69" s="55">
        <v>0.8</v>
      </c>
      <c r="Q69" s="57">
        <f t="shared" si="7"/>
        <v>0.75</v>
      </c>
      <c r="R69" s="232">
        <v>14.2</v>
      </c>
      <c r="S69" s="232">
        <v>118</v>
      </c>
      <c r="T69" s="57">
        <f t="shared" si="5"/>
        <v>30</v>
      </c>
      <c r="U69" s="232">
        <v>104</v>
      </c>
      <c r="V69" s="58">
        <f t="shared" si="6"/>
        <v>3120</v>
      </c>
      <c r="W69" s="232">
        <v>4</v>
      </c>
      <c r="X69" s="55" t="s">
        <v>46</v>
      </c>
      <c r="Y69" s="55" t="s">
        <v>84</v>
      </c>
      <c r="Z69" s="55" t="s">
        <v>90</v>
      </c>
      <c r="AA69" s="55" t="s">
        <v>69</v>
      </c>
      <c r="AB69" s="55" t="s">
        <v>370</v>
      </c>
    </row>
    <row r="70" spans="1:28" x14ac:dyDescent="0.15">
      <c r="A70" s="55" t="s">
        <v>41</v>
      </c>
      <c r="B70" s="232" t="s">
        <v>334</v>
      </c>
      <c r="C70" s="149">
        <v>2018</v>
      </c>
      <c r="D70" s="56" t="s">
        <v>356</v>
      </c>
      <c r="E70" s="232" t="s">
        <v>289</v>
      </c>
      <c r="F70" s="232" t="s">
        <v>294</v>
      </c>
      <c r="G70" s="55" t="s">
        <v>42</v>
      </c>
      <c r="H70" s="55" t="s">
        <v>155</v>
      </c>
      <c r="I70" s="55" t="s">
        <v>153</v>
      </c>
      <c r="J70" s="55" t="s">
        <v>38</v>
      </c>
      <c r="K70" s="55" t="s">
        <v>154</v>
      </c>
      <c r="L70" s="232">
        <v>3</v>
      </c>
      <c r="N70" s="232">
        <v>1</v>
      </c>
      <c r="O70" s="55">
        <v>0.9</v>
      </c>
      <c r="P70" s="55">
        <v>0.85</v>
      </c>
      <c r="Q70" s="57">
        <f t="shared" si="7"/>
        <v>0.875</v>
      </c>
      <c r="R70" s="232">
        <v>14</v>
      </c>
      <c r="S70" s="232">
        <v>120</v>
      </c>
      <c r="T70" s="57">
        <f t="shared" si="5"/>
        <v>30</v>
      </c>
      <c r="U70" s="232">
        <v>104</v>
      </c>
      <c r="V70" s="58">
        <f t="shared" si="6"/>
        <v>3120</v>
      </c>
      <c r="W70" s="232">
        <v>4</v>
      </c>
      <c r="X70" s="55" t="s">
        <v>46</v>
      </c>
      <c r="Y70" s="55" t="s">
        <v>84</v>
      </c>
      <c r="Z70" s="55" t="s">
        <v>90</v>
      </c>
      <c r="AA70" s="55" t="s">
        <v>69</v>
      </c>
      <c r="AB70" s="55" t="s">
        <v>370</v>
      </c>
    </row>
    <row r="71" spans="1:28" x14ac:dyDescent="0.15">
      <c r="A71" s="55" t="s">
        <v>41</v>
      </c>
      <c r="B71" s="232" t="s">
        <v>334</v>
      </c>
      <c r="C71" s="149">
        <v>2018</v>
      </c>
      <c r="D71" s="56" t="s">
        <v>356</v>
      </c>
      <c r="E71" s="232" t="s">
        <v>289</v>
      </c>
      <c r="F71" s="232" t="s">
        <v>294</v>
      </c>
      <c r="G71" s="55" t="s">
        <v>42</v>
      </c>
      <c r="H71" s="55" t="s">
        <v>128</v>
      </c>
      <c r="I71" s="55" t="s">
        <v>153</v>
      </c>
      <c r="J71" s="55" t="s">
        <v>80</v>
      </c>
      <c r="K71" s="55" t="s">
        <v>94</v>
      </c>
      <c r="L71" s="232">
        <v>1</v>
      </c>
      <c r="N71" s="232">
        <v>1</v>
      </c>
      <c r="O71" s="55">
        <v>1.2</v>
      </c>
      <c r="P71" s="55">
        <v>1.35</v>
      </c>
      <c r="Q71" s="57">
        <f t="shared" si="7"/>
        <v>1.2749999999999999</v>
      </c>
      <c r="R71" s="232">
        <v>15.1</v>
      </c>
      <c r="S71" s="55">
        <v>119</v>
      </c>
      <c r="T71" s="57">
        <f t="shared" si="5"/>
        <v>30</v>
      </c>
      <c r="U71" s="232">
        <v>104</v>
      </c>
      <c r="V71" s="58">
        <f t="shared" si="6"/>
        <v>3120</v>
      </c>
      <c r="W71" s="232">
        <v>2</v>
      </c>
      <c r="X71" s="55" t="s">
        <v>46</v>
      </c>
      <c r="Y71" s="55" t="s">
        <v>84</v>
      </c>
      <c r="Z71" s="55" t="s">
        <v>90</v>
      </c>
      <c r="AA71" s="55" t="s">
        <v>69</v>
      </c>
      <c r="AB71" s="55" t="s">
        <v>370</v>
      </c>
    </row>
    <row r="72" spans="1:28" x14ac:dyDescent="0.15">
      <c r="A72" s="55" t="s">
        <v>41</v>
      </c>
      <c r="B72" s="232" t="s">
        <v>334</v>
      </c>
      <c r="C72" s="149">
        <v>2018</v>
      </c>
      <c r="D72" s="56" t="s">
        <v>356</v>
      </c>
      <c r="E72" s="232" t="s">
        <v>289</v>
      </c>
      <c r="F72" s="232" t="s">
        <v>294</v>
      </c>
      <c r="G72" s="55" t="s">
        <v>42</v>
      </c>
      <c r="H72" s="55" t="s">
        <v>128</v>
      </c>
      <c r="I72" s="55" t="s">
        <v>153</v>
      </c>
      <c r="J72" s="55" t="s">
        <v>80</v>
      </c>
      <c r="K72" s="55" t="s">
        <v>94</v>
      </c>
      <c r="L72" s="232">
        <v>2</v>
      </c>
      <c r="N72" s="232">
        <v>1</v>
      </c>
      <c r="O72" s="55">
        <v>1.5</v>
      </c>
      <c r="P72" s="55">
        <v>1.35</v>
      </c>
      <c r="Q72" s="57">
        <f t="shared" si="7"/>
        <v>1.425</v>
      </c>
      <c r="R72" s="232">
        <v>13.5</v>
      </c>
      <c r="S72" s="55">
        <v>120</v>
      </c>
      <c r="T72" s="57">
        <f t="shared" si="5"/>
        <v>30</v>
      </c>
      <c r="U72" s="232">
        <v>104</v>
      </c>
      <c r="V72" s="58">
        <f t="shared" si="6"/>
        <v>3120</v>
      </c>
      <c r="W72" s="232">
        <v>2</v>
      </c>
      <c r="X72" s="55" t="s">
        <v>46</v>
      </c>
      <c r="Y72" s="55" t="s">
        <v>84</v>
      </c>
      <c r="Z72" s="55" t="s">
        <v>90</v>
      </c>
      <c r="AA72" s="55" t="s">
        <v>69</v>
      </c>
      <c r="AB72" s="55" t="s">
        <v>370</v>
      </c>
    </row>
    <row r="73" spans="1:28" x14ac:dyDescent="0.15">
      <c r="A73" s="55" t="s">
        <v>41</v>
      </c>
      <c r="B73" s="232" t="s">
        <v>334</v>
      </c>
      <c r="C73" s="149">
        <v>2018</v>
      </c>
      <c r="D73" s="56" t="s">
        <v>356</v>
      </c>
      <c r="E73" s="232" t="s">
        <v>289</v>
      </c>
      <c r="F73" s="232" t="s">
        <v>294</v>
      </c>
      <c r="G73" s="55" t="s">
        <v>42</v>
      </c>
      <c r="H73" s="55" t="s">
        <v>128</v>
      </c>
      <c r="I73" s="55" t="s">
        <v>153</v>
      </c>
      <c r="J73" s="55" t="s">
        <v>80</v>
      </c>
      <c r="K73" s="55" t="s">
        <v>94</v>
      </c>
      <c r="L73" s="232">
        <v>3</v>
      </c>
      <c r="N73" s="232">
        <v>1</v>
      </c>
      <c r="O73" s="55">
        <v>1.3</v>
      </c>
      <c r="P73" s="55">
        <v>1.25</v>
      </c>
      <c r="Q73" s="57">
        <f t="shared" si="7"/>
        <v>1.2749999999999999</v>
      </c>
      <c r="R73" s="232">
        <v>13.7</v>
      </c>
      <c r="S73" s="55">
        <v>121</v>
      </c>
      <c r="T73" s="57">
        <f t="shared" si="5"/>
        <v>27</v>
      </c>
      <c r="U73" s="232">
        <v>104</v>
      </c>
      <c r="V73" s="58">
        <f t="shared" si="6"/>
        <v>2808</v>
      </c>
      <c r="W73" s="232">
        <v>2</v>
      </c>
      <c r="X73" s="55" t="s">
        <v>46</v>
      </c>
      <c r="Y73" s="55" t="s">
        <v>84</v>
      </c>
      <c r="Z73" s="55" t="s">
        <v>90</v>
      </c>
      <c r="AA73" s="55" t="s">
        <v>69</v>
      </c>
      <c r="AB73" s="55" t="s">
        <v>370</v>
      </c>
    </row>
  </sheetData>
  <autoFilter ref="A1:BA85"/>
  <dataConsolidate/>
  <phoneticPr fontId="3"/>
  <dataValidations count="13">
    <dataValidation operator="equal" allowBlank="1" showInputMessage="1" showErrorMessage="1" sqref="B2:B73"/>
    <dataValidation type="list" allowBlank="1" showInputMessage="1" showErrorMessage="1" sqref="K2:K73">
      <formula1>$AR$2:$AR$23</formula1>
    </dataValidation>
    <dataValidation type="decimal" allowBlank="1" showInputMessage="1" showErrorMessage="1" error="硬度を正しく入力して下さい。" sqref="O86:P268 O2:P73">
      <formula1>0</formula1>
      <formula2>7</formula2>
    </dataValidation>
    <dataValidation type="list" allowBlank="1" showInputMessage="1" showErrorMessage="1" sqref="Y86:AA1048576 Y1:AA73">
      <formula1>$AV$2:$AV$21</formula1>
    </dataValidation>
    <dataValidation type="list" allowBlank="1" showInputMessage="1" showErrorMessage="1" sqref="F86:F1048576 F1:F73">
      <formula1>$AH$2:$AH$11</formula1>
    </dataValidation>
    <dataValidation type="list" allowBlank="1" showInputMessage="1" showErrorMessage="1" sqref="E86:E1048576 E1:E73">
      <formula1>$AG$2:$AG$11</formula1>
    </dataValidation>
    <dataValidation type="list" allowBlank="1" showInputMessage="1" showErrorMessage="1" sqref="J86:J268 J2:J73">
      <formula1>$AP$2:$AP$19</formula1>
    </dataValidation>
    <dataValidation type="list" allowBlank="1" showInputMessage="1" showErrorMessage="1" sqref="A86:A268 A2:A73">
      <formula1>$AE$2:$AE$16</formula1>
    </dataValidation>
    <dataValidation type="list" allowBlank="1" showInputMessage="1" showErrorMessage="1" sqref="X86:X268 X2:X73">
      <formula1>$AT$2:$AT$3</formula1>
    </dataValidation>
    <dataValidation type="list" allowBlank="1" showInputMessage="1" showErrorMessage="1" sqref="I86:I268 I2:I73">
      <formula1>$AN$5:$AN$6</formula1>
    </dataValidation>
    <dataValidation type="list" allowBlank="1" showInputMessage="1" showErrorMessage="1" sqref="G86:G268 G2:G73">
      <formula1>$AJ$2:$AJ$4</formula1>
    </dataValidation>
    <dataValidation type="list" allowBlank="1" showInputMessage="1" showErrorMessage="1" sqref="H86:H268 H2:H73">
      <formula1>$AL$2:$AL$8</formula1>
    </dataValidation>
    <dataValidation type="list" allowBlank="1" showInputMessage="1" showErrorMessage="1" sqref="K86:K268">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AB2" sqref="AB2:AB52"/>
    </sheetView>
  </sheetViews>
  <sheetFormatPr defaultRowHeight="13.5" x14ac:dyDescent="0.15"/>
  <cols>
    <col min="1" max="1" width="9" style="203"/>
    <col min="2" max="2" width="9" style="211"/>
    <col min="3" max="3" width="9" style="203"/>
    <col min="4" max="4" width="10.5" style="203" bestFit="1" customWidth="1"/>
    <col min="5" max="13" width="9" style="203"/>
    <col min="14" max="14" width="9.5" style="203" bestFit="1" customWidth="1"/>
    <col min="15" max="16" width="9" style="203"/>
    <col min="17" max="17" width="9" style="212"/>
    <col min="18" max="19" width="9" style="203"/>
    <col min="20" max="20" width="9" style="212"/>
    <col min="21" max="21" width="9" style="203"/>
    <col min="22" max="22" width="9" style="212"/>
    <col min="23" max="27" width="9" style="203"/>
    <col min="28" max="28" width="9" style="211"/>
    <col min="29" max="32" width="9" style="203"/>
    <col min="33" max="33" width="15.875" style="203" bestFit="1" customWidth="1"/>
    <col min="34" max="34" width="11.375" style="203" bestFit="1" customWidth="1"/>
    <col min="35" max="259" width="9" style="203"/>
    <col min="260" max="260" width="10.5" style="203" bestFit="1" customWidth="1"/>
    <col min="261" max="269" width="9" style="203"/>
    <col min="270" max="270" width="9.5" style="203" bestFit="1" customWidth="1"/>
    <col min="271" max="288" width="9" style="203"/>
    <col min="289" max="289" width="15.875" style="203" bestFit="1" customWidth="1"/>
    <col min="290" max="290" width="11.375" style="203" bestFit="1" customWidth="1"/>
    <col min="291" max="515" width="9" style="203"/>
    <col min="516" max="516" width="10.5" style="203" bestFit="1" customWidth="1"/>
    <col min="517" max="525" width="9" style="203"/>
    <col min="526" max="526" width="9.5" style="203" bestFit="1" customWidth="1"/>
    <col min="527" max="544" width="9" style="203"/>
    <col min="545" max="545" width="15.875" style="203" bestFit="1" customWidth="1"/>
    <col min="546" max="546" width="11.375" style="203" bestFit="1" customWidth="1"/>
    <col min="547" max="771" width="9" style="203"/>
    <col min="772" max="772" width="10.5" style="203" bestFit="1" customWidth="1"/>
    <col min="773" max="781" width="9" style="203"/>
    <col min="782" max="782" width="9.5" style="203" bestFit="1" customWidth="1"/>
    <col min="783" max="800" width="9" style="203"/>
    <col min="801" max="801" width="15.875" style="203" bestFit="1" customWidth="1"/>
    <col min="802" max="802" width="11.375" style="203" bestFit="1" customWidth="1"/>
    <col min="803" max="1027" width="9" style="203"/>
    <col min="1028" max="1028" width="10.5" style="203" bestFit="1" customWidth="1"/>
    <col min="1029" max="1037" width="9" style="203"/>
    <col min="1038" max="1038" width="9.5" style="203" bestFit="1" customWidth="1"/>
    <col min="1039" max="1056" width="9" style="203"/>
    <col min="1057" max="1057" width="15.875" style="203" bestFit="1" customWidth="1"/>
    <col min="1058" max="1058" width="11.375" style="203" bestFit="1" customWidth="1"/>
    <col min="1059" max="1283" width="9" style="203"/>
    <col min="1284" max="1284" width="10.5" style="203" bestFit="1" customWidth="1"/>
    <col min="1285" max="1293" width="9" style="203"/>
    <col min="1294" max="1294" width="9.5" style="203" bestFit="1" customWidth="1"/>
    <col min="1295" max="1312" width="9" style="203"/>
    <col min="1313" max="1313" width="15.875" style="203" bestFit="1" customWidth="1"/>
    <col min="1314" max="1314" width="11.375" style="203" bestFit="1" customWidth="1"/>
    <col min="1315" max="1539" width="9" style="203"/>
    <col min="1540" max="1540" width="10.5" style="203" bestFit="1" customWidth="1"/>
    <col min="1541" max="1549" width="9" style="203"/>
    <col min="1550" max="1550" width="9.5" style="203" bestFit="1" customWidth="1"/>
    <col min="1551" max="1568" width="9" style="203"/>
    <col min="1569" max="1569" width="15.875" style="203" bestFit="1" customWidth="1"/>
    <col min="1570" max="1570" width="11.375" style="203" bestFit="1" customWidth="1"/>
    <col min="1571" max="1795" width="9" style="203"/>
    <col min="1796" max="1796" width="10.5" style="203" bestFit="1" customWidth="1"/>
    <col min="1797" max="1805" width="9" style="203"/>
    <col min="1806" max="1806" width="9.5" style="203" bestFit="1" customWidth="1"/>
    <col min="1807" max="1824" width="9" style="203"/>
    <col min="1825" max="1825" width="15.875" style="203" bestFit="1" customWidth="1"/>
    <col min="1826" max="1826" width="11.375" style="203" bestFit="1" customWidth="1"/>
    <col min="1827" max="2051" width="9" style="203"/>
    <col min="2052" max="2052" width="10.5" style="203" bestFit="1" customWidth="1"/>
    <col min="2053" max="2061" width="9" style="203"/>
    <col min="2062" max="2062" width="9.5" style="203" bestFit="1" customWidth="1"/>
    <col min="2063" max="2080" width="9" style="203"/>
    <col min="2081" max="2081" width="15.875" style="203" bestFit="1" customWidth="1"/>
    <col min="2082" max="2082" width="11.375" style="203" bestFit="1" customWidth="1"/>
    <col min="2083" max="2307" width="9" style="203"/>
    <col min="2308" max="2308" width="10.5" style="203" bestFit="1" customWidth="1"/>
    <col min="2309" max="2317" width="9" style="203"/>
    <col min="2318" max="2318" width="9.5" style="203" bestFit="1" customWidth="1"/>
    <col min="2319" max="2336" width="9" style="203"/>
    <col min="2337" max="2337" width="15.875" style="203" bestFit="1" customWidth="1"/>
    <col min="2338" max="2338" width="11.375" style="203" bestFit="1" customWidth="1"/>
    <col min="2339" max="2563" width="9" style="203"/>
    <col min="2564" max="2564" width="10.5" style="203" bestFit="1" customWidth="1"/>
    <col min="2565" max="2573" width="9" style="203"/>
    <col min="2574" max="2574" width="9.5" style="203" bestFit="1" customWidth="1"/>
    <col min="2575" max="2592" width="9" style="203"/>
    <col min="2593" max="2593" width="15.875" style="203" bestFit="1" customWidth="1"/>
    <col min="2594" max="2594" width="11.375" style="203" bestFit="1" customWidth="1"/>
    <col min="2595" max="2819" width="9" style="203"/>
    <col min="2820" max="2820" width="10.5" style="203" bestFit="1" customWidth="1"/>
    <col min="2821" max="2829" width="9" style="203"/>
    <col min="2830" max="2830" width="9.5" style="203" bestFit="1" customWidth="1"/>
    <col min="2831" max="2848" width="9" style="203"/>
    <col min="2849" max="2849" width="15.875" style="203" bestFit="1" customWidth="1"/>
    <col min="2850" max="2850" width="11.375" style="203" bestFit="1" customWidth="1"/>
    <col min="2851" max="3075" width="9" style="203"/>
    <col min="3076" max="3076" width="10.5" style="203" bestFit="1" customWidth="1"/>
    <col min="3077" max="3085" width="9" style="203"/>
    <col min="3086" max="3086" width="9.5" style="203" bestFit="1" customWidth="1"/>
    <col min="3087" max="3104" width="9" style="203"/>
    <col min="3105" max="3105" width="15.875" style="203" bestFit="1" customWidth="1"/>
    <col min="3106" max="3106" width="11.375" style="203" bestFit="1" customWidth="1"/>
    <col min="3107" max="3331" width="9" style="203"/>
    <col min="3332" max="3332" width="10.5" style="203" bestFit="1" customWidth="1"/>
    <col min="3333" max="3341" width="9" style="203"/>
    <col min="3342" max="3342" width="9.5" style="203" bestFit="1" customWidth="1"/>
    <col min="3343" max="3360" width="9" style="203"/>
    <col min="3361" max="3361" width="15.875" style="203" bestFit="1" customWidth="1"/>
    <col min="3362" max="3362" width="11.375" style="203" bestFit="1" customWidth="1"/>
    <col min="3363" max="3587" width="9" style="203"/>
    <col min="3588" max="3588" width="10.5" style="203" bestFit="1" customWidth="1"/>
    <col min="3589" max="3597" width="9" style="203"/>
    <col min="3598" max="3598" width="9.5" style="203" bestFit="1" customWidth="1"/>
    <col min="3599" max="3616" width="9" style="203"/>
    <col min="3617" max="3617" width="15.875" style="203" bestFit="1" customWidth="1"/>
    <col min="3618" max="3618" width="11.375" style="203" bestFit="1" customWidth="1"/>
    <col min="3619" max="3843" width="9" style="203"/>
    <col min="3844" max="3844" width="10.5" style="203" bestFit="1" customWidth="1"/>
    <col min="3845" max="3853" width="9" style="203"/>
    <col min="3854" max="3854" width="9.5" style="203" bestFit="1" customWidth="1"/>
    <col min="3855" max="3872" width="9" style="203"/>
    <col min="3873" max="3873" width="15.875" style="203" bestFit="1" customWidth="1"/>
    <col min="3874" max="3874" width="11.375" style="203" bestFit="1" customWidth="1"/>
    <col min="3875" max="4099" width="9" style="203"/>
    <col min="4100" max="4100" width="10.5" style="203" bestFit="1" customWidth="1"/>
    <col min="4101" max="4109" width="9" style="203"/>
    <col min="4110" max="4110" width="9.5" style="203" bestFit="1" customWidth="1"/>
    <col min="4111" max="4128" width="9" style="203"/>
    <col min="4129" max="4129" width="15.875" style="203" bestFit="1" customWidth="1"/>
    <col min="4130" max="4130" width="11.375" style="203" bestFit="1" customWidth="1"/>
    <col min="4131" max="4355" width="9" style="203"/>
    <col min="4356" max="4356" width="10.5" style="203" bestFit="1" customWidth="1"/>
    <col min="4357" max="4365" width="9" style="203"/>
    <col min="4366" max="4366" width="9.5" style="203" bestFit="1" customWidth="1"/>
    <col min="4367" max="4384" width="9" style="203"/>
    <col min="4385" max="4385" width="15.875" style="203" bestFit="1" customWidth="1"/>
    <col min="4386" max="4386" width="11.375" style="203" bestFit="1" customWidth="1"/>
    <col min="4387" max="4611" width="9" style="203"/>
    <col min="4612" max="4612" width="10.5" style="203" bestFit="1" customWidth="1"/>
    <col min="4613" max="4621" width="9" style="203"/>
    <col min="4622" max="4622" width="9.5" style="203" bestFit="1" customWidth="1"/>
    <col min="4623" max="4640" width="9" style="203"/>
    <col min="4641" max="4641" width="15.875" style="203" bestFit="1" customWidth="1"/>
    <col min="4642" max="4642" width="11.375" style="203" bestFit="1" customWidth="1"/>
    <col min="4643" max="4867" width="9" style="203"/>
    <col min="4868" max="4868" width="10.5" style="203" bestFit="1" customWidth="1"/>
    <col min="4869" max="4877" width="9" style="203"/>
    <col min="4878" max="4878" width="9.5" style="203" bestFit="1" customWidth="1"/>
    <col min="4879" max="4896" width="9" style="203"/>
    <col min="4897" max="4897" width="15.875" style="203" bestFit="1" customWidth="1"/>
    <col min="4898" max="4898" width="11.375" style="203" bestFit="1" customWidth="1"/>
    <col min="4899" max="5123" width="9" style="203"/>
    <col min="5124" max="5124" width="10.5" style="203" bestFit="1" customWidth="1"/>
    <col min="5125" max="5133" width="9" style="203"/>
    <col min="5134" max="5134" width="9.5" style="203" bestFit="1" customWidth="1"/>
    <col min="5135" max="5152" width="9" style="203"/>
    <col min="5153" max="5153" width="15.875" style="203" bestFit="1" customWidth="1"/>
    <col min="5154" max="5154" width="11.375" style="203" bestFit="1" customWidth="1"/>
    <col min="5155" max="5379" width="9" style="203"/>
    <col min="5380" max="5380" width="10.5" style="203" bestFit="1" customWidth="1"/>
    <col min="5381" max="5389" width="9" style="203"/>
    <col min="5390" max="5390" width="9.5" style="203" bestFit="1" customWidth="1"/>
    <col min="5391" max="5408" width="9" style="203"/>
    <col min="5409" max="5409" width="15.875" style="203" bestFit="1" customWidth="1"/>
    <col min="5410" max="5410" width="11.375" style="203" bestFit="1" customWidth="1"/>
    <col min="5411" max="5635" width="9" style="203"/>
    <col min="5636" max="5636" width="10.5" style="203" bestFit="1" customWidth="1"/>
    <col min="5637" max="5645" width="9" style="203"/>
    <col min="5646" max="5646" width="9.5" style="203" bestFit="1" customWidth="1"/>
    <col min="5647" max="5664" width="9" style="203"/>
    <col min="5665" max="5665" width="15.875" style="203" bestFit="1" customWidth="1"/>
    <col min="5666" max="5666" width="11.375" style="203" bestFit="1" customWidth="1"/>
    <col min="5667" max="5891" width="9" style="203"/>
    <col min="5892" max="5892" width="10.5" style="203" bestFit="1" customWidth="1"/>
    <col min="5893" max="5901" width="9" style="203"/>
    <col min="5902" max="5902" width="9.5" style="203" bestFit="1" customWidth="1"/>
    <col min="5903" max="5920" width="9" style="203"/>
    <col min="5921" max="5921" width="15.875" style="203" bestFit="1" customWidth="1"/>
    <col min="5922" max="5922" width="11.375" style="203" bestFit="1" customWidth="1"/>
    <col min="5923" max="6147" width="9" style="203"/>
    <col min="6148" max="6148" width="10.5" style="203" bestFit="1" customWidth="1"/>
    <col min="6149" max="6157" width="9" style="203"/>
    <col min="6158" max="6158" width="9.5" style="203" bestFit="1" customWidth="1"/>
    <col min="6159" max="6176" width="9" style="203"/>
    <col min="6177" max="6177" width="15.875" style="203" bestFit="1" customWidth="1"/>
    <col min="6178" max="6178" width="11.375" style="203" bestFit="1" customWidth="1"/>
    <col min="6179" max="6403" width="9" style="203"/>
    <col min="6404" max="6404" width="10.5" style="203" bestFit="1" customWidth="1"/>
    <col min="6405" max="6413" width="9" style="203"/>
    <col min="6414" max="6414" width="9.5" style="203" bestFit="1" customWidth="1"/>
    <col min="6415" max="6432" width="9" style="203"/>
    <col min="6433" max="6433" width="15.875" style="203" bestFit="1" customWidth="1"/>
    <col min="6434" max="6434" width="11.375" style="203" bestFit="1" customWidth="1"/>
    <col min="6435" max="6659" width="9" style="203"/>
    <col min="6660" max="6660" width="10.5" style="203" bestFit="1" customWidth="1"/>
    <col min="6661" max="6669" width="9" style="203"/>
    <col min="6670" max="6670" width="9.5" style="203" bestFit="1" customWidth="1"/>
    <col min="6671" max="6688" width="9" style="203"/>
    <col min="6689" max="6689" width="15.875" style="203" bestFit="1" customWidth="1"/>
    <col min="6690" max="6690" width="11.375" style="203" bestFit="1" customWidth="1"/>
    <col min="6691" max="6915" width="9" style="203"/>
    <col min="6916" max="6916" width="10.5" style="203" bestFit="1" customWidth="1"/>
    <col min="6917" max="6925" width="9" style="203"/>
    <col min="6926" max="6926" width="9.5" style="203" bestFit="1" customWidth="1"/>
    <col min="6927" max="6944" width="9" style="203"/>
    <col min="6945" max="6945" width="15.875" style="203" bestFit="1" customWidth="1"/>
    <col min="6946" max="6946" width="11.375" style="203" bestFit="1" customWidth="1"/>
    <col min="6947" max="7171" width="9" style="203"/>
    <col min="7172" max="7172" width="10.5" style="203" bestFit="1" customWidth="1"/>
    <col min="7173" max="7181" width="9" style="203"/>
    <col min="7182" max="7182" width="9.5" style="203" bestFit="1" customWidth="1"/>
    <col min="7183" max="7200" width="9" style="203"/>
    <col min="7201" max="7201" width="15.875" style="203" bestFit="1" customWidth="1"/>
    <col min="7202" max="7202" width="11.375" style="203" bestFit="1" customWidth="1"/>
    <col min="7203" max="7427" width="9" style="203"/>
    <col min="7428" max="7428" width="10.5" style="203" bestFit="1" customWidth="1"/>
    <col min="7429" max="7437" width="9" style="203"/>
    <col min="7438" max="7438" width="9.5" style="203" bestFit="1" customWidth="1"/>
    <col min="7439" max="7456" width="9" style="203"/>
    <col min="7457" max="7457" width="15.875" style="203" bestFit="1" customWidth="1"/>
    <col min="7458" max="7458" width="11.375" style="203" bestFit="1" customWidth="1"/>
    <col min="7459" max="7683" width="9" style="203"/>
    <col min="7684" max="7684" width="10.5" style="203" bestFit="1" customWidth="1"/>
    <col min="7685" max="7693" width="9" style="203"/>
    <col min="7694" max="7694" width="9.5" style="203" bestFit="1" customWidth="1"/>
    <col min="7695" max="7712" width="9" style="203"/>
    <col min="7713" max="7713" width="15.875" style="203" bestFit="1" customWidth="1"/>
    <col min="7714" max="7714" width="11.375" style="203" bestFit="1" customWidth="1"/>
    <col min="7715" max="7939" width="9" style="203"/>
    <col min="7940" max="7940" width="10.5" style="203" bestFit="1" customWidth="1"/>
    <col min="7941" max="7949" width="9" style="203"/>
    <col min="7950" max="7950" width="9.5" style="203" bestFit="1" customWidth="1"/>
    <col min="7951" max="7968" width="9" style="203"/>
    <col min="7969" max="7969" width="15.875" style="203" bestFit="1" customWidth="1"/>
    <col min="7970" max="7970" width="11.375" style="203" bestFit="1" customWidth="1"/>
    <col min="7971" max="8195" width="9" style="203"/>
    <col min="8196" max="8196" width="10.5" style="203" bestFit="1" customWidth="1"/>
    <col min="8197" max="8205" width="9" style="203"/>
    <col min="8206" max="8206" width="9.5" style="203" bestFit="1" customWidth="1"/>
    <col min="8207" max="8224" width="9" style="203"/>
    <col min="8225" max="8225" width="15.875" style="203" bestFit="1" customWidth="1"/>
    <col min="8226" max="8226" width="11.375" style="203" bestFit="1" customWidth="1"/>
    <col min="8227" max="8451" width="9" style="203"/>
    <col min="8452" max="8452" width="10.5" style="203" bestFit="1" customWidth="1"/>
    <col min="8453" max="8461" width="9" style="203"/>
    <col min="8462" max="8462" width="9.5" style="203" bestFit="1" customWidth="1"/>
    <col min="8463" max="8480" width="9" style="203"/>
    <col min="8481" max="8481" width="15.875" style="203" bestFit="1" customWidth="1"/>
    <col min="8482" max="8482" width="11.375" style="203" bestFit="1" customWidth="1"/>
    <col min="8483" max="8707" width="9" style="203"/>
    <col min="8708" max="8708" width="10.5" style="203" bestFit="1" customWidth="1"/>
    <col min="8709" max="8717" width="9" style="203"/>
    <col min="8718" max="8718" width="9.5" style="203" bestFit="1" customWidth="1"/>
    <col min="8719" max="8736" width="9" style="203"/>
    <col min="8737" max="8737" width="15.875" style="203" bestFit="1" customWidth="1"/>
    <col min="8738" max="8738" width="11.375" style="203" bestFit="1" customWidth="1"/>
    <col min="8739" max="8963" width="9" style="203"/>
    <col min="8964" max="8964" width="10.5" style="203" bestFit="1" customWidth="1"/>
    <col min="8965" max="8973" width="9" style="203"/>
    <col min="8974" max="8974" width="9.5" style="203" bestFit="1" customWidth="1"/>
    <col min="8975" max="8992" width="9" style="203"/>
    <col min="8993" max="8993" width="15.875" style="203" bestFit="1" customWidth="1"/>
    <col min="8994" max="8994" width="11.375" style="203" bestFit="1" customWidth="1"/>
    <col min="8995" max="9219" width="9" style="203"/>
    <col min="9220" max="9220" width="10.5" style="203" bestFit="1" customWidth="1"/>
    <col min="9221" max="9229" width="9" style="203"/>
    <col min="9230" max="9230" width="9.5" style="203" bestFit="1" customWidth="1"/>
    <col min="9231" max="9248" width="9" style="203"/>
    <col min="9249" max="9249" width="15.875" style="203" bestFit="1" customWidth="1"/>
    <col min="9250" max="9250" width="11.375" style="203" bestFit="1" customWidth="1"/>
    <col min="9251" max="9475" width="9" style="203"/>
    <col min="9476" max="9476" width="10.5" style="203" bestFit="1" customWidth="1"/>
    <col min="9477" max="9485" width="9" style="203"/>
    <col min="9486" max="9486" width="9.5" style="203" bestFit="1" customWidth="1"/>
    <col min="9487" max="9504" width="9" style="203"/>
    <col min="9505" max="9505" width="15.875" style="203" bestFit="1" customWidth="1"/>
    <col min="9506" max="9506" width="11.375" style="203" bestFit="1" customWidth="1"/>
    <col min="9507" max="9731" width="9" style="203"/>
    <col min="9732" max="9732" width="10.5" style="203" bestFit="1" customWidth="1"/>
    <col min="9733" max="9741" width="9" style="203"/>
    <col min="9742" max="9742" width="9.5" style="203" bestFit="1" customWidth="1"/>
    <col min="9743" max="9760" width="9" style="203"/>
    <col min="9761" max="9761" width="15.875" style="203" bestFit="1" customWidth="1"/>
    <col min="9762" max="9762" width="11.375" style="203" bestFit="1" customWidth="1"/>
    <col min="9763" max="9987" width="9" style="203"/>
    <col min="9988" max="9988" width="10.5" style="203" bestFit="1" customWidth="1"/>
    <col min="9989" max="9997" width="9" style="203"/>
    <col min="9998" max="9998" width="9.5" style="203" bestFit="1" customWidth="1"/>
    <col min="9999" max="10016" width="9" style="203"/>
    <col min="10017" max="10017" width="15.875" style="203" bestFit="1" customWidth="1"/>
    <col min="10018" max="10018" width="11.375" style="203" bestFit="1" customWidth="1"/>
    <col min="10019" max="10243" width="9" style="203"/>
    <col min="10244" max="10244" width="10.5" style="203" bestFit="1" customWidth="1"/>
    <col min="10245" max="10253" width="9" style="203"/>
    <col min="10254" max="10254" width="9.5" style="203" bestFit="1" customWidth="1"/>
    <col min="10255" max="10272" width="9" style="203"/>
    <col min="10273" max="10273" width="15.875" style="203" bestFit="1" customWidth="1"/>
    <col min="10274" max="10274" width="11.375" style="203" bestFit="1" customWidth="1"/>
    <col min="10275" max="10499" width="9" style="203"/>
    <col min="10500" max="10500" width="10.5" style="203" bestFit="1" customWidth="1"/>
    <col min="10501" max="10509" width="9" style="203"/>
    <col min="10510" max="10510" width="9.5" style="203" bestFit="1" customWidth="1"/>
    <col min="10511" max="10528" width="9" style="203"/>
    <col min="10529" max="10529" width="15.875" style="203" bestFit="1" customWidth="1"/>
    <col min="10530" max="10530" width="11.375" style="203" bestFit="1" customWidth="1"/>
    <col min="10531" max="10755" width="9" style="203"/>
    <col min="10756" max="10756" width="10.5" style="203" bestFit="1" customWidth="1"/>
    <col min="10757" max="10765" width="9" style="203"/>
    <col min="10766" max="10766" width="9.5" style="203" bestFit="1" customWidth="1"/>
    <col min="10767" max="10784" width="9" style="203"/>
    <col min="10785" max="10785" width="15.875" style="203" bestFit="1" customWidth="1"/>
    <col min="10786" max="10786" width="11.375" style="203" bestFit="1" customWidth="1"/>
    <col min="10787" max="11011" width="9" style="203"/>
    <col min="11012" max="11012" width="10.5" style="203" bestFit="1" customWidth="1"/>
    <col min="11013" max="11021" width="9" style="203"/>
    <col min="11022" max="11022" width="9.5" style="203" bestFit="1" customWidth="1"/>
    <col min="11023" max="11040" width="9" style="203"/>
    <col min="11041" max="11041" width="15.875" style="203" bestFit="1" customWidth="1"/>
    <col min="11042" max="11042" width="11.375" style="203" bestFit="1" customWidth="1"/>
    <col min="11043" max="11267" width="9" style="203"/>
    <col min="11268" max="11268" width="10.5" style="203" bestFit="1" customWidth="1"/>
    <col min="11269" max="11277" width="9" style="203"/>
    <col min="11278" max="11278" width="9.5" style="203" bestFit="1" customWidth="1"/>
    <col min="11279" max="11296" width="9" style="203"/>
    <col min="11297" max="11297" width="15.875" style="203" bestFit="1" customWidth="1"/>
    <col min="11298" max="11298" width="11.375" style="203" bestFit="1" customWidth="1"/>
    <col min="11299" max="11523" width="9" style="203"/>
    <col min="11524" max="11524" width="10.5" style="203" bestFit="1" customWidth="1"/>
    <col min="11525" max="11533" width="9" style="203"/>
    <col min="11534" max="11534" width="9.5" style="203" bestFit="1" customWidth="1"/>
    <col min="11535" max="11552" width="9" style="203"/>
    <col min="11553" max="11553" width="15.875" style="203" bestFit="1" customWidth="1"/>
    <col min="11554" max="11554" width="11.375" style="203" bestFit="1" customWidth="1"/>
    <col min="11555" max="11779" width="9" style="203"/>
    <col min="11780" max="11780" width="10.5" style="203" bestFit="1" customWidth="1"/>
    <col min="11781" max="11789" width="9" style="203"/>
    <col min="11790" max="11790" width="9.5" style="203" bestFit="1" customWidth="1"/>
    <col min="11791" max="11808" width="9" style="203"/>
    <col min="11809" max="11809" width="15.875" style="203" bestFit="1" customWidth="1"/>
    <col min="11810" max="11810" width="11.375" style="203" bestFit="1" customWidth="1"/>
    <col min="11811" max="12035" width="9" style="203"/>
    <col min="12036" max="12036" width="10.5" style="203" bestFit="1" customWidth="1"/>
    <col min="12037" max="12045" width="9" style="203"/>
    <col min="12046" max="12046" width="9.5" style="203" bestFit="1" customWidth="1"/>
    <col min="12047" max="12064" width="9" style="203"/>
    <col min="12065" max="12065" width="15.875" style="203" bestFit="1" customWidth="1"/>
    <col min="12066" max="12066" width="11.375" style="203" bestFit="1" customWidth="1"/>
    <col min="12067" max="12291" width="9" style="203"/>
    <col min="12292" max="12292" width="10.5" style="203" bestFit="1" customWidth="1"/>
    <col min="12293" max="12301" width="9" style="203"/>
    <col min="12302" max="12302" width="9.5" style="203" bestFit="1" customWidth="1"/>
    <col min="12303" max="12320" width="9" style="203"/>
    <col min="12321" max="12321" width="15.875" style="203" bestFit="1" customWidth="1"/>
    <col min="12322" max="12322" width="11.375" style="203" bestFit="1" customWidth="1"/>
    <col min="12323" max="12547" width="9" style="203"/>
    <col min="12548" max="12548" width="10.5" style="203" bestFit="1" customWidth="1"/>
    <col min="12549" max="12557" width="9" style="203"/>
    <col min="12558" max="12558" width="9.5" style="203" bestFit="1" customWidth="1"/>
    <col min="12559" max="12576" width="9" style="203"/>
    <col min="12577" max="12577" width="15.875" style="203" bestFit="1" customWidth="1"/>
    <col min="12578" max="12578" width="11.375" style="203" bestFit="1" customWidth="1"/>
    <col min="12579" max="12803" width="9" style="203"/>
    <col min="12804" max="12804" width="10.5" style="203" bestFit="1" customWidth="1"/>
    <col min="12805" max="12813" width="9" style="203"/>
    <col min="12814" max="12814" width="9.5" style="203" bestFit="1" customWidth="1"/>
    <col min="12815" max="12832" width="9" style="203"/>
    <col min="12833" max="12833" width="15.875" style="203" bestFit="1" customWidth="1"/>
    <col min="12834" max="12834" width="11.375" style="203" bestFit="1" customWidth="1"/>
    <col min="12835" max="13059" width="9" style="203"/>
    <col min="13060" max="13060" width="10.5" style="203" bestFit="1" customWidth="1"/>
    <col min="13061" max="13069" width="9" style="203"/>
    <col min="13070" max="13070" width="9.5" style="203" bestFit="1" customWidth="1"/>
    <col min="13071" max="13088" width="9" style="203"/>
    <col min="13089" max="13089" width="15.875" style="203" bestFit="1" customWidth="1"/>
    <col min="13090" max="13090" width="11.375" style="203" bestFit="1" customWidth="1"/>
    <col min="13091" max="13315" width="9" style="203"/>
    <col min="13316" max="13316" width="10.5" style="203" bestFit="1" customWidth="1"/>
    <col min="13317" max="13325" width="9" style="203"/>
    <col min="13326" max="13326" width="9.5" style="203" bestFit="1" customWidth="1"/>
    <col min="13327" max="13344" width="9" style="203"/>
    <col min="13345" max="13345" width="15.875" style="203" bestFit="1" customWidth="1"/>
    <col min="13346" max="13346" width="11.375" style="203" bestFit="1" customWidth="1"/>
    <col min="13347" max="13571" width="9" style="203"/>
    <col min="13572" max="13572" width="10.5" style="203" bestFit="1" customWidth="1"/>
    <col min="13573" max="13581" width="9" style="203"/>
    <col min="13582" max="13582" width="9.5" style="203" bestFit="1" customWidth="1"/>
    <col min="13583" max="13600" width="9" style="203"/>
    <col min="13601" max="13601" width="15.875" style="203" bestFit="1" customWidth="1"/>
    <col min="13602" max="13602" width="11.375" style="203" bestFit="1" customWidth="1"/>
    <col min="13603" max="13827" width="9" style="203"/>
    <col min="13828" max="13828" width="10.5" style="203" bestFit="1" customWidth="1"/>
    <col min="13829" max="13837" width="9" style="203"/>
    <col min="13838" max="13838" width="9.5" style="203" bestFit="1" customWidth="1"/>
    <col min="13839" max="13856" width="9" style="203"/>
    <col min="13857" max="13857" width="15.875" style="203" bestFit="1" customWidth="1"/>
    <col min="13858" max="13858" width="11.375" style="203" bestFit="1" customWidth="1"/>
    <col min="13859" max="14083" width="9" style="203"/>
    <col min="14084" max="14084" width="10.5" style="203" bestFit="1" customWidth="1"/>
    <col min="14085" max="14093" width="9" style="203"/>
    <col min="14094" max="14094" width="9.5" style="203" bestFit="1" customWidth="1"/>
    <col min="14095" max="14112" width="9" style="203"/>
    <col min="14113" max="14113" width="15.875" style="203" bestFit="1" customWidth="1"/>
    <col min="14114" max="14114" width="11.375" style="203" bestFit="1" customWidth="1"/>
    <col min="14115" max="14339" width="9" style="203"/>
    <col min="14340" max="14340" width="10.5" style="203" bestFit="1" customWidth="1"/>
    <col min="14341" max="14349" width="9" style="203"/>
    <col min="14350" max="14350" width="9.5" style="203" bestFit="1" customWidth="1"/>
    <col min="14351" max="14368" width="9" style="203"/>
    <col min="14369" max="14369" width="15.875" style="203" bestFit="1" customWidth="1"/>
    <col min="14370" max="14370" width="11.375" style="203" bestFit="1" customWidth="1"/>
    <col min="14371" max="14595" width="9" style="203"/>
    <col min="14596" max="14596" width="10.5" style="203" bestFit="1" customWidth="1"/>
    <col min="14597" max="14605" width="9" style="203"/>
    <col min="14606" max="14606" width="9.5" style="203" bestFit="1" customWidth="1"/>
    <col min="14607" max="14624" width="9" style="203"/>
    <col min="14625" max="14625" width="15.875" style="203" bestFit="1" customWidth="1"/>
    <col min="14626" max="14626" width="11.375" style="203" bestFit="1" customWidth="1"/>
    <col min="14627" max="14851" width="9" style="203"/>
    <col min="14852" max="14852" width="10.5" style="203" bestFit="1" customWidth="1"/>
    <col min="14853" max="14861" width="9" style="203"/>
    <col min="14862" max="14862" width="9.5" style="203" bestFit="1" customWidth="1"/>
    <col min="14863" max="14880" width="9" style="203"/>
    <col min="14881" max="14881" width="15.875" style="203" bestFit="1" customWidth="1"/>
    <col min="14882" max="14882" width="11.375" style="203" bestFit="1" customWidth="1"/>
    <col min="14883" max="15107" width="9" style="203"/>
    <col min="15108" max="15108" width="10.5" style="203" bestFit="1" customWidth="1"/>
    <col min="15109" max="15117" width="9" style="203"/>
    <col min="15118" max="15118" width="9.5" style="203" bestFit="1" customWidth="1"/>
    <col min="15119" max="15136" width="9" style="203"/>
    <col min="15137" max="15137" width="15.875" style="203" bestFit="1" customWidth="1"/>
    <col min="15138" max="15138" width="11.375" style="203" bestFit="1" customWidth="1"/>
    <col min="15139" max="15363" width="9" style="203"/>
    <col min="15364" max="15364" width="10.5" style="203" bestFit="1" customWidth="1"/>
    <col min="15365" max="15373" width="9" style="203"/>
    <col min="15374" max="15374" width="9.5" style="203" bestFit="1" customWidth="1"/>
    <col min="15375" max="15392" width="9" style="203"/>
    <col min="15393" max="15393" width="15.875" style="203" bestFit="1" customWidth="1"/>
    <col min="15394" max="15394" width="11.375" style="203" bestFit="1" customWidth="1"/>
    <col min="15395" max="15619" width="9" style="203"/>
    <col min="15620" max="15620" width="10.5" style="203" bestFit="1" customWidth="1"/>
    <col min="15621" max="15629" width="9" style="203"/>
    <col min="15630" max="15630" width="9.5" style="203" bestFit="1" customWidth="1"/>
    <col min="15631" max="15648" width="9" style="203"/>
    <col min="15649" max="15649" width="15.875" style="203" bestFit="1" customWidth="1"/>
    <col min="15650" max="15650" width="11.375" style="203" bestFit="1" customWidth="1"/>
    <col min="15651" max="15875" width="9" style="203"/>
    <col min="15876" max="15876" width="10.5" style="203" bestFit="1" customWidth="1"/>
    <col min="15877" max="15885" width="9" style="203"/>
    <col min="15886" max="15886" width="9.5" style="203" bestFit="1" customWidth="1"/>
    <col min="15887" max="15904" width="9" style="203"/>
    <col min="15905" max="15905" width="15.875" style="203" bestFit="1" customWidth="1"/>
    <col min="15906" max="15906" width="11.375" style="203" bestFit="1" customWidth="1"/>
    <col min="15907" max="16131" width="9" style="203"/>
    <col min="16132" max="16132" width="10.5" style="203" bestFit="1" customWidth="1"/>
    <col min="16133" max="16141" width="9" style="203"/>
    <col min="16142" max="16142" width="9.5" style="203" bestFit="1" customWidth="1"/>
    <col min="16143" max="16160" width="9" style="203"/>
    <col min="16161" max="16161" width="15.875" style="203" bestFit="1" customWidth="1"/>
    <col min="16162" max="16162" width="11.375" style="203" bestFit="1" customWidth="1"/>
    <col min="16163" max="16384" width="9" style="203"/>
  </cols>
  <sheetData>
    <row r="1" spans="1:53" ht="45" x14ac:dyDescent="0.15">
      <c r="A1" s="83" t="s">
        <v>0</v>
      </c>
      <c r="B1" s="197" t="s">
        <v>1</v>
      </c>
      <c r="C1" s="197" t="s">
        <v>157</v>
      </c>
      <c r="D1" s="198" t="s">
        <v>3</v>
      </c>
      <c r="E1" s="84" t="s">
        <v>4</v>
      </c>
      <c r="F1" s="84" t="s">
        <v>5</v>
      </c>
      <c r="G1" s="84" t="s">
        <v>6</v>
      </c>
      <c r="H1" s="84" t="s">
        <v>7</v>
      </c>
      <c r="I1" s="84" t="s">
        <v>8</v>
      </c>
      <c r="J1" s="84" t="s">
        <v>9</v>
      </c>
      <c r="K1" s="84" t="s">
        <v>10</v>
      </c>
      <c r="L1" s="198" t="s">
        <v>158</v>
      </c>
      <c r="M1" s="198" t="s">
        <v>12</v>
      </c>
      <c r="N1" s="198" t="s">
        <v>13</v>
      </c>
      <c r="O1" s="198" t="s">
        <v>159</v>
      </c>
      <c r="P1" s="198" t="s">
        <v>15</v>
      </c>
      <c r="Q1" s="199" t="s">
        <v>16</v>
      </c>
      <c r="R1" s="198" t="s">
        <v>17</v>
      </c>
      <c r="S1" s="198" t="s">
        <v>18</v>
      </c>
      <c r="T1" s="199" t="s">
        <v>19</v>
      </c>
      <c r="U1" s="200" t="s">
        <v>108</v>
      </c>
      <c r="V1" s="201" t="s">
        <v>20</v>
      </c>
      <c r="W1" s="198" t="s">
        <v>21</v>
      </c>
      <c r="X1" s="84" t="s">
        <v>22</v>
      </c>
      <c r="Y1" s="84" t="s">
        <v>23</v>
      </c>
      <c r="Z1" s="84" t="s">
        <v>24</v>
      </c>
      <c r="AA1" s="85" t="s">
        <v>25</v>
      </c>
      <c r="AB1" s="202" t="s">
        <v>160</v>
      </c>
      <c r="AE1" s="204" t="s">
        <v>0</v>
      </c>
      <c r="AF1" s="205"/>
      <c r="AG1" s="204" t="s">
        <v>4</v>
      </c>
      <c r="AH1" s="204" t="s">
        <v>5</v>
      </c>
      <c r="AI1" s="205"/>
      <c r="AJ1" s="204" t="s">
        <v>6</v>
      </c>
      <c r="AK1" s="205"/>
      <c r="AL1" s="206" t="s">
        <v>7</v>
      </c>
      <c r="AM1" s="205"/>
      <c r="AN1" s="206" t="s">
        <v>8</v>
      </c>
      <c r="AO1" s="205"/>
      <c r="AP1" s="206" t="s">
        <v>27</v>
      </c>
      <c r="AQ1" s="205"/>
      <c r="AR1" s="206" t="s">
        <v>10</v>
      </c>
      <c r="AS1" s="205"/>
      <c r="AT1" s="207" t="s">
        <v>28</v>
      </c>
      <c r="AU1" s="205"/>
      <c r="AV1" s="206" t="s">
        <v>29</v>
      </c>
      <c r="AX1" s="208" t="s">
        <v>161</v>
      </c>
      <c r="AY1" s="209" t="s">
        <v>162</v>
      </c>
      <c r="AZ1" s="209" t="s">
        <v>163</v>
      </c>
      <c r="BA1" s="210" t="s">
        <v>164</v>
      </c>
    </row>
    <row r="2" spans="1:53" s="211" customFormat="1" x14ac:dyDescent="0.15">
      <c r="A2" s="55" t="s">
        <v>56</v>
      </c>
      <c r="B2" s="55" t="s">
        <v>335</v>
      </c>
      <c r="C2" s="211">
        <v>2018</v>
      </c>
      <c r="D2" s="86" t="s">
        <v>494</v>
      </c>
      <c r="E2" s="211" t="s">
        <v>495</v>
      </c>
      <c r="F2" s="211" t="s">
        <v>174</v>
      </c>
      <c r="G2" s="55" t="s">
        <v>42</v>
      </c>
      <c r="H2" s="211" t="s">
        <v>155</v>
      </c>
      <c r="I2" s="55" t="s">
        <v>153</v>
      </c>
      <c r="J2" s="211" t="s">
        <v>38</v>
      </c>
      <c r="K2" s="211" t="s">
        <v>154</v>
      </c>
      <c r="L2" s="211">
        <v>1</v>
      </c>
      <c r="N2" s="203">
        <v>1</v>
      </c>
      <c r="O2" s="211">
        <v>1</v>
      </c>
      <c r="P2" s="203">
        <v>0.9</v>
      </c>
      <c r="Q2" s="240">
        <f t="shared" ref="Q2:Q52" si="0">IF(OR(O2="",P2=""),"",AVERAGE(O2,P2))</f>
        <v>0.95</v>
      </c>
      <c r="R2" s="211">
        <v>13.3</v>
      </c>
      <c r="S2" s="211">
        <v>139</v>
      </c>
      <c r="T2" s="212">
        <f t="shared" ref="T2:T52" si="1">IF(H2="","",IF(OR(H2="GREEN",H2="GK"),IF(S2&gt;=$AX$2,VLOOKUP(S2,$AX$2:$AY$10,2,1),""),IF(S2&gt;=$AZ$2,VLOOKUP(S2,$AZ$2:$BA$10,2,1),"")))</f>
        <v>22</v>
      </c>
      <c r="U2" s="211">
        <v>108</v>
      </c>
      <c r="V2" s="212">
        <f t="shared" ref="V2:V52" si="2">IF(OR(N2="",U2="",T2=""),"",U2/N2*T2)</f>
        <v>2376</v>
      </c>
      <c r="W2" s="211">
        <v>2</v>
      </c>
      <c r="X2" s="55" t="s">
        <v>46</v>
      </c>
      <c r="Y2" s="55" t="s">
        <v>84</v>
      </c>
      <c r="Z2" s="211" t="s">
        <v>90</v>
      </c>
      <c r="AA2" s="55" t="s">
        <v>78</v>
      </c>
      <c r="AB2" s="211" t="s">
        <v>336</v>
      </c>
      <c r="AE2" s="213" t="s">
        <v>35</v>
      </c>
      <c r="AG2" s="226" t="s">
        <v>175</v>
      </c>
      <c r="AH2" s="87" t="s">
        <v>174</v>
      </c>
      <c r="AJ2" s="214" t="s">
        <v>36</v>
      </c>
      <c r="AL2" s="214" t="s">
        <v>127</v>
      </c>
      <c r="AN2" s="214" t="s">
        <v>37</v>
      </c>
      <c r="AP2" s="214" t="s">
        <v>38</v>
      </c>
      <c r="AR2" s="214" t="s">
        <v>120</v>
      </c>
      <c r="AT2" s="214" t="s">
        <v>39</v>
      </c>
      <c r="AV2" s="214" t="s">
        <v>40</v>
      </c>
      <c r="AX2" s="215">
        <v>1</v>
      </c>
      <c r="AY2" s="216">
        <v>50</v>
      </c>
      <c r="AZ2" s="216">
        <v>1</v>
      </c>
      <c r="BA2" s="217">
        <v>50</v>
      </c>
    </row>
    <row r="3" spans="1:53" x14ac:dyDescent="0.15">
      <c r="A3" s="55" t="s">
        <v>56</v>
      </c>
      <c r="B3" s="55" t="s">
        <v>335</v>
      </c>
      <c r="C3" s="211">
        <v>2018</v>
      </c>
      <c r="D3" s="86" t="s">
        <v>494</v>
      </c>
      <c r="E3" s="211" t="s">
        <v>495</v>
      </c>
      <c r="F3" s="211" t="s">
        <v>174</v>
      </c>
      <c r="G3" s="55" t="s">
        <v>42</v>
      </c>
      <c r="H3" s="211" t="s">
        <v>155</v>
      </c>
      <c r="I3" s="55" t="s">
        <v>153</v>
      </c>
      <c r="J3" s="211" t="s">
        <v>38</v>
      </c>
      <c r="K3" s="211" t="s">
        <v>154</v>
      </c>
      <c r="L3" s="203">
        <v>2</v>
      </c>
      <c r="N3" s="203">
        <v>1</v>
      </c>
      <c r="O3" s="203">
        <v>0.7</v>
      </c>
      <c r="P3" s="203">
        <v>0.55000000000000004</v>
      </c>
      <c r="Q3" s="240">
        <f t="shared" si="0"/>
        <v>0.625</v>
      </c>
      <c r="R3" s="203">
        <v>14</v>
      </c>
      <c r="S3" s="203">
        <v>134</v>
      </c>
      <c r="T3" s="212">
        <f t="shared" si="1"/>
        <v>25</v>
      </c>
      <c r="U3" s="203">
        <v>108</v>
      </c>
      <c r="V3" s="212">
        <f t="shared" si="2"/>
        <v>2700</v>
      </c>
      <c r="W3" s="203">
        <v>2</v>
      </c>
      <c r="X3" s="55" t="s">
        <v>46</v>
      </c>
      <c r="Y3" s="55" t="s">
        <v>84</v>
      </c>
      <c r="Z3" s="211" t="s">
        <v>90</v>
      </c>
      <c r="AA3" s="55" t="s">
        <v>78</v>
      </c>
      <c r="AB3" s="211" t="s">
        <v>336</v>
      </c>
      <c r="AE3" s="218" t="s">
        <v>41</v>
      </c>
      <c r="AG3" s="226" t="s">
        <v>175</v>
      </c>
      <c r="AH3" s="87" t="s">
        <v>176</v>
      </c>
      <c r="AJ3" s="219" t="s">
        <v>42</v>
      </c>
      <c r="AL3" s="219" t="s">
        <v>128</v>
      </c>
      <c r="AN3" s="219" t="s">
        <v>43</v>
      </c>
      <c r="AP3" s="219" t="s">
        <v>44</v>
      </c>
      <c r="AR3" s="233" t="s">
        <v>45</v>
      </c>
      <c r="AT3" s="219" t="s">
        <v>46</v>
      </c>
      <c r="AV3" s="219" t="s">
        <v>47</v>
      </c>
      <c r="AX3" s="220">
        <v>72</v>
      </c>
      <c r="AY3" s="221">
        <v>46</v>
      </c>
      <c r="AZ3" s="221">
        <v>71</v>
      </c>
      <c r="BA3" s="222">
        <v>42</v>
      </c>
    </row>
    <row r="4" spans="1:53" x14ac:dyDescent="0.15">
      <c r="A4" s="55" t="s">
        <v>56</v>
      </c>
      <c r="B4" s="55" t="s">
        <v>335</v>
      </c>
      <c r="C4" s="211">
        <v>2018</v>
      </c>
      <c r="D4" s="86" t="s">
        <v>494</v>
      </c>
      <c r="E4" s="211" t="s">
        <v>495</v>
      </c>
      <c r="F4" s="211" t="s">
        <v>174</v>
      </c>
      <c r="G4" s="55" t="s">
        <v>42</v>
      </c>
      <c r="H4" s="211" t="s">
        <v>155</v>
      </c>
      <c r="I4" s="55" t="s">
        <v>153</v>
      </c>
      <c r="J4" s="211" t="s">
        <v>38</v>
      </c>
      <c r="K4" s="211" t="s">
        <v>154</v>
      </c>
      <c r="L4" s="203">
        <v>3</v>
      </c>
      <c r="N4" s="203">
        <v>1</v>
      </c>
      <c r="O4" s="203">
        <v>0.85</v>
      </c>
      <c r="P4" s="203">
        <v>0.95</v>
      </c>
      <c r="Q4" s="240">
        <f t="shared" si="0"/>
        <v>0.89999999999999991</v>
      </c>
      <c r="R4" s="203">
        <v>13.2</v>
      </c>
      <c r="S4" s="203">
        <v>136</v>
      </c>
      <c r="T4" s="212">
        <f t="shared" si="1"/>
        <v>25</v>
      </c>
      <c r="U4" s="203">
        <v>108</v>
      </c>
      <c r="V4" s="212">
        <f t="shared" si="2"/>
        <v>2700</v>
      </c>
      <c r="W4" s="203">
        <v>2</v>
      </c>
      <c r="X4" s="55" t="s">
        <v>46</v>
      </c>
      <c r="Y4" s="55" t="s">
        <v>84</v>
      </c>
      <c r="Z4" s="211" t="s">
        <v>90</v>
      </c>
      <c r="AA4" s="55" t="s">
        <v>78</v>
      </c>
      <c r="AB4" s="211" t="s">
        <v>336</v>
      </c>
      <c r="AE4" s="218" t="s">
        <v>34</v>
      </c>
      <c r="AG4" s="226" t="s">
        <v>177</v>
      </c>
      <c r="AH4" s="87" t="s">
        <v>178</v>
      </c>
      <c r="AJ4" s="223" t="s">
        <v>48</v>
      </c>
      <c r="AL4" s="223" t="s">
        <v>179</v>
      </c>
      <c r="AN4" s="224" t="s">
        <v>49</v>
      </c>
      <c r="AP4" s="219" t="s">
        <v>165</v>
      </c>
      <c r="AR4" s="233" t="s">
        <v>121</v>
      </c>
      <c r="AT4" s="224"/>
      <c r="AV4" s="219" t="s">
        <v>50</v>
      </c>
      <c r="AX4" s="220">
        <v>75</v>
      </c>
      <c r="AY4" s="221">
        <v>42</v>
      </c>
      <c r="AZ4" s="221">
        <v>76</v>
      </c>
      <c r="BA4" s="222">
        <v>39</v>
      </c>
    </row>
    <row r="5" spans="1:53" x14ac:dyDescent="0.15">
      <c r="A5" s="55" t="s">
        <v>56</v>
      </c>
      <c r="B5" s="55" t="s">
        <v>335</v>
      </c>
      <c r="C5" s="211">
        <v>2018</v>
      </c>
      <c r="D5" s="86" t="s">
        <v>494</v>
      </c>
      <c r="E5" s="211" t="s">
        <v>495</v>
      </c>
      <c r="F5" s="211" t="s">
        <v>176</v>
      </c>
      <c r="G5" s="55" t="s">
        <v>42</v>
      </c>
      <c r="H5" s="211" t="s">
        <v>155</v>
      </c>
      <c r="I5" s="55" t="s">
        <v>153</v>
      </c>
      <c r="J5" s="211" t="s">
        <v>38</v>
      </c>
      <c r="K5" s="211" t="s">
        <v>154</v>
      </c>
      <c r="L5" s="203">
        <v>1</v>
      </c>
      <c r="N5" s="203">
        <v>1</v>
      </c>
      <c r="O5" s="203">
        <v>0.75</v>
      </c>
      <c r="P5" s="203">
        <v>0.75</v>
      </c>
      <c r="Q5" s="240">
        <f t="shared" si="0"/>
        <v>0.75</v>
      </c>
      <c r="R5" s="203">
        <v>14.6</v>
      </c>
      <c r="S5" s="203">
        <v>139</v>
      </c>
      <c r="T5" s="212">
        <f t="shared" si="1"/>
        <v>22</v>
      </c>
      <c r="U5" s="203">
        <v>106</v>
      </c>
      <c r="V5" s="212">
        <f t="shared" si="2"/>
        <v>2332</v>
      </c>
      <c r="W5" s="203">
        <v>4</v>
      </c>
      <c r="X5" s="55" t="s">
        <v>46</v>
      </c>
      <c r="Y5" s="55" t="s">
        <v>84</v>
      </c>
      <c r="Z5" s="211" t="s">
        <v>90</v>
      </c>
      <c r="AA5" s="55" t="s">
        <v>69</v>
      </c>
      <c r="AB5" s="211" t="s">
        <v>336</v>
      </c>
      <c r="AE5" s="218" t="s">
        <v>51</v>
      </c>
      <c r="AG5" s="226" t="s">
        <v>180</v>
      </c>
      <c r="AH5" s="87" t="s">
        <v>181</v>
      </c>
      <c r="AJ5" s="224"/>
      <c r="AL5" s="225" t="s">
        <v>167</v>
      </c>
      <c r="AN5" s="225" t="s">
        <v>168</v>
      </c>
      <c r="AP5" s="219" t="s">
        <v>182</v>
      </c>
      <c r="AR5" s="233" t="s">
        <v>54</v>
      </c>
      <c r="AV5" s="219" t="s">
        <v>55</v>
      </c>
      <c r="AX5" s="220">
        <v>84</v>
      </c>
      <c r="AY5" s="221">
        <v>39</v>
      </c>
      <c r="AZ5" s="221">
        <v>84</v>
      </c>
      <c r="BA5" s="222">
        <v>36</v>
      </c>
    </row>
    <row r="6" spans="1:53" x14ac:dyDescent="0.15">
      <c r="A6" s="55" t="s">
        <v>56</v>
      </c>
      <c r="B6" s="55" t="s">
        <v>335</v>
      </c>
      <c r="C6" s="211">
        <v>2018</v>
      </c>
      <c r="D6" s="86" t="s">
        <v>494</v>
      </c>
      <c r="E6" s="211" t="s">
        <v>495</v>
      </c>
      <c r="F6" s="211" t="s">
        <v>176</v>
      </c>
      <c r="G6" s="55" t="s">
        <v>42</v>
      </c>
      <c r="H6" s="211" t="s">
        <v>155</v>
      </c>
      <c r="I6" s="55" t="s">
        <v>153</v>
      </c>
      <c r="J6" s="211" t="s">
        <v>38</v>
      </c>
      <c r="K6" s="211" t="s">
        <v>154</v>
      </c>
      <c r="L6" s="203">
        <v>2</v>
      </c>
      <c r="N6" s="203">
        <v>1</v>
      </c>
      <c r="O6" s="203">
        <v>1.05</v>
      </c>
      <c r="P6" s="203">
        <v>1.1000000000000001</v>
      </c>
      <c r="Q6" s="240">
        <f t="shared" si="0"/>
        <v>1.0750000000000002</v>
      </c>
      <c r="R6" s="203">
        <v>14.8</v>
      </c>
      <c r="S6" s="203">
        <v>142</v>
      </c>
      <c r="T6" s="212">
        <f t="shared" si="1"/>
        <v>22</v>
      </c>
      <c r="U6" s="203">
        <v>106</v>
      </c>
      <c r="V6" s="212">
        <f t="shared" si="2"/>
        <v>2332</v>
      </c>
      <c r="W6" s="203">
        <v>4</v>
      </c>
      <c r="X6" s="55" t="s">
        <v>46</v>
      </c>
      <c r="Y6" s="55" t="s">
        <v>84</v>
      </c>
      <c r="Z6" s="211" t="s">
        <v>90</v>
      </c>
      <c r="AA6" s="55" t="s">
        <v>69</v>
      </c>
      <c r="AB6" s="211" t="s">
        <v>336</v>
      </c>
      <c r="AE6" s="218" t="s">
        <v>56</v>
      </c>
      <c r="AG6" s="226" t="s">
        <v>183</v>
      </c>
      <c r="AH6" s="87" t="s">
        <v>181</v>
      </c>
      <c r="AL6" s="225" t="s">
        <v>169</v>
      </c>
      <c r="AN6" s="225" t="s">
        <v>170</v>
      </c>
      <c r="AP6" s="219" t="s">
        <v>53</v>
      </c>
      <c r="AR6" s="233" t="s">
        <v>59</v>
      </c>
      <c r="AV6" s="219" t="s">
        <v>60</v>
      </c>
      <c r="AX6" s="220">
        <v>97</v>
      </c>
      <c r="AY6" s="221">
        <v>36</v>
      </c>
      <c r="AZ6" s="221">
        <v>99</v>
      </c>
      <c r="BA6" s="222">
        <v>33</v>
      </c>
    </row>
    <row r="7" spans="1:53" x14ac:dyDescent="0.15">
      <c r="A7" s="55" t="s">
        <v>56</v>
      </c>
      <c r="B7" s="55" t="s">
        <v>335</v>
      </c>
      <c r="C7" s="211">
        <v>2018</v>
      </c>
      <c r="D7" s="86" t="s">
        <v>494</v>
      </c>
      <c r="E7" s="211" t="s">
        <v>495</v>
      </c>
      <c r="F7" s="211" t="s">
        <v>176</v>
      </c>
      <c r="G7" s="55" t="s">
        <v>42</v>
      </c>
      <c r="H7" s="211" t="s">
        <v>155</v>
      </c>
      <c r="I7" s="55" t="s">
        <v>153</v>
      </c>
      <c r="J7" s="211" t="s">
        <v>38</v>
      </c>
      <c r="K7" s="211" t="s">
        <v>154</v>
      </c>
      <c r="L7" s="203">
        <v>3</v>
      </c>
      <c r="N7" s="203">
        <v>1</v>
      </c>
      <c r="O7" s="203">
        <v>0.5</v>
      </c>
      <c r="P7" s="203">
        <v>0.6</v>
      </c>
      <c r="Q7" s="240">
        <f t="shared" si="0"/>
        <v>0.55000000000000004</v>
      </c>
      <c r="R7" s="232">
        <v>15.3</v>
      </c>
      <c r="S7" s="203">
        <v>133</v>
      </c>
      <c r="T7" s="212">
        <f t="shared" si="1"/>
        <v>25</v>
      </c>
      <c r="U7" s="203">
        <v>106</v>
      </c>
      <c r="V7" s="212">
        <f t="shared" si="2"/>
        <v>2650</v>
      </c>
      <c r="W7" s="203">
        <v>4</v>
      </c>
      <c r="X7" s="55" t="s">
        <v>46</v>
      </c>
      <c r="Y7" s="55" t="s">
        <v>84</v>
      </c>
      <c r="Z7" s="211" t="s">
        <v>90</v>
      </c>
      <c r="AA7" s="55" t="s">
        <v>69</v>
      </c>
      <c r="AB7" s="211" t="s">
        <v>336</v>
      </c>
      <c r="AE7" s="218" t="s">
        <v>61</v>
      </c>
      <c r="AG7" s="226" t="s">
        <v>496</v>
      </c>
      <c r="AH7" s="87" t="s">
        <v>184</v>
      </c>
      <c r="AL7" s="88" t="s">
        <v>497</v>
      </c>
      <c r="AP7" s="219" t="s">
        <v>58</v>
      </c>
      <c r="AR7" s="226" t="s">
        <v>122</v>
      </c>
      <c r="AV7" s="219" t="s">
        <v>64</v>
      </c>
      <c r="AX7" s="220">
        <v>109</v>
      </c>
      <c r="AY7" s="221">
        <v>33</v>
      </c>
      <c r="AZ7" s="221">
        <v>113</v>
      </c>
      <c r="BA7" s="222">
        <v>30</v>
      </c>
    </row>
    <row r="8" spans="1:53" x14ac:dyDescent="0.15">
      <c r="A8" s="55" t="s">
        <v>56</v>
      </c>
      <c r="B8" s="55" t="s">
        <v>377</v>
      </c>
      <c r="C8" s="211">
        <v>2018</v>
      </c>
      <c r="D8" s="86" t="s">
        <v>498</v>
      </c>
      <c r="E8" s="211" t="s">
        <v>495</v>
      </c>
      <c r="F8" s="211" t="s">
        <v>176</v>
      </c>
      <c r="G8" s="55" t="s">
        <v>42</v>
      </c>
      <c r="H8" s="211" t="s">
        <v>155</v>
      </c>
      <c r="I8" s="55" t="s">
        <v>156</v>
      </c>
      <c r="J8" s="211" t="s">
        <v>38</v>
      </c>
      <c r="K8" s="211" t="s">
        <v>154</v>
      </c>
      <c r="L8" s="203">
        <v>1</v>
      </c>
      <c r="N8" s="203">
        <v>4</v>
      </c>
      <c r="O8" s="203">
        <v>0.8</v>
      </c>
      <c r="P8" s="203">
        <v>0.8</v>
      </c>
      <c r="Q8" s="240">
        <f t="shared" si="0"/>
        <v>0.8</v>
      </c>
      <c r="R8" s="203">
        <v>12.5</v>
      </c>
      <c r="S8" s="203">
        <v>99</v>
      </c>
      <c r="T8" s="212">
        <f t="shared" si="1"/>
        <v>33</v>
      </c>
      <c r="U8" s="203">
        <v>430</v>
      </c>
      <c r="V8" s="212">
        <f t="shared" si="2"/>
        <v>3547.5</v>
      </c>
      <c r="W8" s="203">
        <v>4</v>
      </c>
      <c r="X8" s="55" t="s">
        <v>46</v>
      </c>
      <c r="Y8" s="55" t="s">
        <v>84</v>
      </c>
      <c r="Z8" s="211" t="s">
        <v>90</v>
      </c>
      <c r="AA8" s="55" t="s">
        <v>69</v>
      </c>
      <c r="AB8" s="211" t="s">
        <v>336</v>
      </c>
      <c r="AE8" s="218" t="s">
        <v>59</v>
      </c>
      <c r="AG8" s="226" t="s">
        <v>499</v>
      </c>
      <c r="AH8" s="87" t="s">
        <v>184</v>
      </c>
      <c r="AL8" s="88" t="s">
        <v>366</v>
      </c>
      <c r="AP8" s="219" t="s">
        <v>62</v>
      </c>
      <c r="AR8" s="233" t="s">
        <v>81</v>
      </c>
      <c r="AV8" s="219" t="s">
        <v>97</v>
      </c>
      <c r="AX8" s="220">
        <v>119</v>
      </c>
      <c r="AY8" s="221">
        <v>30</v>
      </c>
      <c r="AZ8" s="221">
        <v>121</v>
      </c>
      <c r="BA8" s="222">
        <v>27</v>
      </c>
    </row>
    <row r="9" spans="1:53" x14ac:dyDescent="0.15">
      <c r="A9" s="55" t="s">
        <v>56</v>
      </c>
      <c r="B9" s="55" t="s">
        <v>377</v>
      </c>
      <c r="C9" s="211">
        <v>2018</v>
      </c>
      <c r="D9" s="86" t="s">
        <v>498</v>
      </c>
      <c r="E9" s="211" t="s">
        <v>495</v>
      </c>
      <c r="F9" s="211" t="s">
        <v>176</v>
      </c>
      <c r="G9" s="55" t="s">
        <v>42</v>
      </c>
      <c r="H9" s="211" t="s">
        <v>155</v>
      </c>
      <c r="I9" s="55" t="s">
        <v>156</v>
      </c>
      <c r="J9" s="211" t="s">
        <v>38</v>
      </c>
      <c r="K9" s="211" t="s">
        <v>154</v>
      </c>
      <c r="L9" s="203">
        <v>2</v>
      </c>
      <c r="N9" s="203">
        <v>4</v>
      </c>
      <c r="O9" s="203">
        <v>0.7</v>
      </c>
      <c r="P9" s="203">
        <v>0.75</v>
      </c>
      <c r="Q9" s="240">
        <f t="shared" si="0"/>
        <v>0.72499999999999998</v>
      </c>
      <c r="R9" s="203">
        <v>14.4</v>
      </c>
      <c r="S9" s="203">
        <v>99</v>
      </c>
      <c r="T9" s="212">
        <f t="shared" si="1"/>
        <v>33</v>
      </c>
      <c r="U9" s="203">
        <v>430</v>
      </c>
      <c r="V9" s="212">
        <f t="shared" si="2"/>
        <v>3547.5</v>
      </c>
      <c r="W9" s="203">
        <v>4</v>
      </c>
      <c r="X9" s="55" t="s">
        <v>46</v>
      </c>
      <c r="Y9" s="55" t="s">
        <v>84</v>
      </c>
      <c r="Z9" s="211" t="s">
        <v>90</v>
      </c>
      <c r="AA9" s="55" t="s">
        <v>69</v>
      </c>
      <c r="AB9" s="211" t="s">
        <v>336</v>
      </c>
      <c r="AE9" s="218" t="s">
        <v>98</v>
      </c>
      <c r="AG9" s="226" t="s">
        <v>185</v>
      </c>
      <c r="AH9" s="226" t="s">
        <v>176</v>
      </c>
      <c r="AL9" s="225"/>
      <c r="AP9" s="219" t="s">
        <v>95</v>
      </c>
      <c r="AR9" s="226" t="s">
        <v>89</v>
      </c>
      <c r="AV9" s="219" t="s">
        <v>102</v>
      </c>
      <c r="AX9" s="220">
        <v>128</v>
      </c>
      <c r="AY9" s="221">
        <v>27</v>
      </c>
      <c r="AZ9" s="221">
        <v>129</v>
      </c>
      <c r="BA9" s="222">
        <v>25</v>
      </c>
    </row>
    <row r="10" spans="1:53" x14ac:dyDescent="0.15">
      <c r="A10" s="55" t="s">
        <v>56</v>
      </c>
      <c r="B10" s="55" t="s">
        <v>381</v>
      </c>
      <c r="C10" s="211">
        <v>2018</v>
      </c>
      <c r="D10" s="86" t="s">
        <v>500</v>
      </c>
      <c r="E10" s="211" t="s">
        <v>495</v>
      </c>
      <c r="F10" s="211" t="s">
        <v>176</v>
      </c>
      <c r="G10" s="55" t="s">
        <v>42</v>
      </c>
      <c r="H10" s="211" t="s">
        <v>155</v>
      </c>
      <c r="I10" s="55" t="s">
        <v>156</v>
      </c>
      <c r="J10" s="211" t="s">
        <v>38</v>
      </c>
      <c r="K10" s="211" t="s">
        <v>154</v>
      </c>
      <c r="L10" s="203">
        <v>3</v>
      </c>
      <c r="N10" s="203">
        <v>4</v>
      </c>
      <c r="O10" s="203">
        <v>0.85</v>
      </c>
      <c r="P10" s="203">
        <v>0.7</v>
      </c>
      <c r="Q10" s="240">
        <f t="shared" si="0"/>
        <v>0.77499999999999991</v>
      </c>
      <c r="R10" s="232">
        <v>13.4</v>
      </c>
      <c r="S10" s="203">
        <v>97</v>
      </c>
      <c r="T10" s="212">
        <f t="shared" si="1"/>
        <v>36</v>
      </c>
      <c r="U10" s="203">
        <v>430</v>
      </c>
      <c r="V10" s="212">
        <f t="shared" si="2"/>
        <v>3870</v>
      </c>
      <c r="W10" s="203">
        <v>4</v>
      </c>
      <c r="X10" s="55" t="s">
        <v>46</v>
      </c>
      <c r="Y10" s="55" t="s">
        <v>84</v>
      </c>
      <c r="Z10" s="211" t="s">
        <v>90</v>
      </c>
      <c r="AA10" s="55" t="s">
        <v>69</v>
      </c>
      <c r="AB10" s="211" t="s">
        <v>336</v>
      </c>
      <c r="AE10" s="218" t="s">
        <v>103</v>
      </c>
      <c r="AG10" s="226" t="s">
        <v>501</v>
      </c>
      <c r="AH10" s="87" t="s">
        <v>502</v>
      </c>
      <c r="AL10" s="88"/>
      <c r="AP10" s="219" t="s">
        <v>100</v>
      </c>
      <c r="AR10" s="226" t="s">
        <v>123</v>
      </c>
      <c r="AV10" s="219" t="s">
        <v>106</v>
      </c>
      <c r="AX10" s="220">
        <v>138</v>
      </c>
      <c r="AY10" s="221">
        <v>25</v>
      </c>
      <c r="AZ10" s="221">
        <v>138</v>
      </c>
      <c r="BA10" s="222">
        <v>22</v>
      </c>
    </row>
    <row r="11" spans="1:53" x14ac:dyDescent="0.15">
      <c r="A11" s="55" t="s">
        <v>56</v>
      </c>
      <c r="B11" s="55" t="s">
        <v>381</v>
      </c>
      <c r="C11" s="211">
        <v>2018</v>
      </c>
      <c r="D11" s="86" t="s">
        <v>500</v>
      </c>
      <c r="E11" s="211" t="s">
        <v>503</v>
      </c>
      <c r="F11" s="211" t="s">
        <v>504</v>
      </c>
      <c r="G11" s="55" t="s">
        <v>42</v>
      </c>
      <c r="H11" s="211" t="s">
        <v>155</v>
      </c>
      <c r="I11" s="55" t="s">
        <v>153</v>
      </c>
      <c r="J11" s="211" t="s">
        <v>38</v>
      </c>
      <c r="K11" s="211" t="s">
        <v>154</v>
      </c>
      <c r="L11" s="203">
        <v>1</v>
      </c>
      <c r="N11" s="203">
        <v>5</v>
      </c>
      <c r="O11" s="203">
        <v>1</v>
      </c>
      <c r="P11" s="203">
        <v>1</v>
      </c>
      <c r="Q11" s="240">
        <f t="shared" si="0"/>
        <v>1</v>
      </c>
      <c r="R11" s="203">
        <v>12.3</v>
      </c>
      <c r="S11" s="203">
        <v>96</v>
      </c>
      <c r="T11" s="212">
        <f t="shared" si="1"/>
        <v>36</v>
      </c>
      <c r="U11" s="203">
        <v>430</v>
      </c>
      <c r="V11" s="212">
        <f t="shared" si="2"/>
        <v>3096</v>
      </c>
      <c r="W11" s="203">
        <v>4</v>
      </c>
      <c r="X11" s="55" t="s">
        <v>46</v>
      </c>
      <c r="Y11" s="55" t="s">
        <v>84</v>
      </c>
      <c r="Z11" s="211" t="s">
        <v>90</v>
      </c>
      <c r="AA11" s="55" t="s">
        <v>55</v>
      </c>
      <c r="AB11" s="211" t="s">
        <v>336</v>
      </c>
      <c r="AE11" s="218" t="s">
        <v>65</v>
      </c>
      <c r="AG11" s="226" t="s">
        <v>505</v>
      </c>
      <c r="AH11" s="87" t="s">
        <v>502</v>
      </c>
      <c r="AJ11" s="88"/>
      <c r="AP11" s="219" t="s">
        <v>104</v>
      </c>
      <c r="AR11" s="226" t="s">
        <v>87</v>
      </c>
      <c r="AV11" s="219" t="s">
        <v>69</v>
      </c>
    </row>
    <row r="12" spans="1:53" x14ac:dyDescent="0.15">
      <c r="A12" s="55" t="s">
        <v>56</v>
      </c>
      <c r="B12" s="55" t="s">
        <v>385</v>
      </c>
      <c r="C12" s="211">
        <v>2018</v>
      </c>
      <c r="D12" s="86" t="s">
        <v>506</v>
      </c>
      <c r="E12" s="211" t="s">
        <v>503</v>
      </c>
      <c r="F12" s="211" t="s">
        <v>504</v>
      </c>
      <c r="G12" s="55" t="s">
        <v>42</v>
      </c>
      <c r="H12" s="211" t="s">
        <v>155</v>
      </c>
      <c r="I12" s="55" t="s">
        <v>153</v>
      </c>
      <c r="J12" s="211" t="s">
        <v>38</v>
      </c>
      <c r="K12" s="211" t="s">
        <v>154</v>
      </c>
      <c r="L12" s="203">
        <v>2</v>
      </c>
      <c r="N12" s="203">
        <v>5</v>
      </c>
      <c r="O12" s="203">
        <v>0.7</v>
      </c>
      <c r="P12" s="203">
        <v>0.8</v>
      </c>
      <c r="Q12" s="240">
        <f t="shared" si="0"/>
        <v>0.75</v>
      </c>
      <c r="R12" s="203">
        <v>11.2</v>
      </c>
      <c r="S12" s="203">
        <v>82</v>
      </c>
      <c r="T12" s="212">
        <f t="shared" si="1"/>
        <v>39</v>
      </c>
      <c r="U12" s="203">
        <v>430</v>
      </c>
      <c r="V12" s="212">
        <f t="shared" si="2"/>
        <v>3354</v>
      </c>
      <c r="W12" s="203">
        <v>4</v>
      </c>
      <c r="X12" s="55" t="s">
        <v>46</v>
      </c>
      <c r="Y12" s="55" t="s">
        <v>84</v>
      </c>
      <c r="Z12" s="211" t="s">
        <v>90</v>
      </c>
      <c r="AA12" s="55" t="s">
        <v>55</v>
      </c>
      <c r="AB12" s="211" t="s">
        <v>336</v>
      </c>
      <c r="AE12" s="218" t="s">
        <v>70</v>
      </c>
      <c r="AG12" s="226" t="s">
        <v>507</v>
      </c>
      <c r="AH12" s="87" t="s">
        <v>508</v>
      </c>
      <c r="AJ12" s="88"/>
      <c r="AP12" s="219" t="s">
        <v>67</v>
      </c>
      <c r="AR12" s="226" t="s">
        <v>124</v>
      </c>
      <c r="AV12" s="219" t="s">
        <v>72</v>
      </c>
    </row>
    <row r="13" spans="1:53" x14ac:dyDescent="0.15">
      <c r="A13" s="55" t="s">
        <v>56</v>
      </c>
      <c r="B13" s="55" t="s">
        <v>389</v>
      </c>
      <c r="C13" s="211">
        <v>2018</v>
      </c>
      <c r="D13" s="86" t="s">
        <v>509</v>
      </c>
      <c r="E13" s="211" t="s">
        <v>503</v>
      </c>
      <c r="F13" s="211" t="s">
        <v>504</v>
      </c>
      <c r="G13" s="55" t="s">
        <v>42</v>
      </c>
      <c r="H13" s="211" t="s">
        <v>155</v>
      </c>
      <c r="I13" s="55" t="s">
        <v>153</v>
      </c>
      <c r="J13" s="211" t="s">
        <v>38</v>
      </c>
      <c r="K13" s="211" t="s">
        <v>154</v>
      </c>
      <c r="L13" s="203">
        <v>3</v>
      </c>
      <c r="N13" s="203">
        <v>5</v>
      </c>
      <c r="O13" s="203">
        <v>0.75</v>
      </c>
      <c r="P13" s="203">
        <v>0.7</v>
      </c>
      <c r="Q13" s="240">
        <f t="shared" si="0"/>
        <v>0.72499999999999998</v>
      </c>
      <c r="R13" s="232">
        <v>10.5</v>
      </c>
      <c r="S13" s="203">
        <v>83</v>
      </c>
      <c r="T13" s="212">
        <f t="shared" si="1"/>
        <v>39</v>
      </c>
      <c r="U13" s="203">
        <v>430</v>
      </c>
      <c r="V13" s="212">
        <f t="shared" si="2"/>
        <v>3354</v>
      </c>
      <c r="W13" s="203">
        <v>4</v>
      </c>
      <c r="X13" s="55" t="s">
        <v>46</v>
      </c>
      <c r="Y13" s="55" t="s">
        <v>84</v>
      </c>
      <c r="Z13" s="211" t="s">
        <v>90</v>
      </c>
      <c r="AA13" s="55" t="s">
        <v>55</v>
      </c>
      <c r="AB13" s="211" t="s">
        <v>336</v>
      </c>
      <c r="AE13" s="218" t="s">
        <v>73</v>
      </c>
      <c r="AP13" s="219" t="s">
        <v>71</v>
      </c>
      <c r="AR13" s="226" t="s">
        <v>103</v>
      </c>
      <c r="AV13" s="219" t="s">
        <v>75</v>
      </c>
    </row>
    <row r="14" spans="1:53" x14ac:dyDescent="0.15">
      <c r="A14" s="55" t="s">
        <v>56</v>
      </c>
      <c r="B14" s="55" t="s">
        <v>393</v>
      </c>
      <c r="C14" s="211">
        <v>2018</v>
      </c>
      <c r="D14" s="86" t="s">
        <v>510</v>
      </c>
      <c r="E14" s="211" t="s">
        <v>503</v>
      </c>
      <c r="F14" s="211" t="s">
        <v>504</v>
      </c>
      <c r="G14" s="55" t="s">
        <v>42</v>
      </c>
      <c r="H14" s="211" t="s">
        <v>166</v>
      </c>
      <c r="I14" s="55" t="s">
        <v>153</v>
      </c>
      <c r="J14" s="211" t="s">
        <v>38</v>
      </c>
      <c r="K14" s="211" t="s">
        <v>154</v>
      </c>
      <c r="L14" s="203">
        <v>1</v>
      </c>
      <c r="N14" s="203">
        <v>1</v>
      </c>
      <c r="O14" s="203">
        <v>0.6</v>
      </c>
      <c r="P14" s="203">
        <v>0.65</v>
      </c>
      <c r="Q14" s="240">
        <f t="shared" si="0"/>
        <v>0.625</v>
      </c>
      <c r="R14" s="203">
        <v>15</v>
      </c>
      <c r="S14" s="203">
        <v>141</v>
      </c>
      <c r="T14" s="212">
        <f t="shared" si="1"/>
        <v>22</v>
      </c>
      <c r="U14" s="203">
        <v>138</v>
      </c>
      <c r="V14" s="212">
        <f t="shared" si="2"/>
        <v>3036</v>
      </c>
      <c r="W14" s="203">
        <v>2</v>
      </c>
      <c r="X14" s="55" t="s">
        <v>46</v>
      </c>
      <c r="Y14" s="55" t="s">
        <v>84</v>
      </c>
      <c r="Z14" s="211" t="s">
        <v>90</v>
      </c>
      <c r="AA14" s="55" t="s">
        <v>55</v>
      </c>
      <c r="AB14" s="211" t="s">
        <v>336</v>
      </c>
      <c r="AE14" s="218" t="s">
        <v>76</v>
      </c>
      <c r="AP14" s="219" t="s">
        <v>74</v>
      </c>
      <c r="AR14" s="226" t="s">
        <v>125</v>
      </c>
      <c r="AV14" s="219" t="s">
        <v>78</v>
      </c>
    </row>
    <row r="15" spans="1:53" x14ac:dyDescent="0.15">
      <c r="A15" s="55" t="s">
        <v>56</v>
      </c>
      <c r="B15" s="55" t="s">
        <v>393</v>
      </c>
      <c r="C15" s="211">
        <v>2018</v>
      </c>
      <c r="D15" s="86" t="s">
        <v>510</v>
      </c>
      <c r="E15" s="211" t="s">
        <v>503</v>
      </c>
      <c r="F15" s="211" t="s">
        <v>504</v>
      </c>
      <c r="G15" s="55" t="s">
        <v>42</v>
      </c>
      <c r="H15" s="211" t="s">
        <v>166</v>
      </c>
      <c r="I15" s="55" t="s">
        <v>153</v>
      </c>
      <c r="J15" s="211" t="s">
        <v>38</v>
      </c>
      <c r="K15" s="211" t="s">
        <v>154</v>
      </c>
      <c r="L15" s="203">
        <v>2</v>
      </c>
      <c r="N15" s="203">
        <v>1</v>
      </c>
      <c r="O15" s="203">
        <v>0.75</v>
      </c>
      <c r="P15" s="203">
        <v>0.7</v>
      </c>
      <c r="Q15" s="240">
        <f t="shared" si="0"/>
        <v>0.72499999999999998</v>
      </c>
      <c r="R15" s="203">
        <v>14.6</v>
      </c>
      <c r="S15" s="203">
        <v>141</v>
      </c>
      <c r="T15" s="212">
        <f t="shared" si="1"/>
        <v>22</v>
      </c>
      <c r="U15" s="203">
        <v>138</v>
      </c>
      <c r="V15" s="212">
        <f t="shared" si="2"/>
        <v>3036</v>
      </c>
      <c r="W15" s="203">
        <v>2</v>
      </c>
      <c r="X15" s="55" t="s">
        <v>46</v>
      </c>
      <c r="Y15" s="55" t="s">
        <v>84</v>
      </c>
      <c r="Z15" s="211" t="s">
        <v>90</v>
      </c>
      <c r="AA15" s="55" t="s">
        <v>55</v>
      </c>
      <c r="AB15" s="211" t="s">
        <v>336</v>
      </c>
      <c r="AE15" s="218" t="s">
        <v>79</v>
      </c>
      <c r="AP15" s="219" t="s">
        <v>77</v>
      </c>
      <c r="AR15" s="226" t="s">
        <v>94</v>
      </c>
      <c r="AV15" s="219" t="s">
        <v>107</v>
      </c>
    </row>
    <row r="16" spans="1:53" x14ac:dyDescent="0.15">
      <c r="A16" s="55" t="s">
        <v>56</v>
      </c>
      <c r="B16" s="55" t="s">
        <v>398</v>
      </c>
      <c r="C16" s="211">
        <v>2018</v>
      </c>
      <c r="D16" s="86" t="s">
        <v>511</v>
      </c>
      <c r="E16" s="211" t="s">
        <v>503</v>
      </c>
      <c r="F16" s="211" t="s">
        <v>504</v>
      </c>
      <c r="G16" s="55" t="s">
        <v>42</v>
      </c>
      <c r="H16" s="211" t="s">
        <v>166</v>
      </c>
      <c r="I16" s="55" t="s">
        <v>153</v>
      </c>
      <c r="J16" s="211" t="s">
        <v>38</v>
      </c>
      <c r="K16" s="211" t="s">
        <v>154</v>
      </c>
      <c r="L16" s="203">
        <v>3</v>
      </c>
      <c r="N16" s="203">
        <v>1</v>
      </c>
      <c r="O16" s="203">
        <v>0.75</v>
      </c>
      <c r="P16" s="203">
        <v>0.8</v>
      </c>
      <c r="Q16" s="240">
        <f t="shared" si="0"/>
        <v>0.77500000000000002</v>
      </c>
      <c r="R16" s="232">
        <v>14.7</v>
      </c>
      <c r="S16" s="203">
        <v>138</v>
      </c>
      <c r="T16" s="212">
        <f t="shared" si="1"/>
        <v>22</v>
      </c>
      <c r="U16" s="203">
        <v>138</v>
      </c>
      <c r="V16" s="212">
        <f t="shared" si="2"/>
        <v>3036</v>
      </c>
      <c r="W16" s="203">
        <v>2</v>
      </c>
      <c r="X16" s="55" t="s">
        <v>46</v>
      </c>
      <c r="Y16" s="55" t="s">
        <v>84</v>
      </c>
      <c r="Z16" s="211" t="s">
        <v>90</v>
      </c>
      <c r="AA16" s="55" t="s">
        <v>55</v>
      </c>
      <c r="AB16" s="211" t="s">
        <v>336</v>
      </c>
      <c r="AE16" s="218" t="s">
        <v>82</v>
      </c>
      <c r="AP16" s="219" t="s">
        <v>80</v>
      </c>
      <c r="AR16" s="233" t="s">
        <v>63</v>
      </c>
      <c r="AV16" s="219" t="s">
        <v>84</v>
      </c>
    </row>
    <row r="17" spans="1:48" x14ac:dyDescent="0.15">
      <c r="A17" s="55" t="s">
        <v>56</v>
      </c>
      <c r="B17" s="55" t="s">
        <v>398</v>
      </c>
      <c r="C17" s="211">
        <v>2018</v>
      </c>
      <c r="D17" s="86" t="s">
        <v>511</v>
      </c>
      <c r="E17" s="211" t="s">
        <v>512</v>
      </c>
      <c r="F17" s="211" t="s">
        <v>513</v>
      </c>
      <c r="G17" s="55" t="s">
        <v>42</v>
      </c>
      <c r="H17" s="211" t="s">
        <v>155</v>
      </c>
      <c r="I17" s="55" t="s">
        <v>153</v>
      </c>
      <c r="J17" s="211" t="s">
        <v>38</v>
      </c>
      <c r="K17" s="211" t="s">
        <v>154</v>
      </c>
      <c r="L17" s="203">
        <v>1</v>
      </c>
      <c r="N17" s="203">
        <v>4</v>
      </c>
      <c r="O17" s="203">
        <v>0.85</v>
      </c>
      <c r="P17" s="203">
        <v>0.9</v>
      </c>
      <c r="Q17" s="240">
        <f t="shared" si="0"/>
        <v>0.875</v>
      </c>
      <c r="R17" s="203">
        <v>12.9</v>
      </c>
      <c r="S17" s="203">
        <v>102</v>
      </c>
      <c r="T17" s="212">
        <f t="shared" si="1"/>
        <v>33</v>
      </c>
      <c r="U17" s="203">
        <v>377</v>
      </c>
      <c r="V17" s="212">
        <f t="shared" si="2"/>
        <v>3110.25</v>
      </c>
      <c r="W17" s="203">
        <v>2</v>
      </c>
      <c r="X17" s="55" t="s">
        <v>46</v>
      </c>
      <c r="Y17" s="55" t="s">
        <v>84</v>
      </c>
      <c r="Z17" s="211" t="s">
        <v>90</v>
      </c>
      <c r="AA17" s="55" t="s">
        <v>78</v>
      </c>
      <c r="AB17" s="211" t="s">
        <v>336</v>
      </c>
      <c r="AE17" s="218" t="s">
        <v>85</v>
      </c>
      <c r="AP17" s="234" t="s">
        <v>110</v>
      </c>
      <c r="AR17" s="233" t="s">
        <v>96</v>
      </c>
      <c r="AV17" s="219" t="s">
        <v>86</v>
      </c>
    </row>
    <row r="18" spans="1:48" x14ac:dyDescent="0.15">
      <c r="A18" s="55" t="s">
        <v>56</v>
      </c>
      <c r="B18" s="55" t="s">
        <v>398</v>
      </c>
      <c r="C18" s="211">
        <v>2018</v>
      </c>
      <c r="D18" s="86" t="s">
        <v>511</v>
      </c>
      <c r="E18" s="211" t="s">
        <v>512</v>
      </c>
      <c r="F18" s="211" t="s">
        <v>513</v>
      </c>
      <c r="G18" s="55" t="s">
        <v>42</v>
      </c>
      <c r="H18" s="211" t="s">
        <v>155</v>
      </c>
      <c r="I18" s="55" t="s">
        <v>153</v>
      </c>
      <c r="J18" s="211" t="s">
        <v>38</v>
      </c>
      <c r="K18" s="211" t="s">
        <v>154</v>
      </c>
      <c r="L18" s="203">
        <v>2</v>
      </c>
      <c r="N18" s="203">
        <v>4</v>
      </c>
      <c r="O18" s="203">
        <v>0.8</v>
      </c>
      <c r="P18" s="203">
        <v>0.85</v>
      </c>
      <c r="Q18" s="240">
        <f t="shared" si="0"/>
        <v>0.82499999999999996</v>
      </c>
      <c r="R18" s="203">
        <v>11.1</v>
      </c>
      <c r="S18" s="203">
        <v>96</v>
      </c>
      <c r="T18" s="212">
        <f t="shared" si="1"/>
        <v>36</v>
      </c>
      <c r="U18" s="203">
        <v>377</v>
      </c>
      <c r="V18" s="212">
        <f t="shared" si="2"/>
        <v>3393</v>
      </c>
      <c r="W18" s="203">
        <v>2</v>
      </c>
      <c r="X18" s="55" t="s">
        <v>46</v>
      </c>
      <c r="Y18" s="55" t="s">
        <v>84</v>
      </c>
      <c r="Z18" s="211" t="s">
        <v>90</v>
      </c>
      <c r="AA18" s="55" t="s">
        <v>78</v>
      </c>
      <c r="AB18" s="211" t="s">
        <v>336</v>
      </c>
      <c r="AE18" s="218" t="s">
        <v>87</v>
      </c>
      <c r="AP18" s="234" t="s">
        <v>111</v>
      </c>
      <c r="AR18" s="233" t="s">
        <v>101</v>
      </c>
      <c r="AV18" s="219" t="s">
        <v>88</v>
      </c>
    </row>
    <row r="19" spans="1:48" x14ac:dyDescent="0.15">
      <c r="A19" s="55" t="s">
        <v>56</v>
      </c>
      <c r="B19" s="55" t="s">
        <v>385</v>
      </c>
      <c r="C19" s="211">
        <v>2018</v>
      </c>
      <c r="D19" s="86" t="s">
        <v>506</v>
      </c>
      <c r="E19" s="211" t="s">
        <v>512</v>
      </c>
      <c r="F19" s="211" t="s">
        <v>513</v>
      </c>
      <c r="G19" s="55" t="s">
        <v>42</v>
      </c>
      <c r="H19" s="211" t="s">
        <v>155</v>
      </c>
      <c r="I19" s="55" t="s">
        <v>153</v>
      </c>
      <c r="J19" s="211" t="s">
        <v>38</v>
      </c>
      <c r="K19" s="211" t="s">
        <v>154</v>
      </c>
      <c r="L19" s="203">
        <v>3</v>
      </c>
      <c r="N19" s="203">
        <v>4</v>
      </c>
      <c r="O19" s="203">
        <v>0.9</v>
      </c>
      <c r="P19" s="203">
        <v>0.85</v>
      </c>
      <c r="Q19" s="240">
        <f t="shared" si="0"/>
        <v>0.875</v>
      </c>
      <c r="R19" s="232">
        <v>11.5</v>
      </c>
      <c r="S19" s="203">
        <v>101</v>
      </c>
      <c r="T19" s="212">
        <f t="shared" si="1"/>
        <v>33</v>
      </c>
      <c r="U19" s="203">
        <v>377</v>
      </c>
      <c r="V19" s="212">
        <f t="shared" si="2"/>
        <v>3110.25</v>
      </c>
      <c r="W19" s="203">
        <v>2</v>
      </c>
      <c r="X19" s="55" t="s">
        <v>46</v>
      </c>
      <c r="Y19" s="55" t="s">
        <v>84</v>
      </c>
      <c r="Z19" s="211" t="s">
        <v>90</v>
      </c>
      <c r="AA19" s="55" t="s">
        <v>78</v>
      </c>
      <c r="AB19" s="211" t="s">
        <v>336</v>
      </c>
      <c r="AE19" s="231" t="s">
        <v>89</v>
      </c>
      <c r="AP19" s="234" t="s">
        <v>112</v>
      </c>
      <c r="AR19" s="226" t="s">
        <v>126</v>
      </c>
      <c r="AV19" s="219" t="s">
        <v>90</v>
      </c>
    </row>
    <row r="20" spans="1:48" x14ac:dyDescent="0.15">
      <c r="A20" s="55" t="s">
        <v>56</v>
      </c>
      <c r="B20" s="55" t="s">
        <v>385</v>
      </c>
      <c r="C20" s="211">
        <v>2018</v>
      </c>
      <c r="D20" s="86" t="s">
        <v>506</v>
      </c>
      <c r="E20" s="211" t="s">
        <v>312</v>
      </c>
      <c r="F20" s="211" t="s">
        <v>184</v>
      </c>
      <c r="G20" s="55" t="s">
        <v>42</v>
      </c>
      <c r="H20" s="211" t="s">
        <v>155</v>
      </c>
      <c r="I20" s="55" t="s">
        <v>153</v>
      </c>
      <c r="J20" s="211" t="s">
        <v>38</v>
      </c>
      <c r="K20" s="211" t="s">
        <v>154</v>
      </c>
      <c r="L20" s="203">
        <v>1</v>
      </c>
      <c r="N20" s="203">
        <v>5</v>
      </c>
      <c r="O20" s="203">
        <v>0.7</v>
      </c>
      <c r="P20" s="203">
        <v>0.7</v>
      </c>
      <c r="Q20" s="240">
        <f t="shared" si="0"/>
        <v>0.7</v>
      </c>
      <c r="R20" s="203">
        <v>14.6</v>
      </c>
      <c r="S20" s="203">
        <v>84</v>
      </c>
      <c r="T20" s="212">
        <f t="shared" si="1"/>
        <v>36</v>
      </c>
      <c r="U20" s="203">
        <v>321</v>
      </c>
      <c r="V20" s="212">
        <f t="shared" si="2"/>
        <v>2311.2000000000003</v>
      </c>
      <c r="W20" s="203">
        <v>4</v>
      </c>
      <c r="X20" s="55" t="s">
        <v>46</v>
      </c>
      <c r="Y20" s="55" t="s">
        <v>84</v>
      </c>
      <c r="Z20" s="211" t="s">
        <v>90</v>
      </c>
      <c r="AA20" s="55" t="s">
        <v>69</v>
      </c>
      <c r="AB20" s="211" t="s">
        <v>336</v>
      </c>
      <c r="AP20" s="234" t="s">
        <v>113</v>
      </c>
      <c r="AR20" s="233" t="s">
        <v>105</v>
      </c>
      <c r="AV20" s="223" t="s">
        <v>367</v>
      </c>
    </row>
    <row r="21" spans="1:48" x14ac:dyDescent="0.15">
      <c r="A21" s="55" t="s">
        <v>56</v>
      </c>
      <c r="B21" s="55" t="s">
        <v>385</v>
      </c>
      <c r="C21" s="211">
        <v>2018</v>
      </c>
      <c r="D21" s="86" t="s">
        <v>506</v>
      </c>
      <c r="E21" s="211" t="s">
        <v>312</v>
      </c>
      <c r="F21" s="211" t="s">
        <v>184</v>
      </c>
      <c r="G21" s="55" t="s">
        <v>42</v>
      </c>
      <c r="H21" s="211" t="s">
        <v>155</v>
      </c>
      <c r="I21" s="55" t="s">
        <v>153</v>
      </c>
      <c r="J21" s="211" t="s">
        <v>38</v>
      </c>
      <c r="K21" s="211" t="s">
        <v>154</v>
      </c>
      <c r="L21" s="203">
        <v>2</v>
      </c>
      <c r="N21" s="203">
        <v>5</v>
      </c>
      <c r="O21" s="203">
        <v>0.7</v>
      </c>
      <c r="P21" s="203">
        <v>0.7</v>
      </c>
      <c r="Q21" s="240">
        <f t="shared" si="0"/>
        <v>0.7</v>
      </c>
      <c r="R21" s="203">
        <v>13.2</v>
      </c>
      <c r="S21" s="203">
        <v>88</v>
      </c>
      <c r="T21" s="212">
        <f t="shared" si="1"/>
        <v>36</v>
      </c>
      <c r="U21" s="203">
        <v>321</v>
      </c>
      <c r="V21" s="212">
        <f t="shared" si="2"/>
        <v>2311.2000000000003</v>
      </c>
      <c r="W21" s="203">
        <v>4</v>
      </c>
      <c r="X21" s="55" t="s">
        <v>46</v>
      </c>
      <c r="Y21" s="55" t="s">
        <v>84</v>
      </c>
      <c r="Z21" s="211" t="s">
        <v>90</v>
      </c>
      <c r="AA21" s="55" t="s">
        <v>69</v>
      </c>
      <c r="AB21" s="211" t="s">
        <v>336</v>
      </c>
      <c r="AP21" s="234" t="s">
        <v>114</v>
      </c>
      <c r="AR21" s="233" t="s">
        <v>68</v>
      </c>
      <c r="AV21" s="224" t="s">
        <v>514</v>
      </c>
    </row>
    <row r="22" spans="1:48" x14ac:dyDescent="0.15">
      <c r="A22" s="55" t="s">
        <v>56</v>
      </c>
      <c r="B22" s="55" t="s">
        <v>385</v>
      </c>
      <c r="C22" s="211">
        <v>2018</v>
      </c>
      <c r="D22" s="86" t="s">
        <v>506</v>
      </c>
      <c r="E22" s="211" t="s">
        <v>312</v>
      </c>
      <c r="F22" s="211" t="s">
        <v>184</v>
      </c>
      <c r="G22" s="55" t="s">
        <v>42</v>
      </c>
      <c r="H22" s="211" t="s">
        <v>155</v>
      </c>
      <c r="I22" s="55" t="s">
        <v>153</v>
      </c>
      <c r="J22" s="211" t="s">
        <v>38</v>
      </c>
      <c r="K22" s="211" t="s">
        <v>154</v>
      </c>
      <c r="L22" s="203">
        <v>3</v>
      </c>
      <c r="N22" s="203">
        <v>5</v>
      </c>
      <c r="O22" s="203">
        <v>0.8</v>
      </c>
      <c r="P22" s="203">
        <v>0.8</v>
      </c>
      <c r="Q22" s="240">
        <f t="shared" si="0"/>
        <v>0.8</v>
      </c>
      <c r="R22" s="203">
        <v>11</v>
      </c>
      <c r="S22" s="203">
        <v>91</v>
      </c>
      <c r="T22" s="212">
        <f t="shared" si="1"/>
        <v>36</v>
      </c>
      <c r="U22" s="203">
        <v>321</v>
      </c>
      <c r="V22" s="212">
        <f t="shared" si="2"/>
        <v>2311.2000000000003</v>
      </c>
      <c r="W22" s="203">
        <v>4</v>
      </c>
      <c r="X22" s="55" t="s">
        <v>46</v>
      </c>
      <c r="Y22" s="55" t="s">
        <v>84</v>
      </c>
      <c r="Z22" s="211" t="s">
        <v>90</v>
      </c>
      <c r="AA22" s="55" t="s">
        <v>69</v>
      </c>
      <c r="AB22" s="211" t="s">
        <v>336</v>
      </c>
      <c r="AP22" s="234" t="s">
        <v>115</v>
      </c>
      <c r="AR22" s="233" t="s">
        <v>83</v>
      </c>
    </row>
    <row r="23" spans="1:48" x14ac:dyDescent="0.15">
      <c r="A23" s="55" t="s">
        <v>56</v>
      </c>
      <c r="B23" s="55" t="s">
        <v>385</v>
      </c>
      <c r="C23" s="211">
        <v>2018</v>
      </c>
      <c r="D23" s="86" t="s">
        <v>506</v>
      </c>
      <c r="E23" s="211" t="s">
        <v>515</v>
      </c>
      <c r="F23" s="211" t="s">
        <v>184</v>
      </c>
      <c r="G23" s="55" t="s">
        <v>42</v>
      </c>
      <c r="H23" s="211" t="s">
        <v>155</v>
      </c>
      <c r="I23" s="55" t="s">
        <v>153</v>
      </c>
      <c r="J23" s="211" t="s">
        <v>38</v>
      </c>
      <c r="K23" s="211" t="s">
        <v>154</v>
      </c>
      <c r="L23" s="203">
        <v>1</v>
      </c>
      <c r="N23" s="203">
        <v>1</v>
      </c>
      <c r="O23" s="203">
        <v>0.8</v>
      </c>
      <c r="P23" s="203">
        <v>0.75</v>
      </c>
      <c r="Q23" s="212">
        <f t="shared" si="0"/>
        <v>0.77500000000000002</v>
      </c>
      <c r="R23" s="203">
        <v>15.1</v>
      </c>
      <c r="S23" s="203">
        <v>132</v>
      </c>
      <c r="T23" s="212">
        <f t="shared" si="1"/>
        <v>25</v>
      </c>
      <c r="U23" s="203">
        <v>138</v>
      </c>
      <c r="V23" s="212">
        <f t="shared" si="2"/>
        <v>3450</v>
      </c>
      <c r="W23" s="203">
        <v>1</v>
      </c>
      <c r="X23" s="55" t="s">
        <v>39</v>
      </c>
      <c r="Y23" s="55" t="s">
        <v>84</v>
      </c>
      <c r="Z23" s="211" t="s">
        <v>90</v>
      </c>
      <c r="AA23" s="55" t="s">
        <v>78</v>
      </c>
      <c r="AB23" s="211" t="s">
        <v>336</v>
      </c>
      <c r="AP23" s="234" t="s">
        <v>406</v>
      </c>
      <c r="AR23" s="233" t="s">
        <v>61</v>
      </c>
    </row>
    <row r="24" spans="1:48" x14ac:dyDescent="0.15">
      <c r="A24" s="55" t="s">
        <v>56</v>
      </c>
      <c r="B24" s="55" t="s">
        <v>385</v>
      </c>
      <c r="C24" s="211">
        <v>2018</v>
      </c>
      <c r="D24" s="86" t="s">
        <v>506</v>
      </c>
      <c r="E24" s="211" t="s">
        <v>515</v>
      </c>
      <c r="F24" s="211" t="s">
        <v>184</v>
      </c>
      <c r="G24" s="55" t="s">
        <v>42</v>
      </c>
      <c r="H24" s="211" t="s">
        <v>155</v>
      </c>
      <c r="I24" s="55" t="s">
        <v>153</v>
      </c>
      <c r="J24" s="211" t="s">
        <v>38</v>
      </c>
      <c r="K24" s="211" t="s">
        <v>154</v>
      </c>
      <c r="L24" s="203">
        <v>2</v>
      </c>
      <c r="N24" s="203">
        <v>1</v>
      </c>
      <c r="O24" s="203">
        <v>0.8</v>
      </c>
      <c r="P24" s="203">
        <v>0.85</v>
      </c>
      <c r="Q24" s="212">
        <f t="shared" si="0"/>
        <v>0.82499999999999996</v>
      </c>
      <c r="R24" s="203">
        <v>14.7</v>
      </c>
      <c r="S24" s="203">
        <v>133</v>
      </c>
      <c r="T24" s="212">
        <f t="shared" si="1"/>
        <v>25</v>
      </c>
      <c r="U24" s="203">
        <v>138</v>
      </c>
      <c r="V24" s="212">
        <f t="shared" si="2"/>
        <v>3450</v>
      </c>
      <c r="W24" s="203">
        <v>1</v>
      </c>
      <c r="X24" s="55" t="s">
        <v>39</v>
      </c>
      <c r="Y24" s="55" t="s">
        <v>84</v>
      </c>
      <c r="Z24" s="211" t="s">
        <v>90</v>
      </c>
      <c r="AA24" s="55" t="s">
        <v>78</v>
      </c>
      <c r="AB24" s="211" t="s">
        <v>336</v>
      </c>
      <c r="AP24" s="234" t="s">
        <v>407</v>
      </c>
      <c r="AR24" s="233" t="s">
        <v>91</v>
      </c>
    </row>
    <row r="25" spans="1:48" x14ac:dyDescent="0.15">
      <c r="A25" s="55" t="s">
        <v>56</v>
      </c>
      <c r="B25" s="55" t="s">
        <v>385</v>
      </c>
      <c r="C25" s="211">
        <v>2018</v>
      </c>
      <c r="D25" s="86" t="s">
        <v>506</v>
      </c>
      <c r="E25" s="211" t="s">
        <v>515</v>
      </c>
      <c r="F25" s="211" t="s">
        <v>184</v>
      </c>
      <c r="G25" s="55" t="s">
        <v>42</v>
      </c>
      <c r="H25" s="211" t="s">
        <v>155</v>
      </c>
      <c r="I25" s="55" t="s">
        <v>153</v>
      </c>
      <c r="J25" s="211" t="s">
        <v>38</v>
      </c>
      <c r="K25" s="211" t="s">
        <v>154</v>
      </c>
      <c r="L25" s="203">
        <v>3</v>
      </c>
      <c r="N25" s="203">
        <v>1</v>
      </c>
      <c r="O25" s="203">
        <v>0.6</v>
      </c>
      <c r="P25" s="203">
        <v>0.7</v>
      </c>
      <c r="Q25" s="212">
        <f t="shared" si="0"/>
        <v>0.64999999999999991</v>
      </c>
      <c r="R25" s="203">
        <v>12.3</v>
      </c>
      <c r="S25" s="203">
        <v>132</v>
      </c>
      <c r="T25" s="212">
        <f t="shared" si="1"/>
        <v>25</v>
      </c>
      <c r="U25" s="203">
        <v>138</v>
      </c>
      <c r="V25" s="212">
        <f t="shared" si="2"/>
        <v>3450</v>
      </c>
      <c r="W25" s="203">
        <v>1</v>
      </c>
      <c r="X25" s="55" t="s">
        <v>39</v>
      </c>
      <c r="Y25" s="55" t="s">
        <v>84</v>
      </c>
      <c r="Z25" s="211" t="s">
        <v>90</v>
      </c>
      <c r="AA25" s="55" t="s">
        <v>78</v>
      </c>
      <c r="AB25" s="211" t="s">
        <v>336</v>
      </c>
      <c r="AP25" s="234" t="s">
        <v>116</v>
      </c>
      <c r="AR25" s="42" t="s">
        <v>92</v>
      </c>
    </row>
    <row r="26" spans="1:48" x14ac:dyDescent="0.15">
      <c r="A26" s="55" t="s">
        <v>56</v>
      </c>
      <c r="B26" s="55" t="s">
        <v>385</v>
      </c>
      <c r="C26" s="211">
        <v>2018</v>
      </c>
      <c r="D26" s="86" t="s">
        <v>506</v>
      </c>
      <c r="E26" s="211" t="s">
        <v>515</v>
      </c>
      <c r="F26" s="211" t="s">
        <v>184</v>
      </c>
      <c r="G26" s="55" t="s">
        <v>42</v>
      </c>
      <c r="H26" s="211" t="s">
        <v>166</v>
      </c>
      <c r="I26" s="55" t="s">
        <v>153</v>
      </c>
      <c r="J26" s="211" t="s">
        <v>38</v>
      </c>
      <c r="K26" s="211" t="s">
        <v>154</v>
      </c>
      <c r="L26" s="203">
        <v>1</v>
      </c>
      <c r="N26" s="203">
        <v>1</v>
      </c>
      <c r="O26" s="203">
        <v>0.6</v>
      </c>
      <c r="P26" s="203">
        <v>0.55000000000000004</v>
      </c>
      <c r="Q26" s="212">
        <f t="shared" si="0"/>
        <v>0.57499999999999996</v>
      </c>
      <c r="R26" s="203">
        <v>16.399999999999999</v>
      </c>
      <c r="S26" s="203">
        <v>127</v>
      </c>
      <c r="T26" s="212">
        <f t="shared" si="1"/>
        <v>27</v>
      </c>
      <c r="U26" s="203">
        <v>177</v>
      </c>
      <c r="V26" s="212">
        <f t="shared" si="2"/>
        <v>4779</v>
      </c>
      <c r="W26" s="203">
        <v>1</v>
      </c>
      <c r="X26" s="55" t="s">
        <v>39</v>
      </c>
      <c r="Y26" s="55" t="s">
        <v>84</v>
      </c>
      <c r="Z26" s="211" t="s">
        <v>90</v>
      </c>
      <c r="AA26" s="55" t="s">
        <v>78</v>
      </c>
      <c r="AB26" s="211" t="s">
        <v>336</v>
      </c>
      <c r="AP26" s="234" t="s">
        <v>117</v>
      </c>
      <c r="AR26" s="203" t="s">
        <v>286</v>
      </c>
    </row>
    <row r="27" spans="1:48" x14ac:dyDescent="0.15">
      <c r="A27" s="55" t="s">
        <v>56</v>
      </c>
      <c r="B27" s="55" t="s">
        <v>385</v>
      </c>
      <c r="C27" s="211">
        <v>2018</v>
      </c>
      <c r="D27" s="86" t="s">
        <v>506</v>
      </c>
      <c r="E27" s="211" t="s">
        <v>515</v>
      </c>
      <c r="F27" s="211" t="s">
        <v>184</v>
      </c>
      <c r="G27" s="55" t="s">
        <v>42</v>
      </c>
      <c r="H27" s="211" t="s">
        <v>166</v>
      </c>
      <c r="I27" s="55" t="s">
        <v>153</v>
      </c>
      <c r="J27" s="211" t="s">
        <v>38</v>
      </c>
      <c r="K27" s="211" t="s">
        <v>154</v>
      </c>
      <c r="L27" s="203">
        <v>2</v>
      </c>
      <c r="N27" s="203">
        <v>1</v>
      </c>
      <c r="O27" s="203">
        <v>0.6</v>
      </c>
      <c r="P27" s="203">
        <v>0.6</v>
      </c>
      <c r="Q27" s="212">
        <f t="shared" si="0"/>
        <v>0.6</v>
      </c>
      <c r="R27" s="203">
        <v>12.9</v>
      </c>
      <c r="S27" s="203">
        <v>124</v>
      </c>
      <c r="T27" s="212">
        <f t="shared" si="1"/>
        <v>27</v>
      </c>
      <c r="U27" s="203">
        <v>177</v>
      </c>
      <c r="V27" s="212">
        <f t="shared" si="2"/>
        <v>4779</v>
      </c>
      <c r="W27" s="203">
        <v>1</v>
      </c>
      <c r="X27" s="55" t="s">
        <v>39</v>
      </c>
      <c r="Y27" s="55" t="s">
        <v>84</v>
      </c>
      <c r="Z27" s="211" t="s">
        <v>90</v>
      </c>
      <c r="AA27" s="55" t="s">
        <v>78</v>
      </c>
      <c r="AB27" s="211" t="s">
        <v>336</v>
      </c>
      <c r="AP27" s="234" t="s">
        <v>118</v>
      </c>
    </row>
    <row r="28" spans="1:48" x14ac:dyDescent="0.15">
      <c r="A28" s="55" t="s">
        <v>56</v>
      </c>
      <c r="B28" s="55" t="s">
        <v>385</v>
      </c>
      <c r="C28" s="211">
        <v>2018</v>
      </c>
      <c r="D28" s="86" t="s">
        <v>506</v>
      </c>
      <c r="E28" s="211" t="s">
        <v>515</v>
      </c>
      <c r="F28" s="211" t="s">
        <v>184</v>
      </c>
      <c r="G28" s="55" t="s">
        <v>42</v>
      </c>
      <c r="H28" s="211" t="s">
        <v>166</v>
      </c>
      <c r="I28" s="55" t="s">
        <v>153</v>
      </c>
      <c r="J28" s="211" t="s">
        <v>38</v>
      </c>
      <c r="K28" s="211" t="s">
        <v>154</v>
      </c>
      <c r="L28" s="203">
        <v>3</v>
      </c>
      <c r="N28" s="203">
        <v>1</v>
      </c>
      <c r="O28" s="203">
        <v>0.6</v>
      </c>
      <c r="P28" s="203">
        <v>0.55000000000000004</v>
      </c>
      <c r="Q28" s="212">
        <f t="shared" si="0"/>
        <v>0.57499999999999996</v>
      </c>
      <c r="R28" s="203">
        <v>15.8</v>
      </c>
      <c r="S28" s="203">
        <v>126</v>
      </c>
      <c r="T28" s="212">
        <f t="shared" si="1"/>
        <v>27</v>
      </c>
      <c r="U28" s="203">
        <v>177</v>
      </c>
      <c r="V28" s="212">
        <f t="shared" si="2"/>
        <v>4779</v>
      </c>
      <c r="W28" s="203">
        <v>1</v>
      </c>
      <c r="X28" s="55" t="s">
        <v>39</v>
      </c>
      <c r="Y28" s="55" t="s">
        <v>84</v>
      </c>
      <c r="Z28" s="211" t="s">
        <v>90</v>
      </c>
      <c r="AA28" s="55" t="s">
        <v>78</v>
      </c>
      <c r="AB28" s="211" t="s">
        <v>336</v>
      </c>
    </row>
    <row r="29" spans="1:48" x14ac:dyDescent="0.15">
      <c r="A29" s="55" t="s">
        <v>56</v>
      </c>
      <c r="B29" s="55" t="s">
        <v>385</v>
      </c>
      <c r="C29" s="211">
        <v>2018</v>
      </c>
      <c r="D29" s="86" t="s">
        <v>506</v>
      </c>
      <c r="E29" s="211" t="s">
        <v>185</v>
      </c>
      <c r="F29" s="211" t="s">
        <v>513</v>
      </c>
      <c r="G29" s="55" t="s">
        <v>42</v>
      </c>
      <c r="H29" s="211" t="s">
        <v>155</v>
      </c>
      <c r="I29" s="55" t="s">
        <v>156</v>
      </c>
      <c r="J29" s="211" t="s">
        <v>38</v>
      </c>
      <c r="K29" s="211" t="s">
        <v>154</v>
      </c>
      <c r="L29" s="203">
        <v>1</v>
      </c>
      <c r="N29" s="203">
        <v>4</v>
      </c>
      <c r="O29" s="203">
        <v>0.5</v>
      </c>
      <c r="P29" s="203">
        <v>0.5</v>
      </c>
      <c r="Q29" s="212">
        <f t="shared" si="0"/>
        <v>0.5</v>
      </c>
      <c r="R29" s="203">
        <v>14.6</v>
      </c>
      <c r="S29" s="203">
        <v>98</v>
      </c>
      <c r="T29" s="212">
        <f t="shared" si="1"/>
        <v>36</v>
      </c>
      <c r="U29" s="203">
        <v>539</v>
      </c>
      <c r="V29" s="212">
        <f t="shared" si="2"/>
        <v>4851</v>
      </c>
      <c r="W29" s="203">
        <v>6</v>
      </c>
      <c r="X29" s="55" t="s">
        <v>39</v>
      </c>
      <c r="Y29" s="55" t="s">
        <v>90</v>
      </c>
      <c r="Z29" s="211" t="s">
        <v>84</v>
      </c>
      <c r="AA29" s="55" t="s">
        <v>55</v>
      </c>
      <c r="AB29" s="211" t="s">
        <v>336</v>
      </c>
    </row>
    <row r="30" spans="1:48" x14ac:dyDescent="0.15">
      <c r="A30" s="55" t="s">
        <v>56</v>
      </c>
      <c r="B30" s="55" t="s">
        <v>385</v>
      </c>
      <c r="C30" s="211">
        <v>2018</v>
      </c>
      <c r="D30" s="86" t="s">
        <v>506</v>
      </c>
      <c r="E30" s="211" t="s">
        <v>185</v>
      </c>
      <c r="F30" s="211" t="s">
        <v>513</v>
      </c>
      <c r="G30" s="55" t="s">
        <v>42</v>
      </c>
      <c r="H30" s="211" t="s">
        <v>155</v>
      </c>
      <c r="I30" s="55" t="s">
        <v>156</v>
      </c>
      <c r="J30" s="211" t="s">
        <v>38</v>
      </c>
      <c r="K30" s="211" t="s">
        <v>154</v>
      </c>
      <c r="L30" s="203">
        <v>2</v>
      </c>
      <c r="N30" s="203">
        <v>4</v>
      </c>
      <c r="O30" s="203">
        <v>0.5</v>
      </c>
      <c r="P30" s="203">
        <v>0.5</v>
      </c>
      <c r="Q30" s="212">
        <f t="shared" si="0"/>
        <v>0.5</v>
      </c>
      <c r="R30" s="203">
        <v>12.8</v>
      </c>
      <c r="S30" s="203">
        <v>93</v>
      </c>
      <c r="T30" s="212">
        <f t="shared" si="1"/>
        <v>36</v>
      </c>
      <c r="U30" s="203">
        <v>539</v>
      </c>
      <c r="V30" s="212">
        <f t="shared" si="2"/>
        <v>4851</v>
      </c>
      <c r="W30" s="203">
        <v>6</v>
      </c>
      <c r="X30" s="55" t="s">
        <v>39</v>
      </c>
      <c r="Y30" s="55" t="s">
        <v>90</v>
      </c>
      <c r="Z30" s="211" t="s">
        <v>84</v>
      </c>
      <c r="AA30" s="55" t="s">
        <v>55</v>
      </c>
      <c r="AB30" s="211" t="s">
        <v>336</v>
      </c>
    </row>
    <row r="31" spans="1:48" x14ac:dyDescent="0.15">
      <c r="A31" s="55" t="s">
        <v>56</v>
      </c>
      <c r="B31" s="55" t="s">
        <v>385</v>
      </c>
      <c r="C31" s="211">
        <v>2018</v>
      </c>
      <c r="D31" s="86" t="s">
        <v>506</v>
      </c>
      <c r="E31" s="211" t="s">
        <v>185</v>
      </c>
      <c r="F31" s="211" t="s">
        <v>513</v>
      </c>
      <c r="G31" s="55" t="s">
        <v>42</v>
      </c>
      <c r="H31" s="211" t="s">
        <v>155</v>
      </c>
      <c r="I31" s="55" t="s">
        <v>156</v>
      </c>
      <c r="J31" s="211" t="s">
        <v>38</v>
      </c>
      <c r="K31" s="211" t="s">
        <v>154</v>
      </c>
      <c r="L31" s="203">
        <v>3</v>
      </c>
      <c r="N31" s="203">
        <v>4</v>
      </c>
      <c r="O31" s="203">
        <v>0.55000000000000004</v>
      </c>
      <c r="P31" s="203">
        <v>0.5</v>
      </c>
      <c r="Q31" s="212">
        <f t="shared" si="0"/>
        <v>0.52500000000000002</v>
      </c>
      <c r="R31" s="203">
        <v>13.4</v>
      </c>
      <c r="S31" s="203">
        <v>100</v>
      </c>
      <c r="T31" s="212">
        <f t="shared" si="1"/>
        <v>33</v>
      </c>
      <c r="U31" s="203">
        <v>539</v>
      </c>
      <c r="V31" s="212">
        <f t="shared" si="2"/>
        <v>4446.75</v>
      </c>
      <c r="W31" s="203">
        <v>6</v>
      </c>
      <c r="X31" s="55" t="s">
        <v>39</v>
      </c>
      <c r="Y31" s="55" t="s">
        <v>90</v>
      </c>
      <c r="Z31" s="211" t="s">
        <v>84</v>
      </c>
      <c r="AA31" s="55" t="s">
        <v>55</v>
      </c>
      <c r="AB31" s="211" t="s">
        <v>336</v>
      </c>
    </row>
    <row r="32" spans="1:48" x14ac:dyDescent="0.15">
      <c r="A32" s="55" t="s">
        <v>56</v>
      </c>
      <c r="B32" s="55" t="s">
        <v>385</v>
      </c>
      <c r="C32" s="211">
        <v>2018</v>
      </c>
      <c r="D32" s="86" t="s">
        <v>506</v>
      </c>
      <c r="E32" s="211" t="s">
        <v>312</v>
      </c>
      <c r="F32" s="211" t="s">
        <v>513</v>
      </c>
      <c r="G32" s="55" t="s">
        <v>42</v>
      </c>
      <c r="H32" s="211" t="s">
        <v>155</v>
      </c>
      <c r="I32" s="55" t="s">
        <v>153</v>
      </c>
      <c r="J32" s="211" t="s">
        <v>38</v>
      </c>
      <c r="K32" s="211" t="s">
        <v>154</v>
      </c>
      <c r="L32" s="203">
        <v>1</v>
      </c>
      <c r="N32" s="203">
        <v>10</v>
      </c>
      <c r="O32" s="203">
        <v>0.7</v>
      </c>
      <c r="P32" s="203">
        <v>0.65</v>
      </c>
      <c r="Q32" s="212">
        <f t="shared" si="0"/>
        <v>0.67500000000000004</v>
      </c>
      <c r="R32" s="203">
        <v>14</v>
      </c>
      <c r="S32" s="203">
        <v>87</v>
      </c>
      <c r="T32" s="212">
        <f t="shared" si="1"/>
        <v>36</v>
      </c>
      <c r="U32" s="203">
        <v>537</v>
      </c>
      <c r="V32" s="212">
        <f t="shared" si="2"/>
        <v>1933.2</v>
      </c>
      <c r="W32" s="203">
        <v>2</v>
      </c>
      <c r="X32" s="55" t="s">
        <v>46</v>
      </c>
      <c r="Y32" s="55" t="s">
        <v>84</v>
      </c>
      <c r="Z32" s="203" t="s">
        <v>90</v>
      </c>
      <c r="AA32" s="55" t="s">
        <v>78</v>
      </c>
      <c r="AB32" s="211" t="s">
        <v>336</v>
      </c>
    </row>
    <row r="33" spans="1:28" x14ac:dyDescent="0.15">
      <c r="A33" s="55" t="s">
        <v>56</v>
      </c>
      <c r="B33" s="55" t="s">
        <v>385</v>
      </c>
      <c r="C33" s="211">
        <v>2018</v>
      </c>
      <c r="D33" s="86" t="s">
        <v>506</v>
      </c>
      <c r="E33" s="211" t="s">
        <v>312</v>
      </c>
      <c r="F33" s="211" t="s">
        <v>513</v>
      </c>
      <c r="G33" s="55" t="s">
        <v>42</v>
      </c>
      <c r="H33" s="211" t="s">
        <v>155</v>
      </c>
      <c r="I33" s="55" t="s">
        <v>153</v>
      </c>
      <c r="J33" s="211" t="s">
        <v>38</v>
      </c>
      <c r="K33" s="211" t="s">
        <v>154</v>
      </c>
      <c r="L33" s="203">
        <v>2</v>
      </c>
      <c r="N33" s="203">
        <v>10</v>
      </c>
      <c r="O33" s="203">
        <v>0.6</v>
      </c>
      <c r="P33" s="203">
        <v>0.65</v>
      </c>
      <c r="Q33" s="212">
        <f t="shared" si="0"/>
        <v>0.625</v>
      </c>
      <c r="R33" s="203">
        <v>12.3</v>
      </c>
      <c r="S33" s="203">
        <v>92</v>
      </c>
      <c r="T33" s="212">
        <f t="shared" si="1"/>
        <v>36</v>
      </c>
      <c r="U33" s="203">
        <v>537</v>
      </c>
      <c r="V33" s="212">
        <f t="shared" si="2"/>
        <v>1933.2</v>
      </c>
      <c r="W33" s="203">
        <v>2</v>
      </c>
      <c r="X33" s="55" t="s">
        <v>46</v>
      </c>
      <c r="Y33" s="55" t="s">
        <v>84</v>
      </c>
      <c r="Z33" s="203" t="s">
        <v>90</v>
      </c>
      <c r="AA33" s="55" t="s">
        <v>78</v>
      </c>
      <c r="AB33" s="211" t="s">
        <v>336</v>
      </c>
    </row>
    <row r="34" spans="1:28" x14ac:dyDescent="0.15">
      <c r="A34" s="55" t="s">
        <v>56</v>
      </c>
      <c r="B34" s="55" t="s">
        <v>385</v>
      </c>
      <c r="C34" s="211">
        <v>2018</v>
      </c>
      <c r="D34" s="86" t="s">
        <v>506</v>
      </c>
      <c r="E34" s="211" t="s">
        <v>312</v>
      </c>
      <c r="F34" s="211" t="s">
        <v>513</v>
      </c>
      <c r="G34" s="55" t="s">
        <v>42</v>
      </c>
      <c r="H34" s="211" t="s">
        <v>155</v>
      </c>
      <c r="I34" s="55" t="s">
        <v>153</v>
      </c>
      <c r="J34" s="211" t="s">
        <v>38</v>
      </c>
      <c r="K34" s="211" t="s">
        <v>154</v>
      </c>
      <c r="L34" s="203">
        <v>3</v>
      </c>
      <c r="N34" s="203">
        <v>10</v>
      </c>
      <c r="O34" s="203">
        <v>0.8</v>
      </c>
      <c r="P34" s="203">
        <v>0.85</v>
      </c>
      <c r="Q34" s="212">
        <f t="shared" si="0"/>
        <v>0.82499999999999996</v>
      </c>
      <c r="R34" s="203">
        <v>13.6</v>
      </c>
      <c r="S34" s="203">
        <v>86</v>
      </c>
      <c r="T34" s="212">
        <f t="shared" si="1"/>
        <v>36</v>
      </c>
      <c r="U34" s="203">
        <v>537</v>
      </c>
      <c r="V34" s="212">
        <f t="shared" si="2"/>
        <v>1933.2</v>
      </c>
      <c r="W34" s="203">
        <v>2</v>
      </c>
      <c r="X34" s="55" t="s">
        <v>46</v>
      </c>
      <c r="Y34" s="55" t="s">
        <v>84</v>
      </c>
      <c r="Z34" s="203" t="s">
        <v>90</v>
      </c>
      <c r="AA34" s="55" t="s">
        <v>78</v>
      </c>
      <c r="AB34" s="211" t="s">
        <v>336</v>
      </c>
    </row>
    <row r="35" spans="1:28" x14ac:dyDescent="0.15">
      <c r="A35" s="55" t="s">
        <v>56</v>
      </c>
      <c r="B35" s="55" t="s">
        <v>385</v>
      </c>
      <c r="C35" s="211">
        <v>2018</v>
      </c>
      <c r="D35" s="86" t="s">
        <v>506</v>
      </c>
      <c r="E35" s="211" t="s">
        <v>312</v>
      </c>
      <c r="F35" s="211" t="s">
        <v>513</v>
      </c>
      <c r="G35" s="55" t="s">
        <v>42</v>
      </c>
      <c r="H35" s="211" t="s">
        <v>166</v>
      </c>
      <c r="I35" s="55" t="s">
        <v>153</v>
      </c>
      <c r="J35" s="211" t="s">
        <v>38</v>
      </c>
      <c r="K35" s="211" t="s">
        <v>154</v>
      </c>
      <c r="L35" s="203">
        <v>1</v>
      </c>
      <c r="N35" s="203">
        <v>1</v>
      </c>
      <c r="O35" s="203">
        <v>0.6</v>
      </c>
      <c r="P35" s="203">
        <v>0.7</v>
      </c>
      <c r="Q35" s="212">
        <f t="shared" si="0"/>
        <v>0.64999999999999991</v>
      </c>
      <c r="R35" s="203">
        <v>15</v>
      </c>
      <c r="S35" s="203">
        <v>141</v>
      </c>
      <c r="T35" s="212">
        <f t="shared" si="1"/>
        <v>22</v>
      </c>
      <c r="U35" s="203">
        <v>149</v>
      </c>
      <c r="V35" s="212">
        <f t="shared" si="2"/>
        <v>3278</v>
      </c>
      <c r="W35" s="203">
        <v>2</v>
      </c>
      <c r="X35" s="55" t="s">
        <v>46</v>
      </c>
      <c r="Y35" s="55" t="s">
        <v>84</v>
      </c>
      <c r="Z35" s="203" t="s">
        <v>90</v>
      </c>
      <c r="AA35" s="55" t="s">
        <v>78</v>
      </c>
      <c r="AB35" s="211" t="s">
        <v>336</v>
      </c>
    </row>
    <row r="36" spans="1:28" x14ac:dyDescent="0.15">
      <c r="A36" s="55" t="s">
        <v>56</v>
      </c>
      <c r="B36" s="55" t="s">
        <v>385</v>
      </c>
      <c r="C36" s="211">
        <v>2018</v>
      </c>
      <c r="D36" s="86" t="s">
        <v>506</v>
      </c>
      <c r="E36" s="211" t="s">
        <v>312</v>
      </c>
      <c r="F36" s="211" t="s">
        <v>513</v>
      </c>
      <c r="G36" s="55" t="s">
        <v>42</v>
      </c>
      <c r="H36" s="211" t="s">
        <v>166</v>
      </c>
      <c r="I36" s="55" t="s">
        <v>153</v>
      </c>
      <c r="J36" s="211" t="s">
        <v>38</v>
      </c>
      <c r="K36" s="211" t="s">
        <v>154</v>
      </c>
      <c r="L36" s="203">
        <v>2</v>
      </c>
      <c r="N36" s="203">
        <v>1</v>
      </c>
      <c r="O36" s="203">
        <v>0.6</v>
      </c>
      <c r="P36" s="203">
        <v>0.6</v>
      </c>
      <c r="Q36" s="212">
        <f t="shared" si="0"/>
        <v>0.6</v>
      </c>
      <c r="R36" s="203">
        <v>14.5</v>
      </c>
      <c r="S36" s="203">
        <v>134</v>
      </c>
      <c r="T36" s="212">
        <f t="shared" si="1"/>
        <v>25</v>
      </c>
      <c r="U36" s="203">
        <v>149</v>
      </c>
      <c r="V36" s="212">
        <f t="shared" si="2"/>
        <v>3725</v>
      </c>
      <c r="W36" s="203">
        <v>2</v>
      </c>
      <c r="X36" s="55" t="s">
        <v>46</v>
      </c>
      <c r="Y36" s="55" t="s">
        <v>84</v>
      </c>
      <c r="Z36" s="203" t="s">
        <v>90</v>
      </c>
      <c r="AA36" s="55" t="s">
        <v>78</v>
      </c>
      <c r="AB36" s="211" t="s">
        <v>336</v>
      </c>
    </row>
    <row r="37" spans="1:28" x14ac:dyDescent="0.15">
      <c r="A37" s="55" t="s">
        <v>56</v>
      </c>
      <c r="B37" s="55" t="s">
        <v>385</v>
      </c>
      <c r="C37" s="211">
        <v>2018</v>
      </c>
      <c r="D37" s="86" t="s">
        <v>506</v>
      </c>
      <c r="E37" s="211" t="s">
        <v>312</v>
      </c>
      <c r="F37" s="211" t="s">
        <v>513</v>
      </c>
      <c r="G37" s="55" t="s">
        <v>42</v>
      </c>
      <c r="H37" s="211" t="s">
        <v>166</v>
      </c>
      <c r="I37" s="55" t="s">
        <v>153</v>
      </c>
      <c r="J37" s="211" t="s">
        <v>38</v>
      </c>
      <c r="K37" s="211" t="s">
        <v>154</v>
      </c>
      <c r="L37" s="203">
        <v>3</v>
      </c>
      <c r="N37" s="203">
        <v>1</v>
      </c>
      <c r="O37" s="203">
        <v>0.5</v>
      </c>
      <c r="P37" s="203">
        <v>0.5</v>
      </c>
      <c r="Q37" s="212">
        <f t="shared" si="0"/>
        <v>0.5</v>
      </c>
      <c r="R37" s="203">
        <v>15.5</v>
      </c>
      <c r="S37" s="203">
        <v>141</v>
      </c>
      <c r="T37" s="212">
        <f t="shared" si="1"/>
        <v>22</v>
      </c>
      <c r="U37" s="203">
        <v>149</v>
      </c>
      <c r="V37" s="212">
        <f t="shared" si="2"/>
        <v>3278</v>
      </c>
      <c r="W37" s="203">
        <v>2</v>
      </c>
      <c r="X37" s="55" t="s">
        <v>46</v>
      </c>
      <c r="Y37" s="55" t="s">
        <v>84</v>
      </c>
      <c r="Z37" s="203" t="s">
        <v>90</v>
      </c>
      <c r="AA37" s="55" t="s">
        <v>78</v>
      </c>
      <c r="AB37" s="211" t="s">
        <v>336</v>
      </c>
    </row>
    <row r="38" spans="1:28" x14ac:dyDescent="0.15">
      <c r="A38" s="55" t="s">
        <v>56</v>
      </c>
      <c r="B38" s="55" t="s">
        <v>385</v>
      </c>
      <c r="C38" s="211">
        <v>2018</v>
      </c>
      <c r="D38" s="86" t="s">
        <v>506</v>
      </c>
      <c r="E38" s="211" t="s">
        <v>495</v>
      </c>
      <c r="F38" s="211" t="s">
        <v>513</v>
      </c>
      <c r="G38" s="55" t="s">
        <v>42</v>
      </c>
      <c r="H38" s="211" t="s">
        <v>155</v>
      </c>
      <c r="I38" s="55" t="s">
        <v>153</v>
      </c>
      <c r="J38" s="211" t="s">
        <v>38</v>
      </c>
      <c r="K38" s="211" t="s">
        <v>154</v>
      </c>
      <c r="L38" s="203">
        <v>1</v>
      </c>
      <c r="N38" s="203">
        <v>1</v>
      </c>
      <c r="O38" s="203">
        <v>0.9</v>
      </c>
      <c r="P38" s="203">
        <v>0.8</v>
      </c>
      <c r="Q38" s="212">
        <f t="shared" si="0"/>
        <v>0.85000000000000009</v>
      </c>
      <c r="R38" s="203">
        <v>14.5</v>
      </c>
      <c r="S38" s="203">
        <v>136</v>
      </c>
      <c r="T38" s="212">
        <f t="shared" si="1"/>
        <v>25</v>
      </c>
      <c r="U38" s="203">
        <v>117</v>
      </c>
      <c r="V38" s="212">
        <f t="shared" si="2"/>
        <v>2925</v>
      </c>
      <c r="W38" s="203">
        <v>4</v>
      </c>
      <c r="X38" s="55" t="s">
        <v>46</v>
      </c>
      <c r="Y38" s="55" t="s">
        <v>84</v>
      </c>
      <c r="Z38" s="203" t="s">
        <v>90</v>
      </c>
      <c r="AA38" s="55" t="s">
        <v>69</v>
      </c>
      <c r="AB38" s="211" t="s">
        <v>336</v>
      </c>
    </row>
    <row r="39" spans="1:28" x14ac:dyDescent="0.15">
      <c r="A39" s="55" t="s">
        <v>56</v>
      </c>
      <c r="B39" s="55" t="s">
        <v>385</v>
      </c>
      <c r="C39" s="211">
        <v>2018</v>
      </c>
      <c r="D39" s="86" t="s">
        <v>506</v>
      </c>
      <c r="E39" s="211" t="s">
        <v>495</v>
      </c>
      <c r="F39" s="211" t="s">
        <v>513</v>
      </c>
      <c r="G39" s="55" t="s">
        <v>42</v>
      </c>
      <c r="H39" s="211" t="s">
        <v>155</v>
      </c>
      <c r="I39" s="55" t="s">
        <v>153</v>
      </c>
      <c r="J39" s="211" t="s">
        <v>38</v>
      </c>
      <c r="K39" s="211" t="s">
        <v>154</v>
      </c>
      <c r="L39" s="203">
        <v>2</v>
      </c>
      <c r="N39" s="203">
        <v>1</v>
      </c>
      <c r="O39" s="203">
        <v>1</v>
      </c>
      <c r="P39" s="203">
        <v>0.85</v>
      </c>
      <c r="Q39" s="212">
        <f t="shared" si="0"/>
        <v>0.92500000000000004</v>
      </c>
      <c r="R39" s="203">
        <v>14.1</v>
      </c>
      <c r="S39" s="203">
        <v>145</v>
      </c>
      <c r="T39" s="212">
        <f t="shared" si="1"/>
        <v>22</v>
      </c>
      <c r="U39" s="203">
        <v>117</v>
      </c>
      <c r="V39" s="212">
        <f t="shared" si="2"/>
        <v>2574</v>
      </c>
      <c r="W39" s="203">
        <v>4</v>
      </c>
      <c r="X39" s="55" t="s">
        <v>46</v>
      </c>
      <c r="Y39" s="55" t="s">
        <v>84</v>
      </c>
      <c r="Z39" s="203" t="s">
        <v>90</v>
      </c>
      <c r="AA39" s="55" t="s">
        <v>69</v>
      </c>
      <c r="AB39" s="211" t="s">
        <v>336</v>
      </c>
    </row>
    <row r="40" spans="1:28" x14ac:dyDescent="0.15">
      <c r="A40" s="55" t="s">
        <v>56</v>
      </c>
      <c r="B40" s="55" t="s">
        <v>385</v>
      </c>
      <c r="C40" s="211">
        <v>2018</v>
      </c>
      <c r="D40" s="86" t="s">
        <v>506</v>
      </c>
      <c r="E40" s="211" t="s">
        <v>495</v>
      </c>
      <c r="F40" s="211" t="s">
        <v>513</v>
      </c>
      <c r="G40" s="55" t="s">
        <v>42</v>
      </c>
      <c r="H40" s="211" t="s">
        <v>155</v>
      </c>
      <c r="I40" s="55" t="s">
        <v>153</v>
      </c>
      <c r="J40" s="211" t="s">
        <v>38</v>
      </c>
      <c r="K40" s="211" t="s">
        <v>154</v>
      </c>
      <c r="L40" s="203">
        <v>3</v>
      </c>
      <c r="N40" s="203">
        <v>1</v>
      </c>
      <c r="O40" s="203">
        <v>0.6</v>
      </c>
      <c r="P40" s="203">
        <v>0.6</v>
      </c>
      <c r="Q40" s="212">
        <f t="shared" si="0"/>
        <v>0.6</v>
      </c>
      <c r="R40" s="203">
        <v>15.7</v>
      </c>
      <c r="S40" s="203">
        <v>141</v>
      </c>
      <c r="T40" s="212">
        <f t="shared" si="1"/>
        <v>22</v>
      </c>
      <c r="U40" s="203">
        <v>117</v>
      </c>
      <c r="V40" s="212">
        <f t="shared" si="2"/>
        <v>2574</v>
      </c>
      <c r="W40" s="203">
        <v>4</v>
      </c>
      <c r="X40" s="55" t="s">
        <v>46</v>
      </c>
      <c r="Y40" s="55" t="s">
        <v>84</v>
      </c>
      <c r="Z40" s="203" t="s">
        <v>90</v>
      </c>
      <c r="AA40" s="55" t="s">
        <v>69</v>
      </c>
      <c r="AB40" s="211" t="s">
        <v>336</v>
      </c>
    </row>
    <row r="41" spans="1:28" x14ac:dyDescent="0.15">
      <c r="A41" s="55" t="s">
        <v>56</v>
      </c>
      <c r="B41" s="55" t="s">
        <v>385</v>
      </c>
      <c r="C41" s="211">
        <v>2018</v>
      </c>
      <c r="D41" s="86" t="s">
        <v>506</v>
      </c>
      <c r="E41" s="211" t="s">
        <v>495</v>
      </c>
      <c r="F41" s="211" t="s">
        <v>513</v>
      </c>
      <c r="G41" s="55" t="s">
        <v>42</v>
      </c>
      <c r="H41" s="211" t="s">
        <v>155</v>
      </c>
      <c r="I41" s="55" t="s">
        <v>156</v>
      </c>
      <c r="J41" s="211" t="s">
        <v>38</v>
      </c>
      <c r="K41" s="211" t="s">
        <v>154</v>
      </c>
      <c r="L41" s="203">
        <v>1</v>
      </c>
      <c r="N41" s="203">
        <v>4</v>
      </c>
      <c r="O41" s="203">
        <v>0.5</v>
      </c>
      <c r="P41" s="203">
        <v>0.5</v>
      </c>
      <c r="Q41" s="212">
        <f t="shared" si="0"/>
        <v>0.5</v>
      </c>
      <c r="R41" s="203">
        <v>13.8</v>
      </c>
      <c r="S41" s="203">
        <v>89</v>
      </c>
      <c r="T41" s="212">
        <f t="shared" si="1"/>
        <v>36</v>
      </c>
      <c r="U41" s="203">
        <v>430</v>
      </c>
      <c r="V41" s="212">
        <f t="shared" si="2"/>
        <v>3870</v>
      </c>
      <c r="W41" s="203">
        <v>1</v>
      </c>
      <c r="X41" s="55" t="s">
        <v>46</v>
      </c>
      <c r="Y41" s="55" t="s">
        <v>84</v>
      </c>
      <c r="Z41" s="203" t="s">
        <v>90</v>
      </c>
      <c r="AA41" s="55" t="s">
        <v>69</v>
      </c>
      <c r="AB41" s="211" t="s">
        <v>336</v>
      </c>
    </row>
    <row r="42" spans="1:28" x14ac:dyDescent="0.15">
      <c r="A42" s="55" t="s">
        <v>56</v>
      </c>
      <c r="B42" s="55" t="s">
        <v>385</v>
      </c>
      <c r="C42" s="211">
        <v>2018</v>
      </c>
      <c r="D42" s="86" t="s">
        <v>506</v>
      </c>
      <c r="E42" s="211" t="s">
        <v>495</v>
      </c>
      <c r="F42" s="211" t="s">
        <v>513</v>
      </c>
      <c r="G42" s="55" t="s">
        <v>42</v>
      </c>
      <c r="H42" s="211" t="s">
        <v>155</v>
      </c>
      <c r="I42" s="55" t="s">
        <v>156</v>
      </c>
      <c r="J42" s="211" t="s">
        <v>38</v>
      </c>
      <c r="K42" s="211" t="s">
        <v>154</v>
      </c>
      <c r="L42" s="203">
        <v>2</v>
      </c>
      <c r="N42" s="203">
        <v>4</v>
      </c>
      <c r="O42" s="203">
        <v>0.55000000000000004</v>
      </c>
      <c r="P42" s="203">
        <v>0.5</v>
      </c>
      <c r="Q42" s="212">
        <f t="shared" si="0"/>
        <v>0.52500000000000002</v>
      </c>
      <c r="R42" s="203">
        <v>12.2</v>
      </c>
      <c r="S42" s="203">
        <v>90</v>
      </c>
      <c r="T42" s="212">
        <f t="shared" si="1"/>
        <v>36</v>
      </c>
      <c r="U42" s="203">
        <v>430</v>
      </c>
      <c r="V42" s="212">
        <f t="shared" si="2"/>
        <v>3870</v>
      </c>
      <c r="W42" s="203">
        <v>1</v>
      </c>
      <c r="X42" s="55" t="s">
        <v>46</v>
      </c>
      <c r="Y42" s="55" t="s">
        <v>84</v>
      </c>
      <c r="Z42" s="203" t="s">
        <v>90</v>
      </c>
      <c r="AA42" s="55" t="s">
        <v>69</v>
      </c>
      <c r="AB42" s="211" t="s">
        <v>336</v>
      </c>
    </row>
    <row r="43" spans="1:28" x14ac:dyDescent="0.15">
      <c r="A43" s="55" t="s">
        <v>56</v>
      </c>
      <c r="B43" s="55" t="s">
        <v>385</v>
      </c>
      <c r="C43" s="211">
        <v>2018</v>
      </c>
      <c r="D43" s="86" t="s">
        <v>506</v>
      </c>
      <c r="E43" s="211" t="s">
        <v>495</v>
      </c>
      <c r="F43" s="211" t="s">
        <v>513</v>
      </c>
      <c r="G43" s="55" t="s">
        <v>42</v>
      </c>
      <c r="H43" s="211" t="s">
        <v>155</v>
      </c>
      <c r="I43" s="55" t="s">
        <v>156</v>
      </c>
      <c r="J43" s="211" t="s">
        <v>38</v>
      </c>
      <c r="K43" s="211" t="s">
        <v>154</v>
      </c>
      <c r="L43" s="203">
        <v>3</v>
      </c>
      <c r="N43" s="203">
        <v>4</v>
      </c>
      <c r="O43" s="203">
        <v>0.55000000000000004</v>
      </c>
      <c r="P43" s="203">
        <v>0.55000000000000004</v>
      </c>
      <c r="Q43" s="212">
        <f t="shared" si="0"/>
        <v>0.55000000000000004</v>
      </c>
      <c r="R43" s="203">
        <v>13.2</v>
      </c>
      <c r="S43" s="203">
        <v>93</v>
      </c>
      <c r="T43" s="212">
        <f t="shared" si="1"/>
        <v>36</v>
      </c>
      <c r="U43" s="203">
        <v>430</v>
      </c>
      <c r="V43" s="212">
        <f t="shared" si="2"/>
        <v>3870</v>
      </c>
      <c r="W43" s="203">
        <v>1</v>
      </c>
      <c r="X43" s="55" t="s">
        <v>46</v>
      </c>
      <c r="Y43" s="55" t="s">
        <v>84</v>
      </c>
      <c r="Z43" s="203" t="s">
        <v>90</v>
      </c>
      <c r="AA43" s="55" t="s">
        <v>69</v>
      </c>
      <c r="AB43" s="211" t="s">
        <v>336</v>
      </c>
    </row>
    <row r="44" spans="1:28" x14ac:dyDescent="0.15">
      <c r="A44" s="55" t="s">
        <v>56</v>
      </c>
      <c r="B44" s="55" t="s">
        <v>385</v>
      </c>
      <c r="C44" s="211">
        <v>2018</v>
      </c>
      <c r="D44" s="86" t="s">
        <v>506</v>
      </c>
      <c r="E44" s="211" t="s">
        <v>495</v>
      </c>
      <c r="F44" s="211" t="s">
        <v>513</v>
      </c>
      <c r="G44" s="55" t="s">
        <v>42</v>
      </c>
      <c r="H44" s="211" t="s">
        <v>166</v>
      </c>
      <c r="I44" s="55" t="s">
        <v>153</v>
      </c>
      <c r="J44" s="211" t="s">
        <v>38</v>
      </c>
      <c r="K44" s="211" t="s">
        <v>154</v>
      </c>
      <c r="L44" s="203">
        <v>1</v>
      </c>
      <c r="N44" s="203">
        <v>1</v>
      </c>
      <c r="O44" s="203">
        <v>0.6</v>
      </c>
      <c r="P44" s="203">
        <v>0.65</v>
      </c>
      <c r="Q44" s="212">
        <f t="shared" si="0"/>
        <v>0.625</v>
      </c>
      <c r="R44" s="203">
        <v>15</v>
      </c>
      <c r="S44" s="203">
        <v>127</v>
      </c>
      <c r="T44" s="212">
        <f t="shared" si="1"/>
        <v>27</v>
      </c>
      <c r="U44" s="203">
        <v>117</v>
      </c>
      <c r="V44" s="212">
        <f t="shared" si="2"/>
        <v>3159</v>
      </c>
      <c r="W44" s="203">
        <v>4</v>
      </c>
      <c r="X44" s="55" t="s">
        <v>46</v>
      </c>
      <c r="Y44" s="55" t="s">
        <v>84</v>
      </c>
      <c r="Z44" s="203" t="s">
        <v>90</v>
      </c>
      <c r="AA44" s="55" t="s">
        <v>69</v>
      </c>
      <c r="AB44" s="211" t="s">
        <v>336</v>
      </c>
    </row>
    <row r="45" spans="1:28" x14ac:dyDescent="0.15">
      <c r="A45" s="55" t="s">
        <v>56</v>
      </c>
      <c r="B45" s="55" t="s">
        <v>385</v>
      </c>
      <c r="C45" s="211">
        <v>2018</v>
      </c>
      <c r="D45" s="86" t="s">
        <v>506</v>
      </c>
      <c r="E45" s="211" t="s">
        <v>495</v>
      </c>
      <c r="F45" s="211" t="s">
        <v>513</v>
      </c>
      <c r="G45" s="55" t="s">
        <v>42</v>
      </c>
      <c r="H45" s="211" t="s">
        <v>166</v>
      </c>
      <c r="I45" s="55" t="s">
        <v>153</v>
      </c>
      <c r="J45" s="211" t="s">
        <v>38</v>
      </c>
      <c r="K45" s="211" t="s">
        <v>154</v>
      </c>
      <c r="L45" s="203">
        <v>2</v>
      </c>
      <c r="N45" s="203">
        <v>1</v>
      </c>
      <c r="O45" s="203">
        <v>0.6</v>
      </c>
      <c r="P45" s="203">
        <v>0.65</v>
      </c>
      <c r="Q45" s="212">
        <f t="shared" si="0"/>
        <v>0.625</v>
      </c>
      <c r="R45" s="203">
        <v>15.2</v>
      </c>
      <c r="S45" s="203">
        <v>129</v>
      </c>
      <c r="T45" s="212">
        <f t="shared" si="1"/>
        <v>25</v>
      </c>
      <c r="U45" s="203">
        <v>117</v>
      </c>
      <c r="V45" s="212">
        <f t="shared" si="2"/>
        <v>2925</v>
      </c>
      <c r="W45" s="203">
        <v>4</v>
      </c>
      <c r="X45" s="55" t="s">
        <v>46</v>
      </c>
      <c r="Y45" s="55" t="s">
        <v>84</v>
      </c>
      <c r="Z45" s="203" t="s">
        <v>90</v>
      </c>
      <c r="AA45" s="55" t="s">
        <v>69</v>
      </c>
      <c r="AB45" s="211" t="s">
        <v>336</v>
      </c>
    </row>
    <row r="46" spans="1:28" x14ac:dyDescent="0.15">
      <c r="A46" s="55" t="s">
        <v>56</v>
      </c>
      <c r="B46" s="55" t="s">
        <v>385</v>
      </c>
      <c r="C46" s="211">
        <v>2018</v>
      </c>
      <c r="D46" s="86" t="s">
        <v>506</v>
      </c>
      <c r="E46" s="211" t="s">
        <v>495</v>
      </c>
      <c r="F46" s="211" t="s">
        <v>513</v>
      </c>
      <c r="G46" s="55" t="s">
        <v>42</v>
      </c>
      <c r="H46" s="211" t="s">
        <v>166</v>
      </c>
      <c r="I46" s="55" t="s">
        <v>153</v>
      </c>
      <c r="J46" s="211" t="s">
        <v>38</v>
      </c>
      <c r="K46" s="211" t="s">
        <v>154</v>
      </c>
      <c r="L46" s="203">
        <v>3</v>
      </c>
      <c r="N46" s="203">
        <v>1</v>
      </c>
      <c r="O46" s="203">
        <v>0.6</v>
      </c>
      <c r="P46" s="203">
        <v>0.55000000000000004</v>
      </c>
      <c r="Q46" s="212">
        <f t="shared" si="0"/>
        <v>0.57499999999999996</v>
      </c>
      <c r="R46" s="203">
        <v>15.6</v>
      </c>
      <c r="S46" s="203">
        <v>133</v>
      </c>
      <c r="T46" s="212">
        <f t="shared" si="1"/>
        <v>25</v>
      </c>
      <c r="U46" s="203">
        <v>117</v>
      </c>
      <c r="V46" s="212">
        <f t="shared" si="2"/>
        <v>2925</v>
      </c>
      <c r="W46" s="203">
        <v>4</v>
      </c>
      <c r="X46" s="55" t="s">
        <v>46</v>
      </c>
      <c r="Y46" s="55" t="s">
        <v>84</v>
      </c>
      <c r="Z46" s="203" t="s">
        <v>90</v>
      </c>
      <c r="AA46" s="55" t="s">
        <v>69</v>
      </c>
      <c r="AB46" s="211" t="s">
        <v>336</v>
      </c>
    </row>
    <row r="47" spans="1:28" x14ac:dyDescent="0.15">
      <c r="A47" s="55" t="s">
        <v>56</v>
      </c>
      <c r="B47" s="55" t="s">
        <v>385</v>
      </c>
      <c r="C47" s="211">
        <v>2018</v>
      </c>
      <c r="D47" s="86" t="s">
        <v>506</v>
      </c>
      <c r="E47" s="211" t="s">
        <v>516</v>
      </c>
      <c r="F47" s="211" t="s">
        <v>513</v>
      </c>
      <c r="G47" s="55" t="s">
        <v>42</v>
      </c>
      <c r="H47" s="211" t="s">
        <v>155</v>
      </c>
      <c r="I47" s="55" t="s">
        <v>153</v>
      </c>
      <c r="J47" s="211" t="s">
        <v>38</v>
      </c>
      <c r="K47" s="211" t="s">
        <v>154</v>
      </c>
      <c r="L47" s="203">
        <v>1</v>
      </c>
      <c r="N47" s="203">
        <v>5</v>
      </c>
      <c r="O47" s="203">
        <v>1</v>
      </c>
      <c r="P47" s="203">
        <v>1</v>
      </c>
      <c r="Q47" s="212">
        <f t="shared" si="0"/>
        <v>1</v>
      </c>
      <c r="R47" s="203">
        <v>13.2</v>
      </c>
      <c r="S47" s="203">
        <v>88</v>
      </c>
      <c r="T47" s="212">
        <f t="shared" si="1"/>
        <v>36</v>
      </c>
      <c r="U47" s="203">
        <v>430</v>
      </c>
      <c r="V47" s="212">
        <f t="shared" si="2"/>
        <v>3096</v>
      </c>
      <c r="W47" s="203">
        <v>6</v>
      </c>
      <c r="X47" s="55" t="s">
        <v>46</v>
      </c>
      <c r="Y47" s="55" t="s">
        <v>84</v>
      </c>
      <c r="Z47" s="203" t="s">
        <v>90</v>
      </c>
      <c r="AA47" s="55" t="s">
        <v>78</v>
      </c>
      <c r="AB47" s="211" t="s">
        <v>336</v>
      </c>
    </row>
    <row r="48" spans="1:28" x14ac:dyDescent="0.15">
      <c r="A48" s="55" t="s">
        <v>56</v>
      </c>
      <c r="B48" s="55" t="s">
        <v>385</v>
      </c>
      <c r="C48" s="211">
        <v>2018</v>
      </c>
      <c r="D48" s="86" t="s">
        <v>506</v>
      </c>
      <c r="E48" s="211" t="s">
        <v>516</v>
      </c>
      <c r="F48" s="211" t="s">
        <v>513</v>
      </c>
      <c r="G48" s="55" t="s">
        <v>42</v>
      </c>
      <c r="H48" s="211" t="s">
        <v>155</v>
      </c>
      <c r="I48" s="55" t="s">
        <v>153</v>
      </c>
      <c r="J48" s="211" t="s">
        <v>38</v>
      </c>
      <c r="K48" s="211" t="s">
        <v>154</v>
      </c>
      <c r="L48" s="203">
        <v>2</v>
      </c>
      <c r="N48" s="203">
        <v>5</v>
      </c>
      <c r="O48" s="203">
        <v>0.85</v>
      </c>
      <c r="P48" s="203">
        <v>0.9</v>
      </c>
      <c r="Q48" s="212">
        <f t="shared" si="0"/>
        <v>0.875</v>
      </c>
      <c r="R48" s="203">
        <v>13.5</v>
      </c>
      <c r="S48" s="203">
        <v>102</v>
      </c>
      <c r="T48" s="212">
        <f t="shared" si="1"/>
        <v>33</v>
      </c>
      <c r="U48" s="203">
        <v>430</v>
      </c>
      <c r="V48" s="212">
        <f t="shared" si="2"/>
        <v>2838</v>
      </c>
      <c r="W48" s="203">
        <v>6</v>
      </c>
      <c r="X48" s="55" t="s">
        <v>46</v>
      </c>
      <c r="Y48" s="55" t="s">
        <v>84</v>
      </c>
      <c r="Z48" s="203" t="s">
        <v>90</v>
      </c>
      <c r="AA48" s="55" t="s">
        <v>78</v>
      </c>
      <c r="AB48" s="211" t="s">
        <v>336</v>
      </c>
    </row>
    <row r="49" spans="1:28" x14ac:dyDescent="0.15">
      <c r="A49" s="55" t="s">
        <v>56</v>
      </c>
      <c r="B49" s="55" t="s">
        <v>385</v>
      </c>
      <c r="C49" s="211">
        <v>2018</v>
      </c>
      <c r="D49" s="86" t="s">
        <v>506</v>
      </c>
      <c r="E49" s="211" t="s">
        <v>516</v>
      </c>
      <c r="F49" s="211" t="s">
        <v>513</v>
      </c>
      <c r="G49" s="55" t="s">
        <v>42</v>
      </c>
      <c r="H49" s="211" t="s">
        <v>155</v>
      </c>
      <c r="I49" s="55" t="s">
        <v>153</v>
      </c>
      <c r="J49" s="211" t="s">
        <v>38</v>
      </c>
      <c r="K49" s="211" t="s">
        <v>154</v>
      </c>
      <c r="L49" s="203">
        <v>3</v>
      </c>
      <c r="N49" s="203">
        <v>5</v>
      </c>
      <c r="O49" s="203">
        <v>0.8</v>
      </c>
      <c r="P49" s="203">
        <v>0.8</v>
      </c>
      <c r="Q49" s="212">
        <f t="shared" si="0"/>
        <v>0.8</v>
      </c>
      <c r="R49" s="203">
        <v>12.3</v>
      </c>
      <c r="S49" s="203">
        <v>89</v>
      </c>
      <c r="T49" s="212">
        <f t="shared" si="1"/>
        <v>36</v>
      </c>
      <c r="U49" s="203">
        <v>430</v>
      </c>
      <c r="V49" s="212">
        <f t="shared" si="2"/>
        <v>3096</v>
      </c>
      <c r="W49" s="203">
        <v>6</v>
      </c>
      <c r="X49" s="55" t="s">
        <v>46</v>
      </c>
      <c r="Y49" s="55" t="s">
        <v>84</v>
      </c>
      <c r="Z49" s="203" t="s">
        <v>90</v>
      </c>
      <c r="AA49" s="55" t="s">
        <v>78</v>
      </c>
      <c r="AB49" s="211" t="s">
        <v>336</v>
      </c>
    </row>
    <row r="50" spans="1:28" x14ac:dyDescent="0.15">
      <c r="A50" s="55" t="s">
        <v>56</v>
      </c>
      <c r="B50" s="55" t="s">
        <v>385</v>
      </c>
      <c r="C50" s="211">
        <v>2018</v>
      </c>
      <c r="D50" s="86" t="s">
        <v>506</v>
      </c>
      <c r="E50" s="211" t="s">
        <v>516</v>
      </c>
      <c r="F50" s="211" t="s">
        <v>513</v>
      </c>
      <c r="G50" s="55" t="s">
        <v>42</v>
      </c>
      <c r="H50" s="211" t="s">
        <v>166</v>
      </c>
      <c r="I50" s="55" t="s">
        <v>153</v>
      </c>
      <c r="J50" s="211" t="s">
        <v>38</v>
      </c>
      <c r="K50" s="211" t="s">
        <v>154</v>
      </c>
      <c r="L50" s="203">
        <v>1</v>
      </c>
      <c r="N50" s="203">
        <v>5</v>
      </c>
      <c r="O50" s="203">
        <v>0.6</v>
      </c>
      <c r="P50" s="203">
        <v>0.6</v>
      </c>
      <c r="Q50" s="212">
        <f t="shared" si="0"/>
        <v>0.6</v>
      </c>
      <c r="R50" s="203">
        <v>14.9</v>
      </c>
      <c r="S50" s="203">
        <v>122</v>
      </c>
      <c r="T50" s="212">
        <f t="shared" si="1"/>
        <v>27</v>
      </c>
      <c r="U50" s="203">
        <v>646</v>
      </c>
      <c r="V50" s="212">
        <f t="shared" si="2"/>
        <v>3488.3999999999996</v>
      </c>
      <c r="W50" s="203">
        <v>6</v>
      </c>
      <c r="X50" s="55" t="s">
        <v>46</v>
      </c>
      <c r="Y50" s="55" t="s">
        <v>84</v>
      </c>
      <c r="Z50" s="203" t="s">
        <v>90</v>
      </c>
      <c r="AA50" s="55" t="s">
        <v>78</v>
      </c>
      <c r="AB50" s="211" t="s">
        <v>336</v>
      </c>
    </row>
    <row r="51" spans="1:28" x14ac:dyDescent="0.15">
      <c r="A51" s="55" t="s">
        <v>56</v>
      </c>
      <c r="B51" s="55" t="s">
        <v>385</v>
      </c>
      <c r="C51" s="211">
        <v>2018</v>
      </c>
      <c r="D51" s="86" t="s">
        <v>506</v>
      </c>
      <c r="E51" s="211" t="s">
        <v>516</v>
      </c>
      <c r="F51" s="211" t="s">
        <v>513</v>
      </c>
      <c r="G51" s="55" t="s">
        <v>42</v>
      </c>
      <c r="H51" s="211" t="s">
        <v>166</v>
      </c>
      <c r="I51" s="55" t="s">
        <v>153</v>
      </c>
      <c r="J51" s="211" t="s">
        <v>38</v>
      </c>
      <c r="K51" s="211" t="s">
        <v>154</v>
      </c>
      <c r="L51" s="203">
        <v>2</v>
      </c>
      <c r="N51" s="203">
        <v>5</v>
      </c>
      <c r="O51" s="203">
        <v>0.6</v>
      </c>
      <c r="P51" s="203">
        <v>0.55000000000000004</v>
      </c>
      <c r="Q51" s="212">
        <f t="shared" si="0"/>
        <v>0.57499999999999996</v>
      </c>
      <c r="R51" s="203">
        <v>14.5</v>
      </c>
      <c r="S51" s="203">
        <v>133</v>
      </c>
      <c r="T51" s="212">
        <f t="shared" si="1"/>
        <v>25</v>
      </c>
      <c r="U51" s="203">
        <v>646</v>
      </c>
      <c r="V51" s="212">
        <f t="shared" si="2"/>
        <v>3229.9999999999995</v>
      </c>
      <c r="W51" s="203">
        <v>6</v>
      </c>
      <c r="X51" s="55" t="s">
        <v>46</v>
      </c>
      <c r="Y51" s="55" t="s">
        <v>84</v>
      </c>
      <c r="Z51" s="203" t="s">
        <v>90</v>
      </c>
      <c r="AA51" s="55" t="s">
        <v>78</v>
      </c>
      <c r="AB51" s="211" t="s">
        <v>336</v>
      </c>
    </row>
    <row r="52" spans="1:28" x14ac:dyDescent="0.15">
      <c r="A52" s="55" t="s">
        <v>56</v>
      </c>
      <c r="B52" s="55" t="s">
        <v>385</v>
      </c>
      <c r="C52" s="211">
        <v>2018</v>
      </c>
      <c r="D52" s="86" t="s">
        <v>506</v>
      </c>
      <c r="E52" s="211" t="s">
        <v>516</v>
      </c>
      <c r="F52" s="211" t="s">
        <v>513</v>
      </c>
      <c r="G52" s="55" t="s">
        <v>42</v>
      </c>
      <c r="H52" s="211" t="s">
        <v>166</v>
      </c>
      <c r="I52" s="55" t="s">
        <v>153</v>
      </c>
      <c r="J52" s="211" t="s">
        <v>38</v>
      </c>
      <c r="K52" s="211" t="s">
        <v>154</v>
      </c>
      <c r="L52" s="203">
        <v>3</v>
      </c>
      <c r="N52" s="203">
        <v>5</v>
      </c>
      <c r="O52" s="203">
        <v>0.55000000000000004</v>
      </c>
      <c r="P52" s="203">
        <v>0.55000000000000004</v>
      </c>
      <c r="Q52" s="212">
        <f t="shared" si="0"/>
        <v>0.55000000000000004</v>
      </c>
      <c r="R52" s="203">
        <v>15.5</v>
      </c>
      <c r="S52" s="203">
        <v>129</v>
      </c>
      <c r="T52" s="212">
        <f t="shared" si="1"/>
        <v>25</v>
      </c>
      <c r="U52" s="203">
        <v>646</v>
      </c>
      <c r="V52" s="212">
        <f t="shared" si="2"/>
        <v>3229.9999999999995</v>
      </c>
      <c r="W52" s="203">
        <v>6</v>
      </c>
      <c r="X52" s="55" t="s">
        <v>46</v>
      </c>
      <c r="Y52" s="55" t="s">
        <v>84</v>
      </c>
      <c r="Z52" s="203" t="s">
        <v>90</v>
      </c>
      <c r="AA52" s="55" t="s">
        <v>78</v>
      </c>
      <c r="AB52" s="211" t="s">
        <v>336</v>
      </c>
    </row>
    <row r="53" spans="1:28" x14ac:dyDescent="0.15">
      <c r="A53" s="55"/>
      <c r="B53" s="55"/>
      <c r="C53" s="211"/>
      <c r="D53" s="86"/>
      <c r="E53" s="211"/>
      <c r="F53" s="211"/>
      <c r="G53" s="55"/>
      <c r="H53" s="211"/>
      <c r="I53" s="55"/>
      <c r="J53" s="211"/>
      <c r="K53" s="211"/>
      <c r="X53" s="55"/>
      <c r="Y53" s="55"/>
      <c r="AA53" s="55"/>
    </row>
    <row r="54" spans="1:28" x14ac:dyDescent="0.15">
      <c r="A54" s="55"/>
      <c r="B54" s="55"/>
      <c r="C54" s="211"/>
      <c r="D54" s="86"/>
      <c r="E54" s="211"/>
      <c r="F54" s="211"/>
      <c r="G54" s="55"/>
      <c r="H54" s="211"/>
      <c r="I54" s="55"/>
      <c r="J54" s="211"/>
      <c r="K54" s="211"/>
      <c r="X54" s="55"/>
      <c r="Y54" s="55"/>
      <c r="AA54" s="55"/>
    </row>
    <row r="55" spans="1:28" x14ac:dyDescent="0.15">
      <c r="A55" s="55"/>
      <c r="B55" s="55"/>
      <c r="C55" s="211"/>
      <c r="D55" s="86"/>
      <c r="E55" s="211"/>
      <c r="F55" s="211"/>
      <c r="G55" s="55"/>
      <c r="H55" s="211"/>
      <c r="I55" s="55"/>
      <c r="J55" s="211"/>
      <c r="K55" s="211"/>
      <c r="X55" s="55"/>
      <c r="Y55" s="55"/>
      <c r="AA55" s="55"/>
    </row>
    <row r="56" spans="1:28" x14ac:dyDescent="0.15">
      <c r="A56" s="55"/>
      <c r="B56" s="55"/>
      <c r="C56" s="211"/>
      <c r="D56" s="86"/>
      <c r="E56" s="211"/>
      <c r="F56" s="211"/>
      <c r="G56" s="55"/>
      <c r="H56" s="211"/>
      <c r="I56" s="55"/>
      <c r="J56" s="211"/>
      <c r="K56" s="211"/>
      <c r="X56" s="55"/>
      <c r="Y56" s="55"/>
      <c r="AA56" s="55"/>
    </row>
    <row r="57" spans="1:28" x14ac:dyDescent="0.15">
      <c r="A57" s="55"/>
      <c r="B57" s="55"/>
      <c r="C57" s="211"/>
      <c r="D57" s="86"/>
      <c r="E57" s="211"/>
      <c r="F57" s="211"/>
      <c r="G57" s="55"/>
      <c r="H57" s="211"/>
      <c r="I57" s="55"/>
      <c r="J57" s="211"/>
      <c r="K57" s="211"/>
      <c r="X57" s="55"/>
      <c r="Y57" s="55"/>
      <c r="AA57" s="55"/>
    </row>
    <row r="58" spans="1:28" x14ac:dyDescent="0.15">
      <c r="A58" s="55"/>
      <c r="B58" s="55"/>
      <c r="C58" s="211"/>
      <c r="D58" s="86"/>
      <c r="E58" s="211"/>
      <c r="F58" s="211"/>
      <c r="G58" s="55"/>
      <c r="H58" s="211"/>
      <c r="I58" s="55"/>
      <c r="J58" s="211"/>
      <c r="K58" s="211"/>
      <c r="X58" s="55"/>
      <c r="Y58" s="55"/>
      <c r="AA58" s="55"/>
    </row>
    <row r="59" spans="1:28" x14ac:dyDescent="0.15">
      <c r="A59" s="55"/>
      <c r="B59" s="55"/>
      <c r="C59" s="211"/>
      <c r="D59" s="86"/>
      <c r="E59" s="211"/>
      <c r="F59" s="211"/>
      <c r="G59" s="55"/>
      <c r="H59" s="211"/>
      <c r="I59" s="55"/>
      <c r="J59" s="211"/>
      <c r="K59" s="211"/>
      <c r="X59" s="55"/>
      <c r="Y59" s="55"/>
      <c r="AA59" s="55"/>
    </row>
    <row r="60" spans="1:28" x14ac:dyDescent="0.15">
      <c r="A60" s="55"/>
      <c r="B60" s="55"/>
      <c r="C60" s="211"/>
      <c r="D60" s="86"/>
      <c r="E60" s="211"/>
      <c r="F60" s="211"/>
      <c r="G60" s="55"/>
      <c r="H60" s="211"/>
      <c r="I60" s="55"/>
      <c r="J60" s="211"/>
      <c r="K60" s="211"/>
      <c r="X60" s="55"/>
      <c r="Y60" s="55"/>
      <c r="AA60" s="55"/>
    </row>
    <row r="61" spans="1:28" x14ac:dyDescent="0.15">
      <c r="A61" s="55"/>
      <c r="B61" s="55"/>
      <c r="C61" s="211"/>
      <c r="D61" s="86"/>
      <c r="E61" s="211"/>
      <c r="F61" s="211"/>
      <c r="G61" s="55"/>
      <c r="H61" s="211"/>
      <c r="I61" s="55"/>
      <c r="J61" s="211"/>
      <c r="K61" s="211"/>
      <c r="X61" s="55"/>
      <c r="Y61" s="55"/>
      <c r="AA61" s="55"/>
    </row>
    <row r="62" spans="1:28" x14ac:dyDescent="0.15">
      <c r="A62" s="55"/>
      <c r="B62" s="55"/>
      <c r="C62" s="211"/>
      <c r="D62" s="86"/>
      <c r="E62" s="211"/>
      <c r="F62" s="211"/>
      <c r="G62" s="55"/>
      <c r="H62" s="211"/>
      <c r="I62" s="55"/>
      <c r="J62" s="211"/>
      <c r="K62" s="211"/>
      <c r="X62" s="55"/>
      <c r="Y62" s="55"/>
      <c r="AA62" s="55"/>
    </row>
    <row r="63" spans="1:28" x14ac:dyDescent="0.15">
      <c r="A63" s="55"/>
      <c r="B63" s="55"/>
      <c r="C63" s="211"/>
      <c r="D63" s="86"/>
      <c r="E63" s="211"/>
      <c r="F63" s="211"/>
      <c r="G63" s="55"/>
      <c r="H63" s="211"/>
      <c r="I63" s="55"/>
      <c r="J63" s="211"/>
      <c r="K63" s="211"/>
      <c r="X63" s="55"/>
      <c r="Y63" s="55"/>
      <c r="AA63" s="55"/>
    </row>
    <row r="64" spans="1:28" x14ac:dyDescent="0.15">
      <c r="A64" s="55"/>
      <c r="B64" s="55"/>
      <c r="C64" s="211"/>
      <c r="D64" s="86"/>
      <c r="E64" s="211"/>
      <c r="F64" s="211"/>
      <c r="G64" s="55"/>
      <c r="H64" s="211"/>
      <c r="I64" s="55"/>
      <c r="J64" s="211"/>
      <c r="K64" s="211"/>
      <c r="X64" s="55"/>
      <c r="Y64" s="55"/>
      <c r="AA64" s="55"/>
    </row>
    <row r="65" spans="1:27" x14ac:dyDescent="0.15">
      <c r="A65" s="55"/>
      <c r="B65" s="55"/>
      <c r="C65" s="211"/>
      <c r="D65" s="86"/>
      <c r="E65" s="211"/>
      <c r="F65" s="211"/>
      <c r="G65" s="55"/>
      <c r="H65" s="211"/>
      <c r="I65" s="55"/>
      <c r="J65" s="211"/>
      <c r="K65" s="211"/>
      <c r="X65" s="55"/>
      <c r="Y65" s="55"/>
      <c r="AA65" s="55"/>
    </row>
    <row r="66" spans="1:27" x14ac:dyDescent="0.15">
      <c r="A66" s="55"/>
      <c r="B66" s="55"/>
      <c r="C66" s="211"/>
      <c r="D66" s="86"/>
      <c r="E66" s="211"/>
      <c r="F66" s="211"/>
      <c r="G66" s="55"/>
      <c r="H66" s="211"/>
      <c r="I66" s="55"/>
      <c r="J66" s="211"/>
      <c r="K66" s="211"/>
      <c r="X66" s="55"/>
      <c r="Y66" s="55"/>
      <c r="AA66" s="55"/>
    </row>
    <row r="67" spans="1:27" x14ac:dyDescent="0.15">
      <c r="A67" s="55"/>
      <c r="B67" s="55"/>
      <c r="C67" s="211"/>
      <c r="D67" s="86"/>
      <c r="E67" s="211"/>
      <c r="F67" s="211"/>
      <c r="G67" s="55"/>
      <c r="H67" s="211"/>
      <c r="I67" s="55"/>
      <c r="J67" s="211"/>
      <c r="K67" s="211"/>
      <c r="X67" s="55"/>
      <c r="Y67" s="55"/>
      <c r="AA67" s="55"/>
    </row>
    <row r="68" spans="1:27" x14ac:dyDescent="0.15">
      <c r="A68" s="55"/>
      <c r="B68" s="55"/>
      <c r="C68" s="211"/>
      <c r="D68" s="86"/>
      <c r="E68" s="211"/>
      <c r="F68" s="211"/>
      <c r="G68" s="55"/>
      <c r="H68" s="211"/>
      <c r="I68" s="55"/>
      <c r="J68" s="211"/>
      <c r="K68" s="211"/>
      <c r="X68" s="55"/>
      <c r="Y68" s="55"/>
      <c r="AA68" s="55"/>
    </row>
    <row r="69" spans="1:27" x14ac:dyDescent="0.15">
      <c r="A69" s="55"/>
      <c r="B69" s="55"/>
      <c r="C69" s="211"/>
      <c r="D69" s="86"/>
      <c r="E69" s="211"/>
      <c r="F69" s="211"/>
      <c r="G69" s="55"/>
      <c r="H69" s="211"/>
      <c r="I69" s="55"/>
      <c r="J69" s="211"/>
      <c r="K69" s="211"/>
      <c r="X69" s="55"/>
      <c r="Y69" s="55"/>
      <c r="AA69" s="55"/>
    </row>
    <row r="70" spans="1:27" x14ac:dyDescent="0.15">
      <c r="A70" s="55"/>
      <c r="B70" s="55"/>
      <c r="C70" s="211"/>
      <c r="D70" s="86"/>
      <c r="E70" s="211"/>
      <c r="F70" s="211"/>
      <c r="G70" s="55"/>
      <c r="H70" s="211"/>
      <c r="I70" s="55"/>
      <c r="J70" s="211"/>
      <c r="K70" s="211"/>
      <c r="X70" s="55"/>
      <c r="Y70" s="55"/>
      <c r="AA70" s="55"/>
    </row>
    <row r="71" spans="1:27" x14ac:dyDescent="0.15">
      <c r="A71" s="55"/>
      <c r="B71" s="55"/>
      <c r="C71" s="211"/>
      <c r="D71" s="86"/>
      <c r="E71" s="211"/>
      <c r="F71" s="211"/>
      <c r="G71" s="55"/>
      <c r="H71" s="211"/>
      <c r="I71" s="55"/>
      <c r="J71" s="211"/>
      <c r="K71" s="211"/>
      <c r="X71" s="55"/>
      <c r="Y71" s="55"/>
      <c r="AA71" s="55"/>
    </row>
    <row r="72" spans="1:27" x14ac:dyDescent="0.15">
      <c r="A72" s="55"/>
      <c r="B72" s="55"/>
      <c r="C72" s="211"/>
      <c r="D72" s="86"/>
      <c r="E72" s="211"/>
      <c r="F72" s="211"/>
      <c r="G72" s="55"/>
      <c r="H72" s="211"/>
      <c r="I72" s="55"/>
      <c r="J72" s="211"/>
      <c r="K72" s="211"/>
      <c r="X72" s="55"/>
      <c r="Y72" s="55"/>
      <c r="AA72" s="55"/>
    </row>
    <row r="73" spans="1:27" x14ac:dyDescent="0.15">
      <c r="A73" s="55"/>
      <c r="B73" s="55"/>
      <c r="C73" s="211"/>
      <c r="D73" s="86"/>
      <c r="E73" s="211"/>
      <c r="F73" s="211"/>
      <c r="G73" s="55"/>
      <c r="H73" s="211"/>
      <c r="I73" s="55"/>
      <c r="J73" s="211"/>
      <c r="K73" s="211"/>
      <c r="X73" s="55"/>
      <c r="Y73" s="55"/>
      <c r="AA73" s="55"/>
    </row>
    <row r="74" spans="1:27" x14ac:dyDescent="0.15">
      <c r="A74" s="55"/>
      <c r="B74" s="55"/>
      <c r="C74" s="211"/>
      <c r="D74" s="86"/>
      <c r="E74" s="211"/>
      <c r="F74" s="211"/>
      <c r="G74" s="55"/>
      <c r="H74" s="211"/>
      <c r="I74" s="55"/>
      <c r="J74" s="211"/>
      <c r="K74" s="211"/>
      <c r="X74" s="55"/>
      <c r="Y74" s="55"/>
      <c r="AA74" s="55"/>
    </row>
    <row r="75" spans="1:27" x14ac:dyDescent="0.15">
      <c r="A75" s="55"/>
      <c r="B75" s="55"/>
      <c r="C75" s="211"/>
      <c r="D75" s="86"/>
      <c r="E75" s="211"/>
      <c r="F75" s="211"/>
      <c r="G75" s="55"/>
      <c r="H75" s="211"/>
      <c r="I75" s="55"/>
      <c r="J75" s="211"/>
      <c r="K75" s="211"/>
      <c r="X75" s="55"/>
      <c r="Y75" s="55"/>
      <c r="AA75" s="55"/>
    </row>
    <row r="76" spans="1:27" x14ac:dyDescent="0.15">
      <c r="A76" s="55"/>
      <c r="B76" s="55"/>
      <c r="C76" s="211"/>
      <c r="D76" s="86"/>
      <c r="E76" s="211"/>
      <c r="F76" s="211"/>
      <c r="G76" s="55"/>
      <c r="H76" s="211"/>
      <c r="I76" s="55"/>
      <c r="J76" s="211"/>
      <c r="K76" s="211"/>
      <c r="X76" s="55"/>
      <c r="Y76" s="55"/>
      <c r="AA76" s="55"/>
    </row>
    <row r="77" spans="1:27" x14ac:dyDescent="0.15">
      <c r="A77" s="55"/>
      <c r="B77" s="55"/>
      <c r="C77" s="211"/>
      <c r="D77" s="86"/>
      <c r="E77" s="211"/>
      <c r="F77" s="211"/>
      <c r="G77" s="55"/>
      <c r="H77" s="211"/>
      <c r="I77" s="55"/>
      <c r="J77" s="211"/>
      <c r="K77" s="211"/>
      <c r="X77" s="55"/>
      <c r="Y77" s="55"/>
      <c r="AA77" s="55"/>
    </row>
    <row r="78" spans="1:27" x14ac:dyDescent="0.15">
      <c r="A78" s="55"/>
      <c r="B78" s="55"/>
      <c r="C78" s="211"/>
      <c r="D78" s="86"/>
      <c r="E78" s="211"/>
      <c r="F78" s="211"/>
      <c r="G78" s="55"/>
      <c r="H78" s="211"/>
      <c r="I78" s="55"/>
      <c r="J78" s="211"/>
      <c r="K78" s="211"/>
      <c r="X78" s="55"/>
      <c r="Y78" s="55"/>
      <c r="AA78" s="55"/>
    </row>
    <row r="79" spans="1:27" x14ac:dyDescent="0.15">
      <c r="A79" s="55"/>
      <c r="B79" s="55"/>
      <c r="C79" s="211"/>
      <c r="D79" s="86"/>
      <c r="E79" s="211"/>
      <c r="F79" s="211"/>
      <c r="G79" s="55"/>
      <c r="H79" s="211"/>
      <c r="I79" s="55"/>
      <c r="J79" s="211"/>
      <c r="K79" s="211"/>
      <c r="X79" s="55"/>
      <c r="Y79" s="55"/>
      <c r="AA79" s="55"/>
    </row>
    <row r="80" spans="1:27" x14ac:dyDescent="0.15">
      <c r="A80" s="55"/>
      <c r="B80" s="55"/>
      <c r="C80" s="211"/>
      <c r="D80" s="86"/>
      <c r="E80" s="211"/>
      <c r="F80" s="211"/>
      <c r="G80" s="55"/>
      <c r="H80" s="211"/>
      <c r="I80" s="55"/>
      <c r="J80" s="211"/>
      <c r="K80" s="211"/>
      <c r="X80" s="55"/>
      <c r="Y80" s="55"/>
      <c r="AA80" s="55"/>
    </row>
    <row r="81" spans="1:27" x14ac:dyDescent="0.15">
      <c r="A81" s="55"/>
      <c r="B81" s="55"/>
      <c r="C81" s="211"/>
      <c r="D81" s="86"/>
      <c r="E81" s="211"/>
      <c r="F81" s="211"/>
      <c r="G81" s="55"/>
      <c r="H81" s="211"/>
      <c r="I81" s="55"/>
      <c r="J81" s="211"/>
      <c r="K81" s="211"/>
      <c r="X81" s="55"/>
      <c r="Y81" s="55"/>
      <c r="AA81" s="55"/>
    </row>
    <row r="82" spans="1:27" x14ac:dyDescent="0.15">
      <c r="A82" s="55"/>
      <c r="B82" s="55"/>
      <c r="C82" s="211"/>
      <c r="D82" s="86"/>
      <c r="E82" s="211"/>
      <c r="F82" s="211"/>
      <c r="G82" s="55"/>
      <c r="H82" s="211"/>
      <c r="I82" s="55"/>
      <c r="J82" s="211"/>
      <c r="K82" s="211"/>
      <c r="X82" s="55"/>
      <c r="Y82" s="55"/>
      <c r="AA82" s="55"/>
    </row>
    <row r="83" spans="1:27" x14ac:dyDescent="0.15">
      <c r="E83" s="211"/>
      <c r="F83" s="211"/>
      <c r="G83" s="55"/>
      <c r="H83" s="211"/>
      <c r="I83" s="55"/>
      <c r="J83" s="211"/>
      <c r="K83" s="211"/>
      <c r="X83" s="55"/>
      <c r="Y83" s="55"/>
      <c r="AA83" s="55"/>
    </row>
    <row r="84" spans="1:27" x14ac:dyDescent="0.15">
      <c r="E84" s="211"/>
      <c r="F84" s="211"/>
      <c r="G84" s="55"/>
      <c r="H84" s="211"/>
      <c r="I84" s="55"/>
      <c r="J84" s="211"/>
      <c r="K84" s="211"/>
      <c r="X84" s="55"/>
      <c r="Y84" s="55"/>
      <c r="AA84" s="55"/>
    </row>
    <row r="85" spans="1:27" x14ac:dyDescent="0.15">
      <c r="E85" s="211"/>
      <c r="F85" s="211"/>
      <c r="G85" s="55"/>
      <c r="H85" s="211"/>
      <c r="I85" s="55"/>
      <c r="J85" s="211"/>
      <c r="K85" s="211"/>
      <c r="X85" s="55"/>
      <c r="Y85" s="55"/>
      <c r="AA85" s="55"/>
    </row>
    <row r="86" spans="1:27" x14ac:dyDescent="0.15">
      <c r="J86" s="211"/>
      <c r="K86" s="211"/>
    </row>
    <row r="87" spans="1:27" x14ac:dyDescent="0.15">
      <c r="J87" s="211"/>
      <c r="K87" s="211"/>
    </row>
    <row r="88" spans="1:27" x14ac:dyDescent="0.15">
      <c r="J88" s="211"/>
      <c r="K88" s="211"/>
    </row>
    <row r="89" spans="1:27" x14ac:dyDescent="0.15">
      <c r="J89" s="211"/>
      <c r="K89" s="211"/>
    </row>
    <row r="90" spans="1:27" x14ac:dyDescent="0.15">
      <c r="J90" s="211"/>
      <c r="K90" s="211"/>
    </row>
    <row r="91" spans="1:27" x14ac:dyDescent="0.15">
      <c r="J91" s="211"/>
      <c r="K91" s="211"/>
    </row>
    <row r="92" spans="1:27" x14ac:dyDescent="0.15">
      <c r="J92" s="211"/>
      <c r="K92" s="211"/>
    </row>
    <row r="93" spans="1:27" x14ac:dyDescent="0.15">
      <c r="J93" s="211"/>
      <c r="K93" s="211"/>
    </row>
    <row r="94" spans="1:27" x14ac:dyDescent="0.15">
      <c r="J94" s="211"/>
      <c r="K94" s="211"/>
    </row>
    <row r="95" spans="1:27" x14ac:dyDescent="0.15">
      <c r="J95" s="211"/>
      <c r="K95" s="211"/>
    </row>
    <row r="96" spans="1:27" x14ac:dyDescent="0.15">
      <c r="J96" s="211"/>
      <c r="K96" s="211"/>
    </row>
    <row r="97" spans="10:11" x14ac:dyDescent="0.15">
      <c r="J97" s="211"/>
      <c r="K97" s="211"/>
    </row>
    <row r="98" spans="10:11" x14ac:dyDescent="0.15">
      <c r="J98" s="211"/>
      <c r="K98" s="211"/>
    </row>
    <row r="99" spans="10:11" x14ac:dyDescent="0.15">
      <c r="J99" s="211"/>
      <c r="K99" s="211"/>
    </row>
    <row r="100" spans="10:11" x14ac:dyDescent="0.15">
      <c r="J100" s="211"/>
      <c r="K100" s="211"/>
    </row>
    <row r="101" spans="10:11" x14ac:dyDescent="0.15">
      <c r="K101" s="211"/>
    </row>
    <row r="102" spans="10:11" x14ac:dyDescent="0.15">
      <c r="K102" s="211"/>
    </row>
    <row r="103" spans="10:11" x14ac:dyDescent="0.15">
      <c r="K103" s="211"/>
    </row>
    <row r="104" spans="10:11" x14ac:dyDescent="0.15">
      <c r="K104" s="211"/>
    </row>
    <row r="105" spans="10:11" x14ac:dyDescent="0.15">
      <c r="K105" s="211"/>
    </row>
    <row r="106" spans="10:11" x14ac:dyDescent="0.15">
      <c r="K106" s="211"/>
    </row>
    <row r="107" spans="10:11" x14ac:dyDescent="0.15">
      <c r="K107" s="211"/>
    </row>
    <row r="108" spans="10:11" x14ac:dyDescent="0.15">
      <c r="K108" s="211"/>
    </row>
    <row r="109" spans="10:11" x14ac:dyDescent="0.15">
      <c r="K109" s="211"/>
    </row>
    <row r="110" spans="10:11" x14ac:dyDescent="0.15">
      <c r="K110" s="211"/>
    </row>
    <row r="111" spans="10:11" x14ac:dyDescent="0.15">
      <c r="K111" s="211"/>
    </row>
    <row r="112" spans="10:11" x14ac:dyDescent="0.15">
      <c r="K112" s="211"/>
    </row>
    <row r="113" spans="11:11" x14ac:dyDescent="0.15">
      <c r="K113" s="211"/>
    </row>
    <row r="114" spans="11:11" x14ac:dyDescent="0.15">
      <c r="K114" s="211"/>
    </row>
    <row r="115" spans="11:11" x14ac:dyDescent="0.15">
      <c r="K115" s="211"/>
    </row>
    <row r="116" spans="11:11" x14ac:dyDescent="0.15">
      <c r="K116" s="211"/>
    </row>
    <row r="117" spans="11:11" x14ac:dyDescent="0.15">
      <c r="K117" s="211"/>
    </row>
    <row r="118" spans="11:11" x14ac:dyDescent="0.15">
      <c r="K118" s="211"/>
    </row>
    <row r="119" spans="11:11" x14ac:dyDescent="0.15">
      <c r="K119" s="211"/>
    </row>
    <row r="120" spans="11:11" x14ac:dyDescent="0.15">
      <c r="K120" s="211"/>
    </row>
    <row r="121" spans="11:11" x14ac:dyDescent="0.15">
      <c r="K121" s="211"/>
    </row>
    <row r="122" spans="11:11" x14ac:dyDescent="0.15">
      <c r="K122" s="211"/>
    </row>
    <row r="123" spans="11:11" x14ac:dyDescent="0.15">
      <c r="K123" s="211"/>
    </row>
    <row r="124" spans="11:11" x14ac:dyDescent="0.15">
      <c r="K124" s="211"/>
    </row>
    <row r="125" spans="11:11" x14ac:dyDescent="0.15">
      <c r="K125" s="211"/>
    </row>
    <row r="126" spans="11:11" x14ac:dyDescent="0.15">
      <c r="K126" s="211"/>
    </row>
    <row r="127" spans="11:11" x14ac:dyDescent="0.15">
      <c r="K127" s="211"/>
    </row>
    <row r="128" spans="11:11" x14ac:dyDescent="0.15">
      <c r="K128" s="211"/>
    </row>
    <row r="129" spans="11:11" x14ac:dyDescent="0.15">
      <c r="K129" s="211"/>
    </row>
    <row r="130" spans="11:11" x14ac:dyDescent="0.15">
      <c r="K130" s="211"/>
    </row>
    <row r="131" spans="11:11" x14ac:dyDescent="0.15">
      <c r="K131" s="211"/>
    </row>
    <row r="132" spans="11:11" x14ac:dyDescent="0.15">
      <c r="K132" s="211"/>
    </row>
    <row r="133" spans="11:11" x14ac:dyDescent="0.15">
      <c r="K133" s="211"/>
    </row>
    <row r="134" spans="11:11" x14ac:dyDescent="0.15">
      <c r="K134" s="211"/>
    </row>
    <row r="135" spans="11:11" x14ac:dyDescent="0.15">
      <c r="K135" s="211"/>
    </row>
    <row r="136" spans="11:11" x14ac:dyDescent="0.15">
      <c r="K136" s="211"/>
    </row>
    <row r="137" spans="11:11" x14ac:dyDescent="0.15">
      <c r="K137" s="211"/>
    </row>
    <row r="138" spans="11:11" x14ac:dyDescent="0.15">
      <c r="K138" s="211"/>
    </row>
    <row r="139" spans="11:11" x14ac:dyDescent="0.15">
      <c r="K139" s="211"/>
    </row>
    <row r="140" spans="11:11" x14ac:dyDescent="0.15">
      <c r="K140" s="211"/>
    </row>
    <row r="141" spans="11:11" x14ac:dyDescent="0.15">
      <c r="K141" s="211"/>
    </row>
    <row r="142" spans="11:11" x14ac:dyDescent="0.15">
      <c r="K142" s="211"/>
    </row>
    <row r="143" spans="11:11" x14ac:dyDescent="0.15">
      <c r="K143" s="211"/>
    </row>
    <row r="144" spans="11:11" x14ac:dyDescent="0.15">
      <c r="K144" s="211"/>
    </row>
    <row r="145" spans="11:11" x14ac:dyDescent="0.15">
      <c r="K145" s="211"/>
    </row>
    <row r="146" spans="11:11" x14ac:dyDescent="0.15">
      <c r="K146" s="211"/>
    </row>
    <row r="147" spans="11:11" x14ac:dyDescent="0.15">
      <c r="K147" s="211"/>
    </row>
    <row r="148" spans="11:11" x14ac:dyDescent="0.15">
      <c r="K148" s="211"/>
    </row>
    <row r="149" spans="11:11" x14ac:dyDescent="0.15">
      <c r="K149" s="211"/>
    </row>
    <row r="150" spans="11:11" x14ac:dyDescent="0.15">
      <c r="K150" s="211"/>
    </row>
    <row r="151" spans="11:11" x14ac:dyDescent="0.15">
      <c r="K151" s="211"/>
    </row>
    <row r="152" spans="11:11" x14ac:dyDescent="0.15">
      <c r="K152" s="211"/>
    </row>
    <row r="153" spans="11:11" x14ac:dyDescent="0.15">
      <c r="K153" s="211"/>
    </row>
    <row r="154" spans="11:11" x14ac:dyDescent="0.15">
      <c r="K154" s="211"/>
    </row>
    <row r="155" spans="11:11" x14ac:dyDescent="0.15">
      <c r="K155" s="211"/>
    </row>
    <row r="156" spans="11:11" x14ac:dyDescent="0.15">
      <c r="K156" s="211"/>
    </row>
    <row r="157" spans="11:11" x14ac:dyDescent="0.15">
      <c r="K157" s="211"/>
    </row>
    <row r="158" spans="11:11" x14ac:dyDescent="0.15">
      <c r="K158" s="211"/>
    </row>
    <row r="159" spans="11:11" x14ac:dyDescent="0.15">
      <c r="K159" s="211"/>
    </row>
    <row r="160" spans="11:11" x14ac:dyDescent="0.15">
      <c r="K160" s="211"/>
    </row>
    <row r="161" spans="11:11" x14ac:dyDescent="0.15">
      <c r="K161" s="211"/>
    </row>
    <row r="162" spans="11:11" x14ac:dyDescent="0.15">
      <c r="K162" s="211"/>
    </row>
    <row r="163" spans="11:11" x14ac:dyDescent="0.15">
      <c r="K163" s="211"/>
    </row>
    <row r="164" spans="11:11" x14ac:dyDescent="0.15">
      <c r="K164" s="211"/>
    </row>
    <row r="165" spans="11:11" x14ac:dyDescent="0.15">
      <c r="K165" s="211"/>
    </row>
    <row r="166" spans="11:11" x14ac:dyDescent="0.15">
      <c r="K166" s="211"/>
    </row>
    <row r="167" spans="11:11" x14ac:dyDescent="0.15">
      <c r="K167" s="211"/>
    </row>
    <row r="168" spans="11:11" x14ac:dyDescent="0.15">
      <c r="K168" s="211"/>
    </row>
    <row r="169" spans="11:11" x14ac:dyDescent="0.15">
      <c r="K169" s="211"/>
    </row>
    <row r="170" spans="11:11" x14ac:dyDescent="0.15">
      <c r="K170" s="211"/>
    </row>
    <row r="171" spans="11:11" x14ac:dyDescent="0.15">
      <c r="K171" s="211"/>
    </row>
    <row r="172" spans="11:11" x14ac:dyDescent="0.15">
      <c r="K172" s="211"/>
    </row>
    <row r="173" spans="11:11" x14ac:dyDescent="0.15">
      <c r="K173" s="211"/>
    </row>
    <row r="174" spans="11:11" x14ac:dyDescent="0.15">
      <c r="K174" s="211"/>
    </row>
    <row r="175" spans="11:11" x14ac:dyDescent="0.15">
      <c r="K175" s="211"/>
    </row>
    <row r="176" spans="11:11" x14ac:dyDescent="0.15">
      <c r="K176" s="211"/>
    </row>
    <row r="177" spans="11:11" x14ac:dyDescent="0.15">
      <c r="K177" s="211"/>
    </row>
    <row r="178" spans="11:11" x14ac:dyDescent="0.15">
      <c r="K178" s="211"/>
    </row>
    <row r="179" spans="11:11" x14ac:dyDescent="0.15">
      <c r="K179" s="211"/>
    </row>
    <row r="180" spans="11:11" x14ac:dyDescent="0.15">
      <c r="K180" s="211"/>
    </row>
    <row r="181" spans="11:11" x14ac:dyDescent="0.15">
      <c r="K181" s="211"/>
    </row>
    <row r="182" spans="11:11" x14ac:dyDescent="0.15">
      <c r="K182" s="211"/>
    </row>
    <row r="183" spans="11:11" x14ac:dyDescent="0.15">
      <c r="K183" s="211"/>
    </row>
    <row r="184" spans="11:11" x14ac:dyDescent="0.15">
      <c r="K184" s="211"/>
    </row>
    <row r="185" spans="11:11" x14ac:dyDescent="0.15">
      <c r="K185" s="211"/>
    </row>
    <row r="186" spans="11:11" x14ac:dyDescent="0.15">
      <c r="K186" s="211"/>
    </row>
    <row r="187" spans="11:11" x14ac:dyDescent="0.15">
      <c r="K187" s="211"/>
    </row>
    <row r="188" spans="11:11" x14ac:dyDescent="0.15">
      <c r="K188" s="211"/>
    </row>
    <row r="189" spans="11:11" x14ac:dyDescent="0.15">
      <c r="K189" s="211"/>
    </row>
    <row r="190" spans="11:11" x14ac:dyDescent="0.15">
      <c r="K190" s="211"/>
    </row>
    <row r="191" spans="11:11" x14ac:dyDescent="0.15">
      <c r="K191" s="211"/>
    </row>
    <row r="192" spans="11:11" x14ac:dyDescent="0.15">
      <c r="K192" s="211"/>
    </row>
    <row r="193" spans="11:11" x14ac:dyDescent="0.15">
      <c r="K193" s="211"/>
    </row>
    <row r="194" spans="11:11" x14ac:dyDescent="0.15">
      <c r="K194" s="211"/>
    </row>
    <row r="195" spans="11:11" x14ac:dyDescent="0.15">
      <c r="K195" s="211"/>
    </row>
    <row r="196" spans="11:11" x14ac:dyDescent="0.15">
      <c r="K196" s="211"/>
    </row>
    <row r="197" spans="11:11" x14ac:dyDescent="0.15">
      <c r="K197" s="211"/>
    </row>
    <row r="198" spans="11:11" x14ac:dyDescent="0.15">
      <c r="K198" s="211"/>
    </row>
    <row r="199" spans="11:11" x14ac:dyDescent="0.15">
      <c r="K199" s="211"/>
    </row>
    <row r="200" spans="11:11" x14ac:dyDescent="0.15">
      <c r="K200" s="211"/>
    </row>
    <row r="201" spans="11:11" x14ac:dyDescent="0.15">
      <c r="K201" s="211"/>
    </row>
    <row r="202" spans="11:11" x14ac:dyDescent="0.15">
      <c r="K202" s="211"/>
    </row>
    <row r="203" spans="11:11" x14ac:dyDescent="0.15">
      <c r="K203" s="211"/>
    </row>
    <row r="204" spans="11:11" x14ac:dyDescent="0.15">
      <c r="K204" s="211"/>
    </row>
    <row r="205" spans="11:11" x14ac:dyDescent="0.15">
      <c r="K205" s="211"/>
    </row>
    <row r="206" spans="11:11" x14ac:dyDescent="0.15">
      <c r="K206" s="211"/>
    </row>
    <row r="207" spans="11:11" x14ac:dyDescent="0.15">
      <c r="K207" s="211"/>
    </row>
    <row r="208" spans="11:11" x14ac:dyDescent="0.15">
      <c r="K208" s="211"/>
    </row>
    <row r="209" spans="11:11" x14ac:dyDescent="0.15">
      <c r="K209" s="211"/>
    </row>
    <row r="210" spans="11:11" x14ac:dyDescent="0.15">
      <c r="K210" s="211"/>
    </row>
    <row r="211" spans="11:11" x14ac:dyDescent="0.15">
      <c r="K211" s="211"/>
    </row>
    <row r="212" spans="11:11" x14ac:dyDescent="0.15">
      <c r="K212" s="211"/>
    </row>
    <row r="213" spans="11:11" x14ac:dyDescent="0.15">
      <c r="K213" s="211"/>
    </row>
    <row r="214" spans="11:11" x14ac:dyDescent="0.15">
      <c r="K214" s="211"/>
    </row>
    <row r="215" spans="11:11" x14ac:dyDescent="0.15">
      <c r="K215" s="211"/>
    </row>
    <row r="216" spans="11:11" x14ac:dyDescent="0.15">
      <c r="K216" s="211"/>
    </row>
    <row r="217" spans="11:11" x14ac:dyDescent="0.15">
      <c r="K217" s="211"/>
    </row>
    <row r="218" spans="11:11" x14ac:dyDescent="0.15">
      <c r="K218" s="211"/>
    </row>
    <row r="219" spans="11:11" x14ac:dyDescent="0.15">
      <c r="K219" s="211"/>
    </row>
    <row r="220" spans="11:11" x14ac:dyDescent="0.15">
      <c r="K220" s="211"/>
    </row>
    <row r="221" spans="11:11" x14ac:dyDescent="0.15">
      <c r="K221" s="211"/>
    </row>
    <row r="222" spans="11:11" x14ac:dyDescent="0.15">
      <c r="K222" s="211"/>
    </row>
    <row r="223" spans="11:11" x14ac:dyDescent="0.15">
      <c r="K223" s="211"/>
    </row>
    <row r="224" spans="11:11" x14ac:dyDescent="0.15">
      <c r="K224" s="211"/>
    </row>
    <row r="225" spans="11:11" x14ac:dyDescent="0.15">
      <c r="K225" s="211"/>
    </row>
    <row r="226" spans="11:11" x14ac:dyDescent="0.15">
      <c r="K226" s="211"/>
    </row>
    <row r="227" spans="11:11" x14ac:dyDescent="0.15">
      <c r="K227" s="211"/>
    </row>
    <row r="228" spans="11:11" x14ac:dyDescent="0.15">
      <c r="K228" s="211"/>
    </row>
    <row r="229" spans="11:11" x14ac:dyDescent="0.15">
      <c r="K229" s="211"/>
    </row>
    <row r="230" spans="11:11" x14ac:dyDescent="0.15">
      <c r="K230" s="211"/>
    </row>
    <row r="231" spans="11:11" x14ac:dyDescent="0.15">
      <c r="K231" s="211"/>
    </row>
    <row r="232" spans="11:11" x14ac:dyDescent="0.15">
      <c r="K232" s="211"/>
    </row>
    <row r="233" spans="11:11" x14ac:dyDescent="0.15">
      <c r="K233" s="211"/>
    </row>
    <row r="234" spans="11:11" x14ac:dyDescent="0.15">
      <c r="K234" s="211"/>
    </row>
    <row r="235" spans="11:11" x14ac:dyDescent="0.15">
      <c r="K235" s="211"/>
    </row>
    <row r="236" spans="11:11" x14ac:dyDescent="0.15">
      <c r="K236" s="211"/>
    </row>
    <row r="237" spans="11:11" x14ac:dyDescent="0.15">
      <c r="K237" s="211"/>
    </row>
    <row r="238" spans="11:11" x14ac:dyDescent="0.15">
      <c r="K238" s="211"/>
    </row>
    <row r="239" spans="11:11" x14ac:dyDescent="0.15">
      <c r="K239" s="211"/>
    </row>
    <row r="240" spans="11:11" x14ac:dyDescent="0.15">
      <c r="K240" s="211"/>
    </row>
    <row r="241" spans="11:11" x14ac:dyDescent="0.15">
      <c r="K241" s="211"/>
    </row>
    <row r="242" spans="11:11" x14ac:dyDescent="0.15">
      <c r="K242" s="211"/>
    </row>
    <row r="243" spans="11:11" x14ac:dyDescent="0.15">
      <c r="K243" s="211"/>
    </row>
    <row r="244" spans="11:11" x14ac:dyDescent="0.15">
      <c r="K244" s="211"/>
    </row>
    <row r="245" spans="11:11" x14ac:dyDescent="0.15">
      <c r="K245" s="211"/>
    </row>
    <row r="246" spans="11:11" x14ac:dyDescent="0.15">
      <c r="K246" s="211"/>
    </row>
    <row r="247" spans="11:11" x14ac:dyDescent="0.15">
      <c r="K247" s="211"/>
    </row>
    <row r="248" spans="11:11" x14ac:dyDescent="0.15">
      <c r="K248" s="211"/>
    </row>
    <row r="249" spans="11:11" x14ac:dyDescent="0.15">
      <c r="K249" s="211"/>
    </row>
    <row r="250" spans="11:11" x14ac:dyDescent="0.15">
      <c r="K250" s="211"/>
    </row>
    <row r="251" spans="11:11" x14ac:dyDescent="0.15">
      <c r="K251" s="211"/>
    </row>
    <row r="252" spans="11:11" x14ac:dyDescent="0.15">
      <c r="K252" s="211"/>
    </row>
    <row r="253" spans="11:11" x14ac:dyDescent="0.15">
      <c r="K253" s="211"/>
    </row>
    <row r="254" spans="11:11" x14ac:dyDescent="0.15">
      <c r="K254" s="211"/>
    </row>
    <row r="255" spans="11:11" x14ac:dyDescent="0.15">
      <c r="K255" s="211"/>
    </row>
    <row r="256" spans="11:11" x14ac:dyDescent="0.15">
      <c r="K256" s="211"/>
    </row>
    <row r="257" spans="11:11" x14ac:dyDescent="0.15">
      <c r="K257" s="211"/>
    </row>
    <row r="258" spans="11:11" x14ac:dyDescent="0.15">
      <c r="K258" s="211"/>
    </row>
    <row r="259" spans="11:11" x14ac:dyDescent="0.15">
      <c r="K259" s="211"/>
    </row>
    <row r="260" spans="11:11" x14ac:dyDescent="0.15">
      <c r="K260" s="211"/>
    </row>
    <row r="261" spans="11:11" x14ac:dyDescent="0.15">
      <c r="K261" s="211"/>
    </row>
    <row r="262" spans="11:11" x14ac:dyDescent="0.15">
      <c r="K262" s="211"/>
    </row>
    <row r="263" spans="11:11" x14ac:dyDescent="0.15">
      <c r="K263" s="211"/>
    </row>
    <row r="264" spans="11:11" x14ac:dyDescent="0.15">
      <c r="K264" s="211"/>
    </row>
    <row r="265" spans="11:11" x14ac:dyDescent="0.15">
      <c r="K265" s="211"/>
    </row>
    <row r="266" spans="11:11" x14ac:dyDescent="0.15">
      <c r="K266" s="211"/>
    </row>
    <row r="267" spans="11:11" x14ac:dyDescent="0.15">
      <c r="K267" s="211"/>
    </row>
    <row r="268" spans="11:11" x14ac:dyDescent="0.15">
      <c r="K268" s="211"/>
    </row>
    <row r="269" spans="11:11" x14ac:dyDescent="0.15">
      <c r="K269" s="211"/>
    </row>
    <row r="270" spans="11:11" x14ac:dyDescent="0.15">
      <c r="K270" s="211"/>
    </row>
    <row r="271" spans="11:11" x14ac:dyDescent="0.15">
      <c r="K271" s="211"/>
    </row>
    <row r="272" spans="11:11" x14ac:dyDescent="0.15">
      <c r="K272" s="211"/>
    </row>
    <row r="273" spans="11:11" x14ac:dyDescent="0.15">
      <c r="K273" s="211"/>
    </row>
    <row r="274" spans="11:11" x14ac:dyDescent="0.15">
      <c r="K274" s="211"/>
    </row>
    <row r="275" spans="11:11" x14ac:dyDescent="0.15">
      <c r="K275" s="211"/>
    </row>
    <row r="276" spans="11:11" x14ac:dyDescent="0.15">
      <c r="K276" s="211"/>
    </row>
    <row r="277" spans="11:11" x14ac:dyDescent="0.15">
      <c r="K277" s="211"/>
    </row>
    <row r="278" spans="11:11" x14ac:dyDescent="0.15">
      <c r="K278" s="211"/>
    </row>
    <row r="279" spans="11:11" x14ac:dyDescent="0.15">
      <c r="K279" s="211"/>
    </row>
    <row r="280" spans="11:11" x14ac:dyDescent="0.15">
      <c r="K280" s="211"/>
    </row>
    <row r="281" spans="11:11" x14ac:dyDescent="0.15">
      <c r="K281" s="211"/>
    </row>
    <row r="282" spans="11:11" x14ac:dyDescent="0.15">
      <c r="K282" s="211"/>
    </row>
    <row r="283" spans="11:11" x14ac:dyDescent="0.15">
      <c r="K283" s="211"/>
    </row>
    <row r="284" spans="11:11" x14ac:dyDescent="0.15">
      <c r="K284" s="211"/>
    </row>
    <row r="285" spans="11:11" x14ac:dyDescent="0.15">
      <c r="K285" s="211"/>
    </row>
    <row r="286" spans="11:11" x14ac:dyDescent="0.15">
      <c r="K286" s="211"/>
    </row>
    <row r="287" spans="11:11" x14ac:dyDescent="0.15">
      <c r="K287" s="211"/>
    </row>
    <row r="288" spans="11:11" x14ac:dyDescent="0.15">
      <c r="K288" s="211"/>
    </row>
    <row r="289" spans="11:11" x14ac:dyDescent="0.15">
      <c r="K289" s="211"/>
    </row>
    <row r="290" spans="11:11" x14ac:dyDescent="0.15">
      <c r="K290" s="211"/>
    </row>
    <row r="291" spans="11:11" x14ac:dyDescent="0.15">
      <c r="K291" s="211"/>
    </row>
    <row r="292" spans="11:11" x14ac:dyDescent="0.15">
      <c r="K292" s="211"/>
    </row>
    <row r="293" spans="11:11" x14ac:dyDescent="0.15">
      <c r="K293" s="211"/>
    </row>
    <row r="294" spans="11:11" x14ac:dyDescent="0.15">
      <c r="K294" s="211"/>
    </row>
    <row r="295" spans="11:11" x14ac:dyDescent="0.15">
      <c r="K295" s="211"/>
    </row>
    <row r="296" spans="11:11" x14ac:dyDescent="0.15">
      <c r="K296" s="211"/>
    </row>
    <row r="297" spans="11:11" x14ac:dyDescent="0.15">
      <c r="K297" s="211"/>
    </row>
    <row r="298" spans="11:11" x14ac:dyDescent="0.15">
      <c r="K298" s="211"/>
    </row>
    <row r="299" spans="11:11" x14ac:dyDescent="0.15">
      <c r="K299" s="211"/>
    </row>
    <row r="300" spans="11:11" x14ac:dyDescent="0.15">
      <c r="K300" s="211"/>
    </row>
    <row r="301" spans="11:11" x14ac:dyDescent="0.15">
      <c r="K301" s="211"/>
    </row>
    <row r="302" spans="11:11" x14ac:dyDescent="0.15">
      <c r="K302" s="211"/>
    </row>
    <row r="303" spans="11:11" x14ac:dyDescent="0.15">
      <c r="K303" s="211"/>
    </row>
    <row r="304" spans="11:11" x14ac:dyDescent="0.15">
      <c r="K304" s="211"/>
    </row>
    <row r="305" spans="11:11" x14ac:dyDescent="0.15">
      <c r="K305" s="211"/>
    </row>
    <row r="306" spans="11:11" x14ac:dyDescent="0.15">
      <c r="K306" s="211"/>
    </row>
    <row r="307" spans="11:11" x14ac:dyDescent="0.15">
      <c r="K307" s="211"/>
    </row>
    <row r="308" spans="11:11" x14ac:dyDescent="0.15">
      <c r="K308" s="211"/>
    </row>
    <row r="309" spans="11:11" x14ac:dyDescent="0.15">
      <c r="K309" s="211"/>
    </row>
    <row r="310" spans="11:11" x14ac:dyDescent="0.15">
      <c r="K310" s="211"/>
    </row>
    <row r="311" spans="11:11" x14ac:dyDescent="0.15">
      <c r="K311" s="211"/>
    </row>
    <row r="312" spans="11:11" x14ac:dyDescent="0.15">
      <c r="K312" s="211"/>
    </row>
    <row r="313" spans="11:11" x14ac:dyDescent="0.15">
      <c r="K313" s="211"/>
    </row>
    <row r="314" spans="11:11" x14ac:dyDescent="0.15">
      <c r="K314" s="211"/>
    </row>
    <row r="315" spans="11:11" x14ac:dyDescent="0.15">
      <c r="K315" s="211"/>
    </row>
    <row r="316" spans="11:11" x14ac:dyDescent="0.15">
      <c r="K316" s="211"/>
    </row>
    <row r="317" spans="11:11" x14ac:dyDescent="0.15">
      <c r="K317" s="211"/>
    </row>
    <row r="318" spans="11:11" x14ac:dyDescent="0.15">
      <c r="K318" s="211"/>
    </row>
    <row r="319" spans="11:11" x14ac:dyDescent="0.15">
      <c r="K319" s="211"/>
    </row>
    <row r="320" spans="11:11" x14ac:dyDescent="0.15">
      <c r="K320" s="211"/>
    </row>
    <row r="321" spans="11:11" x14ac:dyDescent="0.15">
      <c r="K321" s="211"/>
    </row>
    <row r="322" spans="11:11" x14ac:dyDescent="0.15">
      <c r="K322" s="211"/>
    </row>
    <row r="323" spans="11:11" x14ac:dyDescent="0.15">
      <c r="K323" s="211"/>
    </row>
    <row r="324" spans="11:11" x14ac:dyDescent="0.15">
      <c r="K324" s="211"/>
    </row>
    <row r="325" spans="11:11" x14ac:dyDescent="0.15">
      <c r="K325" s="211"/>
    </row>
    <row r="326" spans="11:11" x14ac:dyDescent="0.15">
      <c r="K326" s="211"/>
    </row>
    <row r="327" spans="11:11" x14ac:dyDescent="0.15">
      <c r="K327" s="211"/>
    </row>
    <row r="328" spans="11:11" x14ac:dyDescent="0.15">
      <c r="K328" s="211"/>
    </row>
    <row r="329" spans="11:11" x14ac:dyDescent="0.15">
      <c r="K329" s="211"/>
    </row>
    <row r="330" spans="11:11" x14ac:dyDescent="0.15">
      <c r="K330" s="211"/>
    </row>
    <row r="331" spans="11:11" x14ac:dyDescent="0.15">
      <c r="K331" s="211"/>
    </row>
    <row r="332" spans="11:11" x14ac:dyDescent="0.15">
      <c r="K332" s="211"/>
    </row>
    <row r="333" spans="11:11" x14ac:dyDescent="0.15">
      <c r="K333" s="211"/>
    </row>
    <row r="334" spans="11:11" x14ac:dyDescent="0.15">
      <c r="K334" s="211"/>
    </row>
    <row r="335" spans="11:11" x14ac:dyDescent="0.15">
      <c r="K335" s="211"/>
    </row>
    <row r="336" spans="11:11" x14ac:dyDescent="0.15">
      <c r="K336" s="211"/>
    </row>
    <row r="337" spans="11:11" x14ac:dyDescent="0.15">
      <c r="K337" s="211"/>
    </row>
    <row r="338" spans="11:11" x14ac:dyDescent="0.15">
      <c r="K338" s="211"/>
    </row>
    <row r="339" spans="11:11" x14ac:dyDescent="0.15">
      <c r="K339" s="211"/>
    </row>
    <row r="340" spans="11:11" x14ac:dyDescent="0.15">
      <c r="K340" s="211"/>
    </row>
    <row r="341" spans="11:11" x14ac:dyDescent="0.15">
      <c r="K341" s="211"/>
    </row>
    <row r="342" spans="11:11" x14ac:dyDescent="0.15">
      <c r="K342" s="211"/>
    </row>
    <row r="343" spans="11:11" x14ac:dyDescent="0.15">
      <c r="K343" s="211"/>
    </row>
    <row r="344" spans="11:11" x14ac:dyDescent="0.15">
      <c r="K344" s="211"/>
    </row>
    <row r="345" spans="11:11" x14ac:dyDescent="0.15">
      <c r="K345" s="211"/>
    </row>
    <row r="346" spans="11:11" x14ac:dyDescent="0.15">
      <c r="K346" s="211"/>
    </row>
    <row r="347" spans="11:11" x14ac:dyDescent="0.15">
      <c r="K347" s="211"/>
    </row>
    <row r="348" spans="11:11" x14ac:dyDescent="0.15">
      <c r="K348" s="211"/>
    </row>
    <row r="349" spans="11:11" x14ac:dyDescent="0.15">
      <c r="K349" s="211"/>
    </row>
    <row r="350" spans="11:11" x14ac:dyDescent="0.15">
      <c r="K350" s="211"/>
    </row>
    <row r="351" spans="11:11" x14ac:dyDescent="0.15">
      <c r="K351" s="211"/>
    </row>
    <row r="352" spans="11:11" x14ac:dyDescent="0.15">
      <c r="K352" s="211"/>
    </row>
    <row r="353" spans="11:11" x14ac:dyDescent="0.15">
      <c r="K353" s="211"/>
    </row>
    <row r="354" spans="11:11" x14ac:dyDescent="0.15">
      <c r="K354" s="211"/>
    </row>
    <row r="355" spans="11:11" x14ac:dyDescent="0.15">
      <c r="K355" s="211"/>
    </row>
    <row r="356" spans="11:11" x14ac:dyDescent="0.15">
      <c r="K356" s="211"/>
    </row>
    <row r="357" spans="11:11" x14ac:dyDescent="0.15">
      <c r="K357" s="211"/>
    </row>
    <row r="358" spans="11:11" x14ac:dyDescent="0.15">
      <c r="K358" s="211"/>
    </row>
    <row r="359" spans="11:11" x14ac:dyDescent="0.15">
      <c r="K359" s="211"/>
    </row>
    <row r="360" spans="11:11" x14ac:dyDescent="0.15">
      <c r="K360" s="211"/>
    </row>
    <row r="361" spans="11:11" x14ac:dyDescent="0.15">
      <c r="K361" s="211"/>
    </row>
    <row r="362" spans="11:11" x14ac:dyDescent="0.15">
      <c r="K362" s="211"/>
    </row>
    <row r="363" spans="11:11" x14ac:dyDescent="0.15">
      <c r="K363" s="211"/>
    </row>
    <row r="364" spans="11:11" x14ac:dyDescent="0.15">
      <c r="K364" s="211"/>
    </row>
    <row r="365" spans="11:11" x14ac:dyDescent="0.15">
      <c r="K365" s="211"/>
    </row>
    <row r="366" spans="11:11" x14ac:dyDescent="0.15">
      <c r="K366" s="211"/>
    </row>
    <row r="367" spans="11:11" x14ac:dyDescent="0.15">
      <c r="K367" s="211"/>
    </row>
    <row r="368" spans="11:11" x14ac:dyDescent="0.15">
      <c r="K368" s="211"/>
    </row>
    <row r="369" spans="11:11" x14ac:dyDescent="0.15">
      <c r="K369" s="211"/>
    </row>
    <row r="370" spans="11:11" x14ac:dyDescent="0.15">
      <c r="K370" s="211"/>
    </row>
    <row r="371" spans="11:11" x14ac:dyDescent="0.15">
      <c r="K371" s="211"/>
    </row>
    <row r="372" spans="11:11" x14ac:dyDescent="0.15">
      <c r="K372" s="211"/>
    </row>
    <row r="373" spans="11:11" x14ac:dyDescent="0.15">
      <c r="K373" s="211"/>
    </row>
    <row r="374" spans="11:11" x14ac:dyDescent="0.15">
      <c r="K374" s="211"/>
    </row>
    <row r="375" spans="11:11" x14ac:dyDescent="0.15">
      <c r="K375" s="211"/>
    </row>
    <row r="376" spans="11:11" x14ac:dyDescent="0.15">
      <c r="K376" s="211"/>
    </row>
    <row r="377" spans="11:11" x14ac:dyDescent="0.15">
      <c r="K377" s="211"/>
    </row>
    <row r="378" spans="11:11" x14ac:dyDescent="0.15">
      <c r="K378" s="211"/>
    </row>
    <row r="379" spans="11:11" x14ac:dyDescent="0.15">
      <c r="K379" s="211"/>
    </row>
    <row r="380" spans="11:11" x14ac:dyDescent="0.15">
      <c r="K380" s="211"/>
    </row>
    <row r="381" spans="11:11" x14ac:dyDescent="0.15">
      <c r="K381" s="211"/>
    </row>
    <row r="382" spans="11:11" x14ac:dyDescent="0.15">
      <c r="K382" s="211"/>
    </row>
    <row r="383" spans="11:11" x14ac:dyDescent="0.15">
      <c r="K383" s="211"/>
    </row>
    <row r="384" spans="11:11" x14ac:dyDescent="0.15">
      <c r="K384" s="211"/>
    </row>
    <row r="385" spans="11:11" x14ac:dyDescent="0.15">
      <c r="K385" s="211"/>
    </row>
    <row r="386" spans="11:11" x14ac:dyDescent="0.15">
      <c r="K386" s="211"/>
    </row>
    <row r="387" spans="11:11" x14ac:dyDescent="0.15">
      <c r="K387" s="211"/>
    </row>
    <row r="388" spans="11:11" x14ac:dyDescent="0.15">
      <c r="K388" s="211"/>
    </row>
    <row r="389" spans="11:11" x14ac:dyDescent="0.15">
      <c r="K389" s="211"/>
    </row>
    <row r="390" spans="11:11" x14ac:dyDescent="0.15">
      <c r="K390" s="211"/>
    </row>
    <row r="391" spans="11:11" x14ac:dyDescent="0.15">
      <c r="K391" s="211"/>
    </row>
    <row r="392" spans="11:11" x14ac:dyDescent="0.15">
      <c r="K392" s="211"/>
    </row>
    <row r="393" spans="11:11" x14ac:dyDescent="0.15">
      <c r="K393" s="211"/>
    </row>
    <row r="394" spans="11:11" x14ac:dyDescent="0.15">
      <c r="K394" s="211"/>
    </row>
    <row r="395" spans="11:11" x14ac:dyDescent="0.15">
      <c r="K395" s="211"/>
    </row>
    <row r="396" spans="11:11" x14ac:dyDescent="0.15">
      <c r="K396" s="211"/>
    </row>
    <row r="397" spans="11:11" x14ac:dyDescent="0.15">
      <c r="K397" s="211"/>
    </row>
    <row r="398" spans="11:11" x14ac:dyDescent="0.15">
      <c r="K398" s="211"/>
    </row>
    <row r="399" spans="11:11" x14ac:dyDescent="0.15">
      <c r="K399" s="211"/>
    </row>
    <row r="400" spans="11:11" x14ac:dyDescent="0.15">
      <c r="K400" s="211"/>
    </row>
    <row r="401" spans="11:11" x14ac:dyDescent="0.15">
      <c r="K401" s="211"/>
    </row>
    <row r="402" spans="11:11" x14ac:dyDescent="0.15">
      <c r="K402" s="211"/>
    </row>
    <row r="403" spans="11:11" x14ac:dyDescent="0.15">
      <c r="K403" s="211"/>
    </row>
    <row r="404" spans="11:11" x14ac:dyDescent="0.15">
      <c r="K404" s="211"/>
    </row>
    <row r="405" spans="11:11" x14ac:dyDescent="0.15">
      <c r="K405" s="211"/>
    </row>
    <row r="406" spans="11:11" x14ac:dyDescent="0.15">
      <c r="K406" s="211"/>
    </row>
    <row r="407" spans="11:11" x14ac:dyDescent="0.15">
      <c r="K407" s="211"/>
    </row>
    <row r="408" spans="11:11" x14ac:dyDescent="0.15">
      <c r="K408" s="211"/>
    </row>
    <row r="409" spans="11:11" x14ac:dyDescent="0.15">
      <c r="K409" s="211"/>
    </row>
    <row r="410" spans="11:11" x14ac:dyDescent="0.15">
      <c r="K410" s="211"/>
    </row>
    <row r="411" spans="11:11" x14ac:dyDescent="0.15">
      <c r="K411" s="211"/>
    </row>
    <row r="412" spans="11:11" x14ac:dyDescent="0.15">
      <c r="K412" s="211"/>
    </row>
    <row r="413" spans="11:11" x14ac:dyDescent="0.15">
      <c r="K413" s="211"/>
    </row>
    <row r="414" spans="11:11" x14ac:dyDescent="0.15">
      <c r="K414" s="211"/>
    </row>
    <row r="415" spans="11:11" x14ac:dyDescent="0.15">
      <c r="K415" s="211"/>
    </row>
    <row r="416" spans="11:11" x14ac:dyDescent="0.15">
      <c r="K416" s="211"/>
    </row>
    <row r="417" spans="11:11" x14ac:dyDescent="0.15">
      <c r="K417" s="211"/>
    </row>
    <row r="418" spans="11:11" x14ac:dyDescent="0.15">
      <c r="K418" s="211"/>
    </row>
    <row r="419" spans="11:11" x14ac:dyDescent="0.15">
      <c r="K419" s="211"/>
    </row>
    <row r="420" spans="11:11" x14ac:dyDescent="0.15">
      <c r="K420" s="211"/>
    </row>
    <row r="421" spans="11:11" x14ac:dyDescent="0.15">
      <c r="K421" s="211"/>
    </row>
    <row r="422" spans="11:11" x14ac:dyDescent="0.15">
      <c r="K422" s="211"/>
    </row>
    <row r="423" spans="11:11" x14ac:dyDescent="0.15">
      <c r="K423" s="211"/>
    </row>
    <row r="424" spans="11:11" x14ac:dyDescent="0.15">
      <c r="K424" s="211"/>
    </row>
    <row r="425" spans="11:11" x14ac:dyDescent="0.15">
      <c r="K425" s="211"/>
    </row>
    <row r="426" spans="11:11" x14ac:dyDescent="0.15">
      <c r="K426" s="211"/>
    </row>
    <row r="427" spans="11:11" x14ac:dyDescent="0.15">
      <c r="K427" s="211"/>
    </row>
    <row r="428" spans="11:11" x14ac:dyDescent="0.15">
      <c r="K428" s="211"/>
    </row>
    <row r="429" spans="11:11" x14ac:dyDescent="0.15">
      <c r="K429" s="211"/>
    </row>
    <row r="430" spans="11:11" x14ac:dyDescent="0.15">
      <c r="K430" s="211"/>
    </row>
    <row r="431" spans="11:11" x14ac:dyDescent="0.15">
      <c r="K431" s="211"/>
    </row>
    <row r="432" spans="11:11" x14ac:dyDescent="0.15">
      <c r="K432" s="211"/>
    </row>
    <row r="433" spans="11:11" x14ac:dyDescent="0.15">
      <c r="K433" s="211"/>
    </row>
    <row r="434" spans="11:11" x14ac:dyDescent="0.15">
      <c r="K434" s="211"/>
    </row>
    <row r="435" spans="11:11" x14ac:dyDescent="0.15">
      <c r="K435" s="211"/>
    </row>
    <row r="436" spans="11:11" x14ac:dyDescent="0.15">
      <c r="K436" s="211"/>
    </row>
    <row r="437" spans="11:11" x14ac:dyDescent="0.15">
      <c r="K437" s="211"/>
    </row>
    <row r="438" spans="11:11" x14ac:dyDescent="0.15">
      <c r="K438" s="211"/>
    </row>
    <row r="439" spans="11:11" x14ac:dyDescent="0.15">
      <c r="K439" s="211"/>
    </row>
    <row r="440" spans="11:11" x14ac:dyDescent="0.15">
      <c r="K440" s="211"/>
    </row>
    <row r="441" spans="11:11" x14ac:dyDescent="0.15">
      <c r="K441" s="211"/>
    </row>
    <row r="442" spans="11:11" x14ac:dyDescent="0.15">
      <c r="K442" s="211"/>
    </row>
    <row r="443" spans="11:11" x14ac:dyDescent="0.15">
      <c r="K443" s="211"/>
    </row>
    <row r="444" spans="11:11" x14ac:dyDescent="0.15">
      <c r="K444" s="211"/>
    </row>
    <row r="445" spans="11:11" x14ac:dyDescent="0.15">
      <c r="K445" s="211"/>
    </row>
    <row r="446" spans="11:11" x14ac:dyDescent="0.15">
      <c r="K446" s="211"/>
    </row>
    <row r="447" spans="11:11" x14ac:dyDescent="0.15">
      <c r="K447" s="211"/>
    </row>
    <row r="448" spans="11:11" x14ac:dyDescent="0.15">
      <c r="K448" s="211"/>
    </row>
    <row r="449" spans="11:11" x14ac:dyDescent="0.15">
      <c r="K449" s="211"/>
    </row>
    <row r="450" spans="11:11" x14ac:dyDescent="0.15">
      <c r="K450" s="211"/>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6"/>
  <sheetViews>
    <sheetView topLeftCell="C1" zoomScale="70" zoomScaleNormal="70" workbookViewId="0">
      <selection activeCell="AB2" sqref="AB2"/>
    </sheetView>
  </sheetViews>
  <sheetFormatPr defaultColWidth="9" defaultRowHeight="13.5" x14ac:dyDescent="0.15"/>
  <cols>
    <col min="1" max="3" width="9" style="98"/>
    <col min="4" max="4" width="10.5" style="98" customWidth="1"/>
    <col min="5" max="16" width="9" style="98"/>
    <col min="17" max="17" width="9" style="129"/>
    <col min="18" max="18" width="9" style="98"/>
    <col min="19" max="19" width="9.5" style="98" customWidth="1"/>
    <col min="20" max="20" width="9" style="129"/>
    <col min="21" max="21" width="9" style="98"/>
    <col min="22" max="22" width="9" style="129"/>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186</v>
      </c>
      <c r="C1" s="90" t="s">
        <v>187</v>
      </c>
      <c r="D1" s="91" t="s">
        <v>3</v>
      </c>
      <c r="E1" s="92" t="s">
        <v>4</v>
      </c>
      <c r="F1" s="92" t="s">
        <v>5</v>
      </c>
      <c r="G1" s="92" t="s">
        <v>6</v>
      </c>
      <c r="H1" s="92" t="s">
        <v>7</v>
      </c>
      <c r="I1" s="92" t="s">
        <v>8</v>
      </c>
      <c r="J1" s="92" t="s">
        <v>9</v>
      </c>
      <c r="K1" s="92" t="s">
        <v>10</v>
      </c>
      <c r="L1" s="91" t="s">
        <v>188</v>
      </c>
      <c r="M1" s="91" t="s">
        <v>189</v>
      </c>
      <c r="N1" s="91" t="s">
        <v>13</v>
      </c>
      <c r="O1" s="91" t="s">
        <v>190</v>
      </c>
      <c r="P1" s="91" t="s">
        <v>191</v>
      </c>
      <c r="Q1" s="93" t="s">
        <v>192</v>
      </c>
      <c r="R1" s="91" t="s">
        <v>193</v>
      </c>
      <c r="S1" s="91" t="s">
        <v>194</v>
      </c>
      <c r="T1" s="93" t="s">
        <v>19</v>
      </c>
      <c r="U1" s="94" t="s">
        <v>108</v>
      </c>
      <c r="V1" s="95" t="s">
        <v>20</v>
      </c>
      <c r="W1" s="91" t="s">
        <v>195</v>
      </c>
      <c r="X1" s="92" t="s">
        <v>22</v>
      </c>
      <c r="Y1" s="92" t="s">
        <v>23</v>
      </c>
      <c r="Z1" s="92" t="s">
        <v>24</v>
      </c>
      <c r="AA1" s="96" t="s">
        <v>25</v>
      </c>
      <c r="AB1" s="97" t="s">
        <v>196</v>
      </c>
      <c r="AE1" s="99" t="s">
        <v>0</v>
      </c>
      <c r="AF1" s="100"/>
      <c r="AG1" s="99" t="s">
        <v>4</v>
      </c>
      <c r="AH1" s="99" t="s">
        <v>5</v>
      </c>
      <c r="AI1" s="100"/>
      <c r="AJ1" s="99" t="s">
        <v>6</v>
      </c>
      <c r="AK1" s="100"/>
      <c r="AL1" s="101" t="s">
        <v>7</v>
      </c>
      <c r="AM1" s="100"/>
      <c r="AN1" s="101" t="s">
        <v>8</v>
      </c>
      <c r="AO1" s="100"/>
      <c r="AP1" s="101" t="s">
        <v>27</v>
      </c>
      <c r="AQ1" s="100"/>
      <c r="AR1" s="101" t="s">
        <v>10</v>
      </c>
      <c r="AS1" s="100"/>
      <c r="AT1" s="102" t="s">
        <v>197</v>
      </c>
      <c r="AU1" s="100"/>
      <c r="AV1" s="101" t="s">
        <v>29</v>
      </c>
      <c r="AX1" s="103" t="s">
        <v>198</v>
      </c>
      <c r="AY1" s="104" t="s">
        <v>199</v>
      </c>
      <c r="AZ1" s="104" t="s">
        <v>200</v>
      </c>
      <c r="BA1" s="105" t="s">
        <v>201</v>
      </c>
    </row>
    <row r="2" spans="1:53" s="241" customFormat="1" x14ac:dyDescent="0.15">
      <c r="A2" s="241" t="s">
        <v>51</v>
      </c>
      <c r="B2" s="241" t="s">
        <v>334</v>
      </c>
      <c r="C2" s="241">
        <v>2018</v>
      </c>
      <c r="D2" s="106" t="s">
        <v>371</v>
      </c>
      <c r="E2" s="241" t="s">
        <v>202</v>
      </c>
      <c r="F2" s="241" t="s">
        <v>203</v>
      </c>
      <c r="G2" s="241" t="s">
        <v>42</v>
      </c>
      <c r="H2" s="241" t="s">
        <v>155</v>
      </c>
      <c r="I2" s="241" t="s">
        <v>153</v>
      </c>
      <c r="J2" s="241" t="s">
        <v>38</v>
      </c>
      <c r="K2" s="241" t="s">
        <v>154</v>
      </c>
      <c r="L2" s="241">
        <v>1</v>
      </c>
      <c r="N2" s="241">
        <v>1</v>
      </c>
      <c r="O2" s="241">
        <v>0.85</v>
      </c>
      <c r="P2" s="241">
        <v>0.75</v>
      </c>
      <c r="Q2" s="107">
        <f>IF(OR(O2="",P2=""),"",AVERAGE(O2,P2))</f>
        <v>0.8</v>
      </c>
      <c r="R2" s="241">
        <v>16</v>
      </c>
      <c r="S2" s="241">
        <v>130</v>
      </c>
      <c r="T2" s="108">
        <f t="shared" ref="T2:T65" si="0">IF(H2="","",IF(OR(H2="GREEN",H2="GK"),IF(S2&gt;=$AX$2,VLOOKUP(S2,$AX$2:$AY$10,2,1),""),IF(S2&gt;=$AZ$2,VLOOKUP(S2,$AZ$2:$BA$10,2,1),"")))</f>
        <v>25</v>
      </c>
      <c r="U2" s="241">
        <v>98</v>
      </c>
      <c r="V2" s="109">
        <f t="shared" ref="V2:V65" si="1">IF(OR(N2="",U2="",T2=""),"",U2/N2*T2)</f>
        <v>2450</v>
      </c>
      <c r="W2" s="241">
        <v>4</v>
      </c>
      <c r="X2" s="241" t="s">
        <v>39</v>
      </c>
      <c r="Y2" s="241" t="s">
        <v>84</v>
      </c>
      <c r="Z2" s="241" t="s">
        <v>69</v>
      </c>
      <c r="AA2" s="241" t="s">
        <v>50</v>
      </c>
      <c r="AB2" s="241" t="s">
        <v>517</v>
      </c>
      <c r="AE2" s="110" t="s">
        <v>35</v>
      </c>
      <c r="AG2" s="111" t="s">
        <v>173</v>
      </c>
      <c r="AH2" s="111" t="s">
        <v>204</v>
      </c>
      <c r="AJ2" s="111" t="s">
        <v>36</v>
      </c>
      <c r="AL2" s="111" t="s">
        <v>205</v>
      </c>
      <c r="AN2" s="111" t="s">
        <v>37</v>
      </c>
      <c r="AP2" s="111" t="s">
        <v>38</v>
      </c>
      <c r="AR2" s="111" t="s">
        <v>154</v>
      </c>
      <c r="AT2" s="111" t="s">
        <v>39</v>
      </c>
      <c r="AV2" s="111" t="s">
        <v>40</v>
      </c>
      <c r="AX2" s="112">
        <v>1</v>
      </c>
      <c r="AY2" s="113">
        <v>50</v>
      </c>
      <c r="AZ2" s="113">
        <v>1</v>
      </c>
      <c r="BA2" s="114">
        <v>50</v>
      </c>
    </row>
    <row r="3" spans="1:53" s="115" customFormat="1" x14ac:dyDescent="0.15">
      <c r="A3" s="241" t="s">
        <v>51</v>
      </c>
      <c r="B3" s="241" t="s">
        <v>334</v>
      </c>
      <c r="C3" s="241">
        <v>2018</v>
      </c>
      <c r="D3" s="106" t="s">
        <v>371</v>
      </c>
      <c r="E3" s="241" t="s">
        <v>202</v>
      </c>
      <c r="F3" s="241" t="s">
        <v>203</v>
      </c>
      <c r="G3" s="241" t="s">
        <v>42</v>
      </c>
      <c r="H3" s="241" t="s">
        <v>155</v>
      </c>
      <c r="I3" s="241" t="s">
        <v>153</v>
      </c>
      <c r="J3" s="241" t="s">
        <v>38</v>
      </c>
      <c r="K3" s="241" t="s">
        <v>154</v>
      </c>
      <c r="L3" s="241">
        <v>2</v>
      </c>
      <c r="M3" s="241"/>
      <c r="N3" s="241">
        <v>1</v>
      </c>
      <c r="O3" s="241">
        <v>0.8</v>
      </c>
      <c r="P3" s="241">
        <v>0.8</v>
      </c>
      <c r="Q3" s="107">
        <f t="shared" ref="Q3:Q66" si="2">IF(OR(O3="",P3=""),"",AVERAGE(O3,P3))</f>
        <v>0.8</v>
      </c>
      <c r="R3" s="241">
        <v>15.7</v>
      </c>
      <c r="S3" s="241">
        <v>130</v>
      </c>
      <c r="T3" s="108">
        <f t="shared" si="0"/>
        <v>25</v>
      </c>
      <c r="U3" s="241">
        <v>98</v>
      </c>
      <c r="V3" s="109">
        <f t="shared" si="1"/>
        <v>2450</v>
      </c>
      <c r="W3" s="241">
        <v>4</v>
      </c>
      <c r="X3" s="241" t="s">
        <v>39</v>
      </c>
      <c r="Y3" s="241" t="s">
        <v>84</v>
      </c>
      <c r="Z3" s="241" t="s">
        <v>69</v>
      </c>
      <c r="AA3" s="241" t="s">
        <v>50</v>
      </c>
      <c r="AB3" s="241" t="s">
        <v>336</v>
      </c>
      <c r="AE3" s="116" t="s">
        <v>41</v>
      </c>
      <c r="AG3" s="111" t="s">
        <v>206</v>
      </c>
      <c r="AH3" s="111" t="s">
        <v>207</v>
      </c>
      <c r="AJ3" s="117" t="s">
        <v>42</v>
      </c>
      <c r="AL3" s="117" t="s">
        <v>208</v>
      </c>
      <c r="AN3" s="117" t="s">
        <v>43</v>
      </c>
      <c r="AP3" s="117" t="s">
        <v>44</v>
      </c>
      <c r="AR3" s="118" t="s">
        <v>45</v>
      </c>
      <c r="AT3" s="117" t="s">
        <v>46</v>
      </c>
      <c r="AV3" s="117" t="s">
        <v>47</v>
      </c>
      <c r="AX3" s="119">
        <v>72</v>
      </c>
      <c r="AY3" s="120">
        <v>46</v>
      </c>
      <c r="AZ3" s="120">
        <v>71</v>
      </c>
      <c r="BA3" s="121">
        <v>42</v>
      </c>
    </row>
    <row r="4" spans="1:53" s="115" customFormat="1" x14ac:dyDescent="0.15">
      <c r="A4" s="241" t="s">
        <v>51</v>
      </c>
      <c r="B4" s="241" t="s">
        <v>334</v>
      </c>
      <c r="C4" s="241">
        <v>2018</v>
      </c>
      <c r="D4" s="106" t="s">
        <v>371</v>
      </c>
      <c r="E4" s="241" t="s">
        <v>202</v>
      </c>
      <c r="F4" s="241" t="s">
        <v>203</v>
      </c>
      <c r="G4" s="241" t="s">
        <v>42</v>
      </c>
      <c r="H4" s="241" t="s">
        <v>155</v>
      </c>
      <c r="I4" s="241" t="s">
        <v>153</v>
      </c>
      <c r="J4" s="241" t="s">
        <v>38</v>
      </c>
      <c r="K4" s="241" t="s">
        <v>154</v>
      </c>
      <c r="L4" s="241">
        <v>3</v>
      </c>
      <c r="M4" s="241"/>
      <c r="N4" s="241">
        <v>1</v>
      </c>
      <c r="O4" s="241">
        <v>0.75</v>
      </c>
      <c r="P4" s="241">
        <v>0.7</v>
      </c>
      <c r="Q4" s="107">
        <f t="shared" si="2"/>
        <v>0.72499999999999998</v>
      </c>
      <c r="R4" s="241">
        <v>16.5</v>
      </c>
      <c r="S4" s="241">
        <v>132</v>
      </c>
      <c r="T4" s="108">
        <f t="shared" si="0"/>
        <v>25</v>
      </c>
      <c r="U4" s="241">
        <v>98</v>
      </c>
      <c r="V4" s="109">
        <f t="shared" si="1"/>
        <v>2450</v>
      </c>
      <c r="W4" s="241">
        <v>4</v>
      </c>
      <c r="X4" s="241" t="s">
        <v>39</v>
      </c>
      <c r="Y4" s="241" t="s">
        <v>84</v>
      </c>
      <c r="Z4" s="241" t="s">
        <v>69</v>
      </c>
      <c r="AA4" s="241" t="s">
        <v>50</v>
      </c>
      <c r="AB4" s="241" t="s">
        <v>336</v>
      </c>
      <c r="AE4" s="116" t="s">
        <v>34</v>
      </c>
      <c r="AG4" s="111" t="s">
        <v>209</v>
      </c>
      <c r="AH4" s="111" t="s">
        <v>210</v>
      </c>
      <c r="AJ4" s="122" t="s">
        <v>48</v>
      </c>
      <c r="AL4" s="122" t="s">
        <v>211</v>
      </c>
      <c r="AN4" s="123" t="s">
        <v>212</v>
      </c>
      <c r="AP4" s="117" t="s">
        <v>213</v>
      </c>
      <c r="AR4" s="118" t="s">
        <v>214</v>
      </c>
      <c r="AT4" s="123"/>
      <c r="AV4" s="117" t="s">
        <v>50</v>
      </c>
      <c r="AX4" s="119">
        <v>75</v>
      </c>
      <c r="AY4" s="120">
        <v>42</v>
      </c>
      <c r="AZ4" s="120">
        <v>76</v>
      </c>
      <c r="BA4" s="121">
        <v>39</v>
      </c>
    </row>
    <row r="5" spans="1:53" s="115" customFormat="1" x14ac:dyDescent="0.15">
      <c r="A5" s="241" t="s">
        <v>51</v>
      </c>
      <c r="B5" s="241" t="s">
        <v>334</v>
      </c>
      <c r="C5" s="241">
        <v>2018</v>
      </c>
      <c r="D5" s="106" t="s">
        <v>371</v>
      </c>
      <c r="E5" s="241" t="s">
        <v>202</v>
      </c>
      <c r="F5" s="241" t="s">
        <v>203</v>
      </c>
      <c r="G5" s="241" t="s">
        <v>42</v>
      </c>
      <c r="H5" s="241" t="s">
        <v>208</v>
      </c>
      <c r="I5" s="241" t="s">
        <v>153</v>
      </c>
      <c r="J5" s="241" t="s">
        <v>58</v>
      </c>
      <c r="K5" s="241" t="s">
        <v>59</v>
      </c>
      <c r="L5" s="241">
        <v>1</v>
      </c>
      <c r="M5" s="241"/>
      <c r="N5" s="241">
        <v>1</v>
      </c>
      <c r="O5" s="241">
        <v>0.85</v>
      </c>
      <c r="P5" s="241">
        <v>0.9</v>
      </c>
      <c r="Q5" s="107">
        <f t="shared" si="2"/>
        <v>0.875</v>
      </c>
      <c r="R5" s="241">
        <v>14.8</v>
      </c>
      <c r="S5" s="241">
        <v>136</v>
      </c>
      <c r="T5" s="108">
        <f t="shared" si="0"/>
        <v>25</v>
      </c>
      <c r="U5" s="241">
        <v>158</v>
      </c>
      <c r="V5" s="109">
        <f t="shared" si="1"/>
        <v>3950</v>
      </c>
      <c r="W5" s="241">
        <v>4</v>
      </c>
      <c r="X5" s="241" t="s">
        <v>39</v>
      </c>
      <c r="Y5" s="241" t="s">
        <v>84</v>
      </c>
      <c r="Z5" s="241" t="s">
        <v>69</v>
      </c>
      <c r="AA5" s="241" t="s">
        <v>50</v>
      </c>
      <c r="AB5" s="241" t="s">
        <v>336</v>
      </c>
      <c r="AE5" s="116"/>
      <c r="AG5" s="111"/>
      <c r="AH5" s="111"/>
      <c r="AJ5" s="122"/>
      <c r="AL5" s="253"/>
      <c r="AN5" s="253"/>
      <c r="AP5" s="117"/>
      <c r="AR5" s="118"/>
      <c r="AV5" s="117"/>
      <c r="AX5" s="119"/>
      <c r="AY5" s="120"/>
      <c r="AZ5" s="120"/>
      <c r="BA5" s="121"/>
    </row>
    <row r="6" spans="1:53" s="115" customFormat="1" x14ac:dyDescent="0.15">
      <c r="A6" s="241" t="s">
        <v>51</v>
      </c>
      <c r="B6" s="241" t="s">
        <v>334</v>
      </c>
      <c r="C6" s="241">
        <v>2018</v>
      </c>
      <c r="D6" s="106" t="s">
        <v>371</v>
      </c>
      <c r="E6" s="241" t="s">
        <v>202</v>
      </c>
      <c r="F6" s="241" t="s">
        <v>203</v>
      </c>
      <c r="G6" s="241" t="s">
        <v>42</v>
      </c>
      <c r="H6" s="241" t="s">
        <v>208</v>
      </c>
      <c r="I6" s="241" t="s">
        <v>153</v>
      </c>
      <c r="J6" s="241" t="s">
        <v>58</v>
      </c>
      <c r="K6" s="241" t="s">
        <v>59</v>
      </c>
      <c r="L6" s="241">
        <v>2</v>
      </c>
      <c r="M6" s="241"/>
      <c r="N6" s="241">
        <v>1</v>
      </c>
      <c r="O6" s="241">
        <v>0.7</v>
      </c>
      <c r="P6" s="241">
        <v>0.9</v>
      </c>
      <c r="Q6" s="107">
        <f t="shared" si="2"/>
        <v>0.8</v>
      </c>
      <c r="R6" s="241">
        <v>14.3</v>
      </c>
      <c r="S6" s="241">
        <v>134</v>
      </c>
      <c r="T6" s="108">
        <f t="shared" si="0"/>
        <v>25</v>
      </c>
      <c r="U6" s="241">
        <v>158</v>
      </c>
      <c r="V6" s="109">
        <f t="shared" si="1"/>
        <v>3950</v>
      </c>
      <c r="W6" s="241">
        <v>4</v>
      </c>
      <c r="X6" s="241" t="s">
        <v>39</v>
      </c>
      <c r="Y6" s="241" t="s">
        <v>84</v>
      </c>
      <c r="Z6" s="241" t="s">
        <v>69</v>
      </c>
      <c r="AA6" s="241" t="s">
        <v>50</v>
      </c>
      <c r="AB6" s="241" t="s">
        <v>336</v>
      </c>
      <c r="AE6" s="116"/>
      <c r="AG6" s="111"/>
      <c r="AH6" s="111"/>
      <c r="AJ6" s="122"/>
      <c r="AL6" s="253"/>
      <c r="AN6" s="253"/>
      <c r="AP6" s="117"/>
      <c r="AR6" s="118"/>
      <c r="AV6" s="117"/>
      <c r="AX6" s="119"/>
      <c r="AY6" s="120"/>
      <c r="AZ6" s="120"/>
      <c r="BA6" s="121"/>
    </row>
    <row r="7" spans="1:53" s="115" customFormat="1" x14ac:dyDescent="0.15">
      <c r="A7" s="241" t="s">
        <v>51</v>
      </c>
      <c r="B7" s="241" t="s">
        <v>334</v>
      </c>
      <c r="C7" s="241">
        <v>2018</v>
      </c>
      <c r="D7" s="106" t="s">
        <v>371</v>
      </c>
      <c r="E7" s="241" t="s">
        <v>202</v>
      </c>
      <c r="F7" s="241" t="s">
        <v>203</v>
      </c>
      <c r="G7" s="241" t="s">
        <v>42</v>
      </c>
      <c r="H7" s="241" t="s">
        <v>208</v>
      </c>
      <c r="I7" s="241" t="s">
        <v>153</v>
      </c>
      <c r="J7" s="241" t="s">
        <v>58</v>
      </c>
      <c r="K7" s="241" t="s">
        <v>59</v>
      </c>
      <c r="L7" s="241">
        <v>3</v>
      </c>
      <c r="M7" s="241"/>
      <c r="N7" s="241">
        <v>1</v>
      </c>
      <c r="O7" s="241">
        <v>0.75</v>
      </c>
      <c r="P7" s="241">
        <v>0.75</v>
      </c>
      <c r="Q7" s="107">
        <f t="shared" si="2"/>
        <v>0.75</v>
      </c>
      <c r="R7" s="241">
        <v>15.4</v>
      </c>
      <c r="S7" s="241">
        <v>150</v>
      </c>
      <c r="T7" s="108">
        <f t="shared" si="0"/>
        <v>22</v>
      </c>
      <c r="U7" s="241">
        <v>158</v>
      </c>
      <c r="V7" s="109">
        <f t="shared" si="1"/>
        <v>3476</v>
      </c>
      <c r="W7" s="241">
        <v>4</v>
      </c>
      <c r="X7" s="241" t="s">
        <v>39</v>
      </c>
      <c r="Y7" s="241" t="s">
        <v>84</v>
      </c>
      <c r="Z7" s="241" t="s">
        <v>69</v>
      </c>
      <c r="AA7" s="241" t="s">
        <v>50</v>
      </c>
      <c r="AB7" s="241" t="s">
        <v>336</v>
      </c>
      <c r="AE7" s="116"/>
      <c r="AG7" s="111"/>
      <c r="AH7" s="111"/>
      <c r="AJ7" s="122"/>
      <c r="AL7" s="253"/>
      <c r="AN7" s="253"/>
      <c r="AP7" s="117"/>
      <c r="AR7" s="118"/>
      <c r="AV7" s="117"/>
      <c r="AX7" s="119"/>
      <c r="AY7" s="120"/>
      <c r="AZ7" s="120"/>
      <c r="BA7" s="121"/>
    </row>
    <row r="8" spans="1:53" s="115" customFormat="1" x14ac:dyDescent="0.15">
      <c r="A8" s="241" t="s">
        <v>51</v>
      </c>
      <c r="B8" s="241" t="s">
        <v>334</v>
      </c>
      <c r="C8" s="241">
        <v>2018</v>
      </c>
      <c r="D8" s="106" t="s">
        <v>371</v>
      </c>
      <c r="E8" s="241" t="s">
        <v>206</v>
      </c>
      <c r="F8" s="241" t="s">
        <v>207</v>
      </c>
      <c r="G8" s="241" t="s">
        <v>36</v>
      </c>
      <c r="H8" s="241" t="s">
        <v>155</v>
      </c>
      <c r="I8" s="241" t="s">
        <v>153</v>
      </c>
      <c r="J8" s="241" t="s">
        <v>38</v>
      </c>
      <c r="K8" s="241" t="s">
        <v>154</v>
      </c>
      <c r="L8" s="241">
        <v>1</v>
      </c>
      <c r="M8" s="241"/>
      <c r="N8" s="241">
        <v>3</v>
      </c>
      <c r="O8" s="241">
        <v>0.85</v>
      </c>
      <c r="P8" s="241">
        <v>0.8</v>
      </c>
      <c r="Q8" s="107">
        <f t="shared" si="2"/>
        <v>0.82499999999999996</v>
      </c>
      <c r="R8" s="241">
        <v>15.5</v>
      </c>
      <c r="S8" s="241">
        <v>158</v>
      </c>
      <c r="T8" s="108">
        <f t="shared" si="0"/>
        <v>22</v>
      </c>
      <c r="U8" s="241">
        <v>398</v>
      </c>
      <c r="V8" s="109">
        <f t="shared" si="1"/>
        <v>2918.6666666666665</v>
      </c>
      <c r="W8" s="241">
        <v>4</v>
      </c>
      <c r="X8" s="241" t="s">
        <v>46</v>
      </c>
      <c r="Y8" s="241" t="s">
        <v>84</v>
      </c>
      <c r="Z8" s="241" t="s">
        <v>90</v>
      </c>
      <c r="AA8" s="241" t="s">
        <v>69</v>
      </c>
      <c r="AB8" s="241" t="s">
        <v>336</v>
      </c>
      <c r="AE8" s="116" t="s">
        <v>59</v>
      </c>
      <c r="AG8" s="111" t="s">
        <v>219</v>
      </c>
      <c r="AH8" s="111" t="s">
        <v>220</v>
      </c>
      <c r="AL8" s="115" t="s">
        <v>166</v>
      </c>
      <c r="AP8" s="117" t="s">
        <v>62</v>
      </c>
      <c r="AR8" s="118" t="s">
        <v>81</v>
      </c>
      <c r="AV8" s="117" t="s">
        <v>97</v>
      </c>
      <c r="AX8" s="119">
        <v>119</v>
      </c>
      <c r="AY8" s="120">
        <v>30</v>
      </c>
      <c r="AZ8" s="120">
        <v>121</v>
      </c>
      <c r="BA8" s="121">
        <v>27</v>
      </c>
    </row>
    <row r="9" spans="1:53" s="115" customFormat="1" x14ac:dyDescent="0.15">
      <c r="A9" s="241" t="s">
        <v>51</v>
      </c>
      <c r="B9" s="241" t="s">
        <v>334</v>
      </c>
      <c r="C9" s="241">
        <v>2018</v>
      </c>
      <c r="D9" s="106" t="s">
        <v>371</v>
      </c>
      <c r="E9" s="241" t="s">
        <v>206</v>
      </c>
      <c r="F9" s="241" t="s">
        <v>207</v>
      </c>
      <c r="G9" s="241" t="s">
        <v>36</v>
      </c>
      <c r="H9" s="241" t="s">
        <v>155</v>
      </c>
      <c r="I9" s="241" t="s">
        <v>153</v>
      </c>
      <c r="J9" s="241" t="s">
        <v>38</v>
      </c>
      <c r="K9" s="241" t="s">
        <v>154</v>
      </c>
      <c r="L9" s="241">
        <v>2</v>
      </c>
      <c r="M9" s="241"/>
      <c r="N9" s="241">
        <v>3</v>
      </c>
      <c r="O9" s="241">
        <v>0.8</v>
      </c>
      <c r="P9" s="241">
        <v>0.75</v>
      </c>
      <c r="Q9" s="107">
        <f t="shared" si="2"/>
        <v>0.77500000000000002</v>
      </c>
      <c r="R9" s="241">
        <v>16.100000000000001</v>
      </c>
      <c r="S9" s="241">
        <v>168</v>
      </c>
      <c r="T9" s="108">
        <f t="shared" si="0"/>
        <v>22</v>
      </c>
      <c r="U9" s="241">
        <v>398</v>
      </c>
      <c r="V9" s="109">
        <f t="shared" si="1"/>
        <v>2918.6666666666665</v>
      </c>
      <c r="W9" s="241">
        <v>4</v>
      </c>
      <c r="X9" s="241" t="s">
        <v>46</v>
      </c>
      <c r="Y9" s="241" t="s">
        <v>84</v>
      </c>
      <c r="Z9" s="241" t="s">
        <v>90</v>
      </c>
      <c r="AA9" s="241" t="s">
        <v>69</v>
      </c>
      <c r="AB9" s="241" t="s">
        <v>336</v>
      </c>
      <c r="AE9" s="116" t="s">
        <v>221</v>
      </c>
      <c r="AG9" s="111" t="s">
        <v>222</v>
      </c>
      <c r="AH9" s="111" t="s">
        <v>203</v>
      </c>
      <c r="AL9" s="124"/>
      <c r="AP9" s="117" t="s">
        <v>95</v>
      </c>
      <c r="AR9" s="118" t="s">
        <v>223</v>
      </c>
      <c r="AV9" s="117" t="s">
        <v>102</v>
      </c>
      <c r="AX9" s="119">
        <v>128</v>
      </c>
      <c r="AY9" s="120">
        <v>27</v>
      </c>
      <c r="AZ9" s="120">
        <v>129</v>
      </c>
      <c r="BA9" s="121">
        <v>25</v>
      </c>
    </row>
    <row r="10" spans="1:53" s="115" customFormat="1" x14ac:dyDescent="0.15">
      <c r="A10" s="241" t="s">
        <v>51</v>
      </c>
      <c r="B10" s="241" t="s">
        <v>334</v>
      </c>
      <c r="C10" s="241">
        <v>2018</v>
      </c>
      <c r="D10" s="106" t="s">
        <v>371</v>
      </c>
      <c r="E10" s="241" t="s">
        <v>206</v>
      </c>
      <c r="F10" s="241" t="s">
        <v>207</v>
      </c>
      <c r="G10" s="241" t="s">
        <v>36</v>
      </c>
      <c r="H10" s="241" t="s">
        <v>155</v>
      </c>
      <c r="I10" s="241" t="s">
        <v>153</v>
      </c>
      <c r="J10" s="241" t="s">
        <v>38</v>
      </c>
      <c r="K10" s="241" t="s">
        <v>154</v>
      </c>
      <c r="L10" s="241">
        <v>3</v>
      </c>
      <c r="M10" s="241"/>
      <c r="N10" s="241">
        <v>3</v>
      </c>
      <c r="O10" s="241">
        <v>0.7</v>
      </c>
      <c r="P10" s="241">
        <v>0.85</v>
      </c>
      <c r="Q10" s="107">
        <f t="shared" si="2"/>
        <v>0.77499999999999991</v>
      </c>
      <c r="R10" s="241">
        <v>15.4</v>
      </c>
      <c r="S10" s="241">
        <v>152</v>
      </c>
      <c r="T10" s="108">
        <f t="shared" si="0"/>
        <v>22</v>
      </c>
      <c r="U10" s="241">
        <v>398</v>
      </c>
      <c r="V10" s="109">
        <f t="shared" si="1"/>
        <v>2918.6666666666665</v>
      </c>
      <c r="W10" s="241">
        <v>4</v>
      </c>
      <c r="X10" s="241" t="s">
        <v>46</v>
      </c>
      <c r="Y10" s="241" t="s">
        <v>84</v>
      </c>
      <c r="Z10" s="241" t="s">
        <v>90</v>
      </c>
      <c r="AA10" s="241" t="s">
        <v>69</v>
      </c>
      <c r="AB10" s="241" t="s">
        <v>336</v>
      </c>
      <c r="AE10" s="116" t="s">
        <v>224</v>
      </c>
      <c r="AG10" s="111" t="s">
        <v>202</v>
      </c>
      <c r="AH10" s="117" t="s">
        <v>203</v>
      </c>
      <c r="AP10" s="117" t="s">
        <v>100</v>
      </c>
      <c r="AR10" s="118" t="s">
        <v>225</v>
      </c>
      <c r="AV10" s="117" t="s">
        <v>106</v>
      </c>
      <c r="AX10" s="119">
        <v>138</v>
      </c>
      <c r="AY10" s="120">
        <v>25</v>
      </c>
      <c r="AZ10" s="120">
        <v>138</v>
      </c>
      <c r="BA10" s="121">
        <v>22</v>
      </c>
    </row>
    <row r="11" spans="1:53" s="115" customFormat="1" x14ac:dyDescent="0.15">
      <c r="A11" s="241" t="s">
        <v>51</v>
      </c>
      <c r="B11" s="241" t="s">
        <v>334</v>
      </c>
      <c r="C11" s="241">
        <v>2018</v>
      </c>
      <c r="D11" s="106" t="s">
        <v>371</v>
      </c>
      <c r="E11" s="241" t="s">
        <v>139</v>
      </c>
      <c r="F11" s="241" t="s">
        <v>372</v>
      </c>
      <c r="G11" s="241" t="s">
        <v>42</v>
      </c>
      <c r="H11" s="241" t="s">
        <v>155</v>
      </c>
      <c r="I11" s="241" t="s">
        <v>153</v>
      </c>
      <c r="J11" s="241" t="s">
        <v>38</v>
      </c>
      <c r="K11" s="241" t="s">
        <v>154</v>
      </c>
      <c r="L11" s="241">
        <v>1</v>
      </c>
      <c r="M11" s="241"/>
      <c r="N11" s="241">
        <v>1</v>
      </c>
      <c r="O11" s="241">
        <v>0.8</v>
      </c>
      <c r="P11" s="241">
        <v>0.85</v>
      </c>
      <c r="Q11" s="107">
        <f t="shared" si="2"/>
        <v>0.82499999999999996</v>
      </c>
      <c r="R11" s="241">
        <v>16.600000000000001</v>
      </c>
      <c r="S11" s="241">
        <v>130</v>
      </c>
      <c r="T11" s="108">
        <f t="shared" si="0"/>
        <v>25</v>
      </c>
      <c r="U11" s="241">
        <v>100</v>
      </c>
      <c r="V11" s="109">
        <f t="shared" si="1"/>
        <v>2500</v>
      </c>
      <c r="W11" s="241">
        <v>8</v>
      </c>
      <c r="X11" s="241" t="s">
        <v>46</v>
      </c>
      <c r="Y11" s="241" t="s">
        <v>84</v>
      </c>
      <c r="Z11" s="241" t="s">
        <v>50</v>
      </c>
      <c r="AA11" s="241" t="s">
        <v>69</v>
      </c>
      <c r="AB11" s="241" t="s">
        <v>336</v>
      </c>
      <c r="AE11" s="116" t="s">
        <v>96</v>
      </c>
      <c r="AG11" s="117"/>
      <c r="AH11" s="117"/>
      <c r="AP11" s="117" t="s">
        <v>74</v>
      </c>
      <c r="AR11" s="118" t="s">
        <v>227</v>
      </c>
      <c r="AV11" s="117" t="s">
        <v>78</v>
      </c>
    </row>
    <row r="12" spans="1:53" s="115" customFormat="1" x14ac:dyDescent="0.15">
      <c r="A12" s="241" t="s">
        <v>51</v>
      </c>
      <c r="B12" s="241" t="s">
        <v>334</v>
      </c>
      <c r="C12" s="241">
        <v>2018</v>
      </c>
      <c r="D12" s="106" t="s">
        <v>371</v>
      </c>
      <c r="E12" s="241" t="s">
        <v>139</v>
      </c>
      <c r="F12" s="241" t="s">
        <v>372</v>
      </c>
      <c r="G12" s="241" t="s">
        <v>42</v>
      </c>
      <c r="H12" s="241" t="s">
        <v>155</v>
      </c>
      <c r="I12" s="241" t="s">
        <v>153</v>
      </c>
      <c r="J12" s="241" t="s">
        <v>38</v>
      </c>
      <c r="K12" s="241" t="s">
        <v>154</v>
      </c>
      <c r="L12" s="241">
        <v>2</v>
      </c>
      <c r="M12" s="241"/>
      <c r="N12" s="241">
        <v>1</v>
      </c>
      <c r="O12" s="241">
        <v>0.9</v>
      </c>
      <c r="P12" s="241">
        <v>0.75</v>
      </c>
      <c r="Q12" s="107">
        <f t="shared" si="2"/>
        <v>0.82499999999999996</v>
      </c>
      <c r="R12" s="241">
        <v>16.2</v>
      </c>
      <c r="S12" s="241">
        <v>130</v>
      </c>
      <c r="T12" s="108">
        <f t="shared" si="0"/>
        <v>25</v>
      </c>
      <c r="U12" s="241">
        <v>100</v>
      </c>
      <c r="V12" s="109">
        <f t="shared" si="1"/>
        <v>2500</v>
      </c>
      <c r="W12" s="241">
        <v>8</v>
      </c>
      <c r="X12" s="241" t="s">
        <v>46</v>
      </c>
      <c r="Y12" s="241" t="s">
        <v>84</v>
      </c>
      <c r="Z12" s="241" t="s">
        <v>50</v>
      </c>
      <c r="AA12" s="241" t="s">
        <v>69</v>
      </c>
      <c r="AB12" s="241" t="s">
        <v>336</v>
      </c>
      <c r="AE12" s="116" t="s">
        <v>228</v>
      </c>
      <c r="AG12" s="117"/>
      <c r="AH12" s="117"/>
      <c r="AP12" s="117" t="s">
        <v>77</v>
      </c>
      <c r="AR12" s="118" t="s">
        <v>80</v>
      </c>
      <c r="AV12" s="117" t="s">
        <v>107</v>
      </c>
    </row>
    <row r="13" spans="1:53" s="115" customFormat="1" x14ac:dyDescent="0.15">
      <c r="A13" s="241" t="s">
        <v>51</v>
      </c>
      <c r="B13" s="241" t="s">
        <v>334</v>
      </c>
      <c r="C13" s="241">
        <v>2018</v>
      </c>
      <c r="D13" s="106" t="s">
        <v>371</v>
      </c>
      <c r="E13" s="241" t="s">
        <v>139</v>
      </c>
      <c r="F13" s="241" t="s">
        <v>372</v>
      </c>
      <c r="G13" s="241" t="s">
        <v>42</v>
      </c>
      <c r="H13" s="241" t="s">
        <v>155</v>
      </c>
      <c r="I13" s="241" t="s">
        <v>153</v>
      </c>
      <c r="J13" s="241" t="s">
        <v>38</v>
      </c>
      <c r="K13" s="241" t="s">
        <v>154</v>
      </c>
      <c r="L13" s="241">
        <v>3</v>
      </c>
      <c r="M13" s="241"/>
      <c r="N13" s="241">
        <v>1</v>
      </c>
      <c r="O13" s="241">
        <v>0.85</v>
      </c>
      <c r="P13" s="241">
        <v>0.75</v>
      </c>
      <c r="Q13" s="107">
        <f>IF(OR(O13="",P13=""),"",AVERAGE(O13,P13))</f>
        <v>0.8</v>
      </c>
      <c r="R13" s="241">
        <v>16.8</v>
      </c>
      <c r="S13" s="241">
        <v>130</v>
      </c>
      <c r="T13" s="108">
        <f t="shared" si="0"/>
        <v>25</v>
      </c>
      <c r="U13" s="241">
        <v>100</v>
      </c>
      <c r="V13" s="109">
        <f t="shared" si="1"/>
        <v>2500</v>
      </c>
      <c r="W13" s="241">
        <v>8</v>
      </c>
      <c r="X13" s="241" t="s">
        <v>46</v>
      </c>
      <c r="Y13" s="241" t="s">
        <v>84</v>
      </c>
      <c r="Z13" s="241" t="s">
        <v>50</v>
      </c>
      <c r="AA13" s="241" t="s">
        <v>69</v>
      </c>
      <c r="AB13" s="241" t="s">
        <v>336</v>
      </c>
      <c r="AE13" s="116" t="s">
        <v>229</v>
      </c>
      <c r="AG13" s="123"/>
      <c r="AH13" s="123"/>
      <c r="AP13" s="117" t="s">
        <v>80</v>
      </c>
      <c r="AR13" s="118" t="s">
        <v>63</v>
      </c>
      <c r="AV13" s="117" t="s">
        <v>84</v>
      </c>
    </row>
    <row r="14" spans="1:53" s="115" customFormat="1" x14ac:dyDescent="0.15">
      <c r="A14" s="241" t="s">
        <v>51</v>
      </c>
      <c r="B14" s="241" t="s">
        <v>334</v>
      </c>
      <c r="C14" s="241">
        <v>2018</v>
      </c>
      <c r="D14" s="106" t="s">
        <v>371</v>
      </c>
      <c r="E14" s="241" t="s">
        <v>139</v>
      </c>
      <c r="F14" s="241" t="s">
        <v>372</v>
      </c>
      <c r="G14" s="241" t="s">
        <v>42</v>
      </c>
      <c r="H14" s="241" t="s">
        <v>166</v>
      </c>
      <c r="I14" s="241" t="s">
        <v>153</v>
      </c>
      <c r="J14" s="241" t="s">
        <v>38</v>
      </c>
      <c r="K14" s="241" t="s">
        <v>373</v>
      </c>
      <c r="L14" s="241">
        <v>1</v>
      </c>
      <c r="M14" s="241"/>
      <c r="N14" s="241">
        <v>1</v>
      </c>
      <c r="O14" s="241">
        <v>0.75</v>
      </c>
      <c r="P14" s="241">
        <v>0.6</v>
      </c>
      <c r="Q14" s="107">
        <f t="shared" si="2"/>
        <v>0.67500000000000004</v>
      </c>
      <c r="R14" s="241">
        <v>17.2</v>
      </c>
      <c r="S14" s="241">
        <v>116</v>
      </c>
      <c r="T14" s="108">
        <f t="shared" si="0"/>
        <v>39</v>
      </c>
      <c r="U14" s="241">
        <v>119</v>
      </c>
      <c r="V14" s="109">
        <f t="shared" si="1"/>
        <v>4641</v>
      </c>
      <c r="W14" s="241">
        <v>8</v>
      </c>
      <c r="X14" s="241" t="s">
        <v>46</v>
      </c>
      <c r="Y14" s="241" t="s">
        <v>84</v>
      </c>
      <c r="Z14" s="241" t="s">
        <v>50</v>
      </c>
      <c r="AA14" s="241" t="s">
        <v>69</v>
      </c>
      <c r="AB14" s="241" t="s">
        <v>336</v>
      </c>
      <c r="AE14" s="116" t="s">
        <v>230</v>
      </c>
      <c r="AP14" s="125" t="s">
        <v>231</v>
      </c>
      <c r="AR14" s="118" t="s">
        <v>96</v>
      </c>
      <c r="AV14" s="117" t="s">
        <v>86</v>
      </c>
    </row>
    <row r="15" spans="1:53" s="115" customFormat="1" x14ac:dyDescent="0.15">
      <c r="A15" s="241" t="s">
        <v>51</v>
      </c>
      <c r="B15" s="241" t="s">
        <v>334</v>
      </c>
      <c r="C15" s="241">
        <v>2018</v>
      </c>
      <c r="D15" s="106" t="s">
        <v>371</v>
      </c>
      <c r="E15" s="241" t="s">
        <v>139</v>
      </c>
      <c r="F15" s="241" t="s">
        <v>372</v>
      </c>
      <c r="G15" s="241" t="s">
        <v>42</v>
      </c>
      <c r="H15" s="241" t="s">
        <v>166</v>
      </c>
      <c r="I15" s="241" t="s">
        <v>153</v>
      </c>
      <c r="J15" s="241" t="s">
        <v>38</v>
      </c>
      <c r="K15" s="241" t="s">
        <v>373</v>
      </c>
      <c r="L15" s="241">
        <v>2</v>
      </c>
      <c r="M15" s="241"/>
      <c r="N15" s="241">
        <v>1</v>
      </c>
      <c r="O15" s="241">
        <v>0.6</v>
      </c>
      <c r="P15" s="241">
        <v>0.65</v>
      </c>
      <c r="Q15" s="107">
        <f t="shared" si="2"/>
        <v>0.625</v>
      </c>
      <c r="R15" s="241">
        <v>16.7</v>
      </c>
      <c r="S15" s="241">
        <v>112</v>
      </c>
      <c r="T15" s="108">
        <f t="shared" si="0"/>
        <v>39</v>
      </c>
      <c r="U15" s="241">
        <v>119</v>
      </c>
      <c r="V15" s="109">
        <f t="shared" si="1"/>
        <v>4641</v>
      </c>
      <c r="W15" s="241">
        <v>8</v>
      </c>
      <c r="X15" s="241" t="s">
        <v>46</v>
      </c>
      <c r="Y15" s="241" t="s">
        <v>84</v>
      </c>
      <c r="Z15" s="241" t="s">
        <v>50</v>
      </c>
      <c r="AA15" s="241" t="s">
        <v>69</v>
      </c>
      <c r="AB15" s="241" t="s">
        <v>336</v>
      </c>
      <c r="AE15" s="116" t="s">
        <v>226</v>
      </c>
      <c r="AP15" s="125" t="s">
        <v>232</v>
      </c>
      <c r="AR15" s="118" t="s">
        <v>101</v>
      </c>
      <c r="AV15" s="117" t="s">
        <v>88</v>
      </c>
    </row>
    <row r="16" spans="1:53" s="115" customFormat="1" x14ac:dyDescent="0.15">
      <c r="A16" s="241" t="s">
        <v>51</v>
      </c>
      <c r="B16" s="241" t="s">
        <v>334</v>
      </c>
      <c r="C16" s="241">
        <v>2018</v>
      </c>
      <c r="D16" s="106" t="s">
        <v>371</v>
      </c>
      <c r="E16" s="241" t="s">
        <v>139</v>
      </c>
      <c r="F16" s="241" t="s">
        <v>372</v>
      </c>
      <c r="G16" s="241" t="s">
        <v>42</v>
      </c>
      <c r="H16" s="241" t="s">
        <v>166</v>
      </c>
      <c r="I16" s="241" t="s">
        <v>153</v>
      </c>
      <c r="J16" s="241" t="s">
        <v>38</v>
      </c>
      <c r="K16" s="241" t="s">
        <v>373</v>
      </c>
      <c r="L16" s="241">
        <v>3</v>
      </c>
      <c r="M16" s="241"/>
      <c r="N16" s="241">
        <v>1</v>
      </c>
      <c r="O16" s="241">
        <v>0.65</v>
      </c>
      <c r="P16" s="241">
        <v>0.7</v>
      </c>
      <c r="Q16" s="107">
        <f t="shared" si="2"/>
        <v>0.67500000000000004</v>
      </c>
      <c r="R16" s="241">
        <v>16.3</v>
      </c>
      <c r="S16" s="241">
        <v>114</v>
      </c>
      <c r="T16" s="108">
        <f t="shared" si="0"/>
        <v>39</v>
      </c>
      <c r="U16" s="241">
        <v>119</v>
      </c>
      <c r="V16" s="109">
        <f t="shared" si="1"/>
        <v>4641</v>
      </c>
      <c r="W16" s="241">
        <v>8</v>
      </c>
      <c r="X16" s="241" t="s">
        <v>46</v>
      </c>
      <c r="Y16" s="241" t="s">
        <v>84</v>
      </c>
      <c r="Z16" s="241" t="s">
        <v>50</v>
      </c>
      <c r="AA16" s="241" t="s">
        <v>69</v>
      </c>
      <c r="AB16" s="241" t="s">
        <v>336</v>
      </c>
      <c r="AE16" s="126" t="s">
        <v>223</v>
      </c>
      <c r="AP16" s="125" t="s">
        <v>233</v>
      </c>
      <c r="AR16" s="118" t="s">
        <v>234</v>
      </c>
      <c r="AV16" s="117" t="s">
        <v>90</v>
      </c>
    </row>
    <row r="17" spans="1:48" s="115" customFormat="1" x14ac:dyDescent="0.15">
      <c r="A17" s="241" t="s">
        <v>51</v>
      </c>
      <c r="B17" s="241" t="s">
        <v>334</v>
      </c>
      <c r="C17" s="241">
        <v>2018</v>
      </c>
      <c r="D17" s="106" t="s">
        <v>371</v>
      </c>
      <c r="E17" s="241" t="s">
        <v>216</v>
      </c>
      <c r="F17" s="241" t="s">
        <v>217</v>
      </c>
      <c r="G17" s="241" t="s">
        <v>36</v>
      </c>
      <c r="H17" s="241" t="s">
        <v>155</v>
      </c>
      <c r="I17" s="241" t="s">
        <v>153</v>
      </c>
      <c r="J17" s="241" t="s">
        <v>38</v>
      </c>
      <c r="K17" s="241" t="s">
        <v>154</v>
      </c>
      <c r="L17" s="241">
        <v>1</v>
      </c>
      <c r="M17" s="241"/>
      <c r="N17" s="241">
        <v>1</v>
      </c>
      <c r="O17" s="241">
        <v>1.05</v>
      </c>
      <c r="P17" s="241">
        <v>1</v>
      </c>
      <c r="Q17" s="107">
        <f t="shared" si="2"/>
        <v>1.0249999999999999</v>
      </c>
      <c r="R17" s="241">
        <v>15.1</v>
      </c>
      <c r="S17" s="241">
        <v>146</v>
      </c>
      <c r="T17" s="108">
        <f t="shared" si="0"/>
        <v>22</v>
      </c>
      <c r="U17" s="241">
        <v>128</v>
      </c>
      <c r="V17" s="109">
        <f t="shared" si="1"/>
        <v>2816</v>
      </c>
      <c r="W17" s="241">
        <v>4</v>
      </c>
      <c r="X17" s="241" t="s">
        <v>39</v>
      </c>
      <c r="Y17" s="241" t="s">
        <v>90</v>
      </c>
      <c r="Z17" s="241" t="s">
        <v>84</v>
      </c>
      <c r="AA17" s="241" t="s">
        <v>69</v>
      </c>
      <c r="AB17" s="241" t="s">
        <v>336</v>
      </c>
      <c r="AE17" s="126"/>
      <c r="AP17" s="125" t="s">
        <v>235</v>
      </c>
      <c r="AR17" s="118" t="s">
        <v>105</v>
      </c>
      <c r="AV17" s="122" t="s">
        <v>236</v>
      </c>
    </row>
    <row r="18" spans="1:48" s="115" customFormat="1" x14ac:dyDescent="0.15">
      <c r="A18" s="241" t="s">
        <v>51</v>
      </c>
      <c r="B18" s="241" t="s">
        <v>334</v>
      </c>
      <c r="C18" s="241">
        <v>2018</v>
      </c>
      <c r="D18" s="106" t="s">
        <v>371</v>
      </c>
      <c r="E18" s="241" t="s">
        <v>216</v>
      </c>
      <c r="F18" s="241" t="s">
        <v>217</v>
      </c>
      <c r="G18" s="241" t="s">
        <v>36</v>
      </c>
      <c r="H18" s="241" t="s">
        <v>155</v>
      </c>
      <c r="I18" s="241" t="s">
        <v>153</v>
      </c>
      <c r="J18" s="241" t="s">
        <v>38</v>
      </c>
      <c r="K18" s="241" t="s">
        <v>154</v>
      </c>
      <c r="L18" s="241">
        <v>2</v>
      </c>
      <c r="M18" s="241"/>
      <c r="N18" s="241">
        <v>1</v>
      </c>
      <c r="O18" s="241">
        <v>1</v>
      </c>
      <c r="P18" s="241">
        <v>1</v>
      </c>
      <c r="Q18" s="107">
        <f t="shared" si="2"/>
        <v>1</v>
      </c>
      <c r="R18" s="241">
        <v>14.4</v>
      </c>
      <c r="S18" s="241">
        <v>138</v>
      </c>
      <c r="T18" s="108">
        <f t="shared" si="0"/>
        <v>22</v>
      </c>
      <c r="U18" s="241">
        <v>128</v>
      </c>
      <c r="V18" s="109">
        <f t="shared" si="1"/>
        <v>2816</v>
      </c>
      <c r="W18" s="241">
        <v>4</v>
      </c>
      <c r="X18" s="241" t="s">
        <v>39</v>
      </c>
      <c r="Y18" s="241" t="s">
        <v>90</v>
      </c>
      <c r="Z18" s="241" t="s">
        <v>84</v>
      </c>
      <c r="AA18" s="241" t="s">
        <v>69</v>
      </c>
      <c r="AB18" s="241" t="s">
        <v>336</v>
      </c>
      <c r="AE18" s="123"/>
      <c r="AP18" s="125" t="s">
        <v>237</v>
      </c>
      <c r="AR18" s="118" t="s">
        <v>68</v>
      </c>
      <c r="AV18" s="122" t="s">
        <v>172</v>
      </c>
    </row>
    <row r="19" spans="1:48" s="115" customFormat="1" x14ac:dyDescent="0.15">
      <c r="A19" s="241" t="s">
        <v>51</v>
      </c>
      <c r="B19" s="241" t="s">
        <v>334</v>
      </c>
      <c r="C19" s="241">
        <v>2018</v>
      </c>
      <c r="D19" s="106" t="s">
        <v>371</v>
      </c>
      <c r="E19" s="241" t="s">
        <v>216</v>
      </c>
      <c r="F19" s="241" t="s">
        <v>217</v>
      </c>
      <c r="G19" s="241" t="s">
        <v>36</v>
      </c>
      <c r="H19" s="241" t="s">
        <v>155</v>
      </c>
      <c r="I19" s="241" t="s">
        <v>153</v>
      </c>
      <c r="J19" s="241" t="s">
        <v>38</v>
      </c>
      <c r="K19" s="241" t="s">
        <v>154</v>
      </c>
      <c r="L19" s="241">
        <v>3</v>
      </c>
      <c r="M19" s="241"/>
      <c r="N19" s="241">
        <v>1</v>
      </c>
      <c r="O19" s="241">
        <v>0.95</v>
      </c>
      <c r="P19" s="241">
        <v>1.1000000000000001</v>
      </c>
      <c r="Q19" s="107">
        <f t="shared" si="2"/>
        <v>1.0249999999999999</v>
      </c>
      <c r="R19" s="241">
        <v>14.8</v>
      </c>
      <c r="S19" s="241">
        <v>144</v>
      </c>
      <c r="T19" s="108">
        <f t="shared" si="0"/>
        <v>22</v>
      </c>
      <c r="U19" s="241">
        <v>128</v>
      </c>
      <c r="V19" s="109">
        <f t="shared" si="1"/>
        <v>2816</v>
      </c>
      <c r="W19" s="241">
        <v>4</v>
      </c>
      <c r="X19" s="241" t="s">
        <v>39</v>
      </c>
      <c r="Y19" s="241" t="s">
        <v>90</v>
      </c>
      <c r="Z19" s="241" t="s">
        <v>84</v>
      </c>
      <c r="AA19" s="241" t="s">
        <v>69</v>
      </c>
      <c r="AB19" s="241" t="s">
        <v>336</v>
      </c>
      <c r="AP19" s="125" t="s">
        <v>238</v>
      </c>
      <c r="AR19" s="118" t="s">
        <v>83</v>
      </c>
      <c r="AV19" s="122"/>
    </row>
    <row r="20" spans="1:48" s="115" customFormat="1" x14ac:dyDescent="0.15">
      <c r="A20" s="241" t="s">
        <v>51</v>
      </c>
      <c r="B20" s="241" t="s">
        <v>334</v>
      </c>
      <c r="C20" s="241">
        <v>2018</v>
      </c>
      <c r="D20" s="106" t="s">
        <v>371</v>
      </c>
      <c r="E20" s="241" t="s">
        <v>216</v>
      </c>
      <c r="F20" s="241" t="s">
        <v>217</v>
      </c>
      <c r="G20" s="241" t="s">
        <v>36</v>
      </c>
      <c r="H20" s="241" t="s">
        <v>166</v>
      </c>
      <c r="I20" s="241" t="s">
        <v>153</v>
      </c>
      <c r="J20" s="241" t="s">
        <v>38</v>
      </c>
      <c r="K20" s="241" t="s">
        <v>373</v>
      </c>
      <c r="L20" s="241">
        <v>1</v>
      </c>
      <c r="M20" s="241"/>
      <c r="N20" s="241">
        <v>1</v>
      </c>
      <c r="O20" s="241">
        <v>0.65</v>
      </c>
      <c r="P20" s="241">
        <v>0.5</v>
      </c>
      <c r="Q20" s="107">
        <f t="shared" si="2"/>
        <v>0.57499999999999996</v>
      </c>
      <c r="R20" s="241">
        <v>17.899999999999999</v>
      </c>
      <c r="S20" s="241">
        <v>128</v>
      </c>
      <c r="T20" s="108">
        <f t="shared" si="0"/>
        <v>27</v>
      </c>
      <c r="U20" s="241">
        <v>148</v>
      </c>
      <c r="V20" s="109">
        <f t="shared" si="1"/>
        <v>3996</v>
      </c>
      <c r="W20" s="241">
        <v>4</v>
      </c>
      <c r="X20" s="241" t="s">
        <v>39</v>
      </c>
      <c r="Y20" s="241" t="s">
        <v>90</v>
      </c>
      <c r="Z20" s="241" t="s">
        <v>84</v>
      </c>
      <c r="AA20" s="241" t="s">
        <v>69</v>
      </c>
      <c r="AB20" s="241" t="s">
        <v>336</v>
      </c>
      <c r="AP20" s="125" t="s">
        <v>239</v>
      </c>
      <c r="AR20" s="115" t="s">
        <v>373</v>
      </c>
    </row>
    <row r="21" spans="1:48" s="115" customFormat="1" x14ac:dyDescent="0.15">
      <c r="A21" s="241" t="s">
        <v>51</v>
      </c>
      <c r="B21" s="241" t="s">
        <v>334</v>
      </c>
      <c r="C21" s="241">
        <v>2018</v>
      </c>
      <c r="D21" s="106" t="s">
        <v>371</v>
      </c>
      <c r="E21" s="241" t="s">
        <v>216</v>
      </c>
      <c r="F21" s="241" t="s">
        <v>217</v>
      </c>
      <c r="G21" s="241" t="s">
        <v>36</v>
      </c>
      <c r="H21" s="241" t="s">
        <v>166</v>
      </c>
      <c r="I21" s="241" t="s">
        <v>153</v>
      </c>
      <c r="J21" s="241" t="s">
        <v>38</v>
      </c>
      <c r="K21" s="241" t="s">
        <v>373</v>
      </c>
      <c r="L21" s="241">
        <v>2</v>
      </c>
      <c r="M21" s="241"/>
      <c r="N21" s="241">
        <v>1</v>
      </c>
      <c r="O21" s="241">
        <v>0.6</v>
      </c>
      <c r="P21" s="241">
        <v>0.55000000000000004</v>
      </c>
      <c r="Q21" s="107">
        <f t="shared" si="2"/>
        <v>0.57499999999999996</v>
      </c>
      <c r="R21" s="241">
        <v>16.899999999999999</v>
      </c>
      <c r="S21" s="241">
        <v>122</v>
      </c>
      <c r="T21" s="108">
        <f t="shared" si="0"/>
        <v>27</v>
      </c>
      <c r="U21" s="241">
        <v>148</v>
      </c>
      <c r="V21" s="109">
        <f t="shared" si="1"/>
        <v>3996</v>
      </c>
      <c r="W21" s="241">
        <v>4</v>
      </c>
      <c r="X21" s="241" t="s">
        <v>39</v>
      </c>
      <c r="Y21" s="241" t="s">
        <v>90</v>
      </c>
      <c r="Z21" s="241" t="s">
        <v>84</v>
      </c>
      <c r="AA21" s="241" t="s">
        <v>69</v>
      </c>
      <c r="AB21" s="241" t="s">
        <v>336</v>
      </c>
      <c r="AP21" s="125" t="s">
        <v>240</v>
      </c>
    </row>
    <row r="22" spans="1:48" s="115" customFormat="1" x14ac:dyDescent="0.15">
      <c r="A22" s="241" t="s">
        <v>51</v>
      </c>
      <c r="B22" s="241" t="s">
        <v>334</v>
      </c>
      <c r="C22" s="241">
        <v>2018</v>
      </c>
      <c r="D22" s="106" t="s">
        <v>371</v>
      </c>
      <c r="E22" s="241" t="s">
        <v>216</v>
      </c>
      <c r="F22" s="241" t="s">
        <v>217</v>
      </c>
      <c r="G22" s="241" t="s">
        <v>36</v>
      </c>
      <c r="H22" s="241" t="s">
        <v>166</v>
      </c>
      <c r="I22" s="241" t="s">
        <v>153</v>
      </c>
      <c r="J22" s="241" t="s">
        <v>38</v>
      </c>
      <c r="K22" s="241" t="s">
        <v>373</v>
      </c>
      <c r="L22" s="241">
        <v>3</v>
      </c>
      <c r="M22" s="241"/>
      <c r="N22" s="241">
        <v>1</v>
      </c>
      <c r="O22" s="241">
        <v>0.5</v>
      </c>
      <c r="P22" s="241">
        <v>0.25</v>
      </c>
      <c r="Q22" s="107">
        <f t="shared" si="2"/>
        <v>0.375</v>
      </c>
      <c r="R22" s="241">
        <v>17.7</v>
      </c>
      <c r="S22" s="241">
        <v>108</v>
      </c>
      <c r="T22" s="108">
        <f t="shared" si="0"/>
        <v>39</v>
      </c>
      <c r="U22" s="241">
        <v>148</v>
      </c>
      <c r="V22" s="109">
        <f t="shared" si="1"/>
        <v>5772</v>
      </c>
      <c r="W22" s="241">
        <v>4</v>
      </c>
      <c r="X22" s="241" t="s">
        <v>39</v>
      </c>
      <c r="Y22" s="241" t="s">
        <v>90</v>
      </c>
      <c r="Z22" s="241" t="s">
        <v>84</v>
      </c>
      <c r="AA22" s="241" t="s">
        <v>69</v>
      </c>
      <c r="AB22" s="241" t="s">
        <v>336</v>
      </c>
    </row>
    <row r="23" spans="1:48" s="115" customFormat="1" x14ac:dyDescent="0.15">
      <c r="A23" s="241" t="s">
        <v>51</v>
      </c>
      <c r="B23" s="241" t="s">
        <v>334</v>
      </c>
      <c r="C23" s="241">
        <v>2018</v>
      </c>
      <c r="D23" s="106" t="s">
        <v>371</v>
      </c>
      <c r="E23" s="241" t="s">
        <v>173</v>
      </c>
      <c r="F23" s="241" t="s">
        <v>204</v>
      </c>
      <c r="G23" s="241" t="s">
        <v>42</v>
      </c>
      <c r="H23" s="241" t="s">
        <v>155</v>
      </c>
      <c r="I23" s="241" t="s">
        <v>153</v>
      </c>
      <c r="J23" s="241" t="s">
        <v>38</v>
      </c>
      <c r="K23" s="241" t="s">
        <v>154</v>
      </c>
      <c r="L23" s="241">
        <v>1</v>
      </c>
      <c r="M23" s="241"/>
      <c r="N23" s="241">
        <v>1</v>
      </c>
      <c r="O23" s="241">
        <v>0.7</v>
      </c>
      <c r="P23" s="241">
        <v>0.7</v>
      </c>
      <c r="Q23" s="107">
        <f t="shared" si="2"/>
        <v>0.7</v>
      </c>
      <c r="R23" s="241">
        <v>14.9</v>
      </c>
      <c r="S23" s="241">
        <v>148</v>
      </c>
      <c r="T23" s="108">
        <f t="shared" si="0"/>
        <v>22</v>
      </c>
      <c r="U23" s="241">
        <v>97</v>
      </c>
      <c r="V23" s="109">
        <f t="shared" si="1"/>
        <v>2134</v>
      </c>
      <c r="W23" s="241">
        <v>11</v>
      </c>
      <c r="X23" s="241" t="s">
        <v>46</v>
      </c>
      <c r="Y23" s="241" t="s">
        <v>84</v>
      </c>
      <c r="Z23" s="241" t="s">
        <v>90</v>
      </c>
      <c r="AA23" s="241" t="s">
        <v>69</v>
      </c>
      <c r="AB23" s="241" t="s">
        <v>336</v>
      </c>
    </row>
    <row r="24" spans="1:48" s="115" customFormat="1" x14ac:dyDescent="0.15">
      <c r="A24" s="241" t="s">
        <v>51</v>
      </c>
      <c r="B24" s="241" t="s">
        <v>334</v>
      </c>
      <c r="C24" s="241">
        <v>2018</v>
      </c>
      <c r="D24" s="106" t="s">
        <v>371</v>
      </c>
      <c r="E24" s="241" t="s">
        <v>173</v>
      </c>
      <c r="F24" s="241" t="s">
        <v>204</v>
      </c>
      <c r="G24" s="241" t="s">
        <v>42</v>
      </c>
      <c r="H24" s="241" t="s">
        <v>155</v>
      </c>
      <c r="I24" s="241" t="s">
        <v>153</v>
      </c>
      <c r="J24" s="241" t="s">
        <v>38</v>
      </c>
      <c r="K24" s="241" t="s">
        <v>154</v>
      </c>
      <c r="L24" s="241">
        <v>2</v>
      </c>
      <c r="M24" s="241"/>
      <c r="N24" s="241">
        <v>1</v>
      </c>
      <c r="O24" s="241">
        <v>0.55000000000000004</v>
      </c>
      <c r="P24" s="241">
        <v>0.55000000000000004</v>
      </c>
      <c r="Q24" s="107">
        <f t="shared" si="2"/>
        <v>0.55000000000000004</v>
      </c>
      <c r="R24" s="241">
        <v>13.8</v>
      </c>
      <c r="S24" s="241">
        <v>140</v>
      </c>
      <c r="T24" s="108">
        <f t="shared" si="0"/>
        <v>22</v>
      </c>
      <c r="U24" s="241">
        <v>97</v>
      </c>
      <c r="V24" s="109">
        <f t="shared" si="1"/>
        <v>2134</v>
      </c>
      <c r="W24" s="241">
        <v>11</v>
      </c>
      <c r="X24" s="241" t="s">
        <v>46</v>
      </c>
      <c r="Y24" s="241" t="s">
        <v>84</v>
      </c>
      <c r="Z24" s="241" t="s">
        <v>90</v>
      </c>
      <c r="AA24" s="241" t="s">
        <v>69</v>
      </c>
      <c r="AB24" s="241" t="s">
        <v>336</v>
      </c>
    </row>
    <row r="25" spans="1:48" s="115" customFormat="1" x14ac:dyDescent="0.15">
      <c r="A25" s="241" t="s">
        <v>51</v>
      </c>
      <c r="B25" s="241" t="s">
        <v>334</v>
      </c>
      <c r="C25" s="241">
        <v>2018</v>
      </c>
      <c r="D25" s="106" t="s">
        <v>371</v>
      </c>
      <c r="E25" s="241" t="s">
        <v>173</v>
      </c>
      <c r="F25" s="241" t="s">
        <v>204</v>
      </c>
      <c r="G25" s="241" t="s">
        <v>42</v>
      </c>
      <c r="H25" s="241" t="s">
        <v>155</v>
      </c>
      <c r="I25" s="241" t="s">
        <v>153</v>
      </c>
      <c r="J25" s="241" t="s">
        <v>38</v>
      </c>
      <c r="K25" s="241" t="s">
        <v>154</v>
      </c>
      <c r="L25" s="241">
        <v>3</v>
      </c>
      <c r="M25" s="241"/>
      <c r="N25" s="241">
        <v>1</v>
      </c>
      <c r="O25" s="241">
        <v>0.65</v>
      </c>
      <c r="P25" s="241">
        <v>0.7</v>
      </c>
      <c r="Q25" s="107">
        <f t="shared" si="2"/>
        <v>0.67500000000000004</v>
      </c>
      <c r="R25" s="241">
        <v>14.6</v>
      </c>
      <c r="S25" s="241">
        <v>146</v>
      </c>
      <c r="T25" s="108">
        <f t="shared" si="0"/>
        <v>22</v>
      </c>
      <c r="U25" s="241">
        <v>97</v>
      </c>
      <c r="V25" s="109">
        <f t="shared" si="1"/>
        <v>2134</v>
      </c>
      <c r="W25" s="241">
        <v>11</v>
      </c>
      <c r="X25" s="241" t="s">
        <v>46</v>
      </c>
      <c r="Y25" s="241" t="s">
        <v>84</v>
      </c>
      <c r="Z25" s="241" t="s">
        <v>90</v>
      </c>
      <c r="AA25" s="241" t="s">
        <v>69</v>
      </c>
      <c r="AB25" s="241" t="s">
        <v>336</v>
      </c>
    </row>
    <row r="26" spans="1:48" s="115" customFormat="1" x14ac:dyDescent="0.15">
      <c r="A26" s="241" t="s">
        <v>51</v>
      </c>
      <c r="B26" s="241" t="s">
        <v>334</v>
      </c>
      <c r="C26" s="241">
        <v>2018</v>
      </c>
      <c r="D26" s="106" t="s">
        <v>371</v>
      </c>
      <c r="E26" s="241" t="s">
        <v>218</v>
      </c>
      <c r="F26" s="241" t="s">
        <v>204</v>
      </c>
      <c r="G26" s="241" t="s">
        <v>42</v>
      </c>
      <c r="H26" s="241" t="s">
        <v>155</v>
      </c>
      <c r="I26" s="241" t="s">
        <v>153</v>
      </c>
      <c r="J26" s="241" t="s">
        <v>38</v>
      </c>
      <c r="K26" s="241" t="s">
        <v>154</v>
      </c>
      <c r="L26" s="241">
        <v>1</v>
      </c>
      <c r="M26" s="241"/>
      <c r="N26" s="241">
        <v>1</v>
      </c>
      <c r="O26" s="241">
        <v>0.65</v>
      </c>
      <c r="P26" s="241">
        <v>0.75</v>
      </c>
      <c r="Q26" s="107">
        <f t="shared" si="2"/>
        <v>0.7</v>
      </c>
      <c r="R26" s="241">
        <v>12.9</v>
      </c>
      <c r="S26" s="241">
        <v>112</v>
      </c>
      <c r="T26" s="108">
        <f t="shared" si="0"/>
        <v>39</v>
      </c>
      <c r="U26" s="241">
        <v>58</v>
      </c>
      <c r="V26" s="109">
        <f t="shared" si="1"/>
        <v>2262</v>
      </c>
      <c r="W26" s="241">
        <v>9</v>
      </c>
      <c r="X26" s="241" t="s">
        <v>46</v>
      </c>
      <c r="Y26" s="241" t="s">
        <v>84</v>
      </c>
      <c r="Z26" s="241" t="s">
        <v>90</v>
      </c>
      <c r="AA26" s="241" t="s">
        <v>69</v>
      </c>
      <c r="AB26" s="241" t="s">
        <v>336</v>
      </c>
    </row>
    <row r="27" spans="1:48" s="115" customFormat="1" x14ac:dyDescent="0.15">
      <c r="A27" s="241" t="s">
        <v>51</v>
      </c>
      <c r="B27" s="241" t="s">
        <v>334</v>
      </c>
      <c r="C27" s="241">
        <v>2018</v>
      </c>
      <c r="D27" s="106" t="s">
        <v>371</v>
      </c>
      <c r="E27" s="241" t="s">
        <v>218</v>
      </c>
      <c r="F27" s="241" t="s">
        <v>204</v>
      </c>
      <c r="G27" s="241" t="s">
        <v>42</v>
      </c>
      <c r="H27" s="241" t="s">
        <v>155</v>
      </c>
      <c r="I27" s="241" t="s">
        <v>153</v>
      </c>
      <c r="J27" s="241" t="s">
        <v>38</v>
      </c>
      <c r="K27" s="241" t="s">
        <v>154</v>
      </c>
      <c r="L27" s="241">
        <v>2</v>
      </c>
      <c r="M27" s="241"/>
      <c r="N27" s="241">
        <v>1</v>
      </c>
      <c r="O27" s="241">
        <v>0.7</v>
      </c>
      <c r="P27" s="241">
        <v>0.6</v>
      </c>
      <c r="Q27" s="107">
        <f t="shared" si="2"/>
        <v>0.64999999999999991</v>
      </c>
      <c r="R27" s="241">
        <v>13.5</v>
      </c>
      <c r="S27" s="241">
        <v>112</v>
      </c>
      <c r="T27" s="108">
        <f t="shared" si="0"/>
        <v>39</v>
      </c>
      <c r="U27" s="241">
        <v>58</v>
      </c>
      <c r="V27" s="109">
        <f t="shared" si="1"/>
        <v>2262</v>
      </c>
      <c r="W27" s="241">
        <v>9</v>
      </c>
      <c r="X27" s="241" t="s">
        <v>46</v>
      </c>
      <c r="Y27" s="241" t="s">
        <v>84</v>
      </c>
      <c r="Z27" s="241" t="s">
        <v>90</v>
      </c>
      <c r="AA27" s="241" t="s">
        <v>69</v>
      </c>
      <c r="AB27" s="241" t="s">
        <v>336</v>
      </c>
    </row>
    <row r="28" spans="1:48" s="115" customFormat="1" x14ac:dyDescent="0.15">
      <c r="A28" s="241" t="s">
        <v>51</v>
      </c>
      <c r="B28" s="241" t="s">
        <v>334</v>
      </c>
      <c r="C28" s="241">
        <v>2018</v>
      </c>
      <c r="D28" s="106" t="s">
        <v>371</v>
      </c>
      <c r="E28" s="241" t="s">
        <v>218</v>
      </c>
      <c r="F28" s="241" t="s">
        <v>204</v>
      </c>
      <c r="G28" s="241" t="s">
        <v>42</v>
      </c>
      <c r="H28" s="241" t="s">
        <v>155</v>
      </c>
      <c r="I28" s="241" t="s">
        <v>153</v>
      </c>
      <c r="J28" s="241" t="s">
        <v>38</v>
      </c>
      <c r="K28" s="241" t="s">
        <v>154</v>
      </c>
      <c r="L28" s="241">
        <v>3</v>
      </c>
      <c r="M28" s="241"/>
      <c r="N28" s="241">
        <v>1</v>
      </c>
      <c r="O28" s="241">
        <v>0.6</v>
      </c>
      <c r="P28" s="241">
        <v>0.55000000000000004</v>
      </c>
      <c r="Q28" s="107">
        <f t="shared" si="2"/>
        <v>0.57499999999999996</v>
      </c>
      <c r="R28" s="241">
        <v>14.1</v>
      </c>
      <c r="S28" s="241">
        <v>114</v>
      </c>
      <c r="T28" s="108">
        <f t="shared" si="0"/>
        <v>39</v>
      </c>
      <c r="U28" s="241">
        <v>58</v>
      </c>
      <c r="V28" s="109">
        <f t="shared" si="1"/>
        <v>2262</v>
      </c>
      <c r="W28" s="241">
        <v>9</v>
      </c>
      <c r="X28" s="241" t="s">
        <v>46</v>
      </c>
      <c r="Y28" s="241" t="s">
        <v>84</v>
      </c>
      <c r="Z28" s="241" t="s">
        <v>90</v>
      </c>
      <c r="AA28" s="241" t="s">
        <v>69</v>
      </c>
      <c r="AB28" s="241" t="s">
        <v>336</v>
      </c>
    </row>
    <row r="29" spans="1:48" s="115" customFormat="1" x14ac:dyDescent="0.15">
      <c r="A29" s="241" t="s">
        <v>51</v>
      </c>
      <c r="B29" s="241" t="s">
        <v>334</v>
      </c>
      <c r="C29" s="241">
        <v>2018</v>
      </c>
      <c r="D29" s="106" t="s">
        <v>371</v>
      </c>
      <c r="E29" s="241" t="s">
        <v>218</v>
      </c>
      <c r="F29" s="241" t="s">
        <v>204</v>
      </c>
      <c r="G29" s="241" t="s">
        <v>42</v>
      </c>
      <c r="H29" s="241" t="s">
        <v>166</v>
      </c>
      <c r="I29" s="241" t="s">
        <v>153</v>
      </c>
      <c r="J29" s="241" t="s">
        <v>38</v>
      </c>
      <c r="K29" s="241" t="s">
        <v>373</v>
      </c>
      <c r="L29" s="241">
        <v>1</v>
      </c>
      <c r="M29" s="241"/>
      <c r="N29" s="241">
        <v>4</v>
      </c>
      <c r="O29" s="241">
        <v>0.65</v>
      </c>
      <c r="P29" s="241">
        <v>0.6</v>
      </c>
      <c r="Q29" s="107">
        <f t="shared" si="2"/>
        <v>0.625</v>
      </c>
      <c r="R29" s="241">
        <v>14.2</v>
      </c>
      <c r="S29" s="241">
        <v>89</v>
      </c>
      <c r="T29" s="108">
        <f t="shared" si="0"/>
        <v>39</v>
      </c>
      <c r="U29" s="241">
        <v>498</v>
      </c>
      <c r="V29" s="109">
        <f t="shared" si="1"/>
        <v>4855.5</v>
      </c>
      <c r="W29" s="241">
        <v>9</v>
      </c>
      <c r="X29" s="241" t="s">
        <v>46</v>
      </c>
      <c r="Y29" s="241" t="s">
        <v>84</v>
      </c>
      <c r="Z29" s="241" t="s">
        <v>90</v>
      </c>
      <c r="AA29" s="241" t="s">
        <v>69</v>
      </c>
      <c r="AB29" s="241" t="s">
        <v>336</v>
      </c>
    </row>
    <row r="30" spans="1:48" s="115" customFormat="1" x14ac:dyDescent="0.15">
      <c r="A30" s="241" t="s">
        <v>51</v>
      </c>
      <c r="B30" s="241" t="s">
        <v>334</v>
      </c>
      <c r="C30" s="241">
        <v>2018</v>
      </c>
      <c r="D30" s="106" t="s">
        <v>371</v>
      </c>
      <c r="E30" s="241" t="s">
        <v>218</v>
      </c>
      <c r="F30" s="241" t="s">
        <v>204</v>
      </c>
      <c r="G30" s="241" t="s">
        <v>42</v>
      </c>
      <c r="H30" s="241" t="s">
        <v>166</v>
      </c>
      <c r="I30" s="241" t="s">
        <v>153</v>
      </c>
      <c r="J30" s="241" t="s">
        <v>38</v>
      </c>
      <c r="K30" s="241" t="s">
        <v>373</v>
      </c>
      <c r="L30" s="241">
        <v>2</v>
      </c>
      <c r="M30" s="241"/>
      <c r="N30" s="241">
        <v>4</v>
      </c>
      <c r="O30" s="241">
        <v>0.6</v>
      </c>
      <c r="P30" s="241">
        <v>0.5</v>
      </c>
      <c r="Q30" s="107">
        <f t="shared" si="2"/>
        <v>0.55000000000000004</v>
      </c>
      <c r="R30" s="241">
        <v>12.9</v>
      </c>
      <c r="S30" s="241">
        <v>72</v>
      </c>
      <c r="T30" s="108">
        <f t="shared" si="0"/>
        <v>42</v>
      </c>
      <c r="U30" s="241">
        <v>498</v>
      </c>
      <c r="V30" s="109">
        <f t="shared" si="1"/>
        <v>5229</v>
      </c>
      <c r="W30" s="241">
        <v>9</v>
      </c>
      <c r="X30" s="241" t="s">
        <v>46</v>
      </c>
      <c r="Y30" s="241" t="s">
        <v>84</v>
      </c>
      <c r="Z30" s="241" t="s">
        <v>90</v>
      </c>
      <c r="AA30" s="241" t="s">
        <v>69</v>
      </c>
      <c r="AB30" s="241" t="s">
        <v>336</v>
      </c>
    </row>
    <row r="31" spans="1:48" s="115" customFormat="1" x14ac:dyDescent="0.15">
      <c r="A31" s="241" t="s">
        <v>51</v>
      </c>
      <c r="B31" s="241" t="s">
        <v>334</v>
      </c>
      <c r="C31" s="241">
        <v>2018</v>
      </c>
      <c r="D31" s="106" t="s">
        <v>371</v>
      </c>
      <c r="E31" s="241" t="s">
        <v>218</v>
      </c>
      <c r="F31" s="241" t="s">
        <v>204</v>
      </c>
      <c r="G31" s="241" t="s">
        <v>42</v>
      </c>
      <c r="H31" s="241" t="s">
        <v>166</v>
      </c>
      <c r="I31" s="241" t="s">
        <v>153</v>
      </c>
      <c r="J31" s="241" t="s">
        <v>38</v>
      </c>
      <c r="K31" s="241" t="s">
        <v>373</v>
      </c>
      <c r="L31" s="241">
        <v>3</v>
      </c>
      <c r="M31" s="241"/>
      <c r="N31" s="241">
        <v>4</v>
      </c>
      <c r="O31" s="241">
        <v>0.65</v>
      </c>
      <c r="P31" s="241">
        <v>0.6</v>
      </c>
      <c r="Q31" s="107">
        <f t="shared" si="2"/>
        <v>0.625</v>
      </c>
      <c r="R31" s="241">
        <v>13.2</v>
      </c>
      <c r="S31" s="241">
        <v>80</v>
      </c>
      <c r="T31" s="108">
        <f t="shared" si="0"/>
        <v>39</v>
      </c>
      <c r="U31" s="241">
        <v>498</v>
      </c>
      <c r="V31" s="109">
        <f t="shared" si="1"/>
        <v>4855.5</v>
      </c>
      <c r="W31" s="241">
        <v>9</v>
      </c>
      <c r="X31" s="241" t="s">
        <v>46</v>
      </c>
      <c r="Y31" s="241" t="s">
        <v>84</v>
      </c>
      <c r="Z31" s="241" t="s">
        <v>90</v>
      </c>
      <c r="AA31" s="241" t="s">
        <v>69</v>
      </c>
      <c r="AB31" s="241" t="s">
        <v>336</v>
      </c>
    </row>
    <row r="32" spans="1:48" s="115" customFormat="1" x14ac:dyDescent="0.15">
      <c r="A32" s="241" t="s">
        <v>51</v>
      </c>
      <c r="B32" s="241" t="s">
        <v>334</v>
      </c>
      <c r="C32" s="241">
        <v>2018</v>
      </c>
      <c r="D32" s="106" t="s">
        <v>371</v>
      </c>
      <c r="E32" s="241" t="s">
        <v>209</v>
      </c>
      <c r="F32" s="241" t="s">
        <v>210</v>
      </c>
      <c r="G32" s="241" t="s">
        <v>42</v>
      </c>
      <c r="H32" s="241" t="s">
        <v>155</v>
      </c>
      <c r="I32" s="241" t="s">
        <v>153</v>
      </c>
      <c r="J32" s="241" t="s">
        <v>38</v>
      </c>
      <c r="K32" s="241" t="s">
        <v>154</v>
      </c>
      <c r="L32" s="241">
        <v>1</v>
      </c>
      <c r="M32" s="241"/>
      <c r="N32" s="241">
        <v>1</v>
      </c>
      <c r="O32" s="241">
        <v>0.9</v>
      </c>
      <c r="P32" s="241">
        <v>0.85</v>
      </c>
      <c r="Q32" s="107">
        <f t="shared" si="2"/>
        <v>0.875</v>
      </c>
      <c r="R32" s="241">
        <v>15</v>
      </c>
      <c r="S32" s="241">
        <v>144</v>
      </c>
      <c r="T32" s="108">
        <f t="shared" si="0"/>
        <v>22</v>
      </c>
      <c r="U32" s="241">
        <v>138</v>
      </c>
      <c r="V32" s="109">
        <f t="shared" si="1"/>
        <v>3036</v>
      </c>
      <c r="W32" s="241">
        <v>3</v>
      </c>
      <c r="X32" s="241" t="s">
        <v>39</v>
      </c>
      <c r="Y32" s="241" t="s">
        <v>90</v>
      </c>
      <c r="Z32" s="241" t="s">
        <v>69</v>
      </c>
      <c r="AA32" s="241" t="s">
        <v>84</v>
      </c>
      <c r="AB32" s="241" t="s">
        <v>336</v>
      </c>
    </row>
    <row r="33" spans="1:28" s="115" customFormat="1" x14ac:dyDescent="0.15">
      <c r="A33" s="241" t="s">
        <v>51</v>
      </c>
      <c r="B33" s="241" t="s">
        <v>334</v>
      </c>
      <c r="C33" s="241">
        <v>2018</v>
      </c>
      <c r="D33" s="106" t="s">
        <v>371</v>
      </c>
      <c r="E33" s="241" t="s">
        <v>209</v>
      </c>
      <c r="F33" s="241" t="s">
        <v>210</v>
      </c>
      <c r="G33" s="241" t="s">
        <v>42</v>
      </c>
      <c r="H33" s="241" t="s">
        <v>155</v>
      </c>
      <c r="I33" s="241" t="s">
        <v>153</v>
      </c>
      <c r="J33" s="241" t="s">
        <v>38</v>
      </c>
      <c r="K33" s="241" t="s">
        <v>154</v>
      </c>
      <c r="L33" s="241">
        <v>2</v>
      </c>
      <c r="M33" s="241"/>
      <c r="N33" s="241">
        <v>1</v>
      </c>
      <c r="O33" s="241">
        <v>0.9</v>
      </c>
      <c r="P33" s="241">
        <v>0.95</v>
      </c>
      <c r="Q33" s="107">
        <f t="shared" si="2"/>
        <v>0.92500000000000004</v>
      </c>
      <c r="R33" s="241">
        <v>14.6</v>
      </c>
      <c r="S33" s="241">
        <v>138</v>
      </c>
      <c r="T33" s="108">
        <f t="shared" si="0"/>
        <v>22</v>
      </c>
      <c r="U33" s="241">
        <v>138</v>
      </c>
      <c r="V33" s="109">
        <f t="shared" si="1"/>
        <v>3036</v>
      </c>
      <c r="W33" s="241">
        <v>3</v>
      </c>
      <c r="X33" s="241" t="s">
        <v>39</v>
      </c>
      <c r="Y33" s="241" t="s">
        <v>90</v>
      </c>
      <c r="Z33" s="241" t="s">
        <v>69</v>
      </c>
      <c r="AA33" s="241" t="s">
        <v>84</v>
      </c>
      <c r="AB33" s="241" t="s">
        <v>336</v>
      </c>
    </row>
    <row r="34" spans="1:28" s="115" customFormat="1" x14ac:dyDescent="0.15">
      <c r="A34" s="241" t="s">
        <v>51</v>
      </c>
      <c r="B34" s="241" t="s">
        <v>334</v>
      </c>
      <c r="C34" s="241">
        <v>2018</v>
      </c>
      <c r="D34" s="106" t="s">
        <v>371</v>
      </c>
      <c r="E34" s="241" t="s">
        <v>209</v>
      </c>
      <c r="F34" s="241" t="s">
        <v>210</v>
      </c>
      <c r="G34" s="241" t="s">
        <v>42</v>
      </c>
      <c r="H34" s="241" t="s">
        <v>155</v>
      </c>
      <c r="I34" s="241" t="s">
        <v>153</v>
      </c>
      <c r="J34" s="241" t="s">
        <v>38</v>
      </c>
      <c r="K34" s="241" t="s">
        <v>154</v>
      </c>
      <c r="L34" s="241">
        <v>3</v>
      </c>
      <c r="M34" s="241"/>
      <c r="N34" s="241">
        <v>1</v>
      </c>
      <c r="O34" s="241">
        <v>1</v>
      </c>
      <c r="P34" s="241">
        <v>0.95</v>
      </c>
      <c r="Q34" s="107">
        <f t="shared" si="2"/>
        <v>0.97499999999999998</v>
      </c>
      <c r="R34" s="241">
        <v>14.1</v>
      </c>
      <c r="S34" s="241">
        <v>136</v>
      </c>
      <c r="T34" s="108">
        <f t="shared" si="0"/>
        <v>25</v>
      </c>
      <c r="U34" s="241">
        <v>138</v>
      </c>
      <c r="V34" s="109">
        <f t="shared" si="1"/>
        <v>3450</v>
      </c>
      <c r="W34" s="241">
        <v>3</v>
      </c>
      <c r="X34" s="241" t="s">
        <v>39</v>
      </c>
      <c r="Y34" s="241" t="s">
        <v>90</v>
      </c>
      <c r="Z34" s="241" t="s">
        <v>69</v>
      </c>
      <c r="AA34" s="241" t="s">
        <v>84</v>
      </c>
      <c r="AB34" s="241" t="s">
        <v>336</v>
      </c>
    </row>
    <row r="35" spans="1:28" s="115" customFormat="1" x14ac:dyDescent="0.15">
      <c r="A35" s="241" t="s">
        <v>51</v>
      </c>
      <c r="B35" s="241" t="s">
        <v>334</v>
      </c>
      <c r="C35" s="241">
        <v>2018</v>
      </c>
      <c r="D35" s="106" t="s">
        <v>371</v>
      </c>
      <c r="E35" s="241" t="s">
        <v>209</v>
      </c>
      <c r="F35" s="241" t="s">
        <v>210</v>
      </c>
      <c r="G35" s="241" t="s">
        <v>42</v>
      </c>
      <c r="H35" s="241" t="s">
        <v>166</v>
      </c>
      <c r="I35" s="241" t="s">
        <v>153</v>
      </c>
      <c r="J35" s="241" t="s">
        <v>38</v>
      </c>
      <c r="K35" s="241" t="s">
        <v>154</v>
      </c>
      <c r="L35" s="241">
        <v>1</v>
      </c>
      <c r="M35" s="241"/>
      <c r="N35" s="241">
        <v>1</v>
      </c>
      <c r="O35" s="241">
        <v>0.8</v>
      </c>
      <c r="P35" s="241">
        <v>0.85</v>
      </c>
      <c r="Q35" s="107">
        <f t="shared" si="2"/>
        <v>0.82499999999999996</v>
      </c>
      <c r="R35" s="241">
        <v>17.100000000000001</v>
      </c>
      <c r="S35" s="241">
        <v>162</v>
      </c>
      <c r="T35" s="108">
        <f t="shared" si="0"/>
        <v>22</v>
      </c>
      <c r="U35" s="241">
        <v>138</v>
      </c>
      <c r="V35" s="109">
        <f t="shared" si="1"/>
        <v>3036</v>
      </c>
      <c r="W35" s="241">
        <v>3</v>
      </c>
      <c r="X35" s="241" t="s">
        <v>39</v>
      </c>
      <c r="Y35" s="241" t="s">
        <v>90</v>
      </c>
      <c r="Z35" s="241" t="s">
        <v>69</v>
      </c>
      <c r="AA35" s="241" t="s">
        <v>84</v>
      </c>
      <c r="AB35" s="241" t="s">
        <v>336</v>
      </c>
    </row>
    <row r="36" spans="1:28" s="115" customFormat="1" x14ac:dyDescent="0.15">
      <c r="A36" s="241" t="s">
        <v>51</v>
      </c>
      <c r="B36" s="241" t="s">
        <v>334</v>
      </c>
      <c r="C36" s="241">
        <v>2018</v>
      </c>
      <c r="D36" s="106" t="s">
        <v>371</v>
      </c>
      <c r="E36" s="241" t="s">
        <v>209</v>
      </c>
      <c r="F36" s="241" t="s">
        <v>210</v>
      </c>
      <c r="G36" s="241" t="s">
        <v>42</v>
      </c>
      <c r="H36" s="241" t="s">
        <v>166</v>
      </c>
      <c r="I36" s="241" t="s">
        <v>153</v>
      </c>
      <c r="J36" s="241" t="s">
        <v>38</v>
      </c>
      <c r="K36" s="241" t="s">
        <v>154</v>
      </c>
      <c r="L36" s="241">
        <v>2</v>
      </c>
      <c r="M36" s="241"/>
      <c r="N36" s="241">
        <v>1</v>
      </c>
      <c r="O36" s="241">
        <v>0.75</v>
      </c>
      <c r="P36" s="241">
        <v>0.75</v>
      </c>
      <c r="Q36" s="107">
        <f t="shared" si="2"/>
        <v>0.75</v>
      </c>
      <c r="R36" s="241">
        <v>16.399999999999999</v>
      </c>
      <c r="S36" s="241">
        <v>160</v>
      </c>
      <c r="T36" s="108">
        <f t="shared" si="0"/>
        <v>22</v>
      </c>
      <c r="U36" s="241">
        <v>138</v>
      </c>
      <c r="V36" s="109">
        <f t="shared" si="1"/>
        <v>3036</v>
      </c>
      <c r="W36" s="241">
        <v>3</v>
      </c>
      <c r="X36" s="241" t="s">
        <v>39</v>
      </c>
      <c r="Y36" s="241" t="s">
        <v>90</v>
      </c>
      <c r="Z36" s="241" t="s">
        <v>69</v>
      </c>
      <c r="AA36" s="241" t="s">
        <v>84</v>
      </c>
      <c r="AB36" s="241" t="s">
        <v>336</v>
      </c>
    </row>
    <row r="37" spans="1:28" s="115" customFormat="1" x14ac:dyDescent="0.15">
      <c r="A37" s="241" t="s">
        <v>51</v>
      </c>
      <c r="B37" s="241" t="s">
        <v>334</v>
      </c>
      <c r="C37" s="241">
        <v>2018</v>
      </c>
      <c r="D37" s="106" t="s">
        <v>371</v>
      </c>
      <c r="E37" s="241" t="s">
        <v>209</v>
      </c>
      <c r="F37" s="241" t="s">
        <v>210</v>
      </c>
      <c r="G37" s="241" t="s">
        <v>42</v>
      </c>
      <c r="H37" s="241" t="s">
        <v>166</v>
      </c>
      <c r="I37" s="241" t="s">
        <v>153</v>
      </c>
      <c r="J37" s="241" t="s">
        <v>38</v>
      </c>
      <c r="K37" s="241" t="s">
        <v>154</v>
      </c>
      <c r="L37" s="241">
        <v>3</v>
      </c>
      <c r="M37" s="241"/>
      <c r="N37" s="241">
        <v>1</v>
      </c>
      <c r="O37" s="241">
        <v>0.8</v>
      </c>
      <c r="P37" s="241">
        <v>0.7</v>
      </c>
      <c r="Q37" s="107">
        <f t="shared" si="2"/>
        <v>0.75</v>
      </c>
      <c r="R37" s="241">
        <v>16.5</v>
      </c>
      <c r="S37" s="241">
        <v>162</v>
      </c>
      <c r="T37" s="108">
        <f t="shared" si="0"/>
        <v>22</v>
      </c>
      <c r="U37" s="241">
        <v>138</v>
      </c>
      <c r="V37" s="109">
        <f t="shared" si="1"/>
        <v>3036</v>
      </c>
      <c r="W37" s="241">
        <v>3</v>
      </c>
      <c r="X37" s="241" t="s">
        <v>39</v>
      </c>
      <c r="Y37" s="241" t="s">
        <v>90</v>
      </c>
      <c r="Z37" s="241" t="s">
        <v>69</v>
      </c>
      <c r="AA37" s="241" t="s">
        <v>84</v>
      </c>
      <c r="AB37" s="241" t="s">
        <v>336</v>
      </c>
    </row>
    <row r="38" spans="1:28" s="115" customFormat="1" x14ac:dyDescent="0.15">
      <c r="A38" s="241" t="s">
        <v>51</v>
      </c>
      <c r="B38" s="241" t="s">
        <v>334</v>
      </c>
      <c r="C38" s="241">
        <v>2018</v>
      </c>
      <c r="D38" s="106" t="s">
        <v>371</v>
      </c>
      <c r="E38" s="241" t="s">
        <v>215</v>
      </c>
      <c r="F38" s="241" t="s">
        <v>203</v>
      </c>
      <c r="G38" s="241" t="s">
        <v>36</v>
      </c>
      <c r="H38" s="241" t="s">
        <v>155</v>
      </c>
      <c r="I38" s="241" t="s">
        <v>153</v>
      </c>
      <c r="J38" s="241" t="s">
        <v>38</v>
      </c>
      <c r="K38" s="241" t="s">
        <v>154</v>
      </c>
      <c r="L38" s="241">
        <v>1</v>
      </c>
      <c r="M38" s="241"/>
      <c r="N38" s="241">
        <v>1</v>
      </c>
      <c r="O38" s="241">
        <v>0.7</v>
      </c>
      <c r="P38" s="241">
        <v>0.6</v>
      </c>
      <c r="Q38" s="107">
        <f t="shared" si="2"/>
        <v>0.64999999999999991</v>
      </c>
      <c r="R38" s="241">
        <v>15.7</v>
      </c>
      <c r="S38" s="241">
        <v>122</v>
      </c>
      <c r="T38" s="108">
        <f t="shared" si="0"/>
        <v>27</v>
      </c>
      <c r="U38" s="241">
        <v>89</v>
      </c>
      <c r="V38" s="109">
        <f t="shared" si="1"/>
        <v>2403</v>
      </c>
      <c r="W38" s="241">
        <v>3</v>
      </c>
      <c r="X38" s="241" t="s">
        <v>46</v>
      </c>
      <c r="Y38" s="241" t="s">
        <v>90</v>
      </c>
      <c r="Z38" s="241" t="s">
        <v>84</v>
      </c>
      <c r="AA38" s="241" t="s">
        <v>69</v>
      </c>
      <c r="AB38" s="241" t="s">
        <v>336</v>
      </c>
    </row>
    <row r="39" spans="1:28" s="115" customFormat="1" x14ac:dyDescent="0.15">
      <c r="A39" s="241" t="s">
        <v>51</v>
      </c>
      <c r="B39" s="241" t="s">
        <v>334</v>
      </c>
      <c r="C39" s="241">
        <v>2018</v>
      </c>
      <c r="D39" s="106" t="s">
        <v>371</v>
      </c>
      <c r="E39" s="241" t="s">
        <v>215</v>
      </c>
      <c r="F39" s="241" t="s">
        <v>203</v>
      </c>
      <c r="G39" s="241" t="s">
        <v>36</v>
      </c>
      <c r="H39" s="241" t="s">
        <v>155</v>
      </c>
      <c r="I39" s="241" t="s">
        <v>153</v>
      </c>
      <c r="J39" s="241" t="s">
        <v>38</v>
      </c>
      <c r="K39" s="241" t="s">
        <v>154</v>
      </c>
      <c r="L39" s="241">
        <v>2</v>
      </c>
      <c r="M39" s="241"/>
      <c r="N39" s="241">
        <v>1</v>
      </c>
      <c r="O39" s="241">
        <v>0.5</v>
      </c>
      <c r="P39" s="241">
        <v>0.65</v>
      </c>
      <c r="Q39" s="107">
        <f t="shared" si="2"/>
        <v>0.57499999999999996</v>
      </c>
      <c r="R39" s="241">
        <v>15</v>
      </c>
      <c r="S39" s="241">
        <v>120</v>
      </c>
      <c r="T39" s="108">
        <f t="shared" si="0"/>
        <v>39</v>
      </c>
      <c r="U39" s="241">
        <v>89</v>
      </c>
      <c r="V39" s="109">
        <f t="shared" si="1"/>
        <v>3471</v>
      </c>
      <c r="W39" s="241">
        <v>3</v>
      </c>
      <c r="X39" s="241" t="s">
        <v>46</v>
      </c>
      <c r="Y39" s="241" t="s">
        <v>90</v>
      </c>
      <c r="Z39" s="241" t="s">
        <v>84</v>
      </c>
      <c r="AA39" s="241" t="s">
        <v>69</v>
      </c>
      <c r="AB39" s="241" t="s">
        <v>336</v>
      </c>
    </row>
    <row r="40" spans="1:28" s="115" customFormat="1" x14ac:dyDescent="0.15">
      <c r="A40" s="241" t="s">
        <v>51</v>
      </c>
      <c r="B40" s="241" t="s">
        <v>334</v>
      </c>
      <c r="C40" s="241">
        <v>2018</v>
      </c>
      <c r="D40" s="106" t="s">
        <v>371</v>
      </c>
      <c r="E40" s="241" t="s">
        <v>215</v>
      </c>
      <c r="F40" s="241" t="s">
        <v>203</v>
      </c>
      <c r="G40" s="241" t="s">
        <v>36</v>
      </c>
      <c r="H40" s="241" t="s">
        <v>155</v>
      </c>
      <c r="I40" s="241" t="s">
        <v>153</v>
      </c>
      <c r="J40" s="241" t="s">
        <v>38</v>
      </c>
      <c r="K40" s="241" t="s">
        <v>154</v>
      </c>
      <c r="L40" s="241">
        <v>3</v>
      </c>
      <c r="M40" s="241"/>
      <c r="N40" s="241">
        <v>1</v>
      </c>
      <c r="O40" s="241">
        <v>0.6</v>
      </c>
      <c r="P40" s="241">
        <v>0.6</v>
      </c>
      <c r="Q40" s="107">
        <f t="shared" si="2"/>
        <v>0.6</v>
      </c>
      <c r="R40" s="241">
        <v>15.4</v>
      </c>
      <c r="S40" s="241">
        <v>120</v>
      </c>
      <c r="T40" s="108">
        <f t="shared" si="0"/>
        <v>39</v>
      </c>
      <c r="U40" s="241">
        <v>89</v>
      </c>
      <c r="V40" s="109">
        <f t="shared" si="1"/>
        <v>3471</v>
      </c>
      <c r="W40" s="241">
        <v>3</v>
      </c>
      <c r="X40" s="241" t="s">
        <v>46</v>
      </c>
      <c r="Y40" s="241" t="s">
        <v>90</v>
      </c>
      <c r="Z40" s="241" t="s">
        <v>84</v>
      </c>
      <c r="AA40" s="241" t="s">
        <v>69</v>
      </c>
      <c r="AB40" s="241" t="s">
        <v>336</v>
      </c>
    </row>
    <row r="41" spans="1:28" s="115" customFormat="1" x14ac:dyDescent="0.15">
      <c r="A41" s="241" t="s">
        <v>51</v>
      </c>
      <c r="B41" s="241" t="s">
        <v>334</v>
      </c>
      <c r="C41" s="241">
        <v>2018</v>
      </c>
      <c r="D41" s="106" t="s">
        <v>371</v>
      </c>
      <c r="E41" s="241" t="s">
        <v>215</v>
      </c>
      <c r="F41" s="241" t="s">
        <v>203</v>
      </c>
      <c r="G41" s="241" t="s">
        <v>36</v>
      </c>
      <c r="H41" s="241" t="s">
        <v>208</v>
      </c>
      <c r="I41" s="241" t="s">
        <v>153</v>
      </c>
      <c r="J41" s="241" t="s">
        <v>80</v>
      </c>
      <c r="K41" s="241" t="s">
        <v>63</v>
      </c>
      <c r="L41" s="241">
        <v>1</v>
      </c>
      <c r="M41" s="241"/>
      <c r="N41" s="241">
        <v>5</v>
      </c>
      <c r="O41" s="241">
        <v>0.55000000000000004</v>
      </c>
      <c r="P41" s="241">
        <v>0.6</v>
      </c>
      <c r="Q41" s="107">
        <f t="shared" si="2"/>
        <v>0.57499999999999996</v>
      </c>
      <c r="R41" s="241">
        <v>17</v>
      </c>
      <c r="S41" s="241">
        <v>74</v>
      </c>
      <c r="T41" s="108">
        <f t="shared" si="0"/>
        <v>42</v>
      </c>
      <c r="U41" s="241">
        <v>398</v>
      </c>
      <c r="V41" s="109">
        <f t="shared" si="1"/>
        <v>3343.2</v>
      </c>
      <c r="W41" s="241">
        <v>3</v>
      </c>
      <c r="X41" s="241" t="s">
        <v>46</v>
      </c>
      <c r="Y41" s="241" t="s">
        <v>90</v>
      </c>
      <c r="Z41" s="241" t="s">
        <v>84</v>
      </c>
      <c r="AA41" s="241" t="s">
        <v>69</v>
      </c>
      <c r="AB41" s="241" t="s">
        <v>336</v>
      </c>
    </row>
    <row r="42" spans="1:28" s="115" customFormat="1" x14ac:dyDescent="0.15">
      <c r="A42" s="241" t="s">
        <v>51</v>
      </c>
      <c r="B42" s="241" t="s">
        <v>334</v>
      </c>
      <c r="C42" s="241">
        <v>2018</v>
      </c>
      <c r="D42" s="106" t="s">
        <v>371</v>
      </c>
      <c r="E42" s="241" t="s">
        <v>215</v>
      </c>
      <c r="F42" s="241" t="s">
        <v>203</v>
      </c>
      <c r="G42" s="241" t="s">
        <v>36</v>
      </c>
      <c r="H42" s="241" t="s">
        <v>208</v>
      </c>
      <c r="I42" s="241" t="s">
        <v>153</v>
      </c>
      <c r="J42" s="241" t="s">
        <v>80</v>
      </c>
      <c r="K42" s="241" t="s">
        <v>63</v>
      </c>
      <c r="L42" s="241">
        <v>2</v>
      </c>
      <c r="M42" s="241"/>
      <c r="N42" s="241">
        <v>5</v>
      </c>
      <c r="O42" s="241">
        <v>0.65</v>
      </c>
      <c r="P42" s="241">
        <v>0.6</v>
      </c>
      <c r="Q42" s="107">
        <f t="shared" si="2"/>
        <v>0.625</v>
      </c>
      <c r="R42" s="241">
        <v>16.899999999999999</v>
      </c>
      <c r="S42" s="241">
        <v>73</v>
      </c>
      <c r="T42" s="108">
        <f t="shared" si="0"/>
        <v>42</v>
      </c>
      <c r="U42" s="241">
        <v>398</v>
      </c>
      <c r="V42" s="109">
        <f t="shared" si="1"/>
        <v>3343.2</v>
      </c>
      <c r="W42" s="241">
        <v>3</v>
      </c>
      <c r="X42" s="241" t="s">
        <v>46</v>
      </c>
      <c r="Y42" s="241" t="s">
        <v>90</v>
      </c>
      <c r="Z42" s="241" t="s">
        <v>84</v>
      </c>
      <c r="AA42" s="241" t="s">
        <v>69</v>
      </c>
      <c r="AB42" s="241" t="s">
        <v>336</v>
      </c>
    </row>
    <row r="43" spans="1:28" s="115" customFormat="1" x14ac:dyDescent="0.15">
      <c r="A43" s="241" t="s">
        <v>51</v>
      </c>
      <c r="B43" s="241" t="s">
        <v>334</v>
      </c>
      <c r="C43" s="241">
        <v>2018</v>
      </c>
      <c r="D43" s="106" t="s">
        <v>371</v>
      </c>
      <c r="E43" s="241" t="s">
        <v>215</v>
      </c>
      <c r="F43" s="241" t="s">
        <v>203</v>
      </c>
      <c r="G43" s="241" t="s">
        <v>36</v>
      </c>
      <c r="H43" s="241" t="s">
        <v>208</v>
      </c>
      <c r="I43" s="241" t="s">
        <v>153</v>
      </c>
      <c r="J43" s="241" t="s">
        <v>80</v>
      </c>
      <c r="K43" s="241" t="s">
        <v>63</v>
      </c>
      <c r="L43" s="241">
        <v>3</v>
      </c>
      <c r="M43" s="241"/>
      <c r="N43" s="241">
        <v>5</v>
      </c>
      <c r="O43" s="241">
        <v>0.6</v>
      </c>
      <c r="P43" s="241">
        <v>0.55000000000000004</v>
      </c>
      <c r="Q43" s="107">
        <f t="shared" si="2"/>
        <v>0.57499999999999996</v>
      </c>
      <c r="R43" s="241">
        <v>15</v>
      </c>
      <c r="S43" s="241">
        <v>79</v>
      </c>
      <c r="T43" s="108">
        <f t="shared" si="0"/>
        <v>39</v>
      </c>
      <c r="U43" s="241">
        <v>398</v>
      </c>
      <c r="V43" s="109">
        <f t="shared" si="1"/>
        <v>3104.3999999999996</v>
      </c>
      <c r="W43" s="241">
        <v>3</v>
      </c>
      <c r="X43" s="241" t="s">
        <v>46</v>
      </c>
      <c r="Y43" s="241" t="s">
        <v>90</v>
      </c>
      <c r="Z43" s="241" t="s">
        <v>84</v>
      </c>
      <c r="AA43" s="241" t="s">
        <v>69</v>
      </c>
      <c r="AB43" s="241" t="s">
        <v>336</v>
      </c>
    </row>
    <row r="44" spans="1:28" s="115" customFormat="1" x14ac:dyDescent="0.15">
      <c r="A44" s="241" t="s">
        <v>51</v>
      </c>
      <c r="B44" s="241" t="s">
        <v>334</v>
      </c>
      <c r="C44" s="241">
        <v>2018</v>
      </c>
      <c r="D44" s="106" t="s">
        <v>371</v>
      </c>
      <c r="E44" s="241" t="s">
        <v>222</v>
      </c>
      <c r="F44" s="241" t="s">
        <v>203</v>
      </c>
      <c r="G44" s="241" t="s">
        <v>42</v>
      </c>
      <c r="H44" s="241" t="s">
        <v>155</v>
      </c>
      <c r="I44" s="241" t="s">
        <v>153</v>
      </c>
      <c r="J44" s="241" t="s">
        <v>38</v>
      </c>
      <c r="K44" s="241" t="s">
        <v>154</v>
      </c>
      <c r="L44" s="241">
        <v>1</v>
      </c>
      <c r="M44" s="241"/>
      <c r="N44" s="241">
        <v>1</v>
      </c>
      <c r="O44" s="241">
        <v>0.9</v>
      </c>
      <c r="P44" s="241">
        <v>0.8</v>
      </c>
      <c r="Q44" s="107">
        <f t="shared" si="2"/>
        <v>0.85000000000000009</v>
      </c>
      <c r="R44" s="241">
        <v>13.8</v>
      </c>
      <c r="S44" s="241">
        <v>134</v>
      </c>
      <c r="T44" s="108">
        <f t="shared" si="0"/>
        <v>25</v>
      </c>
      <c r="U44" s="241">
        <v>58</v>
      </c>
      <c r="V44" s="109">
        <f t="shared" si="1"/>
        <v>1450</v>
      </c>
      <c r="W44" s="241">
        <v>3</v>
      </c>
      <c r="X44" s="241" t="s">
        <v>46</v>
      </c>
      <c r="Y44" s="241" t="s">
        <v>84</v>
      </c>
      <c r="Z44" s="241" t="s">
        <v>69</v>
      </c>
      <c r="AA44" s="241" t="s">
        <v>78</v>
      </c>
      <c r="AB44" s="241" t="s">
        <v>336</v>
      </c>
    </row>
    <row r="45" spans="1:28" s="115" customFormat="1" x14ac:dyDescent="0.15">
      <c r="A45" s="241" t="s">
        <v>51</v>
      </c>
      <c r="B45" s="241" t="s">
        <v>334</v>
      </c>
      <c r="C45" s="241">
        <v>2018</v>
      </c>
      <c r="D45" s="106" t="s">
        <v>371</v>
      </c>
      <c r="E45" s="241" t="s">
        <v>222</v>
      </c>
      <c r="F45" s="241" t="s">
        <v>203</v>
      </c>
      <c r="G45" s="241" t="s">
        <v>42</v>
      </c>
      <c r="H45" s="241" t="s">
        <v>155</v>
      </c>
      <c r="I45" s="241" t="s">
        <v>153</v>
      </c>
      <c r="J45" s="241" t="s">
        <v>38</v>
      </c>
      <c r="K45" s="241" t="s">
        <v>154</v>
      </c>
      <c r="L45" s="241">
        <v>2</v>
      </c>
      <c r="M45" s="241"/>
      <c r="N45" s="241">
        <v>1</v>
      </c>
      <c r="O45" s="241">
        <v>0.75</v>
      </c>
      <c r="P45" s="241">
        <v>0.75</v>
      </c>
      <c r="Q45" s="107">
        <f t="shared" si="2"/>
        <v>0.75</v>
      </c>
      <c r="R45" s="241">
        <v>15.6</v>
      </c>
      <c r="S45" s="241">
        <v>140</v>
      </c>
      <c r="T45" s="108">
        <f t="shared" si="0"/>
        <v>22</v>
      </c>
      <c r="U45" s="241">
        <v>58</v>
      </c>
      <c r="V45" s="109">
        <f t="shared" si="1"/>
        <v>1276</v>
      </c>
      <c r="W45" s="241">
        <v>3</v>
      </c>
      <c r="X45" s="241" t="s">
        <v>46</v>
      </c>
      <c r="Y45" s="241" t="s">
        <v>84</v>
      </c>
      <c r="Z45" s="241" t="s">
        <v>69</v>
      </c>
      <c r="AA45" s="241" t="s">
        <v>78</v>
      </c>
      <c r="AB45" s="241" t="s">
        <v>336</v>
      </c>
    </row>
    <row r="46" spans="1:28" s="115" customFormat="1" x14ac:dyDescent="0.15">
      <c r="A46" s="241" t="s">
        <v>51</v>
      </c>
      <c r="B46" s="241" t="s">
        <v>334</v>
      </c>
      <c r="C46" s="241">
        <v>2018</v>
      </c>
      <c r="D46" s="106" t="s">
        <v>371</v>
      </c>
      <c r="E46" s="241" t="s">
        <v>222</v>
      </c>
      <c r="F46" s="241" t="s">
        <v>203</v>
      </c>
      <c r="G46" s="241" t="s">
        <v>42</v>
      </c>
      <c r="H46" s="241" t="s">
        <v>155</v>
      </c>
      <c r="I46" s="241" t="s">
        <v>153</v>
      </c>
      <c r="J46" s="241" t="s">
        <v>38</v>
      </c>
      <c r="K46" s="241" t="s">
        <v>154</v>
      </c>
      <c r="L46" s="241">
        <v>3</v>
      </c>
      <c r="M46" s="241"/>
      <c r="N46" s="241">
        <v>1</v>
      </c>
      <c r="O46" s="241">
        <v>0.8</v>
      </c>
      <c r="P46" s="241">
        <v>0.85</v>
      </c>
      <c r="Q46" s="107">
        <f t="shared" si="2"/>
        <v>0.82499999999999996</v>
      </c>
      <c r="R46" s="241">
        <v>13.3</v>
      </c>
      <c r="S46" s="241">
        <v>130</v>
      </c>
      <c r="T46" s="108">
        <f t="shared" si="0"/>
        <v>25</v>
      </c>
      <c r="U46" s="241">
        <v>58</v>
      </c>
      <c r="V46" s="109">
        <f t="shared" si="1"/>
        <v>1450</v>
      </c>
      <c r="W46" s="241">
        <v>3</v>
      </c>
      <c r="X46" s="241" t="s">
        <v>46</v>
      </c>
      <c r="Y46" s="241" t="s">
        <v>84</v>
      </c>
      <c r="Z46" s="241" t="s">
        <v>69</v>
      </c>
      <c r="AA46" s="241" t="s">
        <v>78</v>
      </c>
      <c r="AB46" s="241" t="s">
        <v>336</v>
      </c>
    </row>
    <row r="47" spans="1:28" s="115" customFormat="1" x14ac:dyDescent="0.15">
      <c r="A47" s="241" t="s">
        <v>51</v>
      </c>
      <c r="B47" s="241" t="s">
        <v>334</v>
      </c>
      <c r="C47" s="241">
        <v>2018</v>
      </c>
      <c r="D47" s="106" t="s">
        <v>371</v>
      </c>
      <c r="E47" s="241" t="s">
        <v>222</v>
      </c>
      <c r="F47" s="241" t="s">
        <v>203</v>
      </c>
      <c r="G47" s="241" t="s">
        <v>42</v>
      </c>
      <c r="H47" s="241" t="s">
        <v>166</v>
      </c>
      <c r="I47" s="241" t="s">
        <v>153</v>
      </c>
      <c r="J47" s="241" t="s">
        <v>38</v>
      </c>
      <c r="K47" s="241" t="s">
        <v>373</v>
      </c>
      <c r="L47" s="241">
        <v>1</v>
      </c>
      <c r="M47" s="241"/>
      <c r="N47" s="241">
        <v>1</v>
      </c>
      <c r="O47" s="241">
        <v>0.6</v>
      </c>
      <c r="P47" s="241">
        <v>0.6</v>
      </c>
      <c r="Q47" s="107">
        <f t="shared" si="2"/>
        <v>0.6</v>
      </c>
      <c r="R47" s="241">
        <v>17.5</v>
      </c>
      <c r="S47" s="241">
        <v>112</v>
      </c>
      <c r="T47" s="108">
        <f t="shared" si="0"/>
        <v>39</v>
      </c>
      <c r="U47" s="241">
        <v>158</v>
      </c>
      <c r="V47" s="109">
        <f t="shared" si="1"/>
        <v>6162</v>
      </c>
      <c r="W47" s="241">
        <v>3</v>
      </c>
      <c r="X47" s="241" t="s">
        <v>46</v>
      </c>
      <c r="Y47" s="241" t="s">
        <v>84</v>
      </c>
      <c r="Z47" s="241" t="s">
        <v>69</v>
      </c>
      <c r="AA47" s="241" t="s">
        <v>78</v>
      </c>
      <c r="AB47" s="241" t="s">
        <v>336</v>
      </c>
    </row>
    <row r="48" spans="1:28" s="115" customFormat="1" x14ac:dyDescent="0.15">
      <c r="A48" s="241" t="s">
        <v>51</v>
      </c>
      <c r="B48" s="241" t="s">
        <v>334</v>
      </c>
      <c r="C48" s="241">
        <v>2018</v>
      </c>
      <c r="D48" s="106" t="s">
        <v>371</v>
      </c>
      <c r="E48" s="241" t="s">
        <v>222</v>
      </c>
      <c r="F48" s="241" t="s">
        <v>203</v>
      </c>
      <c r="G48" s="241" t="s">
        <v>42</v>
      </c>
      <c r="H48" s="241" t="s">
        <v>166</v>
      </c>
      <c r="I48" s="241" t="s">
        <v>153</v>
      </c>
      <c r="J48" s="241" t="s">
        <v>38</v>
      </c>
      <c r="K48" s="241" t="s">
        <v>373</v>
      </c>
      <c r="L48" s="241">
        <v>2</v>
      </c>
      <c r="M48" s="241"/>
      <c r="N48" s="241">
        <v>1</v>
      </c>
      <c r="O48" s="241">
        <v>0.75</v>
      </c>
      <c r="P48" s="241">
        <v>0.6</v>
      </c>
      <c r="Q48" s="107">
        <f t="shared" si="2"/>
        <v>0.67500000000000004</v>
      </c>
      <c r="R48" s="241">
        <v>17.8</v>
      </c>
      <c r="S48" s="241">
        <v>122</v>
      </c>
      <c r="T48" s="108">
        <f t="shared" si="0"/>
        <v>27</v>
      </c>
      <c r="U48" s="241">
        <v>158</v>
      </c>
      <c r="V48" s="109">
        <f t="shared" si="1"/>
        <v>4266</v>
      </c>
      <c r="W48" s="241">
        <v>3</v>
      </c>
      <c r="X48" s="241" t="s">
        <v>46</v>
      </c>
      <c r="Y48" s="241" t="s">
        <v>84</v>
      </c>
      <c r="Z48" s="241" t="s">
        <v>69</v>
      </c>
      <c r="AA48" s="241" t="s">
        <v>78</v>
      </c>
      <c r="AB48" s="241" t="s">
        <v>336</v>
      </c>
    </row>
    <row r="49" spans="1:28" s="115" customFormat="1" x14ac:dyDescent="0.15">
      <c r="A49" s="241" t="s">
        <v>51</v>
      </c>
      <c r="B49" s="241" t="s">
        <v>334</v>
      </c>
      <c r="C49" s="241">
        <v>2018</v>
      </c>
      <c r="D49" s="106" t="s">
        <v>371</v>
      </c>
      <c r="E49" s="241" t="s">
        <v>222</v>
      </c>
      <c r="F49" s="241" t="s">
        <v>203</v>
      </c>
      <c r="G49" s="241" t="s">
        <v>42</v>
      </c>
      <c r="H49" s="241" t="s">
        <v>166</v>
      </c>
      <c r="I49" s="241" t="s">
        <v>153</v>
      </c>
      <c r="J49" s="241" t="s">
        <v>38</v>
      </c>
      <c r="K49" s="241" t="s">
        <v>373</v>
      </c>
      <c r="L49" s="241">
        <v>3</v>
      </c>
      <c r="M49" s="241"/>
      <c r="N49" s="241">
        <v>1</v>
      </c>
      <c r="O49" s="241">
        <v>0.65</v>
      </c>
      <c r="P49" s="241">
        <v>0.7</v>
      </c>
      <c r="Q49" s="107">
        <f t="shared" si="2"/>
        <v>0.67500000000000004</v>
      </c>
      <c r="R49" s="241">
        <v>16.899999999999999</v>
      </c>
      <c r="S49" s="241">
        <v>114</v>
      </c>
      <c r="T49" s="108">
        <f t="shared" si="0"/>
        <v>39</v>
      </c>
      <c r="U49" s="241">
        <v>158</v>
      </c>
      <c r="V49" s="109">
        <f t="shared" si="1"/>
        <v>6162</v>
      </c>
      <c r="W49" s="241">
        <v>3</v>
      </c>
      <c r="X49" s="241" t="s">
        <v>46</v>
      </c>
      <c r="Y49" s="241" t="s">
        <v>84</v>
      </c>
      <c r="Z49" s="241" t="s">
        <v>69</v>
      </c>
      <c r="AA49" s="241" t="s">
        <v>78</v>
      </c>
      <c r="AB49" s="241" t="s">
        <v>336</v>
      </c>
    </row>
    <row r="50" spans="1:28" s="115" customFormat="1" x14ac:dyDescent="0.15">
      <c r="A50" s="241" t="s">
        <v>51</v>
      </c>
      <c r="B50" s="241" t="s">
        <v>334</v>
      </c>
      <c r="C50" s="241">
        <v>2018</v>
      </c>
      <c r="D50" s="106" t="s">
        <v>371</v>
      </c>
      <c r="E50" s="241" t="s">
        <v>219</v>
      </c>
      <c r="F50" s="241" t="s">
        <v>220</v>
      </c>
      <c r="G50" s="241" t="s">
        <v>36</v>
      </c>
      <c r="H50" s="241" t="s">
        <v>155</v>
      </c>
      <c r="I50" s="241" t="s">
        <v>153</v>
      </c>
      <c r="J50" s="241" t="s">
        <v>38</v>
      </c>
      <c r="K50" s="241" t="s">
        <v>154</v>
      </c>
      <c r="L50" s="241">
        <v>1</v>
      </c>
      <c r="M50" s="241"/>
      <c r="N50" s="241">
        <v>1</v>
      </c>
      <c r="O50" s="241">
        <v>0.55000000000000004</v>
      </c>
      <c r="P50" s="241">
        <v>0.6</v>
      </c>
      <c r="Q50" s="107">
        <f t="shared" si="2"/>
        <v>0.57499999999999996</v>
      </c>
      <c r="R50" s="241">
        <v>14.6</v>
      </c>
      <c r="S50" s="241">
        <v>144</v>
      </c>
      <c r="T50" s="108">
        <f t="shared" si="0"/>
        <v>22</v>
      </c>
      <c r="U50" s="241">
        <v>98</v>
      </c>
      <c r="V50" s="109">
        <f t="shared" si="1"/>
        <v>2156</v>
      </c>
      <c r="W50" s="241">
        <v>2</v>
      </c>
      <c r="X50" s="241" t="s">
        <v>39</v>
      </c>
      <c r="Y50" s="241" t="s">
        <v>84</v>
      </c>
      <c r="Z50" s="241" t="s">
        <v>90</v>
      </c>
      <c r="AA50" s="241" t="s">
        <v>69</v>
      </c>
      <c r="AB50" s="241" t="s">
        <v>336</v>
      </c>
    </row>
    <row r="51" spans="1:28" s="115" customFormat="1" x14ac:dyDescent="0.15">
      <c r="A51" s="241" t="s">
        <v>51</v>
      </c>
      <c r="B51" s="241" t="s">
        <v>334</v>
      </c>
      <c r="C51" s="241">
        <v>2018</v>
      </c>
      <c r="D51" s="106" t="s">
        <v>371</v>
      </c>
      <c r="E51" s="241" t="s">
        <v>219</v>
      </c>
      <c r="F51" s="241" t="s">
        <v>220</v>
      </c>
      <c r="G51" s="241" t="s">
        <v>36</v>
      </c>
      <c r="H51" s="241" t="s">
        <v>155</v>
      </c>
      <c r="I51" s="241" t="s">
        <v>153</v>
      </c>
      <c r="J51" s="241" t="s">
        <v>38</v>
      </c>
      <c r="K51" s="241" t="s">
        <v>154</v>
      </c>
      <c r="L51" s="241">
        <v>2</v>
      </c>
      <c r="M51" s="241"/>
      <c r="N51" s="241">
        <v>1</v>
      </c>
      <c r="O51" s="241">
        <v>0.65</v>
      </c>
      <c r="P51" s="241">
        <v>0.6</v>
      </c>
      <c r="Q51" s="107">
        <f t="shared" si="2"/>
        <v>0.625</v>
      </c>
      <c r="R51" s="241">
        <v>15.5</v>
      </c>
      <c r="S51" s="241">
        <v>159</v>
      </c>
      <c r="T51" s="108">
        <f t="shared" si="0"/>
        <v>22</v>
      </c>
      <c r="U51" s="241">
        <v>98</v>
      </c>
      <c r="V51" s="109">
        <f t="shared" si="1"/>
        <v>2156</v>
      </c>
      <c r="W51" s="241">
        <v>2</v>
      </c>
      <c r="X51" s="241" t="s">
        <v>39</v>
      </c>
      <c r="Y51" s="241" t="s">
        <v>84</v>
      </c>
      <c r="Z51" s="241" t="s">
        <v>90</v>
      </c>
      <c r="AA51" s="241" t="s">
        <v>69</v>
      </c>
      <c r="AB51" s="241" t="s">
        <v>336</v>
      </c>
    </row>
    <row r="52" spans="1:28" s="115" customFormat="1" x14ac:dyDescent="0.15">
      <c r="A52" s="241" t="s">
        <v>51</v>
      </c>
      <c r="B52" s="241" t="s">
        <v>334</v>
      </c>
      <c r="C52" s="241">
        <v>2018</v>
      </c>
      <c r="D52" s="106" t="s">
        <v>371</v>
      </c>
      <c r="E52" s="241" t="s">
        <v>219</v>
      </c>
      <c r="F52" s="241" t="s">
        <v>220</v>
      </c>
      <c r="G52" s="241" t="s">
        <v>36</v>
      </c>
      <c r="H52" s="241" t="s">
        <v>155</v>
      </c>
      <c r="I52" s="241" t="s">
        <v>153</v>
      </c>
      <c r="J52" s="241" t="s">
        <v>38</v>
      </c>
      <c r="K52" s="241" t="s">
        <v>154</v>
      </c>
      <c r="L52" s="241">
        <v>3</v>
      </c>
      <c r="M52" s="241"/>
      <c r="N52" s="241">
        <v>1</v>
      </c>
      <c r="O52" s="241">
        <v>0.25</v>
      </c>
      <c r="P52" s="241">
        <v>0.6</v>
      </c>
      <c r="Q52" s="107">
        <f t="shared" si="2"/>
        <v>0.42499999999999999</v>
      </c>
      <c r="R52" s="241">
        <v>14.2</v>
      </c>
      <c r="S52" s="241">
        <v>142</v>
      </c>
      <c r="T52" s="108">
        <f t="shared" si="0"/>
        <v>22</v>
      </c>
      <c r="U52" s="241">
        <v>98</v>
      </c>
      <c r="V52" s="109">
        <f t="shared" si="1"/>
        <v>2156</v>
      </c>
      <c r="W52" s="241">
        <v>2</v>
      </c>
      <c r="X52" s="241" t="s">
        <v>39</v>
      </c>
      <c r="Y52" s="241" t="s">
        <v>84</v>
      </c>
      <c r="Z52" s="241" t="s">
        <v>90</v>
      </c>
      <c r="AA52" s="241" t="s">
        <v>69</v>
      </c>
      <c r="AB52" s="241" t="s">
        <v>336</v>
      </c>
    </row>
    <row r="53" spans="1:28" s="115" customFormat="1" x14ac:dyDescent="0.15">
      <c r="A53" s="241" t="s">
        <v>51</v>
      </c>
      <c r="B53" s="241" t="s">
        <v>334</v>
      </c>
      <c r="C53" s="241">
        <v>2018</v>
      </c>
      <c r="D53" s="106" t="s">
        <v>371</v>
      </c>
      <c r="E53" s="241" t="s">
        <v>219</v>
      </c>
      <c r="F53" s="241" t="s">
        <v>220</v>
      </c>
      <c r="G53" s="241" t="s">
        <v>36</v>
      </c>
      <c r="H53" s="241" t="s">
        <v>166</v>
      </c>
      <c r="I53" s="241" t="s">
        <v>153</v>
      </c>
      <c r="J53" s="241" t="s">
        <v>38</v>
      </c>
      <c r="K53" s="241" t="s">
        <v>373</v>
      </c>
      <c r="L53" s="115">
        <v>1</v>
      </c>
      <c r="N53" s="241">
        <v>1</v>
      </c>
      <c r="O53" s="115">
        <v>0.25</v>
      </c>
      <c r="P53" s="115">
        <v>0.6</v>
      </c>
      <c r="Q53" s="107">
        <f t="shared" si="2"/>
        <v>0.42499999999999999</v>
      </c>
      <c r="R53" s="115">
        <v>14.8</v>
      </c>
      <c r="S53" s="115">
        <v>148</v>
      </c>
      <c r="T53" s="108">
        <f t="shared" si="0"/>
        <v>22</v>
      </c>
      <c r="U53" s="241">
        <v>98</v>
      </c>
      <c r="V53" s="109">
        <f t="shared" si="1"/>
        <v>2156</v>
      </c>
      <c r="W53" s="241">
        <v>2</v>
      </c>
      <c r="X53" s="241" t="s">
        <v>39</v>
      </c>
      <c r="Y53" s="241" t="s">
        <v>84</v>
      </c>
      <c r="Z53" s="241" t="s">
        <v>90</v>
      </c>
      <c r="AA53" s="241" t="s">
        <v>69</v>
      </c>
      <c r="AB53" s="241" t="s">
        <v>336</v>
      </c>
    </row>
    <row r="54" spans="1:28" s="115" customFormat="1" x14ac:dyDescent="0.15">
      <c r="A54" s="241" t="s">
        <v>51</v>
      </c>
      <c r="B54" s="241" t="s">
        <v>334</v>
      </c>
      <c r="C54" s="241">
        <v>2018</v>
      </c>
      <c r="D54" s="106" t="s">
        <v>371</v>
      </c>
      <c r="E54" s="241" t="s">
        <v>219</v>
      </c>
      <c r="F54" s="241" t="s">
        <v>220</v>
      </c>
      <c r="G54" s="241" t="s">
        <v>36</v>
      </c>
      <c r="H54" s="241" t="s">
        <v>166</v>
      </c>
      <c r="I54" s="241" t="s">
        <v>153</v>
      </c>
      <c r="J54" s="241" t="s">
        <v>38</v>
      </c>
      <c r="K54" s="241" t="s">
        <v>373</v>
      </c>
      <c r="L54" s="115">
        <v>2</v>
      </c>
      <c r="N54" s="241">
        <v>1</v>
      </c>
      <c r="O54" s="115">
        <v>0.7</v>
      </c>
      <c r="P54" s="115">
        <v>0.65</v>
      </c>
      <c r="Q54" s="107">
        <f t="shared" si="2"/>
        <v>0.67500000000000004</v>
      </c>
      <c r="R54" s="115">
        <v>15.3</v>
      </c>
      <c r="S54" s="115">
        <v>150</v>
      </c>
      <c r="T54" s="108">
        <f t="shared" si="0"/>
        <v>22</v>
      </c>
      <c r="U54" s="241">
        <v>98</v>
      </c>
      <c r="V54" s="109">
        <f t="shared" si="1"/>
        <v>2156</v>
      </c>
      <c r="W54" s="241">
        <v>2</v>
      </c>
      <c r="X54" s="241" t="s">
        <v>39</v>
      </c>
      <c r="Y54" s="241" t="s">
        <v>84</v>
      </c>
      <c r="Z54" s="241" t="s">
        <v>90</v>
      </c>
      <c r="AA54" s="241" t="s">
        <v>69</v>
      </c>
      <c r="AB54" s="241" t="s">
        <v>336</v>
      </c>
    </row>
    <row r="55" spans="1:28" s="115" customFormat="1" x14ac:dyDescent="0.15">
      <c r="A55" s="241" t="s">
        <v>51</v>
      </c>
      <c r="B55" s="241" t="s">
        <v>334</v>
      </c>
      <c r="C55" s="241">
        <v>2018</v>
      </c>
      <c r="D55" s="106" t="s">
        <v>371</v>
      </c>
      <c r="E55" s="241" t="s">
        <v>219</v>
      </c>
      <c r="F55" s="241" t="s">
        <v>220</v>
      </c>
      <c r="G55" s="241" t="s">
        <v>36</v>
      </c>
      <c r="H55" s="241" t="s">
        <v>166</v>
      </c>
      <c r="I55" s="241" t="s">
        <v>153</v>
      </c>
      <c r="J55" s="241" t="s">
        <v>38</v>
      </c>
      <c r="K55" s="241" t="s">
        <v>373</v>
      </c>
      <c r="L55" s="115">
        <v>3</v>
      </c>
      <c r="N55" s="241">
        <v>1</v>
      </c>
      <c r="O55" s="115">
        <v>0.6</v>
      </c>
      <c r="P55" s="115">
        <v>0.65</v>
      </c>
      <c r="Q55" s="107">
        <f t="shared" si="2"/>
        <v>0.625</v>
      </c>
      <c r="R55" s="115">
        <v>15.4</v>
      </c>
      <c r="S55" s="115">
        <v>148</v>
      </c>
      <c r="T55" s="108">
        <f t="shared" si="0"/>
        <v>22</v>
      </c>
      <c r="U55" s="241">
        <v>98</v>
      </c>
      <c r="V55" s="109">
        <f t="shared" si="1"/>
        <v>2156</v>
      </c>
      <c r="W55" s="241">
        <v>2</v>
      </c>
      <c r="X55" s="241" t="s">
        <v>39</v>
      </c>
      <c r="Y55" s="241" t="s">
        <v>84</v>
      </c>
      <c r="Z55" s="241" t="s">
        <v>90</v>
      </c>
      <c r="AA55" s="241" t="s">
        <v>69</v>
      </c>
      <c r="AB55" s="241" t="s">
        <v>336</v>
      </c>
    </row>
    <row r="56" spans="1:28" s="115" customFormat="1" x14ac:dyDescent="0.15">
      <c r="A56" s="241"/>
      <c r="B56" s="241"/>
      <c r="C56" s="241"/>
      <c r="D56" s="106"/>
      <c r="E56" s="241"/>
      <c r="F56" s="241"/>
      <c r="G56" s="241"/>
      <c r="H56" s="241"/>
      <c r="I56" s="241"/>
      <c r="J56" s="241"/>
      <c r="K56" s="241"/>
      <c r="N56" s="241"/>
      <c r="Q56" s="107" t="str">
        <f t="shared" si="2"/>
        <v/>
      </c>
      <c r="T56" s="108" t="str">
        <f t="shared" si="0"/>
        <v/>
      </c>
      <c r="U56" s="241"/>
      <c r="V56" s="109" t="str">
        <f t="shared" si="1"/>
        <v/>
      </c>
      <c r="W56" s="241"/>
      <c r="X56" s="241"/>
      <c r="Y56" s="241"/>
      <c r="Z56" s="241"/>
      <c r="AA56" s="241"/>
      <c r="AB56" s="241"/>
    </row>
    <row r="57" spans="1:28" s="115" customFormat="1" x14ac:dyDescent="0.15">
      <c r="A57" s="241"/>
      <c r="B57" s="241"/>
      <c r="C57" s="241"/>
      <c r="D57" s="106"/>
      <c r="E57" s="241"/>
      <c r="F57" s="241"/>
      <c r="G57" s="241"/>
      <c r="H57" s="241"/>
      <c r="I57" s="241"/>
      <c r="J57" s="241"/>
      <c r="K57" s="241"/>
      <c r="N57" s="241"/>
      <c r="Q57" s="107" t="str">
        <f t="shared" si="2"/>
        <v/>
      </c>
      <c r="T57" s="108" t="str">
        <f t="shared" si="0"/>
        <v/>
      </c>
      <c r="U57" s="241"/>
      <c r="V57" s="109" t="str">
        <f t="shared" si="1"/>
        <v/>
      </c>
      <c r="W57" s="241"/>
      <c r="X57" s="241"/>
      <c r="Y57" s="241"/>
      <c r="Z57" s="241"/>
      <c r="AA57" s="241"/>
      <c r="AB57" s="241"/>
    </row>
    <row r="58" spans="1:28" s="115" customFormat="1" x14ac:dyDescent="0.15">
      <c r="A58" s="241"/>
      <c r="B58" s="241"/>
      <c r="C58" s="241"/>
      <c r="D58" s="106"/>
      <c r="E58" s="241"/>
      <c r="F58" s="241"/>
      <c r="G58" s="241"/>
      <c r="H58" s="241"/>
      <c r="I58" s="241"/>
      <c r="J58" s="241"/>
      <c r="K58" s="241"/>
      <c r="N58" s="241"/>
      <c r="Q58" s="107" t="str">
        <f t="shared" si="2"/>
        <v/>
      </c>
      <c r="T58" s="108" t="str">
        <f t="shared" si="0"/>
        <v/>
      </c>
      <c r="U58" s="241"/>
      <c r="V58" s="109" t="str">
        <f t="shared" si="1"/>
        <v/>
      </c>
      <c r="W58" s="241"/>
      <c r="X58" s="241"/>
      <c r="Y58" s="241"/>
      <c r="Z58" s="241"/>
      <c r="AA58" s="241"/>
      <c r="AB58" s="241"/>
    </row>
    <row r="59" spans="1:28" s="115" customFormat="1" x14ac:dyDescent="0.15">
      <c r="A59" s="241"/>
      <c r="B59" s="241"/>
      <c r="C59" s="241"/>
      <c r="D59" s="106"/>
      <c r="E59" s="241"/>
      <c r="F59" s="241"/>
      <c r="G59" s="241"/>
      <c r="H59" s="241"/>
      <c r="I59" s="241"/>
      <c r="J59" s="241"/>
      <c r="K59" s="241"/>
      <c r="N59" s="241"/>
      <c r="Q59" s="108" t="str">
        <f t="shared" si="2"/>
        <v/>
      </c>
      <c r="T59" s="108" t="str">
        <f t="shared" si="0"/>
        <v/>
      </c>
      <c r="U59" s="241"/>
      <c r="V59" s="108" t="str">
        <f t="shared" si="1"/>
        <v/>
      </c>
      <c r="W59" s="241"/>
      <c r="X59" s="241"/>
      <c r="Y59" s="241"/>
      <c r="Z59" s="241"/>
      <c r="AA59" s="241"/>
      <c r="AB59" s="241"/>
    </row>
    <row r="60" spans="1:28" x14ac:dyDescent="0.15">
      <c r="A60" s="241"/>
      <c r="B60" s="241"/>
      <c r="C60" s="127"/>
      <c r="D60" s="128"/>
      <c r="E60" s="241"/>
      <c r="F60" s="241"/>
      <c r="G60" s="127"/>
      <c r="H60" s="127"/>
      <c r="I60" s="127"/>
      <c r="J60" s="127"/>
      <c r="K60" s="241"/>
      <c r="N60" s="127"/>
      <c r="Q60" s="129" t="str">
        <f t="shared" si="2"/>
        <v/>
      </c>
      <c r="T60" s="129" t="str">
        <f t="shared" si="0"/>
        <v/>
      </c>
      <c r="U60" s="127"/>
      <c r="V60" s="129" t="str">
        <f t="shared" si="1"/>
        <v/>
      </c>
      <c r="W60" s="127"/>
      <c r="X60" s="127"/>
      <c r="Y60" s="127"/>
      <c r="Z60" s="127"/>
      <c r="AA60" s="127"/>
      <c r="AB60" s="241"/>
    </row>
    <row r="61" spans="1:28" x14ac:dyDescent="0.15">
      <c r="A61" s="241"/>
      <c r="B61" s="241"/>
      <c r="C61" s="127"/>
      <c r="D61" s="128"/>
      <c r="E61" s="241"/>
      <c r="F61" s="241"/>
      <c r="G61" s="127"/>
      <c r="H61" s="127"/>
      <c r="I61" s="127"/>
      <c r="J61" s="127"/>
      <c r="K61" s="241"/>
      <c r="N61" s="127"/>
      <c r="O61" s="115"/>
      <c r="Q61" s="129" t="str">
        <f t="shared" si="2"/>
        <v/>
      </c>
      <c r="T61" s="129" t="str">
        <f t="shared" si="0"/>
        <v/>
      </c>
      <c r="U61" s="127"/>
      <c r="V61" s="129" t="str">
        <f t="shared" si="1"/>
        <v/>
      </c>
      <c r="W61" s="127"/>
      <c r="X61" s="127"/>
      <c r="Y61" s="127"/>
      <c r="Z61" s="127"/>
      <c r="AA61" s="127"/>
      <c r="AB61" s="241"/>
    </row>
    <row r="62" spans="1:28" x14ac:dyDescent="0.15">
      <c r="A62" s="241"/>
      <c r="B62" s="241"/>
      <c r="C62" s="127"/>
      <c r="D62" s="128"/>
      <c r="E62" s="241"/>
      <c r="F62" s="241"/>
      <c r="G62" s="127"/>
      <c r="H62" s="127"/>
      <c r="I62" s="127"/>
      <c r="J62" s="127"/>
      <c r="K62" s="241"/>
      <c r="N62" s="127"/>
      <c r="Q62" s="129" t="str">
        <f t="shared" si="2"/>
        <v/>
      </c>
      <c r="T62" s="129" t="str">
        <f t="shared" si="0"/>
        <v/>
      </c>
      <c r="V62" s="129" t="str">
        <f t="shared" si="1"/>
        <v/>
      </c>
      <c r="W62" s="127"/>
      <c r="X62" s="127"/>
      <c r="Y62" s="127"/>
      <c r="Z62" s="127"/>
      <c r="AA62" s="127"/>
      <c r="AB62" s="241"/>
    </row>
    <row r="63" spans="1:28" x14ac:dyDescent="0.15">
      <c r="A63" s="241"/>
      <c r="B63" s="241"/>
      <c r="C63" s="127"/>
      <c r="D63" s="128"/>
      <c r="E63" s="241"/>
      <c r="F63" s="241"/>
      <c r="G63" s="127"/>
      <c r="H63" s="127"/>
      <c r="I63" s="127"/>
      <c r="J63" s="127"/>
      <c r="K63" s="241"/>
      <c r="N63" s="127"/>
      <c r="O63" s="115"/>
      <c r="Q63" s="129" t="str">
        <f t="shared" si="2"/>
        <v/>
      </c>
      <c r="T63" s="129" t="str">
        <f t="shared" si="0"/>
        <v/>
      </c>
      <c r="V63" s="129" t="str">
        <f t="shared" si="1"/>
        <v/>
      </c>
      <c r="W63" s="127"/>
      <c r="X63" s="127"/>
      <c r="Y63" s="127"/>
      <c r="Z63" s="127"/>
      <c r="AA63" s="127"/>
      <c r="AB63" s="241"/>
    </row>
    <row r="64" spans="1:28" x14ac:dyDescent="0.15">
      <c r="A64" s="241"/>
      <c r="B64" s="241"/>
      <c r="C64" s="127"/>
      <c r="D64" s="128"/>
      <c r="E64" s="241"/>
      <c r="F64" s="241"/>
      <c r="G64" s="127"/>
      <c r="H64" s="127"/>
      <c r="I64" s="127"/>
      <c r="J64" s="127"/>
      <c r="K64" s="241"/>
      <c r="N64" s="127"/>
      <c r="Q64" s="129" t="str">
        <f t="shared" si="2"/>
        <v/>
      </c>
      <c r="T64" s="129" t="str">
        <f t="shared" si="0"/>
        <v/>
      </c>
      <c r="V64" s="129" t="str">
        <f t="shared" si="1"/>
        <v/>
      </c>
      <c r="W64" s="127"/>
      <c r="X64" s="127"/>
      <c r="Y64" s="127"/>
      <c r="Z64" s="127"/>
      <c r="AA64" s="127"/>
      <c r="AB64" s="241"/>
    </row>
    <row r="65" spans="1:28" x14ac:dyDescent="0.15">
      <c r="A65" s="241"/>
      <c r="B65" s="241"/>
      <c r="C65" s="127"/>
      <c r="D65" s="128"/>
      <c r="E65" s="241"/>
      <c r="F65" s="241"/>
      <c r="G65" s="127"/>
      <c r="H65" s="127"/>
      <c r="I65" s="127"/>
      <c r="J65" s="127"/>
      <c r="K65" s="241"/>
      <c r="N65" s="127"/>
      <c r="Q65" s="129" t="str">
        <f t="shared" si="2"/>
        <v/>
      </c>
      <c r="T65" s="129" t="str">
        <f t="shared" si="0"/>
        <v/>
      </c>
      <c r="V65" s="129" t="str">
        <f t="shared" si="1"/>
        <v/>
      </c>
      <c r="W65" s="127"/>
      <c r="X65" s="127"/>
      <c r="Y65" s="127"/>
      <c r="Z65" s="127"/>
      <c r="AA65" s="127"/>
      <c r="AB65" s="241"/>
    </row>
    <row r="66" spans="1:28" x14ac:dyDescent="0.15">
      <c r="A66" s="241"/>
      <c r="B66" s="241"/>
      <c r="C66" s="127"/>
      <c r="D66" s="128"/>
      <c r="E66" s="241"/>
      <c r="F66" s="241"/>
      <c r="G66" s="127"/>
      <c r="H66" s="127"/>
      <c r="I66" s="127"/>
      <c r="J66" s="127"/>
      <c r="K66" s="241"/>
      <c r="N66" s="127"/>
      <c r="Q66" s="129" t="str">
        <f t="shared" si="2"/>
        <v/>
      </c>
      <c r="T66" s="129" t="str">
        <f t="shared" ref="T66:T85" si="3">IF(H66="","",IF(OR(H66="GREEN",H66="GK"),IF(S66&gt;=$AX$2,VLOOKUP(S66,$AX$2:$AY$10,2,1),""),IF(S66&gt;=$AZ$2,VLOOKUP(S66,$AZ$2:$BA$10,2,1),"")))</f>
        <v/>
      </c>
      <c r="V66" s="129" t="str">
        <f t="shared" ref="V66:V85" si="4">IF(OR(N66="",U66="",T66=""),"",U66/N66*T66)</f>
        <v/>
      </c>
      <c r="W66" s="127"/>
      <c r="X66" s="127"/>
      <c r="Y66" s="127"/>
      <c r="Z66" s="127"/>
      <c r="AA66" s="127"/>
      <c r="AB66" s="241"/>
    </row>
    <row r="67" spans="1:28" x14ac:dyDescent="0.15">
      <c r="A67" s="241"/>
      <c r="B67" s="241"/>
      <c r="C67" s="127"/>
      <c r="D67" s="128"/>
      <c r="E67" s="241"/>
      <c r="F67" s="241"/>
      <c r="G67" s="127"/>
      <c r="H67" s="127"/>
      <c r="I67" s="127"/>
      <c r="J67" s="127"/>
      <c r="K67" s="241"/>
      <c r="N67" s="127"/>
      <c r="P67" s="115"/>
      <c r="Q67" s="129" t="str">
        <f t="shared" ref="Q67:Q86" si="5">IF(OR(O67="",P67=""),"",AVERAGE(O67,P67))</f>
        <v/>
      </c>
      <c r="T67" s="129" t="str">
        <f t="shared" si="3"/>
        <v/>
      </c>
      <c r="V67" s="129" t="str">
        <f t="shared" si="4"/>
        <v/>
      </c>
      <c r="W67" s="127"/>
      <c r="X67" s="127"/>
      <c r="Y67" s="127"/>
      <c r="Z67" s="127"/>
      <c r="AA67" s="127"/>
      <c r="AB67" s="241"/>
    </row>
    <row r="68" spans="1:28" x14ac:dyDescent="0.15">
      <c r="A68" s="241"/>
      <c r="B68" s="241"/>
      <c r="C68" s="127"/>
      <c r="D68" s="128"/>
      <c r="E68" s="241"/>
      <c r="F68" s="241"/>
      <c r="G68" s="127"/>
      <c r="H68" s="127"/>
      <c r="I68" s="127"/>
      <c r="J68" s="127"/>
      <c r="K68" s="241"/>
      <c r="N68" s="127"/>
      <c r="Q68" s="129" t="str">
        <f t="shared" si="5"/>
        <v/>
      </c>
      <c r="T68" s="129" t="str">
        <f t="shared" si="3"/>
        <v/>
      </c>
      <c r="V68" s="129" t="str">
        <f t="shared" si="4"/>
        <v/>
      </c>
      <c r="W68" s="127"/>
      <c r="X68" s="127"/>
      <c r="Y68" s="127"/>
      <c r="Z68" s="127"/>
      <c r="AA68" s="127"/>
      <c r="AB68" s="241"/>
    </row>
    <row r="69" spans="1:28" x14ac:dyDescent="0.15">
      <c r="A69" s="241"/>
      <c r="B69" s="241"/>
      <c r="C69" s="127"/>
      <c r="D69" s="128"/>
      <c r="E69" s="241"/>
      <c r="F69" s="241"/>
      <c r="G69" s="127"/>
      <c r="H69" s="127"/>
      <c r="I69" s="127"/>
      <c r="J69" s="127"/>
      <c r="K69" s="241"/>
      <c r="N69" s="127"/>
      <c r="Q69" s="129" t="str">
        <f t="shared" si="5"/>
        <v/>
      </c>
      <c r="T69" s="129" t="str">
        <f t="shared" si="3"/>
        <v/>
      </c>
      <c r="V69" s="129" t="str">
        <f t="shared" si="4"/>
        <v/>
      </c>
      <c r="W69" s="127"/>
      <c r="X69" s="127"/>
      <c r="Y69" s="127"/>
      <c r="Z69" s="127"/>
      <c r="AA69" s="127"/>
      <c r="AB69" s="241"/>
    </row>
    <row r="70" spans="1:28" x14ac:dyDescent="0.15">
      <c r="A70" s="241"/>
      <c r="B70" s="241"/>
      <c r="C70" s="127"/>
      <c r="D70" s="128"/>
      <c r="E70" s="241"/>
      <c r="F70" s="241"/>
      <c r="G70" s="127"/>
      <c r="H70" s="127"/>
      <c r="I70" s="127"/>
      <c r="J70" s="127"/>
      <c r="K70" s="241"/>
      <c r="N70" s="127"/>
      <c r="Q70" s="129" t="str">
        <f t="shared" si="5"/>
        <v/>
      </c>
      <c r="T70" s="129" t="str">
        <f t="shared" si="3"/>
        <v/>
      </c>
      <c r="V70" s="129" t="str">
        <f t="shared" si="4"/>
        <v/>
      </c>
      <c r="W70" s="127"/>
      <c r="X70" s="127"/>
      <c r="Y70" s="127"/>
      <c r="Z70" s="127"/>
      <c r="AA70" s="127"/>
      <c r="AB70" s="241"/>
    </row>
    <row r="71" spans="1:28" x14ac:dyDescent="0.15">
      <c r="A71" s="241"/>
      <c r="B71" s="241"/>
      <c r="C71" s="127"/>
      <c r="D71" s="128"/>
      <c r="E71" s="241"/>
      <c r="F71" s="241"/>
      <c r="G71" s="127"/>
      <c r="H71" s="127"/>
      <c r="I71" s="127"/>
      <c r="J71" s="127"/>
      <c r="K71" s="241"/>
      <c r="N71" s="127"/>
      <c r="Q71" s="129" t="str">
        <f t="shared" si="5"/>
        <v/>
      </c>
      <c r="T71" s="129" t="str">
        <f t="shared" si="3"/>
        <v/>
      </c>
      <c r="V71" s="129" t="str">
        <f t="shared" si="4"/>
        <v/>
      </c>
      <c r="W71" s="127"/>
      <c r="X71" s="127"/>
      <c r="Y71" s="127"/>
      <c r="Z71" s="127"/>
      <c r="AA71" s="127"/>
      <c r="AB71" s="241"/>
    </row>
    <row r="72" spans="1:28" x14ac:dyDescent="0.15">
      <c r="A72" s="241"/>
      <c r="B72" s="241"/>
      <c r="C72" s="127"/>
      <c r="D72" s="128"/>
      <c r="E72" s="241"/>
      <c r="F72" s="241"/>
      <c r="G72" s="127"/>
      <c r="H72" s="127"/>
      <c r="I72" s="127"/>
      <c r="J72" s="127"/>
      <c r="K72" s="241"/>
      <c r="N72" s="127"/>
      <c r="Q72" s="129" t="str">
        <f t="shared" si="5"/>
        <v/>
      </c>
      <c r="T72" s="129" t="str">
        <f t="shared" si="3"/>
        <v/>
      </c>
      <c r="V72" s="129" t="str">
        <f t="shared" si="4"/>
        <v/>
      </c>
      <c r="W72" s="127"/>
      <c r="X72" s="127"/>
      <c r="Y72" s="127"/>
      <c r="Z72" s="127"/>
      <c r="AA72" s="127"/>
      <c r="AB72" s="241"/>
    </row>
    <row r="73" spans="1:28" x14ac:dyDescent="0.15">
      <c r="A73" s="241"/>
      <c r="B73" s="241"/>
      <c r="C73" s="127"/>
      <c r="D73" s="128"/>
      <c r="E73" s="241"/>
      <c r="F73" s="241"/>
      <c r="G73" s="127"/>
      <c r="H73" s="127"/>
      <c r="I73" s="127"/>
      <c r="J73" s="127"/>
      <c r="K73" s="241"/>
      <c r="N73" s="127"/>
      <c r="Q73" s="129" t="str">
        <f t="shared" si="5"/>
        <v/>
      </c>
      <c r="R73" s="115"/>
      <c r="T73" s="129" t="str">
        <f t="shared" si="3"/>
        <v/>
      </c>
      <c r="V73" s="129" t="str">
        <f t="shared" si="4"/>
        <v/>
      </c>
      <c r="W73" s="127"/>
      <c r="X73" s="127"/>
      <c r="Y73" s="127"/>
      <c r="Z73" s="127"/>
      <c r="AA73" s="127"/>
      <c r="AB73" s="241"/>
    </row>
    <row r="74" spans="1:28" x14ac:dyDescent="0.15">
      <c r="A74" s="241"/>
      <c r="B74" s="241"/>
      <c r="C74" s="127"/>
      <c r="D74" s="128"/>
      <c r="E74" s="241"/>
      <c r="F74" s="241"/>
      <c r="G74" s="127"/>
      <c r="H74" s="127"/>
      <c r="I74" s="127"/>
      <c r="J74" s="127"/>
      <c r="K74" s="241"/>
      <c r="N74" s="127"/>
      <c r="Q74" s="129" t="str">
        <f t="shared" si="5"/>
        <v/>
      </c>
      <c r="T74" s="129" t="str">
        <f t="shared" si="3"/>
        <v/>
      </c>
      <c r="V74" s="129" t="str">
        <f t="shared" si="4"/>
        <v/>
      </c>
      <c r="W74" s="127"/>
      <c r="X74" s="127"/>
      <c r="Y74" s="127"/>
      <c r="Z74" s="127"/>
      <c r="AA74" s="127"/>
      <c r="AB74" s="241"/>
    </row>
    <row r="75" spans="1:28" x14ac:dyDescent="0.15">
      <c r="A75" s="241"/>
      <c r="B75" s="241"/>
      <c r="C75" s="127"/>
      <c r="D75" s="128"/>
      <c r="E75" s="241"/>
      <c r="F75" s="241"/>
      <c r="G75" s="127"/>
      <c r="H75" s="127"/>
      <c r="I75" s="127"/>
      <c r="J75" s="127"/>
      <c r="K75" s="241"/>
      <c r="N75" s="127"/>
      <c r="Q75" s="129" t="str">
        <f t="shared" si="5"/>
        <v/>
      </c>
      <c r="T75" s="129" t="str">
        <f t="shared" si="3"/>
        <v/>
      </c>
      <c r="V75" s="129" t="str">
        <f t="shared" si="4"/>
        <v/>
      </c>
      <c r="W75" s="127"/>
      <c r="X75" s="127"/>
      <c r="Y75" s="127"/>
      <c r="Z75" s="127"/>
      <c r="AA75" s="127"/>
      <c r="AB75" s="241"/>
    </row>
    <row r="76" spans="1:28" x14ac:dyDescent="0.15">
      <c r="A76" s="241"/>
      <c r="B76" s="241"/>
      <c r="C76" s="127"/>
      <c r="D76" s="128"/>
      <c r="E76" s="241"/>
      <c r="F76" s="241"/>
      <c r="G76" s="127"/>
      <c r="H76" s="127"/>
      <c r="I76" s="127"/>
      <c r="J76" s="127"/>
      <c r="K76" s="241"/>
      <c r="N76" s="127"/>
      <c r="Q76" s="129" t="str">
        <f t="shared" si="5"/>
        <v/>
      </c>
      <c r="T76" s="129" t="str">
        <f t="shared" si="3"/>
        <v/>
      </c>
      <c r="V76" s="129" t="str">
        <f t="shared" si="4"/>
        <v/>
      </c>
      <c r="W76" s="127"/>
      <c r="X76" s="127"/>
      <c r="Y76" s="127"/>
      <c r="Z76" s="127"/>
      <c r="AA76" s="127"/>
      <c r="AB76" s="241"/>
    </row>
    <row r="77" spans="1:28" x14ac:dyDescent="0.15">
      <c r="A77" s="241"/>
      <c r="B77" s="241"/>
      <c r="C77" s="127"/>
      <c r="D77" s="128"/>
      <c r="E77" s="241"/>
      <c r="F77" s="241"/>
      <c r="G77" s="127"/>
      <c r="H77" s="127"/>
      <c r="I77" s="127"/>
      <c r="J77" s="127"/>
      <c r="K77" s="241"/>
      <c r="N77" s="127"/>
      <c r="Q77" s="129" t="str">
        <f t="shared" si="5"/>
        <v/>
      </c>
      <c r="T77" s="129" t="str">
        <f t="shared" si="3"/>
        <v/>
      </c>
      <c r="V77" s="129" t="str">
        <f t="shared" si="4"/>
        <v/>
      </c>
      <c r="W77" s="127"/>
      <c r="X77" s="127"/>
      <c r="Y77" s="127"/>
      <c r="Z77" s="127"/>
      <c r="AA77" s="127"/>
      <c r="AB77" s="241"/>
    </row>
    <row r="78" spans="1:28" x14ac:dyDescent="0.15">
      <c r="A78" s="241"/>
      <c r="B78" s="241"/>
      <c r="C78" s="127"/>
      <c r="D78" s="128"/>
      <c r="E78" s="241"/>
      <c r="F78" s="241"/>
      <c r="G78" s="127"/>
      <c r="H78" s="127"/>
      <c r="I78" s="127"/>
      <c r="J78" s="127"/>
      <c r="K78" s="241"/>
      <c r="N78" s="127"/>
      <c r="Q78" s="129" t="str">
        <f t="shared" si="5"/>
        <v/>
      </c>
      <c r="T78" s="129" t="str">
        <f t="shared" si="3"/>
        <v/>
      </c>
      <c r="V78" s="129" t="str">
        <f t="shared" si="4"/>
        <v/>
      </c>
      <c r="W78" s="127"/>
      <c r="X78" s="127"/>
      <c r="Y78" s="127"/>
      <c r="Z78" s="127"/>
      <c r="AA78" s="127"/>
      <c r="AB78" s="241"/>
    </row>
    <row r="79" spans="1:28" x14ac:dyDescent="0.15">
      <c r="A79" s="241"/>
      <c r="B79" s="241"/>
      <c r="C79" s="127"/>
      <c r="D79" s="128"/>
      <c r="E79" s="241"/>
      <c r="F79" s="241"/>
      <c r="G79" s="127"/>
      <c r="H79" s="127"/>
      <c r="I79" s="127"/>
      <c r="J79" s="127"/>
      <c r="K79" s="241"/>
      <c r="N79" s="127"/>
      <c r="Q79" s="129" t="str">
        <f t="shared" si="5"/>
        <v/>
      </c>
      <c r="T79" s="129" t="str">
        <f t="shared" si="3"/>
        <v/>
      </c>
      <c r="V79" s="129" t="str">
        <f t="shared" si="4"/>
        <v/>
      </c>
      <c r="W79" s="127"/>
      <c r="X79" s="127"/>
      <c r="Y79" s="127"/>
      <c r="Z79" s="127"/>
      <c r="AA79" s="127"/>
      <c r="AB79" s="241"/>
    </row>
    <row r="80" spans="1:28" x14ac:dyDescent="0.15">
      <c r="A80" s="241"/>
      <c r="B80" s="241"/>
      <c r="C80" s="127"/>
      <c r="D80" s="128"/>
      <c r="E80" s="241"/>
      <c r="F80" s="241"/>
      <c r="G80" s="127"/>
      <c r="H80" s="127"/>
      <c r="I80" s="127"/>
      <c r="J80" s="127"/>
      <c r="K80" s="241"/>
      <c r="N80" s="127"/>
      <c r="W80" s="127"/>
      <c r="X80" s="127"/>
      <c r="Y80" s="127"/>
      <c r="Z80" s="127"/>
      <c r="AA80" s="127"/>
      <c r="AB80" s="241"/>
    </row>
    <row r="81" spans="1:28" x14ac:dyDescent="0.15">
      <c r="A81" s="241"/>
      <c r="B81" s="241"/>
      <c r="C81" s="127"/>
      <c r="D81" s="128"/>
      <c r="E81" s="241"/>
      <c r="F81" s="241"/>
      <c r="G81" s="127"/>
      <c r="H81" s="127"/>
      <c r="I81" s="127"/>
      <c r="J81" s="127"/>
      <c r="K81" s="241"/>
      <c r="N81" s="127"/>
      <c r="W81" s="127"/>
      <c r="X81" s="127"/>
      <c r="Y81" s="127"/>
      <c r="Z81" s="127"/>
      <c r="AA81" s="127"/>
      <c r="AB81" s="241"/>
    </row>
    <row r="82" spans="1:28" x14ac:dyDescent="0.15">
      <c r="A82" s="241"/>
      <c r="B82" s="241"/>
      <c r="C82" s="127"/>
      <c r="D82" s="128"/>
      <c r="E82" s="241"/>
      <c r="F82" s="241"/>
      <c r="G82" s="127"/>
      <c r="H82" s="127"/>
      <c r="I82" s="127"/>
      <c r="J82" s="127"/>
      <c r="K82" s="241"/>
      <c r="N82" s="127"/>
      <c r="W82" s="127"/>
      <c r="X82" s="127"/>
      <c r="Y82" s="127"/>
      <c r="Z82" s="127"/>
      <c r="AA82" s="127"/>
      <c r="AB82" s="241"/>
    </row>
    <row r="83" spans="1:28" x14ac:dyDescent="0.15">
      <c r="A83" s="241"/>
      <c r="B83" s="241"/>
      <c r="C83" s="127"/>
      <c r="D83" s="128"/>
      <c r="E83" s="241"/>
      <c r="F83" s="241"/>
      <c r="G83" s="127"/>
      <c r="H83" s="127"/>
      <c r="I83" s="127"/>
      <c r="J83" s="127"/>
      <c r="K83" s="241"/>
      <c r="N83" s="127"/>
      <c r="W83" s="127"/>
      <c r="X83" s="127"/>
      <c r="Y83" s="127"/>
      <c r="Z83" s="127"/>
      <c r="AA83" s="127"/>
      <c r="AB83" s="241"/>
    </row>
    <row r="84" spans="1:28" x14ac:dyDescent="0.15">
      <c r="A84" s="241"/>
      <c r="B84" s="241"/>
      <c r="C84" s="127"/>
      <c r="D84" s="128"/>
      <c r="E84" s="241"/>
      <c r="F84" s="241"/>
      <c r="G84" s="127"/>
      <c r="H84" s="127"/>
      <c r="I84" s="127"/>
      <c r="J84" s="127"/>
      <c r="K84" s="127"/>
      <c r="N84" s="127"/>
      <c r="W84" s="127"/>
      <c r="X84" s="127"/>
      <c r="Y84" s="127"/>
      <c r="Z84" s="127"/>
      <c r="AA84" s="127"/>
      <c r="AB84" s="241"/>
    </row>
    <row r="85" spans="1:28" x14ac:dyDescent="0.15">
      <c r="A85" s="241"/>
      <c r="B85" s="241"/>
      <c r="C85" s="127"/>
      <c r="D85" s="128"/>
      <c r="E85" s="241"/>
      <c r="F85" s="241"/>
      <c r="G85" s="127"/>
      <c r="H85" s="127"/>
      <c r="I85" s="127"/>
      <c r="J85" s="127"/>
      <c r="K85" s="127"/>
      <c r="N85" s="127"/>
      <c r="W85" s="127"/>
      <c r="X85" s="127"/>
      <c r="Y85" s="127"/>
      <c r="Z85" s="127"/>
      <c r="AA85" s="127"/>
      <c r="AB85" s="241"/>
    </row>
    <row r="86" spans="1:28" x14ac:dyDescent="0.15">
      <c r="E86" s="241"/>
      <c r="F86" s="241"/>
    </row>
    <row r="87" spans="1:28" x14ac:dyDescent="0.15">
      <c r="E87" s="241"/>
      <c r="F87" s="241"/>
    </row>
    <row r="88" spans="1:28" x14ac:dyDescent="0.15">
      <c r="E88" s="241"/>
      <c r="F88" s="241"/>
    </row>
    <row r="89" spans="1:28" x14ac:dyDescent="0.15">
      <c r="E89" s="241"/>
      <c r="F89" s="241"/>
    </row>
    <row r="90" spans="1:28" x14ac:dyDescent="0.15">
      <c r="E90" s="241"/>
      <c r="F90" s="241"/>
    </row>
    <row r="91" spans="1:28" x14ac:dyDescent="0.15">
      <c r="E91" s="241"/>
      <c r="F91" s="241"/>
    </row>
    <row r="92" spans="1:28" x14ac:dyDescent="0.15">
      <c r="E92" s="241"/>
      <c r="F92" s="241"/>
    </row>
    <row r="93" spans="1:28" x14ac:dyDescent="0.15">
      <c r="E93" s="241"/>
      <c r="F93" s="241"/>
    </row>
    <row r="94" spans="1:28" x14ac:dyDescent="0.15">
      <c r="E94" s="241"/>
      <c r="F94" s="241"/>
    </row>
    <row r="95" spans="1:28" x14ac:dyDescent="0.15">
      <c r="E95" s="241"/>
      <c r="F95" s="241"/>
    </row>
    <row r="96" spans="1:28" x14ac:dyDescent="0.15">
      <c r="E96" s="241"/>
      <c r="F96" s="241"/>
    </row>
    <row r="97" spans="5:6" x14ac:dyDescent="0.15">
      <c r="E97" s="241"/>
      <c r="F97" s="241"/>
    </row>
    <row r="98" spans="5:6" x14ac:dyDescent="0.15">
      <c r="E98" s="241"/>
      <c r="F98" s="241"/>
    </row>
    <row r="99" spans="5:6" x14ac:dyDescent="0.15">
      <c r="E99" s="241"/>
      <c r="F99" s="241"/>
    </row>
    <row r="100" spans="5:6" x14ac:dyDescent="0.15">
      <c r="E100" s="241"/>
      <c r="F100" s="241"/>
    </row>
    <row r="101" spans="5:6" x14ac:dyDescent="0.15">
      <c r="E101" s="241"/>
      <c r="F101" s="241"/>
    </row>
    <row r="102" spans="5:6" x14ac:dyDescent="0.15">
      <c r="E102" s="241"/>
      <c r="F102" s="241"/>
    </row>
    <row r="103" spans="5:6" x14ac:dyDescent="0.15">
      <c r="E103" s="241"/>
      <c r="F103" s="241"/>
    </row>
    <row r="104" spans="5:6" x14ac:dyDescent="0.15">
      <c r="E104" s="241"/>
      <c r="F104" s="241"/>
    </row>
    <row r="105" spans="5:6" x14ac:dyDescent="0.15">
      <c r="E105" s="241"/>
      <c r="F105" s="241"/>
    </row>
    <row r="106" spans="5:6" x14ac:dyDescent="0.15">
      <c r="E106" s="241"/>
      <c r="F106" s="241"/>
    </row>
    <row r="107" spans="5:6" x14ac:dyDescent="0.15">
      <c r="E107" s="241"/>
      <c r="F107" s="241"/>
    </row>
    <row r="108" spans="5:6" x14ac:dyDescent="0.15">
      <c r="E108" s="241"/>
      <c r="F108" s="241"/>
    </row>
    <row r="109" spans="5:6" x14ac:dyDescent="0.15">
      <c r="E109" s="241"/>
      <c r="F109" s="241"/>
    </row>
    <row r="110" spans="5:6" x14ac:dyDescent="0.15">
      <c r="E110" s="241"/>
      <c r="F110" s="241"/>
    </row>
    <row r="111" spans="5:6" x14ac:dyDescent="0.15">
      <c r="E111" s="241"/>
      <c r="F111" s="241"/>
    </row>
    <row r="112" spans="5:6" x14ac:dyDescent="0.15">
      <c r="E112" s="241"/>
      <c r="F112" s="241"/>
    </row>
    <row r="113" spans="5:6" x14ac:dyDescent="0.15">
      <c r="E113" s="241"/>
      <c r="F113" s="241"/>
    </row>
    <row r="114" spans="5:6" x14ac:dyDescent="0.15">
      <c r="E114" s="241"/>
      <c r="F114" s="241"/>
    </row>
    <row r="115" spans="5:6" x14ac:dyDescent="0.15">
      <c r="E115" s="241"/>
      <c r="F115" s="241"/>
    </row>
    <row r="116" spans="5:6" x14ac:dyDescent="0.15">
      <c r="E116" s="241"/>
      <c r="F116" s="241"/>
    </row>
    <row r="117" spans="5:6" x14ac:dyDescent="0.15">
      <c r="E117" s="241"/>
      <c r="F117" s="241"/>
    </row>
    <row r="118" spans="5:6" x14ac:dyDescent="0.15">
      <c r="E118" s="241"/>
      <c r="F118" s="241"/>
    </row>
    <row r="119" spans="5:6" x14ac:dyDescent="0.15">
      <c r="E119" s="241"/>
      <c r="F119" s="241"/>
    </row>
    <row r="120" spans="5:6" x14ac:dyDescent="0.15">
      <c r="E120" s="241"/>
      <c r="F120" s="241"/>
    </row>
    <row r="121" spans="5:6" x14ac:dyDescent="0.15">
      <c r="E121" s="241"/>
      <c r="F121" s="241"/>
    </row>
    <row r="122" spans="5:6" x14ac:dyDescent="0.15">
      <c r="E122" s="241"/>
      <c r="F122" s="241"/>
    </row>
    <row r="123" spans="5:6" x14ac:dyDescent="0.15">
      <c r="E123" s="241"/>
      <c r="F123" s="241"/>
    </row>
    <row r="124" spans="5:6" x14ac:dyDescent="0.15">
      <c r="E124" s="241"/>
      <c r="F124" s="241"/>
    </row>
    <row r="125" spans="5:6" x14ac:dyDescent="0.15">
      <c r="E125" s="241"/>
      <c r="F125" s="241"/>
    </row>
    <row r="126" spans="5:6" x14ac:dyDescent="0.15">
      <c r="E126" s="241"/>
      <c r="F126" s="241"/>
    </row>
    <row r="127" spans="5:6" x14ac:dyDescent="0.15">
      <c r="E127" s="241"/>
      <c r="F127" s="241"/>
    </row>
    <row r="128" spans="5:6" x14ac:dyDescent="0.15">
      <c r="E128" s="241"/>
      <c r="F128" s="241"/>
    </row>
    <row r="129" spans="5:6" x14ac:dyDescent="0.15">
      <c r="E129" s="241"/>
      <c r="F129" s="241"/>
    </row>
    <row r="130" spans="5:6" x14ac:dyDescent="0.15">
      <c r="E130" s="241"/>
      <c r="F130" s="241"/>
    </row>
    <row r="131" spans="5:6" x14ac:dyDescent="0.15">
      <c r="E131" s="241"/>
      <c r="F131" s="241"/>
    </row>
    <row r="132" spans="5:6" x14ac:dyDescent="0.15">
      <c r="E132" s="241"/>
      <c r="F132" s="241"/>
    </row>
    <row r="133" spans="5:6" x14ac:dyDescent="0.15">
      <c r="E133" s="241"/>
      <c r="F133" s="241"/>
    </row>
    <row r="134" spans="5:6" x14ac:dyDescent="0.15">
      <c r="E134" s="241"/>
      <c r="F134" s="241"/>
    </row>
    <row r="135" spans="5:6" x14ac:dyDescent="0.15">
      <c r="E135" s="241"/>
      <c r="F135" s="241"/>
    </row>
    <row r="136" spans="5:6" x14ac:dyDescent="0.15">
      <c r="E136" s="241"/>
      <c r="F136" s="241"/>
    </row>
    <row r="137" spans="5:6" x14ac:dyDescent="0.15">
      <c r="E137" s="241"/>
      <c r="F137" s="241"/>
    </row>
    <row r="138" spans="5:6" x14ac:dyDescent="0.15">
      <c r="E138" s="241"/>
      <c r="F138" s="241"/>
    </row>
    <row r="139" spans="5:6" x14ac:dyDescent="0.15">
      <c r="E139" s="241"/>
      <c r="F139" s="241"/>
    </row>
    <row r="140" spans="5:6" x14ac:dyDescent="0.15">
      <c r="E140" s="241"/>
      <c r="F140" s="241"/>
    </row>
    <row r="141" spans="5:6" x14ac:dyDescent="0.15">
      <c r="E141" s="241"/>
      <c r="F141" s="241"/>
    </row>
    <row r="142" spans="5:6" x14ac:dyDescent="0.15">
      <c r="E142" s="241"/>
      <c r="F142" s="241"/>
    </row>
    <row r="143" spans="5:6" x14ac:dyDescent="0.15">
      <c r="E143" s="241"/>
      <c r="F143" s="241"/>
    </row>
    <row r="144" spans="5:6" x14ac:dyDescent="0.15">
      <c r="E144" s="241"/>
      <c r="F144" s="241"/>
    </row>
    <row r="145" spans="5:6" x14ac:dyDescent="0.15">
      <c r="E145" s="241"/>
      <c r="F145" s="241"/>
    </row>
    <row r="146" spans="5:6" x14ac:dyDescent="0.15">
      <c r="E146" s="241"/>
      <c r="F146" s="241"/>
    </row>
    <row r="147" spans="5:6" x14ac:dyDescent="0.15">
      <c r="E147" s="241"/>
      <c r="F147" s="241"/>
    </row>
    <row r="148" spans="5:6" x14ac:dyDescent="0.15">
      <c r="E148" s="241"/>
      <c r="F148" s="241"/>
    </row>
    <row r="149" spans="5:6" x14ac:dyDescent="0.15">
      <c r="E149" s="241"/>
      <c r="F149" s="241"/>
    </row>
    <row r="150" spans="5:6" x14ac:dyDescent="0.15">
      <c r="E150" s="241"/>
      <c r="F150" s="241"/>
    </row>
    <row r="151" spans="5:6" x14ac:dyDescent="0.15">
      <c r="E151" s="241"/>
      <c r="F151" s="241"/>
    </row>
    <row r="152" spans="5:6" x14ac:dyDescent="0.15">
      <c r="E152" s="241"/>
      <c r="F152" s="241"/>
    </row>
    <row r="153" spans="5:6" x14ac:dyDescent="0.15">
      <c r="E153" s="241"/>
      <c r="F153" s="241"/>
    </row>
    <row r="154" spans="5:6" x14ac:dyDescent="0.15">
      <c r="E154" s="241"/>
      <c r="F154" s="241"/>
    </row>
    <row r="155" spans="5:6" x14ac:dyDescent="0.15">
      <c r="E155" s="241"/>
      <c r="F155" s="241"/>
    </row>
    <row r="156" spans="5:6" x14ac:dyDescent="0.15">
      <c r="E156" s="241"/>
      <c r="F156" s="241"/>
    </row>
    <row r="157" spans="5:6" x14ac:dyDescent="0.15">
      <c r="E157" s="241"/>
      <c r="F157" s="241"/>
    </row>
    <row r="158" spans="5:6" x14ac:dyDescent="0.15">
      <c r="E158" s="241"/>
      <c r="F158" s="241"/>
    </row>
    <row r="159" spans="5:6" x14ac:dyDescent="0.15">
      <c r="E159" s="241"/>
      <c r="F159" s="241"/>
    </row>
    <row r="160" spans="5:6" x14ac:dyDescent="0.15">
      <c r="E160" s="241"/>
      <c r="F160" s="241"/>
    </row>
    <row r="161" spans="5:6" x14ac:dyDescent="0.15">
      <c r="E161" s="241"/>
      <c r="F161" s="241"/>
    </row>
    <row r="162" spans="5:6" x14ac:dyDescent="0.15">
      <c r="E162" s="241"/>
      <c r="F162" s="241"/>
    </row>
    <row r="163" spans="5:6" x14ac:dyDescent="0.15">
      <c r="E163" s="241"/>
      <c r="F163" s="241"/>
    </row>
    <row r="164" spans="5:6" x14ac:dyDescent="0.15">
      <c r="E164" s="241"/>
      <c r="F164" s="241"/>
    </row>
    <row r="165" spans="5:6" x14ac:dyDescent="0.15">
      <c r="E165" s="241"/>
      <c r="F165" s="241"/>
    </row>
    <row r="166" spans="5:6" x14ac:dyDescent="0.15">
      <c r="E166" s="241"/>
      <c r="F166" s="241"/>
    </row>
    <row r="167" spans="5:6" x14ac:dyDescent="0.15">
      <c r="E167" s="241"/>
      <c r="F167" s="241"/>
    </row>
    <row r="168" spans="5:6" x14ac:dyDescent="0.15">
      <c r="E168" s="241"/>
      <c r="F168" s="241"/>
    </row>
    <row r="169" spans="5:6" x14ac:dyDescent="0.15">
      <c r="E169" s="241"/>
      <c r="F169" s="241"/>
    </row>
    <row r="170" spans="5:6" x14ac:dyDescent="0.15">
      <c r="E170" s="241"/>
      <c r="F170" s="241"/>
    </row>
    <row r="171" spans="5:6" x14ac:dyDescent="0.15">
      <c r="E171" s="241"/>
      <c r="F171" s="241"/>
    </row>
    <row r="172" spans="5:6" x14ac:dyDescent="0.15">
      <c r="E172" s="241"/>
      <c r="F172" s="241"/>
    </row>
    <row r="173" spans="5:6" x14ac:dyDescent="0.15">
      <c r="E173" s="241"/>
      <c r="F173" s="241"/>
    </row>
    <row r="174" spans="5:6" x14ac:dyDescent="0.15">
      <c r="E174" s="241"/>
      <c r="F174" s="241"/>
    </row>
    <row r="175" spans="5:6" x14ac:dyDescent="0.15">
      <c r="E175" s="241"/>
      <c r="F175" s="241"/>
    </row>
    <row r="176" spans="5:6" x14ac:dyDescent="0.15">
      <c r="E176" s="241"/>
      <c r="F176" s="241"/>
    </row>
    <row r="177" spans="5:6" x14ac:dyDescent="0.15">
      <c r="E177" s="241"/>
      <c r="F177" s="241"/>
    </row>
    <row r="178" spans="5:6" x14ac:dyDescent="0.15">
      <c r="E178" s="241"/>
      <c r="F178" s="241"/>
    </row>
    <row r="179" spans="5:6" x14ac:dyDescent="0.15">
      <c r="E179" s="241"/>
      <c r="F179" s="241"/>
    </row>
    <row r="180" spans="5:6" x14ac:dyDescent="0.15">
      <c r="E180" s="241"/>
      <c r="F180" s="241"/>
    </row>
    <row r="181" spans="5:6" x14ac:dyDescent="0.15">
      <c r="E181" s="241"/>
      <c r="F181" s="241"/>
    </row>
    <row r="182" spans="5:6" x14ac:dyDescent="0.15">
      <c r="E182" s="241"/>
      <c r="F182" s="241"/>
    </row>
    <row r="183" spans="5:6" x14ac:dyDescent="0.15">
      <c r="E183" s="241"/>
      <c r="F183" s="241"/>
    </row>
    <row r="184" spans="5:6" x14ac:dyDescent="0.15">
      <c r="E184" s="241"/>
      <c r="F184" s="241"/>
    </row>
    <row r="185" spans="5:6" x14ac:dyDescent="0.15">
      <c r="E185" s="241"/>
      <c r="F185" s="241"/>
    </row>
    <row r="186" spans="5:6" x14ac:dyDescent="0.15">
      <c r="E186" s="241"/>
      <c r="F186" s="241"/>
    </row>
    <row r="187" spans="5:6" x14ac:dyDescent="0.15">
      <c r="E187" s="241"/>
      <c r="F187" s="241"/>
    </row>
    <row r="188" spans="5:6" x14ac:dyDescent="0.15">
      <c r="E188" s="241"/>
      <c r="F188" s="241"/>
    </row>
    <row r="189" spans="5:6" x14ac:dyDescent="0.15">
      <c r="E189" s="241"/>
      <c r="F189" s="241"/>
    </row>
    <row r="190" spans="5:6" x14ac:dyDescent="0.15">
      <c r="E190" s="241"/>
      <c r="F190" s="241"/>
    </row>
    <row r="191" spans="5:6" x14ac:dyDescent="0.15">
      <c r="E191" s="241"/>
      <c r="F191" s="241"/>
    </row>
    <row r="192" spans="5:6" x14ac:dyDescent="0.15">
      <c r="E192" s="241"/>
      <c r="F192" s="241"/>
    </row>
    <row r="193" spans="5:6" x14ac:dyDescent="0.15">
      <c r="E193" s="241"/>
      <c r="F193" s="241"/>
    </row>
    <row r="194" spans="5:6" x14ac:dyDescent="0.15">
      <c r="E194" s="241"/>
      <c r="F194" s="241"/>
    </row>
    <row r="195" spans="5:6" x14ac:dyDescent="0.15">
      <c r="E195" s="241"/>
      <c r="F195" s="241"/>
    </row>
    <row r="196" spans="5:6" x14ac:dyDescent="0.15">
      <c r="E196" s="241"/>
      <c r="F196" s="241"/>
    </row>
    <row r="197" spans="5:6" x14ac:dyDescent="0.15">
      <c r="E197" s="241"/>
      <c r="F197" s="241"/>
    </row>
    <row r="198" spans="5:6" x14ac:dyDescent="0.15">
      <c r="E198" s="241"/>
      <c r="F198" s="241"/>
    </row>
    <row r="199" spans="5:6" x14ac:dyDescent="0.15">
      <c r="E199" s="241"/>
      <c r="F199" s="241"/>
    </row>
    <row r="200" spans="5:6" x14ac:dyDescent="0.15">
      <c r="E200" s="241"/>
      <c r="F200" s="241"/>
    </row>
    <row r="201" spans="5:6" x14ac:dyDescent="0.15">
      <c r="E201" s="241"/>
      <c r="F201" s="241"/>
    </row>
    <row r="202" spans="5:6" x14ac:dyDescent="0.15">
      <c r="E202" s="241"/>
      <c r="F202" s="241"/>
    </row>
    <row r="203" spans="5:6" x14ac:dyDescent="0.15">
      <c r="E203" s="241"/>
      <c r="F203" s="241"/>
    </row>
    <row r="204" spans="5:6" x14ac:dyDescent="0.15">
      <c r="E204" s="241"/>
      <c r="F204" s="241"/>
    </row>
    <row r="205" spans="5:6" x14ac:dyDescent="0.15">
      <c r="E205" s="241"/>
      <c r="F205" s="241"/>
    </row>
    <row r="206" spans="5:6" x14ac:dyDescent="0.15">
      <c r="E206" s="241"/>
      <c r="F206" s="241"/>
    </row>
    <row r="207" spans="5:6" x14ac:dyDescent="0.15">
      <c r="E207" s="241"/>
      <c r="F207" s="241"/>
    </row>
    <row r="208" spans="5:6" x14ac:dyDescent="0.15">
      <c r="E208" s="241"/>
      <c r="F208" s="241"/>
    </row>
    <row r="209" spans="5:6" x14ac:dyDescent="0.15">
      <c r="E209" s="241"/>
      <c r="F209" s="241"/>
    </row>
    <row r="210" spans="5:6" x14ac:dyDescent="0.15">
      <c r="E210" s="241"/>
      <c r="F210" s="241"/>
    </row>
    <row r="211" spans="5:6" x14ac:dyDescent="0.15">
      <c r="E211" s="241"/>
      <c r="F211" s="241"/>
    </row>
    <row r="212" spans="5:6" x14ac:dyDescent="0.15">
      <c r="E212" s="241"/>
      <c r="F212" s="241"/>
    </row>
    <row r="213" spans="5:6" x14ac:dyDescent="0.15">
      <c r="E213" s="241"/>
      <c r="F213" s="241"/>
    </row>
    <row r="214" spans="5:6" x14ac:dyDescent="0.15">
      <c r="E214" s="241"/>
      <c r="F214" s="241"/>
    </row>
    <row r="215" spans="5:6" x14ac:dyDescent="0.15">
      <c r="E215" s="241"/>
      <c r="F215" s="241"/>
    </row>
    <row r="216" spans="5:6" x14ac:dyDescent="0.15">
      <c r="E216" s="241"/>
      <c r="F216" s="241"/>
    </row>
    <row r="217" spans="5:6" x14ac:dyDescent="0.15">
      <c r="E217" s="241"/>
      <c r="F217" s="241"/>
    </row>
    <row r="218" spans="5:6" x14ac:dyDescent="0.15">
      <c r="E218" s="241"/>
      <c r="F218" s="241"/>
    </row>
    <row r="219" spans="5:6" x14ac:dyDescent="0.15">
      <c r="E219" s="241"/>
      <c r="F219" s="241"/>
    </row>
    <row r="220" spans="5:6" x14ac:dyDescent="0.15">
      <c r="E220" s="241"/>
      <c r="F220" s="241"/>
    </row>
    <row r="221" spans="5:6" x14ac:dyDescent="0.15">
      <c r="E221" s="241"/>
      <c r="F221" s="241"/>
    </row>
    <row r="222" spans="5:6" x14ac:dyDescent="0.15">
      <c r="E222" s="241"/>
      <c r="F222" s="241"/>
    </row>
    <row r="223" spans="5:6" x14ac:dyDescent="0.15">
      <c r="E223" s="241"/>
      <c r="F223" s="241"/>
    </row>
    <row r="224" spans="5:6" x14ac:dyDescent="0.15">
      <c r="E224" s="241"/>
      <c r="F224" s="241"/>
    </row>
    <row r="225" spans="5:6" x14ac:dyDescent="0.15">
      <c r="E225" s="241"/>
      <c r="F225" s="241"/>
    </row>
    <row r="226" spans="5:6" x14ac:dyDescent="0.15">
      <c r="E226" s="241"/>
      <c r="F226" s="241"/>
    </row>
    <row r="227" spans="5:6" x14ac:dyDescent="0.15">
      <c r="E227" s="241"/>
      <c r="F227" s="241"/>
    </row>
    <row r="228" spans="5:6" x14ac:dyDescent="0.15">
      <c r="E228" s="241"/>
      <c r="F228" s="241"/>
    </row>
    <row r="229" spans="5:6" x14ac:dyDescent="0.15">
      <c r="E229" s="241"/>
      <c r="F229" s="241"/>
    </row>
    <row r="230" spans="5:6" x14ac:dyDescent="0.15">
      <c r="E230" s="241"/>
      <c r="F230" s="241"/>
    </row>
    <row r="231" spans="5:6" x14ac:dyDescent="0.15">
      <c r="E231" s="241"/>
      <c r="F231" s="241"/>
    </row>
    <row r="232" spans="5:6" x14ac:dyDescent="0.15">
      <c r="E232" s="241"/>
      <c r="F232" s="241"/>
    </row>
    <row r="233" spans="5:6" x14ac:dyDescent="0.15">
      <c r="E233" s="241"/>
      <c r="F233" s="241"/>
    </row>
    <row r="234" spans="5:6" x14ac:dyDescent="0.15">
      <c r="E234" s="241"/>
      <c r="F234" s="241"/>
    </row>
    <row r="235" spans="5:6" x14ac:dyDescent="0.15">
      <c r="E235" s="241"/>
      <c r="F235" s="241"/>
    </row>
    <row r="236" spans="5:6" x14ac:dyDescent="0.15">
      <c r="E236" s="241"/>
      <c r="F236" s="241"/>
    </row>
    <row r="237" spans="5:6" x14ac:dyDescent="0.15">
      <c r="E237" s="241"/>
      <c r="F237" s="241"/>
    </row>
    <row r="238" spans="5:6" x14ac:dyDescent="0.15">
      <c r="E238" s="241"/>
      <c r="F238" s="241"/>
    </row>
    <row r="239" spans="5:6" x14ac:dyDescent="0.15">
      <c r="E239" s="241"/>
      <c r="F239" s="241"/>
    </row>
    <row r="240" spans="5:6" x14ac:dyDescent="0.15">
      <c r="E240" s="241"/>
      <c r="F240" s="241"/>
    </row>
    <row r="241" spans="5:6" x14ac:dyDescent="0.15">
      <c r="E241" s="241"/>
      <c r="F241" s="241"/>
    </row>
    <row r="242" spans="5:6" x14ac:dyDescent="0.15">
      <c r="E242" s="241"/>
      <c r="F242" s="241"/>
    </row>
    <row r="243" spans="5:6" x14ac:dyDescent="0.15">
      <c r="E243" s="241"/>
      <c r="F243" s="241"/>
    </row>
    <row r="244" spans="5:6" x14ac:dyDescent="0.15">
      <c r="E244" s="241"/>
      <c r="F244" s="241"/>
    </row>
    <row r="245" spans="5:6" x14ac:dyDescent="0.15">
      <c r="E245" s="241"/>
      <c r="F245" s="241"/>
    </row>
    <row r="246" spans="5:6" x14ac:dyDescent="0.15">
      <c r="E246" s="241"/>
      <c r="F246" s="241"/>
    </row>
    <row r="247" spans="5:6" x14ac:dyDescent="0.15">
      <c r="E247" s="241"/>
      <c r="F247" s="241"/>
    </row>
    <row r="248" spans="5:6" x14ac:dyDescent="0.15">
      <c r="E248" s="241"/>
      <c r="F248" s="241"/>
    </row>
    <row r="249" spans="5:6" x14ac:dyDescent="0.15">
      <c r="E249" s="241"/>
      <c r="F249" s="241"/>
    </row>
    <row r="250" spans="5:6" x14ac:dyDescent="0.15">
      <c r="E250" s="241"/>
      <c r="F250" s="241"/>
    </row>
    <row r="251" spans="5:6" x14ac:dyDescent="0.15">
      <c r="E251" s="241"/>
      <c r="F251" s="241"/>
    </row>
    <row r="252" spans="5:6" x14ac:dyDescent="0.15">
      <c r="E252" s="241"/>
      <c r="F252" s="241"/>
    </row>
    <row r="253" spans="5:6" x14ac:dyDescent="0.15">
      <c r="E253" s="241"/>
      <c r="F253" s="241"/>
    </row>
    <row r="254" spans="5:6" x14ac:dyDescent="0.15">
      <c r="E254" s="241"/>
      <c r="F254" s="241"/>
    </row>
    <row r="255" spans="5:6" x14ac:dyDescent="0.15">
      <c r="E255" s="241"/>
      <c r="F255" s="241"/>
    </row>
    <row r="256" spans="5:6" x14ac:dyDescent="0.15">
      <c r="E256" s="241"/>
      <c r="F256" s="241"/>
    </row>
    <row r="257" spans="5:6" x14ac:dyDescent="0.15">
      <c r="E257" s="241"/>
      <c r="F257" s="241"/>
    </row>
    <row r="258" spans="5:6" x14ac:dyDescent="0.15">
      <c r="E258" s="241"/>
      <c r="F258" s="241"/>
    </row>
    <row r="259" spans="5:6" x14ac:dyDescent="0.15">
      <c r="E259" s="241"/>
      <c r="F259" s="241"/>
    </row>
    <row r="260" spans="5:6" x14ac:dyDescent="0.15">
      <c r="E260" s="241"/>
      <c r="F260" s="241"/>
    </row>
    <row r="261" spans="5:6" x14ac:dyDescent="0.15">
      <c r="E261" s="241"/>
      <c r="F261" s="241"/>
    </row>
    <row r="262" spans="5:6" x14ac:dyDescent="0.15">
      <c r="E262" s="241"/>
      <c r="F262" s="241"/>
    </row>
    <row r="263" spans="5:6" x14ac:dyDescent="0.15">
      <c r="E263" s="241"/>
      <c r="F263" s="241"/>
    </row>
    <row r="264" spans="5:6" x14ac:dyDescent="0.15">
      <c r="E264" s="241"/>
      <c r="F264" s="241"/>
    </row>
    <row r="265" spans="5:6" x14ac:dyDescent="0.15">
      <c r="E265" s="241"/>
      <c r="F265" s="241"/>
    </row>
    <row r="266" spans="5:6" x14ac:dyDescent="0.15">
      <c r="E266" s="241"/>
      <c r="F266" s="241"/>
    </row>
    <row r="267" spans="5:6" x14ac:dyDescent="0.15">
      <c r="E267" s="241"/>
      <c r="F267" s="241"/>
    </row>
    <row r="268" spans="5:6" x14ac:dyDescent="0.15">
      <c r="E268" s="241"/>
      <c r="F268" s="241"/>
    </row>
    <row r="269" spans="5:6" x14ac:dyDescent="0.15">
      <c r="E269" s="241"/>
      <c r="F269" s="241"/>
    </row>
    <row r="270" spans="5:6" x14ac:dyDescent="0.15">
      <c r="E270" s="241"/>
      <c r="F270" s="241"/>
    </row>
    <row r="271" spans="5:6" x14ac:dyDescent="0.15">
      <c r="E271" s="241"/>
      <c r="F271" s="241"/>
    </row>
    <row r="272" spans="5:6" x14ac:dyDescent="0.15">
      <c r="E272" s="241"/>
      <c r="F272" s="241"/>
    </row>
    <row r="273" spans="5:6" x14ac:dyDescent="0.15">
      <c r="E273" s="241"/>
      <c r="F273" s="241"/>
    </row>
    <row r="274" spans="5:6" x14ac:dyDescent="0.15">
      <c r="E274" s="241"/>
      <c r="F274" s="241"/>
    </row>
    <row r="275" spans="5:6" x14ac:dyDescent="0.15">
      <c r="E275" s="241"/>
      <c r="F275" s="241"/>
    </row>
    <row r="276" spans="5:6" x14ac:dyDescent="0.15">
      <c r="E276" s="241"/>
      <c r="F276" s="241"/>
    </row>
    <row r="277" spans="5:6" x14ac:dyDescent="0.15">
      <c r="E277" s="241"/>
      <c r="F277" s="241"/>
    </row>
    <row r="278" spans="5:6" x14ac:dyDescent="0.15">
      <c r="E278" s="241"/>
      <c r="F278" s="241"/>
    </row>
    <row r="279" spans="5:6" x14ac:dyDescent="0.15">
      <c r="E279" s="241"/>
      <c r="F279" s="241"/>
    </row>
    <row r="280" spans="5:6" x14ac:dyDescent="0.15">
      <c r="E280" s="241"/>
      <c r="F280" s="241"/>
    </row>
    <row r="281" spans="5:6" x14ac:dyDescent="0.15">
      <c r="E281" s="241"/>
      <c r="F281" s="241"/>
    </row>
    <row r="282" spans="5:6" x14ac:dyDescent="0.15">
      <c r="E282" s="241"/>
      <c r="F282" s="241"/>
    </row>
    <row r="283" spans="5:6" x14ac:dyDescent="0.15">
      <c r="E283" s="241"/>
      <c r="F283" s="241"/>
    </row>
    <row r="284" spans="5:6" x14ac:dyDescent="0.15">
      <c r="E284" s="241"/>
      <c r="F284" s="241"/>
    </row>
    <row r="285" spans="5:6" x14ac:dyDescent="0.15">
      <c r="E285" s="241"/>
      <c r="F285" s="241"/>
    </row>
    <row r="286" spans="5:6" x14ac:dyDescent="0.15">
      <c r="E286" s="241"/>
      <c r="F286" s="241"/>
    </row>
    <row r="287" spans="5:6" x14ac:dyDescent="0.15">
      <c r="E287" s="241"/>
      <c r="F287" s="241"/>
    </row>
    <row r="288" spans="5:6" x14ac:dyDescent="0.15">
      <c r="E288" s="241"/>
      <c r="F288" s="241"/>
    </row>
    <row r="289" spans="5:6" x14ac:dyDescent="0.15">
      <c r="E289" s="241"/>
      <c r="F289" s="241"/>
    </row>
    <row r="290" spans="5:6" x14ac:dyDescent="0.15">
      <c r="E290" s="241"/>
      <c r="F290" s="241"/>
    </row>
    <row r="291" spans="5:6" x14ac:dyDescent="0.15">
      <c r="E291" s="241"/>
      <c r="F291" s="241"/>
    </row>
    <row r="292" spans="5:6" x14ac:dyDescent="0.15">
      <c r="E292" s="241"/>
      <c r="F292" s="241"/>
    </row>
    <row r="293" spans="5:6" x14ac:dyDescent="0.15">
      <c r="E293" s="241"/>
      <c r="F293" s="241"/>
    </row>
    <row r="294" spans="5:6" x14ac:dyDescent="0.15">
      <c r="E294" s="241"/>
      <c r="F294" s="241"/>
    </row>
    <row r="295" spans="5:6" x14ac:dyDescent="0.15">
      <c r="E295" s="241"/>
      <c r="F295" s="241"/>
    </row>
    <row r="296" spans="5:6" x14ac:dyDescent="0.15">
      <c r="E296" s="241"/>
      <c r="F296" s="241"/>
    </row>
    <row r="297" spans="5:6" x14ac:dyDescent="0.15">
      <c r="E297" s="241"/>
      <c r="F297" s="241"/>
    </row>
    <row r="298" spans="5:6" x14ac:dyDescent="0.15">
      <c r="E298" s="241"/>
      <c r="F298" s="241"/>
    </row>
    <row r="299" spans="5:6" x14ac:dyDescent="0.15">
      <c r="E299" s="241"/>
      <c r="F299" s="241"/>
    </row>
    <row r="300" spans="5:6" x14ac:dyDescent="0.15">
      <c r="E300" s="241"/>
      <c r="F300" s="241"/>
    </row>
    <row r="301" spans="5:6" x14ac:dyDescent="0.15">
      <c r="E301" s="241"/>
      <c r="F301" s="241"/>
    </row>
    <row r="302" spans="5:6" x14ac:dyDescent="0.15">
      <c r="E302" s="241"/>
      <c r="F302" s="241"/>
    </row>
    <row r="303" spans="5:6" x14ac:dyDescent="0.15">
      <c r="E303" s="241"/>
      <c r="F303" s="241"/>
    </row>
    <row r="304" spans="5:6" x14ac:dyDescent="0.15">
      <c r="E304" s="241"/>
      <c r="F304" s="241"/>
    </row>
    <row r="305" spans="5:6" x14ac:dyDescent="0.15">
      <c r="E305" s="241"/>
      <c r="F305" s="241"/>
    </row>
    <row r="306" spans="5:6" x14ac:dyDescent="0.15">
      <c r="E306" s="241"/>
      <c r="F306" s="241"/>
    </row>
    <row r="307" spans="5:6" x14ac:dyDescent="0.15">
      <c r="E307" s="241"/>
      <c r="F307" s="241"/>
    </row>
    <row r="308" spans="5:6" x14ac:dyDescent="0.15">
      <c r="E308" s="241"/>
      <c r="F308" s="241"/>
    </row>
    <row r="309" spans="5:6" x14ac:dyDescent="0.15">
      <c r="E309" s="241"/>
      <c r="F309" s="241"/>
    </row>
    <row r="310" spans="5:6" x14ac:dyDescent="0.15">
      <c r="E310" s="241"/>
      <c r="F310" s="241"/>
    </row>
    <row r="311" spans="5:6" x14ac:dyDescent="0.15">
      <c r="E311" s="241"/>
      <c r="F311" s="241"/>
    </row>
    <row r="312" spans="5:6" x14ac:dyDescent="0.15">
      <c r="E312" s="241"/>
      <c r="F312" s="241"/>
    </row>
    <row r="313" spans="5:6" x14ac:dyDescent="0.15">
      <c r="E313" s="241"/>
      <c r="F313" s="241"/>
    </row>
    <row r="314" spans="5:6" x14ac:dyDescent="0.15">
      <c r="E314" s="241"/>
      <c r="F314" s="241"/>
    </row>
    <row r="315" spans="5:6" x14ac:dyDescent="0.15">
      <c r="E315" s="241"/>
      <c r="F315" s="241"/>
    </row>
    <row r="316" spans="5:6" x14ac:dyDescent="0.15">
      <c r="E316" s="241"/>
      <c r="F316" s="241"/>
    </row>
    <row r="317" spans="5:6" x14ac:dyDescent="0.15">
      <c r="E317" s="241"/>
      <c r="F317" s="241"/>
    </row>
    <row r="318" spans="5:6" x14ac:dyDescent="0.15">
      <c r="E318" s="241"/>
      <c r="F318" s="241"/>
    </row>
    <row r="319" spans="5:6" x14ac:dyDescent="0.15">
      <c r="E319" s="241"/>
      <c r="F319" s="241"/>
    </row>
    <row r="320" spans="5:6" x14ac:dyDescent="0.15">
      <c r="E320" s="241"/>
      <c r="F320" s="241"/>
    </row>
    <row r="321" spans="5:6" x14ac:dyDescent="0.15">
      <c r="E321" s="241"/>
      <c r="F321" s="241"/>
    </row>
    <row r="322" spans="5:6" x14ac:dyDescent="0.15">
      <c r="E322" s="241"/>
      <c r="F322" s="241"/>
    </row>
    <row r="323" spans="5:6" x14ac:dyDescent="0.15">
      <c r="E323" s="241"/>
      <c r="F323" s="241"/>
    </row>
    <row r="324" spans="5:6" x14ac:dyDescent="0.15">
      <c r="E324" s="241"/>
      <c r="F324" s="241"/>
    </row>
    <row r="325" spans="5:6" x14ac:dyDescent="0.15">
      <c r="E325" s="241"/>
      <c r="F325" s="241"/>
    </row>
    <row r="326" spans="5:6" x14ac:dyDescent="0.15">
      <c r="E326" s="241"/>
      <c r="F326" s="241"/>
    </row>
    <row r="327" spans="5:6" x14ac:dyDescent="0.15">
      <c r="E327" s="241"/>
      <c r="F327" s="241"/>
    </row>
    <row r="328" spans="5:6" x14ac:dyDescent="0.15">
      <c r="E328" s="241"/>
      <c r="F328" s="241"/>
    </row>
    <row r="329" spans="5:6" x14ac:dyDescent="0.15">
      <c r="E329" s="241"/>
      <c r="F329" s="241"/>
    </row>
    <row r="330" spans="5:6" x14ac:dyDescent="0.15">
      <c r="E330" s="241"/>
      <c r="F330" s="241"/>
    </row>
    <row r="331" spans="5:6" x14ac:dyDescent="0.15">
      <c r="E331" s="241"/>
      <c r="F331" s="241"/>
    </row>
    <row r="332" spans="5:6" x14ac:dyDescent="0.15">
      <c r="E332" s="241"/>
      <c r="F332" s="241"/>
    </row>
    <row r="333" spans="5:6" x14ac:dyDescent="0.15">
      <c r="E333" s="241"/>
      <c r="F333" s="241"/>
    </row>
    <row r="334" spans="5:6" x14ac:dyDescent="0.15">
      <c r="E334" s="241"/>
      <c r="F334" s="241"/>
    </row>
    <row r="335" spans="5:6" x14ac:dyDescent="0.15">
      <c r="E335" s="241"/>
      <c r="F335" s="241"/>
    </row>
    <row r="336" spans="5:6" x14ac:dyDescent="0.15">
      <c r="E336" s="241"/>
      <c r="F336" s="241"/>
    </row>
    <row r="337" spans="5:6" x14ac:dyDescent="0.15">
      <c r="E337" s="241"/>
      <c r="F337" s="241"/>
    </row>
    <row r="338" spans="5:6" x14ac:dyDescent="0.15">
      <c r="E338" s="241"/>
      <c r="F338" s="241"/>
    </row>
    <row r="339" spans="5:6" x14ac:dyDescent="0.15">
      <c r="E339" s="241"/>
      <c r="F339" s="241"/>
    </row>
    <row r="340" spans="5:6" x14ac:dyDescent="0.15">
      <c r="E340" s="241"/>
      <c r="F340" s="241"/>
    </row>
    <row r="341" spans="5:6" x14ac:dyDescent="0.15">
      <c r="E341" s="241"/>
      <c r="F341" s="241"/>
    </row>
    <row r="342" spans="5:6" x14ac:dyDescent="0.15">
      <c r="E342" s="241"/>
      <c r="F342" s="241"/>
    </row>
    <row r="343" spans="5:6" x14ac:dyDescent="0.15">
      <c r="E343" s="241"/>
      <c r="F343" s="241"/>
    </row>
    <row r="344" spans="5:6" x14ac:dyDescent="0.15">
      <c r="E344" s="241"/>
      <c r="F344" s="241"/>
    </row>
    <row r="345" spans="5:6" x14ac:dyDescent="0.15">
      <c r="E345" s="241"/>
      <c r="F345" s="241"/>
    </row>
    <row r="346" spans="5:6" x14ac:dyDescent="0.15">
      <c r="E346" s="241"/>
      <c r="F346" s="241"/>
    </row>
    <row r="347" spans="5:6" x14ac:dyDescent="0.15">
      <c r="E347" s="241"/>
      <c r="F347" s="241"/>
    </row>
    <row r="348" spans="5:6" x14ac:dyDescent="0.15">
      <c r="E348" s="241"/>
      <c r="F348" s="241"/>
    </row>
    <row r="349" spans="5:6" x14ac:dyDescent="0.15">
      <c r="E349" s="241"/>
      <c r="F349" s="241"/>
    </row>
    <row r="350" spans="5:6" x14ac:dyDescent="0.15">
      <c r="E350" s="241"/>
      <c r="F350" s="241"/>
    </row>
    <row r="351" spans="5:6" x14ac:dyDescent="0.15">
      <c r="E351" s="241"/>
      <c r="F351" s="241"/>
    </row>
    <row r="352" spans="5:6" x14ac:dyDescent="0.15">
      <c r="E352" s="241"/>
      <c r="F352" s="241"/>
    </row>
    <row r="353" spans="5:6" x14ac:dyDescent="0.15">
      <c r="E353" s="241"/>
      <c r="F353" s="241"/>
    </row>
    <row r="354" spans="5:6" x14ac:dyDescent="0.15">
      <c r="E354" s="241"/>
      <c r="F354" s="241"/>
    </row>
    <row r="355" spans="5:6" x14ac:dyDescent="0.15">
      <c r="E355" s="241"/>
      <c r="F355" s="241"/>
    </row>
    <row r="356" spans="5:6" x14ac:dyDescent="0.15">
      <c r="E356" s="241"/>
      <c r="F356" s="241"/>
    </row>
    <row r="357" spans="5:6" x14ac:dyDescent="0.15">
      <c r="E357" s="241"/>
      <c r="F357" s="241"/>
    </row>
    <row r="358" spans="5:6" x14ac:dyDescent="0.15">
      <c r="E358" s="241"/>
      <c r="F358" s="241"/>
    </row>
    <row r="359" spans="5:6" x14ac:dyDescent="0.15">
      <c r="E359" s="241"/>
      <c r="F359" s="241"/>
    </row>
    <row r="360" spans="5:6" x14ac:dyDescent="0.15">
      <c r="E360" s="241"/>
      <c r="F360" s="241"/>
    </row>
    <row r="361" spans="5:6" x14ac:dyDescent="0.15">
      <c r="E361" s="241"/>
      <c r="F361" s="241"/>
    </row>
    <row r="362" spans="5:6" x14ac:dyDescent="0.15">
      <c r="E362" s="241"/>
      <c r="F362" s="241"/>
    </row>
    <row r="363" spans="5:6" x14ac:dyDescent="0.15">
      <c r="E363" s="241"/>
      <c r="F363" s="241"/>
    </row>
    <row r="364" spans="5:6" x14ac:dyDescent="0.15">
      <c r="E364" s="241"/>
      <c r="F364" s="241"/>
    </row>
    <row r="365" spans="5:6" x14ac:dyDescent="0.15">
      <c r="E365" s="241"/>
      <c r="F365" s="241"/>
    </row>
    <row r="366" spans="5:6" x14ac:dyDescent="0.15">
      <c r="E366" s="241"/>
      <c r="F366" s="241"/>
    </row>
    <row r="367" spans="5:6" x14ac:dyDescent="0.15">
      <c r="E367" s="241"/>
      <c r="F367" s="241"/>
    </row>
    <row r="368" spans="5:6" x14ac:dyDescent="0.15">
      <c r="E368" s="241"/>
      <c r="F368" s="241"/>
    </row>
    <row r="369" spans="5:6" x14ac:dyDescent="0.15">
      <c r="E369" s="241"/>
      <c r="F369" s="241"/>
    </row>
    <row r="370" spans="5:6" x14ac:dyDescent="0.15">
      <c r="E370" s="241"/>
      <c r="F370" s="241"/>
    </row>
    <row r="371" spans="5:6" x14ac:dyDescent="0.15">
      <c r="E371" s="241"/>
      <c r="F371" s="241"/>
    </row>
    <row r="372" spans="5:6" x14ac:dyDescent="0.15">
      <c r="E372" s="241"/>
      <c r="F372" s="241"/>
    </row>
    <row r="373" spans="5:6" x14ac:dyDescent="0.15">
      <c r="E373" s="241"/>
      <c r="F373" s="241"/>
    </row>
    <row r="374" spans="5:6" x14ac:dyDescent="0.15">
      <c r="E374" s="241"/>
      <c r="F374" s="241"/>
    </row>
    <row r="375" spans="5:6" x14ac:dyDescent="0.15">
      <c r="E375" s="241"/>
      <c r="F375" s="241"/>
    </row>
    <row r="376" spans="5:6" x14ac:dyDescent="0.15">
      <c r="E376" s="241"/>
      <c r="F376" s="241"/>
    </row>
    <row r="377" spans="5:6" x14ac:dyDescent="0.15">
      <c r="E377" s="241"/>
      <c r="F377" s="241"/>
    </row>
    <row r="378" spans="5:6" x14ac:dyDescent="0.15">
      <c r="E378" s="241"/>
      <c r="F378" s="241"/>
    </row>
    <row r="379" spans="5:6" x14ac:dyDescent="0.15">
      <c r="E379" s="241"/>
      <c r="F379" s="241"/>
    </row>
    <row r="380" spans="5:6" x14ac:dyDescent="0.15">
      <c r="E380" s="241"/>
      <c r="F380" s="241"/>
    </row>
    <row r="381" spans="5:6" x14ac:dyDescent="0.15">
      <c r="E381" s="241"/>
      <c r="F381" s="241"/>
    </row>
    <row r="382" spans="5:6" x14ac:dyDescent="0.15">
      <c r="E382" s="241"/>
      <c r="F382" s="241"/>
    </row>
    <row r="383" spans="5:6" x14ac:dyDescent="0.15">
      <c r="E383" s="241"/>
      <c r="F383" s="241"/>
    </row>
    <row r="384" spans="5:6" x14ac:dyDescent="0.15">
      <c r="E384" s="241"/>
      <c r="F384" s="241"/>
    </row>
    <row r="385" spans="5:6" x14ac:dyDescent="0.15">
      <c r="E385" s="241"/>
      <c r="F385" s="241"/>
    </row>
    <row r="386" spans="5:6" x14ac:dyDescent="0.15">
      <c r="E386" s="241"/>
      <c r="F386" s="241"/>
    </row>
    <row r="387" spans="5:6" x14ac:dyDescent="0.15">
      <c r="E387" s="241"/>
      <c r="F387" s="241"/>
    </row>
    <row r="388" spans="5:6" x14ac:dyDescent="0.15">
      <c r="E388" s="241"/>
      <c r="F388" s="241"/>
    </row>
    <row r="389" spans="5:6" x14ac:dyDescent="0.15">
      <c r="E389" s="241"/>
      <c r="F389" s="241"/>
    </row>
    <row r="390" spans="5:6" x14ac:dyDescent="0.15">
      <c r="E390" s="241"/>
      <c r="F390" s="241"/>
    </row>
    <row r="391" spans="5:6" x14ac:dyDescent="0.15">
      <c r="E391" s="241"/>
      <c r="F391" s="241"/>
    </row>
    <row r="392" spans="5:6" x14ac:dyDescent="0.15">
      <c r="E392" s="241"/>
      <c r="F392" s="241"/>
    </row>
    <row r="393" spans="5:6" x14ac:dyDescent="0.15">
      <c r="E393" s="241"/>
      <c r="F393" s="241"/>
    </row>
    <row r="394" spans="5:6" x14ac:dyDescent="0.15">
      <c r="E394" s="241"/>
      <c r="F394" s="241"/>
    </row>
    <row r="395" spans="5:6" x14ac:dyDescent="0.15">
      <c r="E395" s="241"/>
      <c r="F395" s="241"/>
    </row>
    <row r="396" spans="5:6" x14ac:dyDescent="0.15">
      <c r="E396" s="241"/>
      <c r="F396" s="241"/>
    </row>
    <row r="397" spans="5:6" x14ac:dyDescent="0.15">
      <c r="E397" s="241"/>
      <c r="F397" s="241"/>
    </row>
    <row r="398" spans="5:6" x14ac:dyDescent="0.15">
      <c r="E398" s="241"/>
      <c r="F398" s="241"/>
    </row>
    <row r="399" spans="5:6" x14ac:dyDescent="0.15">
      <c r="E399" s="241"/>
      <c r="F399" s="241"/>
    </row>
    <row r="400" spans="5:6" x14ac:dyDescent="0.15">
      <c r="E400" s="241"/>
      <c r="F400" s="241"/>
    </row>
    <row r="401" spans="5:6" x14ac:dyDescent="0.15">
      <c r="E401" s="241"/>
      <c r="F401" s="241"/>
    </row>
    <row r="402" spans="5:6" x14ac:dyDescent="0.15">
      <c r="E402" s="241"/>
      <c r="F402" s="241"/>
    </row>
    <row r="403" spans="5:6" x14ac:dyDescent="0.15">
      <c r="E403" s="241"/>
      <c r="F403" s="241"/>
    </row>
    <row r="404" spans="5:6" x14ac:dyDescent="0.15">
      <c r="E404" s="241"/>
      <c r="F404" s="241"/>
    </row>
    <row r="405" spans="5:6" x14ac:dyDescent="0.15">
      <c r="E405" s="241"/>
      <c r="F405" s="241"/>
    </row>
    <row r="406" spans="5:6" x14ac:dyDescent="0.15">
      <c r="E406" s="241"/>
      <c r="F406" s="241"/>
    </row>
    <row r="407" spans="5:6" x14ac:dyDescent="0.15">
      <c r="E407" s="241"/>
      <c r="F407" s="241"/>
    </row>
    <row r="408" spans="5:6" x14ac:dyDescent="0.15">
      <c r="E408" s="241"/>
      <c r="F408" s="241"/>
    </row>
    <row r="409" spans="5:6" x14ac:dyDescent="0.15">
      <c r="E409" s="241"/>
      <c r="F409" s="241"/>
    </row>
    <row r="410" spans="5:6" x14ac:dyDescent="0.15">
      <c r="E410" s="241"/>
      <c r="F410" s="241"/>
    </row>
    <row r="411" spans="5:6" x14ac:dyDescent="0.15">
      <c r="E411" s="241"/>
      <c r="F411" s="241"/>
    </row>
    <row r="412" spans="5:6" x14ac:dyDescent="0.15">
      <c r="E412" s="241"/>
      <c r="F412" s="241"/>
    </row>
    <row r="413" spans="5:6" x14ac:dyDescent="0.15">
      <c r="E413" s="241"/>
      <c r="F413" s="241"/>
    </row>
    <row r="414" spans="5:6" x14ac:dyDescent="0.15">
      <c r="E414" s="241"/>
      <c r="F414" s="241"/>
    </row>
    <row r="415" spans="5:6" x14ac:dyDescent="0.15">
      <c r="E415" s="241"/>
      <c r="F415" s="241"/>
    </row>
    <row r="416" spans="5:6" x14ac:dyDescent="0.15">
      <c r="E416" s="241"/>
      <c r="F416" s="241"/>
    </row>
    <row r="417" spans="5:6" x14ac:dyDescent="0.15">
      <c r="E417" s="241"/>
      <c r="F417" s="241"/>
    </row>
    <row r="418" spans="5:6" x14ac:dyDescent="0.15">
      <c r="E418" s="241"/>
      <c r="F418" s="241"/>
    </row>
    <row r="419" spans="5:6" x14ac:dyDescent="0.15">
      <c r="E419" s="241"/>
      <c r="F419" s="241"/>
    </row>
    <row r="420" spans="5:6" x14ac:dyDescent="0.15">
      <c r="E420" s="241"/>
      <c r="F420" s="241"/>
    </row>
    <row r="421" spans="5:6" x14ac:dyDescent="0.15">
      <c r="E421" s="241"/>
      <c r="F421" s="241"/>
    </row>
    <row r="422" spans="5:6" x14ac:dyDescent="0.15">
      <c r="E422" s="241"/>
      <c r="F422" s="241"/>
    </row>
    <row r="423" spans="5:6" x14ac:dyDescent="0.15">
      <c r="E423" s="241"/>
      <c r="F423" s="241"/>
    </row>
    <row r="424" spans="5:6" x14ac:dyDescent="0.15">
      <c r="E424" s="241"/>
      <c r="F424" s="241"/>
    </row>
    <row r="425" spans="5:6" x14ac:dyDescent="0.15">
      <c r="E425" s="241"/>
      <c r="F425" s="241"/>
    </row>
    <row r="426" spans="5:6" x14ac:dyDescent="0.15">
      <c r="E426" s="241"/>
      <c r="F426" s="241"/>
    </row>
    <row r="427" spans="5:6" x14ac:dyDescent="0.15">
      <c r="E427" s="241"/>
      <c r="F427" s="241"/>
    </row>
    <row r="428" spans="5:6" x14ac:dyDescent="0.15">
      <c r="E428" s="241"/>
      <c r="F428" s="241"/>
    </row>
    <row r="429" spans="5:6" x14ac:dyDescent="0.15">
      <c r="E429" s="241"/>
      <c r="F429" s="241"/>
    </row>
    <row r="430" spans="5:6" x14ac:dyDescent="0.15">
      <c r="E430" s="241"/>
      <c r="F430" s="241"/>
    </row>
    <row r="431" spans="5:6" x14ac:dyDescent="0.15">
      <c r="E431" s="241"/>
      <c r="F431" s="241"/>
    </row>
    <row r="432" spans="5:6" x14ac:dyDescent="0.15">
      <c r="E432" s="241"/>
      <c r="F432" s="241"/>
    </row>
    <row r="433" spans="5:6" x14ac:dyDescent="0.15">
      <c r="E433" s="241"/>
      <c r="F433" s="241"/>
    </row>
    <row r="434" spans="5:6" x14ac:dyDescent="0.15">
      <c r="E434" s="241"/>
      <c r="F434" s="241"/>
    </row>
    <row r="435" spans="5:6" x14ac:dyDescent="0.15">
      <c r="E435" s="241"/>
      <c r="F435" s="241"/>
    </row>
    <row r="436" spans="5:6" x14ac:dyDescent="0.15">
      <c r="E436" s="241"/>
      <c r="F436" s="241"/>
    </row>
    <row r="437" spans="5:6" x14ac:dyDescent="0.15">
      <c r="E437" s="241"/>
      <c r="F437" s="241"/>
    </row>
    <row r="438" spans="5:6" x14ac:dyDescent="0.15">
      <c r="E438" s="241"/>
      <c r="F438" s="241"/>
    </row>
    <row r="439" spans="5:6" x14ac:dyDescent="0.15">
      <c r="E439" s="241"/>
      <c r="F439" s="241"/>
    </row>
    <row r="440" spans="5:6" x14ac:dyDescent="0.15">
      <c r="E440" s="241"/>
      <c r="F440" s="241"/>
    </row>
    <row r="441" spans="5:6" x14ac:dyDescent="0.15">
      <c r="E441" s="241"/>
      <c r="F441" s="241"/>
    </row>
    <row r="442" spans="5:6" x14ac:dyDescent="0.15">
      <c r="E442" s="241"/>
      <c r="F442" s="241"/>
    </row>
    <row r="443" spans="5:6" x14ac:dyDescent="0.15">
      <c r="E443" s="241"/>
      <c r="F443" s="241"/>
    </row>
    <row r="444" spans="5:6" x14ac:dyDescent="0.15">
      <c r="E444" s="241"/>
      <c r="F444" s="241"/>
    </row>
    <row r="445" spans="5:6" x14ac:dyDescent="0.15">
      <c r="E445" s="241"/>
      <c r="F445" s="241"/>
    </row>
    <row r="446" spans="5:6" x14ac:dyDescent="0.15">
      <c r="E446" s="241"/>
      <c r="F446" s="241"/>
    </row>
    <row r="447" spans="5:6" x14ac:dyDescent="0.15">
      <c r="E447" s="241"/>
      <c r="F447" s="241"/>
    </row>
    <row r="448" spans="5:6" x14ac:dyDescent="0.15">
      <c r="E448" s="241"/>
      <c r="F448" s="241"/>
    </row>
    <row r="449" spans="5:6" x14ac:dyDescent="0.15">
      <c r="E449" s="241"/>
      <c r="F449" s="241"/>
    </row>
    <row r="450" spans="5:6" x14ac:dyDescent="0.15">
      <c r="E450" s="241"/>
      <c r="F450" s="241"/>
    </row>
    <row r="451" spans="5:6" x14ac:dyDescent="0.15">
      <c r="E451" s="241"/>
      <c r="F451" s="241"/>
    </row>
    <row r="452" spans="5:6" x14ac:dyDescent="0.15">
      <c r="E452" s="241"/>
      <c r="F452" s="241"/>
    </row>
    <row r="453" spans="5:6" x14ac:dyDescent="0.15">
      <c r="E453" s="241"/>
      <c r="F453" s="241"/>
    </row>
    <row r="454" spans="5:6" x14ac:dyDescent="0.15">
      <c r="E454" s="241"/>
      <c r="F454" s="241"/>
    </row>
    <row r="455" spans="5:6" x14ac:dyDescent="0.15">
      <c r="E455" s="241"/>
      <c r="F455" s="241"/>
    </row>
    <row r="456" spans="5:6" x14ac:dyDescent="0.15">
      <c r="E456" s="241"/>
      <c r="F456" s="241"/>
    </row>
    <row r="457" spans="5:6" x14ac:dyDescent="0.15">
      <c r="E457" s="241"/>
      <c r="F457" s="241"/>
    </row>
    <row r="458" spans="5:6" x14ac:dyDescent="0.15">
      <c r="E458" s="241"/>
      <c r="F458" s="241"/>
    </row>
    <row r="459" spans="5:6" x14ac:dyDescent="0.15">
      <c r="E459" s="241"/>
      <c r="F459" s="241"/>
    </row>
    <row r="460" spans="5:6" x14ac:dyDescent="0.15">
      <c r="E460" s="241"/>
      <c r="F460" s="241"/>
    </row>
    <row r="461" spans="5:6" x14ac:dyDescent="0.15">
      <c r="E461" s="241"/>
      <c r="F461" s="241"/>
    </row>
    <row r="462" spans="5:6" x14ac:dyDescent="0.15">
      <c r="E462" s="241"/>
      <c r="F462" s="241"/>
    </row>
    <row r="463" spans="5:6" x14ac:dyDescent="0.15">
      <c r="E463" s="241"/>
      <c r="F463" s="241"/>
    </row>
    <row r="464" spans="5:6" x14ac:dyDescent="0.15">
      <c r="E464" s="241"/>
      <c r="F464" s="241"/>
    </row>
    <row r="465" spans="5:6" x14ac:dyDescent="0.15">
      <c r="E465" s="241"/>
      <c r="F465" s="241"/>
    </row>
    <row r="466" spans="5:6" x14ac:dyDescent="0.15">
      <c r="E466" s="241"/>
      <c r="F466" s="241"/>
    </row>
    <row r="467" spans="5:6" x14ac:dyDescent="0.15">
      <c r="E467" s="241"/>
      <c r="F467" s="241"/>
    </row>
    <row r="468" spans="5:6" x14ac:dyDescent="0.15">
      <c r="E468" s="241"/>
      <c r="F468" s="241"/>
    </row>
    <row r="469" spans="5:6" x14ac:dyDescent="0.15">
      <c r="E469" s="241"/>
      <c r="F469" s="241"/>
    </row>
    <row r="470" spans="5:6" x14ac:dyDescent="0.15">
      <c r="E470" s="241"/>
      <c r="F470" s="241"/>
    </row>
    <row r="471" spans="5:6" x14ac:dyDescent="0.15">
      <c r="E471" s="241"/>
      <c r="F471" s="241"/>
    </row>
    <row r="472" spans="5:6" x14ac:dyDescent="0.15">
      <c r="E472" s="241"/>
      <c r="F472" s="241"/>
    </row>
    <row r="473" spans="5:6" x14ac:dyDescent="0.15">
      <c r="E473" s="241"/>
      <c r="F473" s="241"/>
    </row>
    <row r="474" spans="5:6" x14ac:dyDescent="0.15">
      <c r="E474" s="241"/>
      <c r="F474" s="241"/>
    </row>
    <row r="475" spans="5:6" x14ac:dyDescent="0.15">
      <c r="E475" s="241"/>
      <c r="F475" s="241"/>
    </row>
    <row r="476" spans="5:6" x14ac:dyDescent="0.15">
      <c r="E476" s="241"/>
      <c r="F476" s="241"/>
    </row>
    <row r="477" spans="5:6" x14ac:dyDescent="0.15">
      <c r="E477" s="241"/>
      <c r="F477" s="241"/>
    </row>
    <row r="478" spans="5:6" x14ac:dyDescent="0.15">
      <c r="E478" s="241"/>
      <c r="F478" s="241"/>
    </row>
    <row r="479" spans="5:6" x14ac:dyDescent="0.15">
      <c r="E479" s="241"/>
      <c r="F479" s="241"/>
    </row>
    <row r="480" spans="5:6" x14ac:dyDescent="0.15">
      <c r="E480" s="241"/>
      <c r="F480" s="241"/>
    </row>
    <row r="481" spans="5:6" x14ac:dyDescent="0.15">
      <c r="E481" s="241"/>
      <c r="F481" s="241"/>
    </row>
    <row r="482" spans="5:6" x14ac:dyDescent="0.15">
      <c r="E482" s="241"/>
      <c r="F482" s="241"/>
    </row>
    <row r="483" spans="5:6" x14ac:dyDescent="0.15">
      <c r="E483" s="241"/>
      <c r="F483" s="241"/>
    </row>
    <row r="484" spans="5:6" x14ac:dyDescent="0.15">
      <c r="E484" s="241"/>
      <c r="F484" s="241"/>
    </row>
    <row r="485" spans="5:6" x14ac:dyDescent="0.15">
      <c r="E485" s="241"/>
      <c r="F485" s="241"/>
    </row>
    <row r="486" spans="5:6" x14ac:dyDescent="0.15">
      <c r="E486" s="241"/>
      <c r="F486" s="241"/>
    </row>
    <row r="487" spans="5:6" x14ac:dyDescent="0.15">
      <c r="E487" s="241"/>
      <c r="F487" s="241"/>
    </row>
    <row r="488" spans="5:6" x14ac:dyDescent="0.15">
      <c r="E488" s="241"/>
      <c r="F488" s="241"/>
    </row>
    <row r="489" spans="5:6" x14ac:dyDescent="0.15">
      <c r="E489" s="241"/>
      <c r="F489" s="241"/>
    </row>
    <row r="490" spans="5:6" x14ac:dyDescent="0.15">
      <c r="E490" s="241"/>
      <c r="F490" s="241"/>
    </row>
    <row r="491" spans="5:6" x14ac:dyDescent="0.15">
      <c r="E491" s="241"/>
      <c r="F491" s="241"/>
    </row>
    <row r="492" spans="5:6" x14ac:dyDescent="0.15">
      <c r="E492" s="241"/>
      <c r="F492" s="241"/>
    </row>
    <row r="493" spans="5:6" x14ac:dyDescent="0.15">
      <c r="E493" s="241"/>
      <c r="F493" s="241"/>
    </row>
    <row r="494" spans="5:6" x14ac:dyDescent="0.15">
      <c r="E494" s="241"/>
      <c r="F494" s="241"/>
    </row>
    <row r="495" spans="5:6" x14ac:dyDescent="0.15">
      <c r="E495" s="241"/>
      <c r="F495" s="241"/>
    </row>
    <row r="496" spans="5:6" x14ac:dyDescent="0.15">
      <c r="E496" s="241"/>
      <c r="F496" s="241"/>
    </row>
    <row r="497" spans="5:6" x14ac:dyDescent="0.15">
      <c r="E497" s="241"/>
      <c r="F497" s="241"/>
    </row>
    <row r="498" spans="5:6" x14ac:dyDescent="0.15">
      <c r="E498" s="241"/>
      <c r="F498" s="241"/>
    </row>
    <row r="499" spans="5:6" x14ac:dyDescent="0.15">
      <c r="E499" s="241"/>
      <c r="F499" s="241"/>
    </row>
    <row r="500" spans="5:6" x14ac:dyDescent="0.15">
      <c r="E500" s="241"/>
      <c r="F500" s="241"/>
    </row>
    <row r="501" spans="5:6" x14ac:dyDescent="0.15">
      <c r="E501" s="241"/>
      <c r="F501" s="241"/>
    </row>
    <row r="502" spans="5:6" x14ac:dyDescent="0.15">
      <c r="E502" s="241"/>
      <c r="F502" s="241"/>
    </row>
    <row r="503" spans="5:6" x14ac:dyDescent="0.15">
      <c r="E503" s="241"/>
      <c r="F503" s="241"/>
    </row>
    <row r="504" spans="5:6" x14ac:dyDescent="0.15">
      <c r="E504" s="241"/>
      <c r="F504" s="241"/>
    </row>
    <row r="505" spans="5:6" x14ac:dyDescent="0.15">
      <c r="E505" s="241"/>
      <c r="F505" s="241"/>
    </row>
    <row r="506" spans="5:6" x14ac:dyDescent="0.15">
      <c r="E506" s="241"/>
      <c r="F506" s="241"/>
    </row>
    <row r="507" spans="5:6" x14ac:dyDescent="0.15">
      <c r="E507" s="241"/>
      <c r="F507" s="241"/>
    </row>
    <row r="508" spans="5:6" x14ac:dyDescent="0.15">
      <c r="E508" s="241"/>
      <c r="F508" s="241"/>
    </row>
    <row r="509" spans="5:6" x14ac:dyDescent="0.15">
      <c r="E509" s="241"/>
      <c r="F509" s="241"/>
    </row>
    <row r="510" spans="5:6" x14ac:dyDescent="0.15">
      <c r="E510" s="241"/>
      <c r="F510" s="241"/>
    </row>
    <row r="511" spans="5:6" x14ac:dyDescent="0.15">
      <c r="E511" s="241"/>
      <c r="F511" s="241"/>
    </row>
    <row r="512" spans="5:6" x14ac:dyDescent="0.15">
      <c r="E512" s="241"/>
      <c r="F512" s="241"/>
    </row>
    <row r="513" spans="5:6" x14ac:dyDescent="0.15">
      <c r="E513" s="241"/>
      <c r="F513" s="241"/>
    </row>
    <row r="514" spans="5:6" x14ac:dyDescent="0.15">
      <c r="E514" s="241"/>
      <c r="F514" s="241"/>
    </row>
    <row r="515" spans="5:6" x14ac:dyDescent="0.15">
      <c r="E515" s="241"/>
      <c r="F515" s="241"/>
    </row>
    <row r="516" spans="5:6" x14ac:dyDescent="0.15">
      <c r="E516" s="241"/>
      <c r="F516" s="241"/>
    </row>
    <row r="517" spans="5:6" x14ac:dyDescent="0.15">
      <c r="E517" s="241"/>
      <c r="F517" s="241"/>
    </row>
    <row r="518" spans="5:6" x14ac:dyDescent="0.15">
      <c r="E518" s="241"/>
      <c r="F518" s="241"/>
    </row>
    <row r="519" spans="5:6" x14ac:dyDescent="0.15">
      <c r="E519" s="241"/>
      <c r="F519" s="241"/>
    </row>
    <row r="520" spans="5:6" x14ac:dyDescent="0.15">
      <c r="E520" s="241"/>
      <c r="F520" s="241"/>
    </row>
    <row r="521" spans="5:6" x14ac:dyDescent="0.15">
      <c r="E521" s="241"/>
      <c r="F521" s="241"/>
    </row>
    <row r="522" spans="5:6" x14ac:dyDescent="0.15">
      <c r="E522" s="241"/>
      <c r="F522" s="241"/>
    </row>
    <row r="523" spans="5:6" x14ac:dyDescent="0.15">
      <c r="E523" s="241"/>
      <c r="F523" s="241"/>
    </row>
    <row r="524" spans="5:6" x14ac:dyDescent="0.15">
      <c r="E524" s="241"/>
      <c r="F524" s="241"/>
    </row>
    <row r="525" spans="5:6" x14ac:dyDescent="0.15">
      <c r="E525" s="241"/>
      <c r="F525" s="241"/>
    </row>
    <row r="526" spans="5:6" x14ac:dyDescent="0.15">
      <c r="E526" s="241"/>
      <c r="F526" s="241"/>
    </row>
    <row r="527" spans="5:6" x14ac:dyDescent="0.15">
      <c r="E527" s="241"/>
      <c r="F527" s="241"/>
    </row>
    <row r="528" spans="5:6" x14ac:dyDescent="0.15">
      <c r="E528" s="241"/>
      <c r="F528" s="241"/>
    </row>
    <row r="529" spans="5:6" x14ac:dyDescent="0.15">
      <c r="E529" s="241"/>
      <c r="F529" s="241"/>
    </row>
    <row r="530" spans="5:6" x14ac:dyDescent="0.15">
      <c r="E530" s="241"/>
      <c r="F530" s="241"/>
    </row>
    <row r="531" spans="5:6" x14ac:dyDescent="0.15">
      <c r="E531" s="241"/>
      <c r="F531" s="241"/>
    </row>
    <row r="532" spans="5:6" x14ac:dyDescent="0.15">
      <c r="E532" s="241"/>
      <c r="F532" s="241"/>
    </row>
    <row r="533" spans="5:6" x14ac:dyDescent="0.15">
      <c r="E533" s="241"/>
      <c r="F533" s="241"/>
    </row>
    <row r="534" spans="5:6" x14ac:dyDescent="0.15">
      <c r="E534" s="241"/>
      <c r="F534" s="241"/>
    </row>
    <row r="535" spans="5:6" x14ac:dyDescent="0.15">
      <c r="E535" s="241"/>
      <c r="F535" s="241"/>
    </row>
    <row r="536" spans="5:6" x14ac:dyDescent="0.15">
      <c r="E536" s="241"/>
      <c r="F536" s="241"/>
    </row>
    <row r="537" spans="5:6" x14ac:dyDescent="0.15">
      <c r="E537" s="241"/>
      <c r="F537" s="241"/>
    </row>
    <row r="538" spans="5:6" x14ac:dyDescent="0.15">
      <c r="E538" s="241"/>
      <c r="F538" s="241"/>
    </row>
    <row r="539" spans="5:6" x14ac:dyDescent="0.15">
      <c r="E539" s="241"/>
      <c r="F539" s="241"/>
    </row>
    <row r="540" spans="5:6" x14ac:dyDescent="0.15">
      <c r="E540" s="241"/>
      <c r="F540" s="241"/>
    </row>
    <row r="541" spans="5:6" x14ac:dyDescent="0.15">
      <c r="E541" s="241"/>
      <c r="F541" s="241"/>
    </row>
    <row r="542" spans="5:6" x14ac:dyDescent="0.15">
      <c r="E542" s="241"/>
      <c r="F542" s="241"/>
    </row>
    <row r="543" spans="5:6" x14ac:dyDescent="0.15">
      <c r="E543" s="241"/>
      <c r="F543" s="241"/>
    </row>
    <row r="544" spans="5:6" x14ac:dyDescent="0.15">
      <c r="E544" s="241"/>
      <c r="F544" s="241"/>
    </row>
    <row r="545" spans="5:6" x14ac:dyDescent="0.15">
      <c r="E545" s="241"/>
      <c r="F545" s="241"/>
    </row>
    <row r="546" spans="5:6" x14ac:dyDescent="0.15">
      <c r="E546" s="241"/>
      <c r="F546" s="241"/>
    </row>
    <row r="547" spans="5:6" x14ac:dyDescent="0.15">
      <c r="E547" s="241"/>
      <c r="F547" s="241"/>
    </row>
    <row r="548" spans="5:6" x14ac:dyDescent="0.15">
      <c r="E548" s="241"/>
      <c r="F548" s="241"/>
    </row>
    <row r="549" spans="5:6" x14ac:dyDescent="0.15">
      <c r="E549" s="241"/>
      <c r="F549" s="241"/>
    </row>
    <row r="550" spans="5:6" x14ac:dyDescent="0.15">
      <c r="E550" s="241"/>
      <c r="F550" s="241"/>
    </row>
    <row r="551" spans="5:6" x14ac:dyDescent="0.15">
      <c r="E551" s="241"/>
      <c r="F551" s="241"/>
    </row>
    <row r="552" spans="5:6" x14ac:dyDescent="0.15">
      <c r="E552" s="241"/>
      <c r="F552" s="241"/>
    </row>
    <row r="553" spans="5:6" x14ac:dyDescent="0.15">
      <c r="E553" s="241"/>
      <c r="F553" s="241"/>
    </row>
    <row r="554" spans="5:6" x14ac:dyDescent="0.15">
      <c r="E554" s="241"/>
      <c r="F554" s="241"/>
    </row>
    <row r="555" spans="5:6" x14ac:dyDescent="0.15">
      <c r="E555" s="241"/>
      <c r="F555" s="241"/>
    </row>
    <row r="556" spans="5:6" x14ac:dyDescent="0.15">
      <c r="E556" s="241"/>
      <c r="F556" s="241"/>
    </row>
    <row r="557" spans="5:6" x14ac:dyDescent="0.15">
      <c r="E557" s="241"/>
      <c r="F557" s="241"/>
    </row>
    <row r="558" spans="5:6" x14ac:dyDescent="0.15">
      <c r="E558" s="241"/>
      <c r="F558" s="241"/>
    </row>
    <row r="559" spans="5:6" x14ac:dyDescent="0.15">
      <c r="E559" s="241"/>
      <c r="F559" s="241"/>
    </row>
    <row r="560" spans="5:6" x14ac:dyDescent="0.15">
      <c r="E560" s="241"/>
      <c r="F560" s="241"/>
    </row>
    <row r="561" spans="5:6" x14ac:dyDescent="0.15">
      <c r="E561" s="241"/>
      <c r="F561" s="241"/>
    </row>
    <row r="562" spans="5:6" x14ac:dyDescent="0.15">
      <c r="E562" s="241"/>
      <c r="F562" s="241"/>
    </row>
    <row r="563" spans="5:6" x14ac:dyDescent="0.15">
      <c r="E563" s="241"/>
      <c r="F563" s="241"/>
    </row>
    <row r="564" spans="5:6" x14ac:dyDescent="0.15">
      <c r="E564" s="241"/>
      <c r="F564" s="241"/>
    </row>
    <row r="565" spans="5:6" x14ac:dyDescent="0.15">
      <c r="E565" s="241"/>
      <c r="F565" s="241"/>
    </row>
    <row r="566" spans="5:6" x14ac:dyDescent="0.15">
      <c r="E566" s="241"/>
      <c r="F566" s="241"/>
    </row>
    <row r="567" spans="5:6" x14ac:dyDescent="0.15">
      <c r="E567" s="241"/>
      <c r="F567" s="241"/>
    </row>
    <row r="568" spans="5:6" x14ac:dyDescent="0.15">
      <c r="E568" s="241"/>
      <c r="F568" s="241"/>
    </row>
    <row r="569" spans="5:6" x14ac:dyDescent="0.15">
      <c r="E569" s="241"/>
      <c r="F569" s="241"/>
    </row>
    <row r="570" spans="5:6" x14ac:dyDescent="0.15">
      <c r="E570" s="241"/>
      <c r="F570" s="241"/>
    </row>
    <row r="571" spans="5:6" x14ac:dyDescent="0.15">
      <c r="E571" s="241"/>
      <c r="F571" s="241"/>
    </row>
    <row r="572" spans="5:6" x14ac:dyDescent="0.15">
      <c r="E572" s="241"/>
      <c r="F572" s="241"/>
    </row>
    <row r="573" spans="5:6" x14ac:dyDescent="0.15">
      <c r="E573" s="241"/>
      <c r="F573" s="241"/>
    </row>
    <row r="574" spans="5:6" x14ac:dyDescent="0.15">
      <c r="E574" s="241"/>
      <c r="F574" s="241"/>
    </row>
    <row r="575" spans="5:6" x14ac:dyDescent="0.15">
      <c r="E575" s="241"/>
      <c r="F575" s="241"/>
    </row>
    <row r="576" spans="5:6" x14ac:dyDescent="0.15">
      <c r="E576" s="241"/>
      <c r="F576" s="241"/>
    </row>
    <row r="577" spans="5:6" x14ac:dyDescent="0.15">
      <c r="E577" s="241"/>
      <c r="F577" s="241"/>
    </row>
    <row r="578" spans="5:6" x14ac:dyDescent="0.15">
      <c r="E578" s="241"/>
      <c r="F578" s="241"/>
    </row>
    <row r="579" spans="5:6" x14ac:dyDescent="0.15">
      <c r="E579" s="241"/>
      <c r="F579" s="241"/>
    </row>
    <row r="580" spans="5:6" x14ac:dyDescent="0.15">
      <c r="E580" s="241"/>
      <c r="F580" s="241"/>
    </row>
    <row r="581" spans="5:6" x14ac:dyDescent="0.15">
      <c r="E581" s="241"/>
      <c r="F581" s="241"/>
    </row>
    <row r="582" spans="5:6" x14ac:dyDescent="0.15">
      <c r="E582" s="241"/>
      <c r="F582" s="241"/>
    </row>
    <row r="583" spans="5:6" x14ac:dyDescent="0.15">
      <c r="E583" s="241"/>
      <c r="F583" s="241"/>
    </row>
    <row r="584" spans="5:6" x14ac:dyDescent="0.15">
      <c r="E584" s="241"/>
      <c r="F584" s="241"/>
    </row>
    <row r="585" spans="5:6" x14ac:dyDescent="0.15">
      <c r="E585" s="241"/>
      <c r="F585" s="241"/>
    </row>
    <row r="586" spans="5:6" x14ac:dyDescent="0.15">
      <c r="E586" s="241"/>
      <c r="F586" s="241"/>
    </row>
    <row r="587" spans="5:6" x14ac:dyDescent="0.15">
      <c r="E587" s="241"/>
      <c r="F587" s="241"/>
    </row>
    <row r="588" spans="5:6" x14ac:dyDescent="0.15">
      <c r="E588" s="241"/>
      <c r="F588" s="241"/>
    </row>
    <row r="589" spans="5:6" x14ac:dyDescent="0.15">
      <c r="E589" s="241"/>
      <c r="F589" s="241"/>
    </row>
    <row r="590" spans="5:6" x14ac:dyDescent="0.15">
      <c r="E590" s="241"/>
      <c r="F590" s="241"/>
    </row>
    <row r="591" spans="5:6" x14ac:dyDescent="0.15">
      <c r="E591" s="241"/>
      <c r="F591" s="241"/>
    </row>
    <row r="592" spans="5:6" x14ac:dyDescent="0.15">
      <c r="E592" s="241"/>
      <c r="F592" s="241"/>
    </row>
    <row r="593" spans="5:6" x14ac:dyDescent="0.15">
      <c r="E593" s="241"/>
      <c r="F593" s="241"/>
    </row>
    <row r="594" spans="5:6" x14ac:dyDescent="0.15">
      <c r="E594" s="241"/>
      <c r="F594" s="241"/>
    </row>
    <row r="595" spans="5:6" x14ac:dyDescent="0.15">
      <c r="E595" s="241"/>
      <c r="F595" s="241"/>
    </row>
    <row r="596" spans="5:6" x14ac:dyDescent="0.15">
      <c r="E596" s="241"/>
      <c r="F596" s="241"/>
    </row>
    <row r="597" spans="5:6" x14ac:dyDescent="0.15">
      <c r="E597" s="241"/>
      <c r="F597" s="241"/>
    </row>
    <row r="598" spans="5:6" x14ac:dyDescent="0.15">
      <c r="E598" s="241"/>
      <c r="F598" s="241"/>
    </row>
    <row r="599" spans="5:6" x14ac:dyDescent="0.15">
      <c r="E599" s="241"/>
      <c r="F599" s="241"/>
    </row>
    <row r="600" spans="5:6" x14ac:dyDescent="0.15">
      <c r="E600" s="241"/>
      <c r="F600" s="241"/>
    </row>
    <row r="601" spans="5:6" x14ac:dyDescent="0.15">
      <c r="E601" s="241"/>
      <c r="F601" s="241"/>
    </row>
    <row r="602" spans="5:6" x14ac:dyDescent="0.15">
      <c r="E602" s="241"/>
      <c r="F602" s="241"/>
    </row>
    <row r="603" spans="5:6" x14ac:dyDescent="0.15">
      <c r="E603" s="241"/>
      <c r="F603" s="241"/>
    </row>
    <row r="604" spans="5:6" x14ac:dyDescent="0.15">
      <c r="E604" s="241"/>
      <c r="F604" s="241"/>
    </row>
    <row r="605" spans="5:6" x14ac:dyDescent="0.15">
      <c r="E605" s="241"/>
      <c r="F605" s="241"/>
    </row>
    <row r="606" spans="5:6" x14ac:dyDescent="0.15">
      <c r="E606" s="241"/>
      <c r="F606" s="241"/>
    </row>
    <row r="607" spans="5:6" x14ac:dyDescent="0.15">
      <c r="E607" s="241"/>
      <c r="F607" s="241"/>
    </row>
    <row r="608" spans="5:6" x14ac:dyDescent="0.15">
      <c r="E608" s="241"/>
      <c r="F608" s="241"/>
    </row>
    <row r="609" spans="5:6" x14ac:dyDescent="0.15">
      <c r="E609" s="241"/>
      <c r="F609" s="241"/>
    </row>
    <row r="610" spans="5:6" x14ac:dyDescent="0.15">
      <c r="E610" s="241"/>
      <c r="F610" s="241"/>
    </row>
    <row r="611" spans="5:6" x14ac:dyDescent="0.15">
      <c r="E611" s="241"/>
      <c r="F611" s="241"/>
    </row>
    <row r="612" spans="5:6" x14ac:dyDescent="0.15">
      <c r="E612" s="241"/>
      <c r="F612" s="241"/>
    </row>
    <row r="613" spans="5:6" x14ac:dyDescent="0.15">
      <c r="E613" s="241"/>
      <c r="F613" s="241"/>
    </row>
    <row r="614" spans="5:6" x14ac:dyDescent="0.15">
      <c r="E614" s="241"/>
      <c r="F614" s="241"/>
    </row>
    <row r="615" spans="5:6" x14ac:dyDescent="0.15">
      <c r="E615" s="241"/>
      <c r="F615" s="241"/>
    </row>
    <row r="616" spans="5:6" x14ac:dyDescent="0.15">
      <c r="E616" s="241"/>
      <c r="F616" s="241"/>
    </row>
    <row r="617" spans="5:6" x14ac:dyDescent="0.15">
      <c r="E617" s="241"/>
      <c r="F617" s="241"/>
    </row>
    <row r="618" spans="5:6" x14ac:dyDescent="0.15">
      <c r="E618" s="241"/>
      <c r="F618" s="241"/>
    </row>
    <row r="619" spans="5:6" x14ac:dyDescent="0.15">
      <c r="E619" s="241"/>
      <c r="F619" s="241"/>
    </row>
    <row r="620" spans="5:6" x14ac:dyDescent="0.15">
      <c r="E620" s="241"/>
      <c r="F620" s="241"/>
    </row>
    <row r="621" spans="5:6" x14ac:dyDescent="0.15">
      <c r="E621" s="241"/>
      <c r="F621" s="241"/>
    </row>
    <row r="622" spans="5:6" x14ac:dyDescent="0.15">
      <c r="E622" s="241"/>
      <c r="F622" s="241"/>
    </row>
    <row r="623" spans="5:6" x14ac:dyDescent="0.15">
      <c r="E623" s="241"/>
      <c r="F623" s="241"/>
    </row>
    <row r="624" spans="5:6" x14ac:dyDescent="0.15">
      <c r="E624" s="241"/>
      <c r="F624" s="241"/>
    </row>
    <row r="625" spans="5:6" x14ac:dyDescent="0.15">
      <c r="E625" s="241"/>
      <c r="F625" s="241"/>
    </row>
    <row r="626" spans="5:6" x14ac:dyDescent="0.15">
      <c r="E626" s="241"/>
      <c r="F626" s="241"/>
    </row>
    <row r="627" spans="5:6" x14ac:dyDescent="0.15">
      <c r="E627" s="241"/>
      <c r="F627" s="241"/>
    </row>
    <row r="628" spans="5:6" x14ac:dyDescent="0.15">
      <c r="E628" s="241"/>
      <c r="F628" s="241"/>
    </row>
    <row r="629" spans="5:6" x14ac:dyDescent="0.15">
      <c r="E629" s="241"/>
      <c r="F629" s="241"/>
    </row>
    <row r="630" spans="5:6" x14ac:dyDescent="0.15">
      <c r="E630" s="241"/>
      <c r="F630" s="241"/>
    </row>
    <row r="631" spans="5:6" x14ac:dyDescent="0.15">
      <c r="E631" s="241"/>
      <c r="F631" s="241"/>
    </row>
    <row r="632" spans="5:6" x14ac:dyDescent="0.15">
      <c r="E632" s="241"/>
      <c r="F632" s="241"/>
    </row>
    <row r="633" spans="5:6" x14ac:dyDescent="0.15">
      <c r="E633" s="241"/>
      <c r="F633" s="241"/>
    </row>
    <row r="634" spans="5:6" x14ac:dyDescent="0.15">
      <c r="E634" s="241"/>
      <c r="F634" s="241"/>
    </row>
    <row r="635" spans="5:6" x14ac:dyDescent="0.15">
      <c r="E635" s="241"/>
      <c r="F635" s="241"/>
    </row>
    <row r="636" spans="5:6" x14ac:dyDescent="0.15">
      <c r="E636" s="241"/>
      <c r="F636" s="241"/>
    </row>
    <row r="637" spans="5:6" x14ac:dyDescent="0.15">
      <c r="E637" s="241"/>
      <c r="F637" s="241"/>
    </row>
    <row r="638" spans="5:6" x14ac:dyDescent="0.15">
      <c r="E638" s="241"/>
      <c r="F638" s="241"/>
    </row>
    <row r="639" spans="5:6" x14ac:dyDescent="0.15">
      <c r="E639" s="241"/>
      <c r="F639" s="241"/>
    </row>
    <row r="640" spans="5:6" x14ac:dyDescent="0.15">
      <c r="E640" s="241"/>
      <c r="F640" s="241"/>
    </row>
    <row r="641" spans="5:6" x14ac:dyDescent="0.15">
      <c r="E641" s="241"/>
      <c r="F641" s="241"/>
    </row>
    <row r="642" spans="5:6" x14ac:dyDescent="0.15">
      <c r="E642" s="241"/>
      <c r="F642" s="241"/>
    </row>
    <row r="643" spans="5:6" x14ac:dyDescent="0.15">
      <c r="E643" s="241"/>
      <c r="F643" s="241"/>
    </row>
    <row r="644" spans="5:6" x14ac:dyDescent="0.15">
      <c r="E644" s="241"/>
      <c r="F644" s="241"/>
    </row>
    <row r="645" spans="5:6" x14ac:dyDescent="0.15">
      <c r="E645" s="241"/>
      <c r="F645" s="241"/>
    </row>
    <row r="646" spans="5:6" x14ac:dyDescent="0.15">
      <c r="E646" s="241"/>
      <c r="F646" s="241"/>
    </row>
    <row r="647" spans="5:6" x14ac:dyDescent="0.15">
      <c r="E647" s="241"/>
      <c r="F647" s="241"/>
    </row>
    <row r="648" spans="5:6" x14ac:dyDescent="0.15">
      <c r="E648" s="241"/>
      <c r="F648" s="241"/>
    </row>
    <row r="649" spans="5:6" x14ac:dyDescent="0.15">
      <c r="E649" s="241"/>
      <c r="F649" s="241"/>
    </row>
    <row r="650" spans="5:6" x14ac:dyDescent="0.15">
      <c r="E650" s="241"/>
      <c r="F650" s="241"/>
    </row>
    <row r="651" spans="5:6" x14ac:dyDescent="0.15">
      <c r="E651" s="241"/>
      <c r="F651" s="241"/>
    </row>
    <row r="652" spans="5:6" x14ac:dyDescent="0.15">
      <c r="E652" s="241"/>
      <c r="F652" s="241"/>
    </row>
    <row r="653" spans="5:6" x14ac:dyDescent="0.15">
      <c r="E653" s="241"/>
      <c r="F653" s="241"/>
    </row>
    <row r="654" spans="5:6" x14ac:dyDescent="0.15">
      <c r="E654" s="241"/>
      <c r="F654" s="241"/>
    </row>
    <row r="655" spans="5:6" x14ac:dyDescent="0.15">
      <c r="E655" s="241"/>
      <c r="F655" s="241"/>
    </row>
    <row r="656" spans="5:6" x14ac:dyDescent="0.15">
      <c r="E656" s="241"/>
      <c r="F656" s="241"/>
    </row>
    <row r="657" spans="5:6" x14ac:dyDescent="0.15">
      <c r="E657" s="241"/>
      <c r="F657" s="241"/>
    </row>
    <row r="658" spans="5:6" x14ac:dyDescent="0.15">
      <c r="E658" s="241"/>
      <c r="F658" s="241"/>
    </row>
    <row r="659" spans="5:6" x14ac:dyDescent="0.15">
      <c r="E659" s="241"/>
      <c r="F659" s="241"/>
    </row>
    <row r="660" spans="5:6" x14ac:dyDescent="0.15">
      <c r="E660" s="241"/>
      <c r="F660" s="241"/>
    </row>
    <row r="661" spans="5:6" x14ac:dyDescent="0.15">
      <c r="E661" s="241"/>
      <c r="F661" s="241"/>
    </row>
    <row r="662" spans="5:6" x14ac:dyDescent="0.15">
      <c r="E662" s="241"/>
      <c r="F662" s="241"/>
    </row>
    <row r="663" spans="5:6" x14ac:dyDescent="0.15">
      <c r="E663" s="241"/>
      <c r="F663" s="241"/>
    </row>
    <row r="664" spans="5:6" x14ac:dyDescent="0.15">
      <c r="E664" s="241"/>
      <c r="F664" s="241"/>
    </row>
    <row r="665" spans="5:6" x14ac:dyDescent="0.15">
      <c r="E665" s="241"/>
      <c r="F665" s="241"/>
    </row>
    <row r="666" spans="5:6" x14ac:dyDescent="0.15">
      <c r="E666" s="241"/>
      <c r="F666" s="241"/>
    </row>
    <row r="667" spans="5:6" x14ac:dyDescent="0.15">
      <c r="E667" s="241"/>
      <c r="F667" s="241"/>
    </row>
    <row r="668" spans="5:6" x14ac:dyDescent="0.15">
      <c r="E668" s="241"/>
      <c r="F668" s="241"/>
    </row>
    <row r="669" spans="5:6" x14ac:dyDescent="0.15">
      <c r="E669" s="241"/>
      <c r="F669" s="241"/>
    </row>
    <row r="670" spans="5:6" x14ac:dyDescent="0.15">
      <c r="E670" s="241"/>
      <c r="F670" s="241"/>
    </row>
    <row r="671" spans="5:6" x14ac:dyDescent="0.15">
      <c r="E671" s="241"/>
      <c r="F671" s="241"/>
    </row>
    <row r="672" spans="5:6" x14ac:dyDescent="0.15">
      <c r="E672" s="241"/>
      <c r="F672" s="241"/>
    </row>
    <row r="673" spans="5:6" x14ac:dyDescent="0.15">
      <c r="E673" s="241"/>
      <c r="F673" s="241"/>
    </row>
    <row r="674" spans="5:6" x14ac:dyDescent="0.15">
      <c r="E674" s="241"/>
      <c r="F674" s="241"/>
    </row>
    <row r="675" spans="5:6" x14ac:dyDescent="0.15">
      <c r="E675" s="241"/>
      <c r="F675" s="241"/>
    </row>
    <row r="676" spans="5:6" x14ac:dyDescent="0.15">
      <c r="E676" s="241"/>
      <c r="F676" s="241"/>
    </row>
    <row r="677" spans="5:6" x14ac:dyDescent="0.15">
      <c r="E677" s="241"/>
      <c r="F677" s="241"/>
    </row>
    <row r="678" spans="5:6" x14ac:dyDescent="0.15">
      <c r="E678" s="241"/>
      <c r="F678" s="241"/>
    </row>
    <row r="679" spans="5:6" x14ac:dyDescent="0.15">
      <c r="E679" s="241"/>
      <c r="F679" s="241"/>
    </row>
    <row r="680" spans="5:6" x14ac:dyDescent="0.15">
      <c r="E680" s="241"/>
      <c r="F680" s="241"/>
    </row>
    <row r="681" spans="5:6" x14ac:dyDescent="0.15">
      <c r="E681" s="241"/>
      <c r="F681" s="241"/>
    </row>
    <row r="682" spans="5:6" x14ac:dyDescent="0.15">
      <c r="E682" s="241"/>
      <c r="F682" s="241"/>
    </row>
    <row r="683" spans="5:6" x14ac:dyDescent="0.15">
      <c r="E683" s="241"/>
      <c r="F683" s="241"/>
    </row>
    <row r="684" spans="5:6" x14ac:dyDescent="0.15">
      <c r="E684" s="241"/>
      <c r="F684" s="241"/>
    </row>
    <row r="685" spans="5:6" x14ac:dyDescent="0.15">
      <c r="E685" s="241"/>
      <c r="F685" s="241"/>
    </row>
    <row r="686" spans="5:6" x14ac:dyDescent="0.15">
      <c r="E686" s="241"/>
      <c r="F686" s="241"/>
    </row>
    <row r="687" spans="5:6" x14ac:dyDescent="0.15">
      <c r="E687" s="241"/>
      <c r="F687" s="241"/>
    </row>
    <row r="688" spans="5:6" x14ac:dyDescent="0.15">
      <c r="E688" s="241"/>
      <c r="F688" s="241"/>
    </row>
    <row r="689" spans="5:6" x14ac:dyDescent="0.15">
      <c r="E689" s="241"/>
      <c r="F689" s="241"/>
    </row>
    <row r="690" spans="5:6" x14ac:dyDescent="0.15">
      <c r="E690" s="241"/>
      <c r="F690" s="241"/>
    </row>
    <row r="691" spans="5:6" x14ac:dyDescent="0.15">
      <c r="E691" s="241"/>
      <c r="F691" s="241"/>
    </row>
    <row r="692" spans="5:6" x14ac:dyDescent="0.15">
      <c r="E692" s="241"/>
      <c r="F692" s="241"/>
    </row>
    <row r="693" spans="5:6" x14ac:dyDescent="0.15">
      <c r="E693" s="241"/>
      <c r="F693" s="241"/>
    </row>
    <row r="694" spans="5:6" x14ac:dyDescent="0.15">
      <c r="E694" s="241"/>
      <c r="F694" s="241"/>
    </row>
    <row r="695" spans="5:6" x14ac:dyDescent="0.15">
      <c r="E695" s="241"/>
      <c r="F695" s="241"/>
    </row>
    <row r="696" spans="5:6" x14ac:dyDescent="0.15">
      <c r="E696" s="241"/>
      <c r="F696" s="241"/>
    </row>
    <row r="697" spans="5:6" x14ac:dyDescent="0.15">
      <c r="E697" s="241"/>
      <c r="F697" s="241"/>
    </row>
    <row r="698" spans="5:6" x14ac:dyDescent="0.15">
      <c r="E698" s="241"/>
      <c r="F698" s="241"/>
    </row>
    <row r="699" spans="5:6" x14ac:dyDescent="0.15">
      <c r="E699" s="241"/>
      <c r="F699" s="241"/>
    </row>
    <row r="700" spans="5:6" x14ac:dyDescent="0.15">
      <c r="E700" s="241"/>
      <c r="F700" s="241"/>
    </row>
    <row r="701" spans="5:6" x14ac:dyDescent="0.15">
      <c r="E701" s="241"/>
      <c r="F701" s="241"/>
    </row>
    <row r="702" spans="5:6" x14ac:dyDescent="0.15">
      <c r="E702" s="241"/>
      <c r="F702" s="241"/>
    </row>
    <row r="703" spans="5:6" x14ac:dyDescent="0.15">
      <c r="E703" s="241"/>
      <c r="F703" s="241"/>
    </row>
    <row r="704" spans="5:6" x14ac:dyDescent="0.15">
      <c r="E704" s="241"/>
      <c r="F704" s="241"/>
    </row>
    <row r="705" spans="5:6" x14ac:dyDescent="0.15">
      <c r="E705" s="241"/>
      <c r="F705" s="241"/>
    </row>
    <row r="706" spans="5:6" x14ac:dyDescent="0.15">
      <c r="E706" s="241"/>
      <c r="F706" s="241"/>
    </row>
    <row r="707" spans="5:6" x14ac:dyDescent="0.15">
      <c r="E707" s="241"/>
      <c r="F707" s="241"/>
    </row>
    <row r="708" spans="5:6" x14ac:dyDescent="0.15">
      <c r="E708" s="241"/>
      <c r="F708" s="241"/>
    </row>
    <row r="709" spans="5:6" x14ac:dyDescent="0.15">
      <c r="E709" s="241"/>
      <c r="F709" s="241"/>
    </row>
    <row r="710" spans="5:6" x14ac:dyDescent="0.15">
      <c r="E710" s="241"/>
      <c r="F710" s="241"/>
    </row>
    <row r="711" spans="5:6" x14ac:dyDescent="0.15">
      <c r="E711" s="241"/>
      <c r="F711" s="241"/>
    </row>
    <row r="712" spans="5:6" x14ac:dyDescent="0.15">
      <c r="E712" s="241"/>
      <c r="F712" s="241"/>
    </row>
    <row r="713" spans="5:6" x14ac:dyDescent="0.15">
      <c r="E713" s="241"/>
      <c r="F713" s="241"/>
    </row>
    <row r="714" spans="5:6" x14ac:dyDescent="0.15">
      <c r="E714" s="241"/>
      <c r="F714" s="241"/>
    </row>
    <row r="715" spans="5:6" x14ac:dyDescent="0.15">
      <c r="E715" s="241"/>
      <c r="F715" s="241"/>
    </row>
    <row r="716" spans="5:6" x14ac:dyDescent="0.15">
      <c r="E716" s="241"/>
      <c r="F716" s="241"/>
    </row>
    <row r="717" spans="5:6" x14ac:dyDescent="0.15">
      <c r="E717" s="241"/>
      <c r="F717" s="241"/>
    </row>
    <row r="718" spans="5:6" x14ac:dyDescent="0.15">
      <c r="E718" s="241"/>
      <c r="F718" s="241"/>
    </row>
    <row r="719" spans="5:6" x14ac:dyDescent="0.15">
      <c r="E719" s="241"/>
      <c r="F719" s="241"/>
    </row>
    <row r="720" spans="5:6" x14ac:dyDescent="0.15">
      <c r="E720" s="241"/>
      <c r="F720" s="241"/>
    </row>
    <row r="721" spans="5:6" x14ac:dyDescent="0.15">
      <c r="E721" s="241"/>
      <c r="F721" s="241"/>
    </row>
    <row r="722" spans="5:6" x14ac:dyDescent="0.15">
      <c r="E722" s="241"/>
      <c r="F722" s="241"/>
    </row>
    <row r="723" spans="5:6" x14ac:dyDescent="0.15">
      <c r="E723" s="241"/>
      <c r="F723" s="241"/>
    </row>
    <row r="724" spans="5:6" x14ac:dyDescent="0.15">
      <c r="E724" s="241"/>
      <c r="F724" s="241"/>
    </row>
    <row r="725" spans="5:6" x14ac:dyDescent="0.15">
      <c r="E725" s="241"/>
      <c r="F725" s="241"/>
    </row>
    <row r="726" spans="5:6" x14ac:dyDescent="0.15">
      <c r="E726" s="241"/>
    </row>
  </sheetData>
  <autoFilter ref="A1:BA79"/>
  <phoneticPr fontId="3"/>
  <dataValidations count="15">
    <dataValidation type="list" allowBlank="1" showInputMessage="1" showErrorMessage="1" sqref="JU2:JW73 ANI2:ANK73 BQW2:BQY73 CUK2:CUM73 DXY2:DYA73 FBM2:FBO73 GFA2:GFC73 HIO2:HIQ73 IMC2:IME73 JPQ2:JPS73 KTE2:KTG73 LWS2:LWU73 NAG2:NAI73 ODU2:ODW73 PHI2:PHK73 QKW2:QKY73 ROK2:ROM73 SRY2:SSA73 TVM2:TVO73 UZA2:UZC73 WCO2:WCQ73 TQ2:TS73 AXE2:AXG73 CAS2:CAU73 DEG2:DEI73 EHU2:EHW73 FLI2:FLK73 GOW2:GOY73 HSK2:HSM73 IVY2:IWA73 JZM2:JZO73 LDA2:LDC73 MGO2:MGQ73 NKC2:NKE73 ONQ2:ONS73 PRE2:PRG73 QUS2:QUU73 RYG2:RYI73 TBU2:TBW73 UFI2:UFK73 VIW2:VIY73 WMK2:WMM73 ADM2:ADO73 BHA2:BHC73 CKO2:CKQ73 DOC2:DOE73 ERQ2:ERS73 FVE2:FVG73 GYS2:GYU73 ICG2:ICI73 JFU2:JFW73 KJI2:KJK73 LMW2:LMY73 MQK2:MQM73 NTY2:NUA73 OXM2:OXO73 QBA2:QBC73 REO2:REQ73 SIC2:SIE73 TLQ2:TLS73 UPE2:UPG73 VSS2:VSU73 WWG2:WWI73 Y983036:AA983113 ADM983036:ADO983113 BHA983036:BHC983113 CKO983036:CKQ983113 DOC983036:DOE983113 ERQ983036:ERS983113 FVE983036:FVG983113 GYS983036:GYU983113 ICG983036:ICI983113 JFU983036:JFW983113 KJI983036:KJK983113 LMW983036:LMY983113 MQK983036:MQM983113 NTY983036:NUA983113 OXM983036:OXO983113 QBA983036:QBC983113 REO983036:REQ983113 SIC983036:SIE983113 TLQ983036:TLS983113 UPE983036:UPG983113 VSS983036:VSU983113 WWG983036:WWI983113 Y65532:AA65609 ADM65532:ADO65609 BHA65532:BHC65609 CKO65532:CKQ65609 DOC65532:DOE65609 ERQ65532:ERS65609 FVE65532:FVG65609 GYS65532:GYU65609 ICG65532:ICI65609 JFU65532:JFW65609 KJI65532:KJK65609 LMW65532:LMY65609 MQK65532:MQM65609 NTY65532:NUA65609 OXM65532:OXO65609 QBA65532:QBC65609 REO65532:REQ65609 SIC65532:SIE65609 TLQ65532:TLS65609 UPE65532:UPG65609 VSS65532:VSU65609 WWG65532:WWI65609 JU65532:JW65609 ANI65532:ANK65609 BQW65532:BQY65609 CUK65532:CUM65609 DXY65532:DYA65609 FBM65532:FBO65609 GFA65532:GFC65609 HIO65532:HIQ65609 IMC65532:IME65609 JPQ65532:JPS65609 KTE65532:KTG65609 LWS65532:LWU65609 NAG65532:NAI65609 ODU65532:ODW65609 PHI65532:PHK65609 QKW65532:QKY65609 ROK65532:ROM65609 SRY65532:SSA65609 TVM65532:TVO65609 UZA65532:UZC65609 WCO65532:WCQ65609 TQ65532:TS65609 AXE65532:AXG65609 CAS65532:CAU65609 DEG65532:DEI65609 EHU65532:EHW65609 FLI65532:FLK65609 GOW65532:GOY65609 HSK65532:HSM65609 IVY65532:IWA65609 JZM65532:JZO65609 LDA65532:LDC65609 MGO65532:MGQ65609 NKC65532:NKE65609 ONQ65532:ONS65609 PRE65532:PRG65609 QUS65532:QUU65609 RYG65532:RYI65609 TBU65532:TBW65609 UFI65532:UFK65609 VIW65532:VIY65609 WMK65532:WMM65609 Y131068:AA131145 ADM131068:ADO131145 BHA131068:BHC131145 CKO131068:CKQ131145 DOC131068:DOE131145 ERQ131068:ERS131145 FVE131068:FVG131145 GYS131068:GYU131145 ICG131068:ICI131145 JFU131068:JFW131145 KJI131068:KJK131145 LMW131068:LMY131145 MQK131068:MQM131145 NTY131068:NUA131145 OXM131068:OXO131145 QBA131068:QBC131145 REO131068:REQ131145 SIC131068:SIE131145 TLQ131068:TLS131145 UPE131068:UPG131145 VSS131068:VSU131145 WWG131068:WWI131145 JU131068:JW131145 ANI131068:ANK131145 BQW131068:BQY131145 CUK131068:CUM131145 DXY131068:DYA131145 FBM131068:FBO131145 GFA131068:GFC131145 HIO131068:HIQ131145 IMC131068:IME131145 JPQ131068:JPS131145 KTE131068:KTG131145 LWS131068:LWU131145 NAG131068:NAI131145 ODU131068:ODW131145 PHI131068:PHK131145 QKW131068:QKY131145 ROK131068:ROM131145 SRY131068:SSA131145 TVM131068:TVO131145 UZA131068:UZC131145 WCO131068:WCQ131145 TQ131068:TS131145 AXE131068:AXG131145 CAS131068:CAU131145 DEG131068:DEI131145 EHU131068:EHW131145 FLI131068:FLK131145 GOW131068:GOY131145 HSK131068:HSM131145 IVY131068:IWA131145 JZM131068:JZO131145 LDA131068:LDC131145 MGO131068:MGQ131145 NKC131068:NKE131145 ONQ131068:ONS131145 PRE131068:PRG131145 QUS131068:QUU131145 RYG131068:RYI131145 TBU131068:TBW131145 UFI131068:UFK131145 VIW131068:VIY131145 WMK131068:WMM131145 Y196604:AA196681 ADM196604:ADO196681 BHA196604:BHC196681 CKO196604:CKQ196681 DOC196604:DOE196681 ERQ196604:ERS196681 FVE196604:FVG196681 GYS196604:GYU196681 ICG196604:ICI196681 JFU196604:JFW196681 KJI196604:KJK196681 LMW196604:LMY196681 MQK196604:MQM196681 NTY196604:NUA196681 OXM196604:OXO196681 QBA196604:QBC196681 REO196604:REQ196681 SIC196604:SIE196681 TLQ196604:TLS196681 UPE196604:UPG196681 VSS196604:VSU196681 WWG196604:WWI196681 JU196604:JW196681 ANI196604:ANK196681 BQW196604:BQY196681 CUK196604:CUM196681 DXY196604:DYA196681 FBM196604:FBO196681 GFA196604:GFC196681 HIO196604:HIQ196681 IMC196604:IME196681 JPQ196604:JPS196681 KTE196604:KTG196681 LWS196604:LWU196681 NAG196604:NAI196681 ODU196604:ODW196681 PHI196604:PHK196681 QKW196604:QKY196681 ROK196604:ROM196681 SRY196604:SSA196681 TVM196604:TVO196681 UZA196604:UZC196681 WCO196604:WCQ196681 TQ196604:TS196681 AXE196604:AXG196681 CAS196604:CAU196681 DEG196604:DEI196681 EHU196604:EHW196681 FLI196604:FLK196681 GOW196604:GOY196681 HSK196604:HSM196681 IVY196604:IWA196681 JZM196604:JZO196681 LDA196604:LDC196681 MGO196604:MGQ196681 NKC196604:NKE196681 ONQ196604:ONS196681 PRE196604:PRG196681 QUS196604:QUU196681 RYG196604:RYI196681 TBU196604:TBW196681 UFI196604:UFK196681 VIW196604:VIY196681 WMK196604:WMM196681 Y262140:AA262217 ADM262140:ADO262217 BHA262140:BHC262217 CKO262140:CKQ262217 DOC262140:DOE262217 ERQ262140:ERS262217 FVE262140:FVG262217 GYS262140:GYU262217 ICG262140:ICI262217 JFU262140:JFW262217 KJI262140:KJK262217 LMW262140:LMY262217 MQK262140:MQM262217 NTY262140:NUA262217 OXM262140:OXO262217 QBA262140:QBC262217 REO262140:REQ262217 SIC262140:SIE262217 TLQ262140:TLS262217 UPE262140:UPG262217 VSS262140:VSU262217 WWG262140:WWI262217 JU262140:JW262217 ANI262140:ANK262217 BQW262140:BQY262217 CUK262140:CUM262217 DXY262140:DYA262217 FBM262140:FBO262217 GFA262140:GFC262217 HIO262140:HIQ262217 IMC262140:IME262217 JPQ262140:JPS262217 KTE262140:KTG262217 LWS262140:LWU262217 NAG262140:NAI262217 ODU262140:ODW262217 PHI262140:PHK262217 QKW262140:QKY262217 ROK262140:ROM262217 SRY262140:SSA262217 TVM262140:TVO262217 UZA262140:UZC262217 WCO262140:WCQ262217 TQ262140:TS262217 AXE262140:AXG262217 CAS262140:CAU262217 DEG262140:DEI262217 EHU262140:EHW262217 FLI262140:FLK262217 GOW262140:GOY262217 HSK262140:HSM262217 IVY262140:IWA262217 JZM262140:JZO262217 LDA262140:LDC262217 MGO262140:MGQ262217 NKC262140:NKE262217 ONQ262140:ONS262217 PRE262140:PRG262217 QUS262140:QUU262217 RYG262140:RYI262217 TBU262140:TBW262217 UFI262140:UFK262217 VIW262140:VIY262217 WMK262140:WMM262217 Y327676:AA327753 ADM327676:ADO327753 BHA327676:BHC327753 CKO327676:CKQ327753 DOC327676:DOE327753 ERQ327676:ERS327753 FVE327676:FVG327753 GYS327676:GYU327753 ICG327676:ICI327753 JFU327676:JFW327753 KJI327676:KJK327753 LMW327676:LMY327753 MQK327676:MQM327753 NTY327676:NUA327753 OXM327676:OXO327753 QBA327676:QBC327753 REO327676:REQ327753 SIC327676:SIE327753 TLQ327676:TLS327753 UPE327676:UPG327753 VSS327676:VSU327753 WWG327676:WWI327753 JU327676:JW327753 ANI327676:ANK327753 BQW327676:BQY327753 CUK327676:CUM327753 DXY327676:DYA327753 FBM327676:FBO327753 GFA327676:GFC327753 HIO327676:HIQ327753 IMC327676:IME327753 JPQ327676:JPS327753 KTE327676:KTG327753 LWS327676:LWU327753 NAG327676:NAI327753 ODU327676:ODW327753 PHI327676:PHK327753 QKW327676:QKY327753 ROK327676:ROM327753 SRY327676:SSA327753 TVM327676:TVO327753 UZA327676:UZC327753 WCO327676:WCQ327753 TQ327676:TS327753 AXE327676:AXG327753 CAS327676:CAU327753 DEG327676:DEI327753 EHU327676:EHW327753 FLI327676:FLK327753 GOW327676:GOY327753 HSK327676:HSM327753 IVY327676:IWA327753 JZM327676:JZO327753 LDA327676:LDC327753 MGO327676:MGQ327753 NKC327676:NKE327753 ONQ327676:ONS327753 PRE327676:PRG327753 QUS327676:QUU327753 RYG327676:RYI327753 TBU327676:TBW327753 UFI327676:UFK327753 VIW327676:VIY327753 WMK327676:WMM327753 Y393212:AA393289 ADM393212:ADO393289 BHA393212:BHC393289 CKO393212:CKQ393289 DOC393212:DOE393289 ERQ393212:ERS393289 FVE393212:FVG393289 GYS393212:GYU393289 ICG393212:ICI393289 JFU393212:JFW393289 KJI393212:KJK393289 LMW393212:LMY393289 MQK393212:MQM393289 NTY393212:NUA393289 OXM393212:OXO393289 QBA393212:QBC393289 REO393212:REQ393289 SIC393212:SIE393289 TLQ393212:TLS393289 UPE393212:UPG393289 VSS393212:VSU393289 WWG393212:WWI393289 JU393212:JW393289 ANI393212:ANK393289 BQW393212:BQY393289 CUK393212:CUM393289 DXY393212:DYA393289 FBM393212:FBO393289 GFA393212:GFC393289 HIO393212:HIQ393289 IMC393212:IME393289 JPQ393212:JPS393289 KTE393212:KTG393289 LWS393212:LWU393289 NAG393212:NAI393289 ODU393212:ODW393289 PHI393212:PHK393289 QKW393212:QKY393289 ROK393212:ROM393289 SRY393212:SSA393289 TVM393212:TVO393289 UZA393212:UZC393289 WCO393212:WCQ393289 TQ393212:TS393289 AXE393212:AXG393289 CAS393212:CAU393289 DEG393212:DEI393289 EHU393212:EHW393289 FLI393212:FLK393289 GOW393212:GOY393289 HSK393212:HSM393289 IVY393212:IWA393289 JZM393212:JZO393289 LDA393212:LDC393289 MGO393212:MGQ393289 NKC393212:NKE393289 ONQ393212:ONS393289 PRE393212:PRG393289 QUS393212:QUU393289 RYG393212:RYI393289 TBU393212:TBW393289 UFI393212:UFK393289 VIW393212:VIY393289 WMK393212:WMM393289 Y458748:AA458825 ADM458748:ADO458825 BHA458748:BHC458825 CKO458748:CKQ458825 DOC458748:DOE458825 ERQ458748:ERS458825 FVE458748:FVG458825 GYS458748:GYU458825 ICG458748:ICI458825 JFU458748:JFW458825 KJI458748:KJK458825 LMW458748:LMY458825 MQK458748:MQM458825 NTY458748:NUA458825 OXM458748:OXO458825 QBA458748:QBC458825 REO458748:REQ458825 SIC458748:SIE458825 TLQ458748:TLS458825 UPE458748:UPG458825 VSS458748:VSU458825 WWG458748:WWI458825 JU458748:JW458825 ANI458748:ANK458825 BQW458748:BQY458825 CUK458748:CUM458825 DXY458748:DYA458825 FBM458748:FBO458825 GFA458748:GFC458825 HIO458748:HIQ458825 IMC458748:IME458825 JPQ458748:JPS458825 KTE458748:KTG458825 LWS458748:LWU458825 NAG458748:NAI458825 ODU458748:ODW458825 PHI458748:PHK458825 QKW458748:QKY458825 ROK458748:ROM458825 SRY458748:SSA458825 TVM458748:TVO458825 UZA458748:UZC458825 WCO458748:WCQ458825 TQ458748:TS458825 AXE458748:AXG458825 CAS458748:CAU458825 DEG458748:DEI458825 EHU458748:EHW458825 FLI458748:FLK458825 GOW458748:GOY458825 HSK458748:HSM458825 IVY458748:IWA458825 JZM458748:JZO458825 LDA458748:LDC458825 MGO458748:MGQ458825 NKC458748:NKE458825 ONQ458748:ONS458825 PRE458748:PRG458825 QUS458748:QUU458825 RYG458748:RYI458825 TBU458748:TBW458825 UFI458748:UFK458825 VIW458748:VIY458825 WMK458748:WMM458825 Y524284:AA524361 ADM524284:ADO524361 BHA524284:BHC524361 CKO524284:CKQ524361 DOC524284:DOE524361 ERQ524284:ERS524361 FVE524284:FVG524361 GYS524284:GYU524361 ICG524284:ICI524361 JFU524284:JFW524361 KJI524284:KJK524361 LMW524284:LMY524361 MQK524284:MQM524361 NTY524284:NUA524361 OXM524284:OXO524361 QBA524284:QBC524361 REO524284:REQ524361 SIC524284:SIE524361 TLQ524284:TLS524361 UPE524284:UPG524361 VSS524284:VSU524361 WWG524284:WWI524361 JU524284:JW524361 ANI524284:ANK524361 BQW524284:BQY524361 CUK524284:CUM524361 DXY524284:DYA524361 FBM524284:FBO524361 GFA524284:GFC524361 HIO524284:HIQ524361 IMC524284:IME524361 JPQ524284:JPS524361 KTE524284:KTG524361 LWS524284:LWU524361 NAG524284:NAI524361 ODU524284:ODW524361 PHI524284:PHK524361 QKW524284:QKY524361 ROK524284:ROM524361 SRY524284:SSA524361 TVM524284:TVO524361 UZA524284:UZC524361 WCO524284:WCQ524361 TQ524284:TS524361 AXE524284:AXG524361 CAS524284:CAU524361 DEG524284:DEI524361 EHU524284:EHW524361 FLI524284:FLK524361 GOW524284:GOY524361 HSK524284:HSM524361 IVY524284:IWA524361 JZM524284:JZO524361 LDA524284:LDC524361 MGO524284:MGQ524361 NKC524284:NKE524361 ONQ524284:ONS524361 PRE524284:PRG524361 QUS524284:QUU524361 RYG524284:RYI524361 TBU524284:TBW524361 UFI524284:UFK524361 VIW524284:VIY524361 WMK524284:WMM524361 Y589820:AA589897 ADM589820:ADO589897 BHA589820:BHC589897 CKO589820:CKQ589897 DOC589820:DOE589897 ERQ589820:ERS589897 FVE589820:FVG589897 GYS589820:GYU589897 ICG589820:ICI589897 JFU589820:JFW589897 KJI589820:KJK589897 LMW589820:LMY589897 MQK589820:MQM589897 NTY589820:NUA589897 OXM589820:OXO589897 QBA589820:QBC589897 REO589820:REQ589897 SIC589820:SIE589897 TLQ589820:TLS589897 UPE589820:UPG589897 VSS589820:VSU589897 WWG589820:WWI589897 JU589820:JW589897 ANI589820:ANK589897 BQW589820:BQY589897 CUK589820:CUM589897 DXY589820:DYA589897 FBM589820:FBO589897 GFA589820:GFC589897 HIO589820:HIQ589897 IMC589820:IME589897 JPQ589820:JPS589897 KTE589820:KTG589897 LWS589820:LWU589897 NAG589820:NAI589897 ODU589820:ODW589897 PHI589820:PHK589897 QKW589820:QKY589897 ROK589820:ROM589897 SRY589820:SSA589897 TVM589820:TVO589897 UZA589820:UZC589897 WCO589820:WCQ589897 TQ589820:TS589897 AXE589820:AXG589897 CAS589820:CAU589897 DEG589820:DEI589897 EHU589820:EHW589897 FLI589820:FLK589897 GOW589820:GOY589897 HSK589820:HSM589897 IVY589820:IWA589897 JZM589820:JZO589897 LDA589820:LDC589897 MGO589820:MGQ589897 NKC589820:NKE589897 ONQ589820:ONS589897 PRE589820:PRG589897 QUS589820:QUU589897 RYG589820:RYI589897 TBU589820:TBW589897 UFI589820:UFK589897 VIW589820:VIY589897 WMK589820:WMM589897 Y655356:AA655433 ADM655356:ADO655433 BHA655356:BHC655433 CKO655356:CKQ655433 DOC655356:DOE655433 ERQ655356:ERS655433 FVE655356:FVG655433 GYS655356:GYU655433 ICG655356:ICI655433 JFU655356:JFW655433 KJI655356:KJK655433 LMW655356:LMY655433 MQK655356:MQM655433 NTY655356:NUA655433 OXM655356:OXO655433 QBA655356:QBC655433 REO655356:REQ655433 SIC655356:SIE655433 TLQ655356:TLS655433 UPE655356:UPG655433 VSS655356:VSU655433 WWG655356:WWI655433 JU655356:JW655433 ANI655356:ANK655433 BQW655356:BQY655433 CUK655356:CUM655433 DXY655356:DYA655433 FBM655356:FBO655433 GFA655356:GFC655433 HIO655356:HIQ655433 IMC655356:IME655433 JPQ655356:JPS655433 KTE655356:KTG655433 LWS655356:LWU655433 NAG655356:NAI655433 ODU655356:ODW655433 PHI655356:PHK655433 QKW655356:QKY655433 ROK655356:ROM655433 SRY655356:SSA655433 TVM655356:TVO655433 UZA655356:UZC655433 WCO655356:WCQ655433 TQ655356:TS655433 AXE655356:AXG655433 CAS655356:CAU655433 DEG655356:DEI655433 EHU655356:EHW655433 FLI655356:FLK655433 GOW655356:GOY655433 HSK655356:HSM655433 IVY655356:IWA655433 JZM655356:JZO655433 LDA655356:LDC655433 MGO655356:MGQ655433 NKC655356:NKE655433 ONQ655356:ONS655433 PRE655356:PRG655433 QUS655356:QUU655433 RYG655356:RYI655433 TBU655356:TBW655433 UFI655356:UFK655433 VIW655356:VIY655433 WMK655356:WMM655433 Y720892:AA720969 ADM720892:ADO720969 BHA720892:BHC720969 CKO720892:CKQ720969 DOC720892:DOE720969 ERQ720892:ERS720969 FVE720892:FVG720969 GYS720892:GYU720969 ICG720892:ICI720969 JFU720892:JFW720969 KJI720892:KJK720969 LMW720892:LMY720969 MQK720892:MQM720969 NTY720892:NUA720969 OXM720892:OXO720969 QBA720892:QBC720969 REO720892:REQ720969 SIC720892:SIE720969 TLQ720892:TLS720969 UPE720892:UPG720969 VSS720892:VSU720969 WWG720892:WWI720969 JU720892:JW720969 ANI720892:ANK720969 BQW720892:BQY720969 CUK720892:CUM720969 DXY720892:DYA720969 FBM720892:FBO720969 GFA720892:GFC720969 HIO720892:HIQ720969 IMC720892:IME720969 JPQ720892:JPS720969 KTE720892:KTG720969 LWS720892:LWU720969 NAG720892:NAI720969 ODU720892:ODW720969 PHI720892:PHK720969 QKW720892:QKY720969 ROK720892:ROM720969 SRY720892:SSA720969 TVM720892:TVO720969 UZA720892:UZC720969 WCO720892:WCQ720969 TQ720892:TS720969 AXE720892:AXG720969 CAS720892:CAU720969 DEG720892:DEI720969 EHU720892:EHW720969 FLI720892:FLK720969 GOW720892:GOY720969 HSK720892:HSM720969 IVY720892:IWA720969 JZM720892:JZO720969 LDA720892:LDC720969 MGO720892:MGQ720969 NKC720892:NKE720969 ONQ720892:ONS720969 PRE720892:PRG720969 QUS720892:QUU720969 RYG720892:RYI720969 TBU720892:TBW720969 UFI720892:UFK720969 VIW720892:VIY720969 WMK720892:WMM720969 Y786428:AA786505 ADM786428:ADO786505 BHA786428:BHC786505 CKO786428:CKQ786505 DOC786428:DOE786505 ERQ786428:ERS786505 FVE786428:FVG786505 GYS786428:GYU786505 ICG786428:ICI786505 JFU786428:JFW786505 KJI786428:KJK786505 LMW786428:LMY786505 MQK786428:MQM786505 NTY786428:NUA786505 OXM786428:OXO786505 QBA786428:QBC786505 REO786428:REQ786505 SIC786428:SIE786505 TLQ786428:TLS786505 UPE786428:UPG786505 VSS786428:VSU786505 WWG786428:WWI786505 JU786428:JW786505 ANI786428:ANK786505 BQW786428:BQY786505 CUK786428:CUM786505 DXY786428:DYA786505 FBM786428:FBO786505 GFA786428:GFC786505 HIO786428:HIQ786505 IMC786428:IME786505 JPQ786428:JPS786505 KTE786428:KTG786505 LWS786428:LWU786505 NAG786428:NAI786505 ODU786428:ODW786505 PHI786428:PHK786505 QKW786428:QKY786505 ROK786428:ROM786505 SRY786428:SSA786505 TVM786428:TVO786505 UZA786428:UZC786505 WCO786428:WCQ786505 TQ786428:TS786505 AXE786428:AXG786505 CAS786428:CAU786505 DEG786428:DEI786505 EHU786428:EHW786505 FLI786428:FLK786505 GOW786428:GOY786505 HSK786428:HSM786505 IVY786428:IWA786505 JZM786428:JZO786505 LDA786428:LDC786505 MGO786428:MGQ786505 NKC786428:NKE786505 ONQ786428:ONS786505 PRE786428:PRG786505 QUS786428:QUU786505 RYG786428:RYI786505 TBU786428:TBW786505 UFI786428:UFK786505 VIW786428:VIY786505 WMK786428:WMM786505 Y851964:AA852041 ADM851964:ADO852041 BHA851964:BHC852041 CKO851964:CKQ852041 DOC851964:DOE852041 ERQ851964:ERS852041 FVE851964:FVG852041 GYS851964:GYU852041 ICG851964:ICI852041 JFU851964:JFW852041 KJI851964:KJK852041 LMW851964:LMY852041 MQK851964:MQM852041 NTY851964:NUA852041 OXM851964:OXO852041 QBA851964:QBC852041 REO851964:REQ852041 SIC851964:SIE852041 TLQ851964:TLS852041 UPE851964:UPG852041 VSS851964:VSU852041 WWG851964:WWI852041 JU851964:JW852041 ANI851964:ANK852041 BQW851964:BQY852041 CUK851964:CUM852041 DXY851964:DYA852041 FBM851964:FBO852041 GFA851964:GFC852041 HIO851964:HIQ852041 IMC851964:IME852041 JPQ851964:JPS852041 KTE851964:KTG852041 LWS851964:LWU852041 NAG851964:NAI852041 ODU851964:ODW852041 PHI851964:PHK852041 QKW851964:QKY852041 ROK851964:ROM852041 SRY851964:SSA852041 TVM851964:TVO852041 UZA851964:UZC852041 WCO851964:WCQ852041 TQ851964:TS852041 AXE851964:AXG852041 CAS851964:CAU852041 DEG851964:DEI852041 EHU851964:EHW852041 FLI851964:FLK852041 GOW851964:GOY852041 HSK851964:HSM852041 IVY851964:IWA852041 JZM851964:JZO852041 LDA851964:LDC852041 MGO851964:MGQ852041 NKC851964:NKE852041 ONQ851964:ONS852041 PRE851964:PRG852041 QUS851964:QUU852041 RYG851964:RYI852041 TBU851964:TBW852041 UFI851964:UFK852041 VIW851964:VIY852041 WMK851964:WMM852041 Y917500:AA917577 ADM917500:ADO917577 BHA917500:BHC917577 CKO917500:CKQ917577 DOC917500:DOE917577 ERQ917500:ERS917577 FVE917500:FVG917577 GYS917500:GYU917577 ICG917500:ICI917577 JFU917500:JFW917577 KJI917500:KJK917577 LMW917500:LMY917577 MQK917500:MQM917577 NTY917500:NUA917577 OXM917500:OXO917577 QBA917500:QBC917577 REO917500:REQ917577 SIC917500:SIE917577 TLQ917500:TLS917577 UPE917500:UPG917577 VSS917500:VSU917577 WWG917500:WWI917577 JU917500:JW917577 ANI917500:ANK917577 BQW917500:BQY917577 CUK917500:CUM917577 DXY917500:DYA917577 FBM917500:FBO917577 GFA917500:GFC917577 HIO917500:HIQ917577 IMC917500:IME917577 JPQ917500:JPS917577 KTE917500:KTG917577 LWS917500:LWU917577 NAG917500:NAI917577 ODU917500:ODW917577 PHI917500:PHK917577 QKW917500:QKY917577 ROK917500:ROM917577 SRY917500:SSA917577 TVM917500:TVO917577 UZA917500:UZC917577 WCO917500:WCQ917577 TQ917500:TS917577 AXE917500:AXG917577 CAS917500:CAU917577 DEG917500:DEI917577 EHU917500:EHW917577 FLI917500:FLK917577 GOW917500:GOY917577 HSK917500:HSM917577 IVY917500:IWA917577 JZM917500:JZO917577 LDA917500:LDC917577 MGO917500:MGQ917577 NKC917500:NKE917577 ONQ917500:ONS917577 PRE917500:PRG917577 QUS917500:QUU917577 RYG917500:RYI917577 TBU917500:TBW917577 UFI917500:UFK917577 VIW917500:VIY917577 WMK917500:WMM917577 JU983036:JW983113 ANI983036:ANK983113 BQW983036:BQY983113 CUK983036:CUM983113 DXY983036:DYA983113 FBM983036:FBO983113 GFA983036:GFC983113 HIO983036:HIQ983113 IMC983036:IME983113 JPQ983036:JPS983113 KTE983036:KTG983113 LWS983036:LWU983113 NAG983036:NAI983113 ODU983036:ODW983113 PHI983036:PHK983113 QKW983036:QKY983113 ROK983036:ROM983113 SRY983036:SSA983113 TVM983036:TVO983113 UZA983036:UZC983113 WCO983036:WCQ983113 TQ983036:TS983113 AXE983036:AXG983113 CAS983036:CAU983113 DEG983036:DEI983113 EHU983036:EHW983113 FLI983036:FLK983113 GOW983036:GOY983113 HSK983036:HSM983113 IVY983036:IWA983113 JZM983036:JZO983113 LDA983036:LDC983113 MGO983036:MGQ983113 NKC983036:NKE983113 ONQ983036:ONS983113 PRE983036:PRG983113 QUS983036:QUU983113 RYG983036:RYI983113 TBU983036:TBW983113 UFI983036:UFK983113 VIW983036:VIY983113 WMK983036:WMM983113">
      <formula1>$AV$2:$AV$17</formula1>
    </dataValidation>
    <dataValidation type="decimal" allowBlank="1" showInputMessage="1" showErrorMessage="1" error="硬度を正しく入力して下さい。" sqref="O2:P494">
      <formula1>0</formula1>
      <formula2>7</formula2>
    </dataValidation>
    <dataValidation type="list" allowBlank="1" showInputMessage="1" showErrorMessage="1" sqref="K84:K494 K65532:K65609 K131068:K131145 K196604:K196681 K262140:K262217 K327676:K327753 K393212:K393289 K458748:K458825 K524284:K524361 K589820:K589897 K655356:K655433 K720892:K720969 K786428:K786505 K851964:K852041 K917500:K917577 K983036:K983113 JG2:JG73 JG65532:JG65609 JG131068:JG131145 JG196604:JG196681 JG262140:JG262217 JG327676:JG327753 JG393212:JG393289 JG458748:JG458825 JG524284:JG524361 JG589820:JG589897 JG655356:JG655433 JG720892:JG720969 JG786428:JG786505 JG851964:JG852041 JG917500:JG917577 JG983036:JG983113 TC2:TC73 TC65532:TC65609 TC131068:TC131145 TC196604:TC196681 TC262140:TC262217 TC327676:TC327753 TC393212:TC393289 TC458748:TC458825 TC524284:TC524361 TC589820:TC589897 TC655356:TC655433 TC720892:TC720969 TC786428:TC786505 TC851964:TC852041 TC917500:TC917577 TC983036:TC983113 ACY2:ACY73 ACY65532:ACY65609 ACY131068:ACY131145 ACY196604:ACY196681 ACY262140:ACY262217 ACY327676:ACY327753 ACY393212:ACY393289 ACY458748:ACY458825 ACY524284:ACY524361 ACY589820:ACY589897 ACY655356:ACY655433 ACY720892:ACY720969 ACY786428:ACY786505 ACY851964:ACY852041 ACY917500:ACY917577 ACY983036:ACY983113 AMU2:AMU73 AMU65532:AMU65609 AMU131068:AMU131145 AMU196604:AMU196681 AMU262140:AMU262217 AMU327676:AMU327753 AMU393212:AMU393289 AMU458748:AMU458825 AMU524284:AMU524361 AMU589820:AMU589897 AMU655356:AMU655433 AMU720892:AMU720969 AMU786428:AMU786505 AMU851964:AMU852041 AMU917500:AMU917577 AMU983036:AMU983113 AWQ2:AWQ73 AWQ65532:AWQ65609 AWQ131068:AWQ131145 AWQ196604:AWQ196681 AWQ262140:AWQ262217 AWQ327676:AWQ327753 AWQ393212:AWQ393289 AWQ458748:AWQ458825 AWQ524284:AWQ524361 AWQ589820:AWQ589897 AWQ655356:AWQ655433 AWQ720892:AWQ720969 AWQ786428:AWQ786505 AWQ851964:AWQ852041 AWQ917500:AWQ917577 AWQ983036:AWQ983113 BGM2:BGM73 BGM65532:BGM65609 BGM131068:BGM131145 BGM196604:BGM196681 BGM262140:BGM262217 BGM327676:BGM327753 BGM393212:BGM393289 BGM458748:BGM458825 BGM524284:BGM524361 BGM589820:BGM589897 BGM655356:BGM655433 BGM720892:BGM720969 BGM786428:BGM786505 BGM851964:BGM852041 BGM917500:BGM917577 BGM983036:BGM983113 BQI2:BQI73 BQI65532:BQI65609 BQI131068:BQI131145 BQI196604:BQI196681 BQI262140:BQI262217 BQI327676:BQI327753 BQI393212:BQI393289 BQI458748:BQI458825 BQI524284:BQI524361 BQI589820:BQI589897 BQI655356:BQI655433 BQI720892:BQI720969 BQI786428:BQI786505 BQI851964:BQI852041 BQI917500:BQI917577 BQI983036:BQI983113 CAE2:CAE73 CAE65532:CAE65609 CAE131068:CAE131145 CAE196604:CAE196681 CAE262140:CAE262217 CAE327676:CAE327753 CAE393212:CAE393289 CAE458748:CAE458825 CAE524284:CAE524361 CAE589820:CAE589897 CAE655356:CAE655433 CAE720892:CAE720969 CAE786428:CAE786505 CAE851964:CAE852041 CAE917500:CAE917577 CAE983036:CAE983113 CKA2:CKA73 CKA65532:CKA65609 CKA131068:CKA131145 CKA196604:CKA196681 CKA262140:CKA262217 CKA327676:CKA327753 CKA393212:CKA393289 CKA458748:CKA458825 CKA524284:CKA524361 CKA589820:CKA589897 CKA655356:CKA655433 CKA720892:CKA720969 CKA786428:CKA786505 CKA851964:CKA852041 CKA917500:CKA917577 CKA983036:CKA983113 CTW2:CTW73 CTW65532:CTW65609 CTW131068:CTW131145 CTW196604:CTW196681 CTW262140:CTW262217 CTW327676:CTW327753 CTW393212:CTW393289 CTW458748:CTW458825 CTW524284:CTW524361 CTW589820:CTW589897 CTW655356:CTW655433 CTW720892:CTW720969 CTW786428:CTW786505 CTW851964:CTW852041 CTW917500:CTW917577 CTW983036:CTW983113 DDS2:DDS73 DDS65532:DDS65609 DDS131068:DDS131145 DDS196604:DDS196681 DDS262140:DDS262217 DDS327676:DDS327753 DDS393212:DDS393289 DDS458748:DDS458825 DDS524284:DDS524361 DDS589820:DDS589897 DDS655356:DDS655433 DDS720892:DDS720969 DDS786428:DDS786505 DDS851964:DDS852041 DDS917500:DDS917577 DDS983036:DDS983113 DNO2:DNO73 DNO65532:DNO65609 DNO131068:DNO131145 DNO196604:DNO196681 DNO262140:DNO262217 DNO327676:DNO327753 DNO393212:DNO393289 DNO458748:DNO458825 DNO524284:DNO524361 DNO589820:DNO589897 DNO655356:DNO655433 DNO720892:DNO720969 DNO786428:DNO786505 DNO851964:DNO852041 DNO917500:DNO917577 DNO983036:DNO983113 DXK2:DXK73 DXK65532:DXK65609 DXK131068:DXK131145 DXK196604:DXK196681 DXK262140:DXK262217 DXK327676:DXK327753 DXK393212:DXK393289 DXK458748:DXK458825 DXK524284:DXK524361 DXK589820:DXK589897 DXK655356:DXK655433 DXK720892:DXK720969 DXK786428:DXK786505 DXK851964:DXK852041 DXK917500:DXK917577 DXK983036:DXK983113 EHG2:EHG73 EHG65532:EHG65609 EHG131068:EHG131145 EHG196604:EHG196681 EHG262140:EHG262217 EHG327676:EHG327753 EHG393212:EHG393289 EHG458748:EHG458825 EHG524284:EHG524361 EHG589820:EHG589897 EHG655356:EHG655433 EHG720892:EHG720969 EHG786428:EHG786505 EHG851964:EHG852041 EHG917500:EHG917577 EHG983036:EHG983113 ERC2:ERC73 ERC65532:ERC65609 ERC131068:ERC131145 ERC196604:ERC196681 ERC262140:ERC262217 ERC327676:ERC327753 ERC393212:ERC393289 ERC458748:ERC458825 ERC524284:ERC524361 ERC589820:ERC589897 ERC655356:ERC655433 ERC720892:ERC720969 ERC786428:ERC786505 ERC851964:ERC852041 ERC917500:ERC917577 ERC983036:ERC983113 FAY2:FAY73 FAY65532:FAY65609 FAY131068:FAY131145 FAY196604:FAY196681 FAY262140:FAY262217 FAY327676:FAY327753 FAY393212:FAY393289 FAY458748:FAY458825 FAY524284:FAY524361 FAY589820:FAY589897 FAY655356:FAY655433 FAY720892:FAY720969 FAY786428:FAY786505 FAY851964:FAY852041 FAY917500:FAY917577 FAY983036:FAY983113 FKU2:FKU73 FKU65532:FKU65609 FKU131068:FKU131145 FKU196604:FKU196681 FKU262140:FKU262217 FKU327676:FKU327753 FKU393212:FKU393289 FKU458748:FKU458825 FKU524284:FKU524361 FKU589820:FKU589897 FKU655356:FKU655433 FKU720892:FKU720969 FKU786428:FKU786505 FKU851964:FKU852041 FKU917500:FKU917577 FKU983036:FKU983113 FUQ2:FUQ73 FUQ65532:FUQ65609 FUQ131068:FUQ131145 FUQ196604:FUQ196681 FUQ262140:FUQ262217 FUQ327676:FUQ327753 FUQ393212:FUQ393289 FUQ458748:FUQ458825 FUQ524284:FUQ524361 FUQ589820:FUQ589897 FUQ655356:FUQ655433 FUQ720892:FUQ720969 FUQ786428:FUQ786505 FUQ851964:FUQ852041 FUQ917500:FUQ917577 FUQ983036:FUQ983113 GEM2:GEM73 GEM65532:GEM65609 GEM131068:GEM131145 GEM196604:GEM196681 GEM262140:GEM262217 GEM327676:GEM327753 GEM393212:GEM393289 GEM458748:GEM458825 GEM524284:GEM524361 GEM589820:GEM589897 GEM655356:GEM655433 GEM720892:GEM720969 GEM786428:GEM786505 GEM851964:GEM852041 GEM917500:GEM917577 GEM983036:GEM983113 GOI2:GOI73 GOI65532:GOI65609 GOI131068:GOI131145 GOI196604:GOI196681 GOI262140:GOI262217 GOI327676:GOI327753 GOI393212:GOI393289 GOI458748:GOI458825 GOI524284:GOI524361 GOI589820:GOI589897 GOI655356:GOI655433 GOI720892:GOI720969 GOI786428:GOI786505 GOI851964:GOI852041 GOI917500:GOI917577 GOI983036:GOI983113 GYE2:GYE73 GYE65532:GYE65609 GYE131068:GYE131145 GYE196604:GYE196681 GYE262140:GYE262217 GYE327676:GYE327753 GYE393212:GYE393289 GYE458748:GYE458825 GYE524284:GYE524361 GYE589820:GYE589897 GYE655356:GYE655433 GYE720892:GYE720969 GYE786428:GYE786505 GYE851964:GYE852041 GYE917500:GYE917577 GYE983036:GYE983113 HIA2:HIA73 HIA65532:HIA65609 HIA131068:HIA131145 HIA196604:HIA196681 HIA262140:HIA262217 HIA327676:HIA327753 HIA393212:HIA393289 HIA458748:HIA458825 HIA524284:HIA524361 HIA589820:HIA589897 HIA655356:HIA655433 HIA720892:HIA720969 HIA786428:HIA786505 HIA851964:HIA852041 HIA917500:HIA917577 HIA983036:HIA983113 HRW2:HRW73 HRW65532:HRW65609 HRW131068:HRW131145 HRW196604:HRW196681 HRW262140:HRW262217 HRW327676:HRW327753 HRW393212:HRW393289 HRW458748:HRW458825 HRW524284:HRW524361 HRW589820:HRW589897 HRW655356:HRW655433 HRW720892:HRW720969 HRW786428:HRW786505 HRW851964:HRW852041 HRW917500:HRW917577 HRW983036:HRW983113 IBS2:IBS73 IBS65532:IBS65609 IBS131068:IBS131145 IBS196604:IBS196681 IBS262140:IBS262217 IBS327676:IBS327753 IBS393212:IBS393289 IBS458748:IBS458825 IBS524284:IBS524361 IBS589820:IBS589897 IBS655356:IBS655433 IBS720892:IBS720969 IBS786428:IBS786505 IBS851964:IBS852041 IBS917500:IBS917577 IBS983036:IBS983113 ILO2:ILO73 ILO65532:ILO65609 ILO131068:ILO131145 ILO196604:ILO196681 ILO262140:ILO262217 ILO327676:ILO327753 ILO393212:ILO393289 ILO458748:ILO458825 ILO524284:ILO524361 ILO589820:ILO589897 ILO655356:ILO655433 ILO720892:ILO720969 ILO786428:ILO786505 ILO851964:ILO852041 ILO917500:ILO917577 ILO983036:ILO983113 IVK2:IVK73 IVK65532:IVK65609 IVK131068:IVK131145 IVK196604:IVK196681 IVK262140:IVK262217 IVK327676:IVK327753 IVK393212:IVK393289 IVK458748:IVK458825 IVK524284:IVK524361 IVK589820:IVK589897 IVK655356:IVK655433 IVK720892:IVK720969 IVK786428:IVK786505 IVK851964:IVK852041 IVK917500:IVK917577 IVK983036:IVK983113 JFG2:JFG73 JFG65532:JFG65609 JFG131068:JFG131145 JFG196604:JFG196681 JFG262140:JFG262217 JFG327676:JFG327753 JFG393212:JFG393289 JFG458748:JFG458825 JFG524284:JFG524361 JFG589820:JFG589897 JFG655356:JFG655433 JFG720892:JFG720969 JFG786428:JFG786505 JFG851964:JFG852041 JFG917500:JFG917577 JFG983036:JFG983113 JPC2:JPC73 JPC65532:JPC65609 JPC131068:JPC131145 JPC196604:JPC196681 JPC262140:JPC262217 JPC327676:JPC327753 JPC393212:JPC393289 JPC458748:JPC458825 JPC524284:JPC524361 JPC589820:JPC589897 JPC655356:JPC655433 JPC720892:JPC720969 JPC786428:JPC786505 JPC851964:JPC852041 JPC917500:JPC917577 JPC983036:JPC983113 JYY2:JYY73 JYY65532:JYY65609 JYY131068:JYY131145 JYY196604:JYY196681 JYY262140:JYY262217 JYY327676:JYY327753 JYY393212:JYY393289 JYY458748:JYY458825 JYY524284:JYY524361 JYY589820:JYY589897 JYY655356:JYY655433 JYY720892:JYY720969 JYY786428:JYY786505 JYY851964:JYY852041 JYY917500:JYY917577 JYY983036:JYY983113 KIU2:KIU73 KIU65532:KIU65609 KIU131068:KIU131145 KIU196604:KIU196681 KIU262140:KIU262217 KIU327676:KIU327753 KIU393212:KIU393289 KIU458748:KIU458825 KIU524284:KIU524361 KIU589820:KIU589897 KIU655356:KIU655433 KIU720892:KIU720969 KIU786428:KIU786505 KIU851964:KIU852041 KIU917500:KIU917577 KIU983036:KIU983113 KSQ2:KSQ73 KSQ65532:KSQ65609 KSQ131068:KSQ131145 KSQ196604:KSQ196681 KSQ262140:KSQ262217 KSQ327676:KSQ327753 KSQ393212:KSQ393289 KSQ458748:KSQ458825 KSQ524284:KSQ524361 KSQ589820:KSQ589897 KSQ655356:KSQ655433 KSQ720892:KSQ720969 KSQ786428:KSQ786505 KSQ851964:KSQ852041 KSQ917500:KSQ917577 KSQ983036:KSQ983113 LCM2:LCM73 LCM65532:LCM65609 LCM131068:LCM131145 LCM196604:LCM196681 LCM262140:LCM262217 LCM327676:LCM327753 LCM393212:LCM393289 LCM458748:LCM458825 LCM524284:LCM524361 LCM589820:LCM589897 LCM655356:LCM655433 LCM720892:LCM720969 LCM786428:LCM786505 LCM851964:LCM852041 LCM917500:LCM917577 LCM983036:LCM983113 LMI2:LMI73 LMI65532:LMI65609 LMI131068:LMI131145 LMI196604:LMI196681 LMI262140:LMI262217 LMI327676:LMI327753 LMI393212:LMI393289 LMI458748:LMI458825 LMI524284:LMI524361 LMI589820:LMI589897 LMI655356:LMI655433 LMI720892:LMI720969 LMI786428:LMI786505 LMI851964:LMI852041 LMI917500:LMI917577 LMI983036:LMI983113 LWE2:LWE73 LWE65532:LWE65609 LWE131068:LWE131145 LWE196604:LWE196681 LWE262140:LWE262217 LWE327676:LWE327753 LWE393212:LWE393289 LWE458748:LWE458825 LWE524284:LWE524361 LWE589820:LWE589897 LWE655356:LWE655433 LWE720892:LWE720969 LWE786428:LWE786505 LWE851964:LWE852041 LWE917500:LWE917577 LWE983036:LWE983113 MGA2:MGA73 MGA65532:MGA65609 MGA131068:MGA131145 MGA196604:MGA196681 MGA262140:MGA262217 MGA327676:MGA327753 MGA393212:MGA393289 MGA458748:MGA458825 MGA524284:MGA524361 MGA589820:MGA589897 MGA655356:MGA655433 MGA720892:MGA720969 MGA786428:MGA786505 MGA851964:MGA852041 MGA917500:MGA917577 MGA983036:MGA983113 MPW2:MPW73 MPW65532:MPW65609 MPW131068:MPW131145 MPW196604:MPW196681 MPW262140:MPW262217 MPW327676:MPW327753 MPW393212:MPW393289 MPW458748:MPW458825 MPW524284:MPW524361 MPW589820:MPW589897 MPW655356:MPW655433 MPW720892:MPW720969 MPW786428:MPW786505 MPW851964:MPW852041 MPW917500:MPW917577 MPW983036:MPW983113 MZS2:MZS73 MZS65532:MZS65609 MZS131068:MZS131145 MZS196604:MZS196681 MZS262140:MZS262217 MZS327676:MZS327753 MZS393212:MZS393289 MZS458748:MZS458825 MZS524284:MZS524361 MZS589820:MZS589897 MZS655356:MZS655433 MZS720892:MZS720969 MZS786428:MZS786505 MZS851964:MZS852041 MZS917500:MZS917577 MZS983036:MZS983113 NJO2:NJO73 NJO65532:NJO65609 NJO131068:NJO131145 NJO196604:NJO196681 NJO262140:NJO262217 NJO327676:NJO327753 NJO393212:NJO393289 NJO458748:NJO458825 NJO524284:NJO524361 NJO589820:NJO589897 NJO655356:NJO655433 NJO720892:NJO720969 NJO786428:NJO786505 NJO851964:NJO852041 NJO917500:NJO917577 NJO983036:NJO983113 NTK2:NTK73 NTK65532:NTK65609 NTK131068:NTK131145 NTK196604:NTK196681 NTK262140:NTK262217 NTK327676:NTK327753 NTK393212:NTK393289 NTK458748:NTK458825 NTK524284:NTK524361 NTK589820:NTK589897 NTK655356:NTK655433 NTK720892:NTK720969 NTK786428:NTK786505 NTK851964:NTK852041 NTK917500:NTK917577 NTK983036:NTK983113 ODG2:ODG73 ODG65532:ODG65609 ODG131068:ODG131145 ODG196604:ODG196681 ODG262140:ODG262217 ODG327676:ODG327753 ODG393212:ODG393289 ODG458748:ODG458825 ODG524284:ODG524361 ODG589820:ODG589897 ODG655356:ODG655433 ODG720892:ODG720969 ODG786428:ODG786505 ODG851964:ODG852041 ODG917500:ODG917577 ODG983036:ODG983113 ONC2:ONC73 ONC65532:ONC65609 ONC131068:ONC131145 ONC196604:ONC196681 ONC262140:ONC262217 ONC327676:ONC327753 ONC393212:ONC393289 ONC458748:ONC458825 ONC524284:ONC524361 ONC589820:ONC589897 ONC655356:ONC655433 ONC720892:ONC720969 ONC786428:ONC786505 ONC851964:ONC852041 ONC917500:ONC917577 ONC983036:ONC983113 OWY2:OWY73 OWY65532:OWY65609 OWY131068:OWY131145 OWY196604:OWY196681 OWY262140:OWY262217 OWY327676:OWY327753 OWY393212:OWY393289 OWY458748:OWY458825 OWY524284:OWY524361 OWY589820:OWY589897 OWY655356:OWY655433 OWY720892:OWY720969 OWY786428:OWY786505 OWY851964:OWY852041 OWY917500:OWY917577 OWY983036:OWY983113 PGU2:PGU73 PGU65532:PGU65609 PGU131068:PGU131145 PGU196604:PGU196681 PGU262140:PGU262217 PGU327676:PGU327753 PGU393212:PGU393289 PGU458748:PGU458825 PGU524284:PGU524361 PGU589820:PGU589897 PGU655356:PGU655433 PGU720892:PGU720969 PGU786428:PGU786505 PGU851964:PGU852041 PGU917500:PGU917577 PGU983036:PGU983113 PQQ2:PQQ73 PQQ65532:PQQ65609 PQQ131068:PQQ131145 PQQ196604:PQQ196681 PQQ262140:PQQ262217 PQQ327676:PQQ327753 PQQ393212:PQQ393289 PQQ458748:PQQ458825 PQQ524284:PQQ524361 PQQ589820:PQQ589897 PQQ655356:PQQ655433 PQQ720892:PQQ720969 PQQ786428:PQQ786505 PQQ851964:PQQ852041 PQQ917500:PQQ917577 PQQ983036:PQQ983113 QAM2:QAM73 QAM65532:QAM65609 QAM131068:QAM131145 QAM196604:QAM196681 QAM262140:QAM262217 QAM327676:QAM327753 QAM393212:QAM393289 QAM458748:QAM458825 QAM524284:QAM524361 QAM589820:QAM589897 QAM655356:QAM655433 QAM720892:QAM720969 QAM786428:QAM786505 QAM851964:QAM852041 QAM917500:QAM917577 QAM983036:QAM983113 QKI2:QKI73 QKI65532:QKI65609 QKI131068:QKI131145 QKI196604:QKI196681 QKI262140:QKI262217 QKI327676:QKI327753 QKI393212:QKI393289 QKI458748:QKI458825 QKI524284:QKI524361 QKI589820:QKI589897 QKI655356:QKI655433 QKI720892:QKI720969 QKI786428:QKI786505 QKI851964:QKI852041 QKI917500:QKI917577 QKI983036:QKI983113 QUE2:QUE73 QUE65532:QUE65609 QUE131068:QUE131145 QUE196604:QUE196681 QUE262140:QUE262217 QUE327676:QUE327753 QUE393212:QUE393289 QUE458748:QUE458825 QUE524284:QUE524361 QUE589820:QUE589897 QUE655356:QUE655433 QUE720892:QUE720969 QUE786428:QUE786505 QUE851964:QUE852041 QUE917500:QUE917577 QUE983036:QUE983113 REA2:REA73 REA65532:REA65609 REA131068:REA131145 REA196604:REA196681 REA262140:REA262217 REA327676:REA327753 REA393212:REA393289 REA458748:REA458825 REA524284:REA524361 REA589820:REA589897 REA655356:REA655433 REA720892:REA720969 REA786428:REA786505 REA851964:REA852041 REA917500:REA917577 REA983036:REA983113 RNW2:RNW73 RNW65532:RNW65609 RNW131068:RNW131145 RNW196604:RNW196681 RNW262140:RNW262217 RNW327676:RNW327753 RNW393212:RNW393289 RNW458748:RNW458825 RNW524284:RNW524361 RNW589820:RNW589897 RNW655356:RNW655433 RNW720892:RNW720969 RNW786428:RNW786505 RNW851964:RNW852041 RNW917500:RNW917577 RNW983036:RNW983113 RXS2:RXS73 RXS65532:RXS65609 RXS131068:RXS131145 RXS196604:RXS196681 RXS262140:RXS262217 RXS327676:RXS327753 RXS393212:RXS393289 RXS458748:RXS458825 RXS524284:RXS524361 RXS589820:RXS589897 RXS655356:RXS655433 RXS720892:RXS720969 RXS786428:RXS786505 RXS851964:RXS852041 RXS917500:RXS917577 RXS983036:RXS983113 SHO2:SHO73 SHO65532:SHO65609 SHO131068:SHO131145 SHO196604:SHO196681 SHO262140:SHO262217 SHO327676:SHO327753 SHO393212:SHO393289 SHO458748:SHO458825 SHO524284:SHO524361 SHO589820:SHO589897 SHO655356:SHO655433 SHO720892:SHO720969 SHO786428:SHO786505 SHO851964:SHO852041 SHO917500:SHO917577 SHO983036:SHO983113 SRK2:SRK73 SRK65532:SRK65609 SRK131068:SRK131145 SRK196604:SRK196681 SRK262140:SRK262217 SRK327676:SRK327753 SRK393212:SRK393289 SRK458748:SRK458825 SRK524284:SRK524361 SRK589820:SRK589897 SRK655356:SRK655433 SRK720892:SRK720969 SRK786428:SRK786505 SRK851964:SRK852041 SRK917500:SRK917577 SRK983036:SRK983113 TBG2:TBG73 TBG65532:TBG65609 TBG131068:TBG131145 TBG196604:TBG196681 TBG262140:TBG262217 TBG327676:TBG327753 TBG393212:TBG393289 TBG458748:TBG458825 TBG524284:TBG524361 TBG589820:TBG589897 TBG655356:TBG655433 TBG720892:TBG720969 TBG786428:TBG786505 TBG851964:TBG852041 TBG917500:TBG917577 TBG983036:TBG983113 TLC2:TLC73 TLC65532:TLC65609 TLC131068:TLC131145 TLC196604:TLC196681 TLC262140:TLC262217 TLC327676:TLC327753 TLC393212:TLC393289 TLC458748:TLC458825 TLC524284:TLC524361 TLC589820:TLC589897 TLC655356:TLC655433 TLC720892:TLC720969 TLC786428:TLC786505 TLC851964:TLC852041 TLC917500:TLC917577 TLC983036:TLC983113 TUY2:TUY73 TUY65532:TUY65609 TUY131068:TUY131145 TUY196604:TUY196681 TUY262140:TUY262217 TUY327676:TUY327753 TUY393212:TUY393289 TUY458748:TUY458825 TUY524284:TUY524361 TUY589820:TUY589897 TUY655356:TUY655433 TUY720892:TUY720969 TUY786428:TUY786505 TUY851964:TUY852041 TUY917500:TUY917577 TUY983036:TUY983113 UEU2:UEU73 UEU65532:UEU65609 UEU131068:UEU131145 UEU196604:UEU196681 UEU262140:UEU262217 UEU327676:UEU327753 UEU393212:UEU393289 UEU458748:UEU458825 UEU524284:UEU524361 UEU589820:UEU589897 UEU655356:UEU655433 UEU720892:UEU720969 UEU786428:UEU786505 UEU851964:UEU852041 UEU917500:UEU917577 UEU983036:UEU983113 UOQ2:UOQ73 UOQ65532:UOQ65609 UOQ131068:UOQ131145 UOQ196604:UOQ196681 UOQ262140:UOQ262217 UOQ327676:UOQ327753 UOQ393212:UOQ393289 UOQ458748:UOQ458825 UOQ524284:UOQ524361 UOQ589820:UOQ589897 UOQ655356:UOQ655433 UOQ720892:UOQ720969 UOQ786428:UOQ786505 UOQ851964:UOQ852041 UOQ917500:UOQ917577 UOQ983036:UOQ983113 UYM2:UYM73 UYM65532:UYM65609 UYM131068:UYM131145 UYM196604:UYM196681 UYM262140:UYM262217 UYM327676:UYM327753 UYM393212:UYM393289 UYM458748:UYM458825 UYM524284:UYM524361 UYM589820:UYM589897 UYM655356:UYM655433 UYM720892:UYM720969 UYM786428:UYM786505 UYM851964:UYM852041 UYM917500:UYM917577 UYM983036:UYM983113 VII2:VII73 VII65532:VII65609 VII131068:VII131145 VII196604:VII196681 VII262140:VII262217 VII327676:VII327753 VII393212:VII393289 VII458748:VII458825 VII524284:VII524361 VII589820:VII589897 VII655356:VII655433 VII720892:VII720969 VII786428:VII786505 VII851964:VII852041 VII917500:VII917577 VII983036:VII983113 VSE2:VSE73 VSE65532:VSE65609 VSE131068:VSE131145 VSE196604:VSE196681 VSE262140:VSE262217 VSE327676:VSE327753 VSE393212:VSE393289 VSE458748:VSE458825 VSE524284:VSE524361 VSE589820:VSE589897 VSE655356:VSE655433 VSE720892:VSE720969 VSE786428:VSE786505 VSE851964:VSE852041 VSE917500:VSE917577 VSE983036:VSE983113 WCA2:WCA73 WCA65532:WCA65609 WCA131068:WCA131145 WCA196604:WCA196681 WCA262140:WCA262217 WCA327676:WCA327753 WCA393212:WCA393289 WCA458748:WCA458825 WCA524284:WCA524361 WCA589820:WCA589897 WCA655356:WCA655433 WCA720892:WCA720969 WCA786428:WCA786505 WCA851964:WCA852041 WCA917500:WCA917577 WCA983036:WCA983113 WLW2:WLW73 WLW65532:WLW65609 WLW131068:WLW131145 WLW196604:WLW196681 WLW262140:WLW262217 WLW327676:WLW327753 WLW393212:WLW393289 WLW458748:WLW458825 WLW524284:WLW524361 WLW589820:WLW589897 WLW655356:WLW655433 WLW720892:WLW720969 WLW786428:WLW786505 WLW851964:WLW852041 WLW917500:WLW917577 WLW983036:WLW983113 WVS2:WVS73 WVS65532:WVS65609 WVS131068:WVS131145 WVS196604:WVS196681 WVS262140:WVS262217 WVS327676:WVS327753 WVS393212:WVS393289 WVS458748:WVS458825 WVS524284:WVS524361 WVS589820:WVS589897 WVS655356:WVS655433 WVS720892:WVS720969 WVS786428:WVS786505 WVS851964:WVS852041 WVS917500:WVS917577 WVS983036:WVS983113">
      <formula1>$AR$2:$AR$19</formula1>
    </dataValidation>
    <dataValidation type="list" allowBlank="1" showInputMessage="1" showErrorMessage="1" sqref="H65532:H65609 H131068:H131145 H196604:H196681 H262140:H262217 H327676:H327753 H393212:H393289 H458748:H458825 H524284:H524361 H589820:H589897 H655356:H655433 H720892:H720969 H786428:H786505 H851964:H852041 H917500:H917577 H983036:H983113 JD2:JD73 JD65532:JD65609 JD131068:JD131145 JD196604:JD196681 JD262140:JD262217 JD327676:JD327753 JD393212:JD393289 JD458748:JD458825 JD524284:JD524361 JD589820:JD589897 JD655356:JD655433 JD720892:JD720969 JD786428:JD786505 JD851964:JD852041 JD917500:JD917577 JD983036:JD983113 SZ2:SZ73 SZ65532:SZ65609 SZ131068:SZ131145 SZ196604:SZ196681 SZ262140:SZ262217 SZ327676:SZ327753 SZ393212:SZ393289 SZ458748:SZ458825 SZ524284:SZ524361 SZ589820:SZ589897 SZ655356:SZ655433 SZ720892:SZ720969 SZ786428:SZ786505 SZ851964:SZ852041 SZ917500:SZ917577 SZ983036:SZ983113 ACV2:ACV73 ACV65532:ACV65609 ACV131068:ACV131145 ACV196604:ACV196681 ACV262140:ACV262217 ACV327676:ACV327753 ACV393212:ACV393289 ACV458748:ACV458825 ACV524284:ACV524361 ACV589820:ACV589897 ACV655356:ACV655433 ACV720892:ACV720969 ACV786428:ACV786505 ACV851964:ACV852041 ACV917500:ACV917577 ACV983036:ACV983113 AMR2:AMR73 AMR65532:AMR65609 AMR131068:AMR131145 AMR196604:AMR196681 AMR262140:AMR262217 AMR327676:AMR327753 AMR393212:AMR393289 AMR458748:AMR458825 AMR524284:AMR524361 AMR589820:AMR589897 AMR655356:AMR655433 AMR720892:AMR720969 AMR786428:AMR786505 AMR851964:AMR852041 AMR917500:AMR917577 AMR983036:AMR983113 AWN2:AWN73 AWN65532:AWN65609 AWN131068:AWN131145 AWN196604:AWN196681 AWN262140:AWN262217 AWN327676:AWN327753 AWN393212:AWN393289 AWN458748:AWN458825 AWN524284:AWN524361 AWN589820:AWN589897 AWN655356:AWN655433 AWN720892:AWN720969 AWN786428:AWN786505 AWN851964:AWN852041 AWN917500:AWN917577 AWN983036:AWN983113 BGJ2:BGJ73 BGJ65532:BGJ65609 BGJ131068:BGJ131145 BGJ196604:BGJ196681 BGJ262140:BGJ262217 BGJ327676:BGJ327753 BGJ393212:BGJ393289 BGJ458748:BGJ458825 BGJ524284:BGJ524361 BGJ589820:BGJ589897 BGJ655356:BGJ655433 BGJ720892:BGJ720969 BGJ786428:BGJ786505 BGJ851964:BGJ852041 BGJ917500:BGJ917577 BGJ983036:BGJ983113 BQF2:BQF73 BQF65532:BQF65609 BQF131068:BQF131145 BQF196604:BQF196681 BQF262140:BQF262217 BQF327676:BQF327753 BQF393212:BQF393289 BQF458748:BQF458825 BQF524284:BQF524361 BQF589820:BQF589897 BQF655356:BQF655433 BQF720892:BQF720969 BQF786428:BQF786505 BQF851964:BQF852041 BQF917500:BQF917577 BQF983036:BQF983113 CAB2:CAB73 CAB65532:CAB65609 CAB131068:CAB131145 CAB196604:CAB196681 CAB262140:CAB262217 CAB327676:CAB327753 CAB393212:CAB393289 CAB458748:CAB458825 CAB524284:CAB524361 CAB589820:CAB589897 CAB655356:CAB655433 CAB720892:CAB720969 CAB786428:CAB786505 CAB851964:CAB852041 CAB917500:CAB917577 CAB983036:CAB983113 CJX2:CJX73 CJX65532:CJX65609 CJX131068:CJX131145 CJX196604:CJX196681 CJX262140:CJX262217 CJX327676:CJX327753 CJX393212:CJX393289 CJX458748:CJX458825 CJX524284:CJX524361 CJX589820:CJX589897 CJX655356:CJX655433 CJX720892:CJX720969 CJX786428:CJX786505 CJX851964:CJX852041 CJX917500:CJX917577 CJX983036:CJX983113 CTT2:CTT73 CTT65532:CTT65609 CTT131068:CTT131145 CTT196604:CTT196681 CTT262140:CTT262217 CTT327676:CTT327753 CTT393212:CTT393289 CTT458748:CTT458825 CTT524284:CTT524361 CTT589820:CTT589897 CTT655356:CTT655433 CTT720892:CTT720969 CTT786428:CTT786505 CTT851964:CTT852041 CTT917500:CTT917577 CTT983036:CTT983113 DDP2:DDP73 DDP65532:DDP65609 DDP131068:DDP131145 DDP196604:DDP196681 DDP262140:DDP262217 DDP327676:DDP327753 DDP393212:DDP393289 DDP458748:DDP458825 DDP524284:DDP524361 DDP589820:DDP589897 DDP655356:DDP655433 DDP720892:DDP720969 DDP786428:DDP786505 DDP851964:DDP852041 DDP917500:DDP917577 DDP983036:DDP983113 DNL2:DNL73 DNL65532:DNL65609 DNL131068:DNL131145 DNL196604:DNL196681 DNL262140:DNL262217 DNL327676:DNL327753 DNL393212:DNL393289 DNL458748:DNL458825 DNL524284:DNL524361 DNL589820:DNL589897 DNL655356:DNL655433 DNL720892:DNL720969 DNL786428:DNL786505 DNL851964:DNL852041 DNL917500:DNL917577 DNL983036:DNL983113 DXH2:DXH73 DXH65532:DXH65609 DXH131068:DXH131145 DXH196604:DXH196681 DXH262140:DXH262217 DXH327676:DXH327753 DXH393212:DXH393289 DXH458748:DXH458825 DXH524284:DXH524361 DXH589820:DXH589897 DXH655356:DXH655433 DXH720892:DXH720969 DXH786428:DXH786505 DXH851964:DXH852041 DXH917500:DXH917577 DXH983036:DXH983113 EHD2:EHD73 EHD65532:EHD65609 EHD131068:EHD131145 EHD196604:EHD196681 EHD262140:EHD262217 EHD327676:EHD327753 EHD393212:EHD393289 EHD458748:EHD458825 EHD524284:EHD524361 EHD589820:EHD589897 EHD655356:EHD655433 EHD720892:EHD720969 EHD786428:EHD786505 EHD851964:EHD852041 EHD917500:EHD917577 EHD983036:EHD983113 EQZ2:EQZ73 EQZ65532:EQZ65609 EQZ131068:EQZ131145 EQZ196604:EQZ196681 EQZ262140:EQZ262217 EQZ327676:EQZ327753 EQZ393212:EQZ393289 EQZ458748:EQZ458825 EQZ524284:EQZ524361 EQZ589820:EQZ589897 EQZ655356:EQZ655433 EQZ720892:EQZ720969 EQZ786428:EQZ786505 EQZ851964:EQZ852041 EQZ917500:EQZ917577 EQZ983036:EQZ983113 FAV2:FAV73 FAV65532:FAV65609 FAV131068:FAV131145 FAV196604:FAV196681 FAV262140:FAV262217 FAV327676:FAV327753 FAV393212:FAV393289 FAV458748:FAV458825 FAV524284:FAV524361 FAV589820:FAV589897 FAV655356:FAV655433 FAV720892:FAV720969 FAV786428:FAV786505 FAV851964:FAV852041 FAV917500:FAV917577 FAV983036:FAV983113 FKR2:FKR73 FKR65532:FKR65609 FKR131068:FKR131145 FKR196604:FKR196681 FKR262140:FKR262217 FKR327676:FKR327753 FKR393212:FKR393289 FKR458748:FKR458825 FKR524284:FKR524361 FKR589820:FKR589897 FKR655356:FKR655433 FKR720892:FKR720969 FKR786428:FKR786505 FKR851964:FKR852041 FKR917500:FKR917577 FKR983036:FKR983113 FUN2:FUN73 FUN65532:FUN65609 FUN131068:FUN131145 FUN196604:FUN196681 FUN262140:FUN262217 FUN327676:FUN327753 FUN393212:FUN393289 FUN458748:FUN458825 FUN524284:FUN524361 FUN589820:FUN589897 FUN655356:FUN655433 FUN720892:FUN720969 FUN786428:FUN786505 FUN851964:FUN852041 FUN917500:FUN917577 FUN983036:FUN983113 GEJ2:GEJ73 GEJ65532:GEJ65609 GEJ131068:GEJ131145 GEJ196604:GEJ196681 GEJ262140:GEJ262217 GEJ327676:GEJ327753 GEJ393212:GEJ393289 GEJ458748:GEJ458825 GEJ524284:GEJ524361 GEJ589820:GEJ589897 GEJ655356:GEJ655433 GEJ720892:GEJ720969 GEJ786428:GEJ786505 GEJ851964:GEJ852041 GEJ917500:GEJ917577 GEJ983036:GEJ983113 GOF2:GOF73 GOF65532:GOF65609 GOF131068:GOF131145 GOF196604:GOF196681 GOF262140:GOF262217 GOF327676:GOF327753 GOF393212:GOF393289 GOF458748:GOF458825 GOF524284:GOF524361 GOF589820:GOF589897 GOF655356:GOF655433 GOF720892:GOF720969 GOF786428:GOF786505 GOF851964:GOF852041 GOF917500:GOF917577 GOF983036:GOF983113 GYB2:GYB73 GYB65532:GYB65609 GYB131068:GYB131145 GYB196604:GYB196681 GYB262140:GYB262217 GYB327676:GYB327753 GYB393212:GYB393289 GYB458748:GYB458825 GYB524284:GYB524361 GYB589820:GYB589897 GYB655356:GYB655433 GYB720892:GYB720969 GYB786428:GYB786505 GYB851964:GYB852041 GYB917500:GYB917577 GYB983036:GYB983113 HHX2:HHX73 HHX65532:HHX65609 HHX131068:HHX131145 HHX196604:HHX196681 HHX262140:HHX262217 HHX327676:HHX327753 HHX393212:HHX393289 HHX458748:HHX458825 HHX524284:HHX524361 HHX589820:HHX589897 HHX655356:HHX655433 HHX720892:HHX720969 HHX786428:HHX786505 HHX851964:HHX852041 HHX917500:HHX917577 HHX983036:HHX983113 HRT2:HRT73 HRT65532:HRT65609 HRT131068:HRT131145 HRT196604:HRT196681 HRT262140:HRT262217 HRT327676:HRT327753 HRT393212:HRT393289 HRT458748:HRT458825 HRT524284:HRT524361 HRT589820:HRT589897 HRT655356:HRT655433 HRT720892:HRT720969 HRT786428:HRT786505 HRT851964:HRT852041 HRT917500:HRT917577 HRT983036:HRT983113 IBP2:IBP73 IBP65532:IBP65609 IBP131068:IBP131145 IBP196604:IBP196681 IBP262140:IBP262217 IBP327676:IBP327753 IBP393212:IBP393289 IBP458748:IBP458825 IBP524284:IBP524361 IBP589820:IBP589897 IBP655356:IBP655433 IBP720892:IBP720969 IBP786428:IBP786505 IBP851964:IBP852041 IBP917500:IBP917577 IBP983036:IBP983113 ILL2:ILL73 ILL65532:ILL65609 ILL131068:ILL131145 ILL196604:ILL196681 ILL262140:ILL262217 ILL327676:ILL327753 ILL393212:ILL393289 ILL458748:ILL458825 ILL524284:ILL524361 ILL589820:ILL589897 ILL655356:ILL655433 ILL720892:ILL720969 ILL786428:ILL786505 ILL851964:ILL852041 ILL917500:ILL917577 ILL983036:ILL983113 IVH2:IVH73 IVH65532:IVH65609 IVH131068:IVH131145 IVH196604:IVH196681 IVH262140:IVH262217 IVH327676:IVH327753 IVH393212:IVH393289 IVH458748:IVH458825 IVH524284:IVH524361 IVH589820:IVH589897 IVH655356:IVH655433 IVH720892:IVH720969 IVH786428:IVH786505 IVH851964:IVH852041 IVH917500:IVH917577 IVH983036:IVH983113 JFD2:JFD73 JFD65532:JFD65609 JFD131068:JFD131145 JFD196604:JFD196681 JFD262140:JFD262217 JFD327676:JFD327753 JFD393212:JFD393289 JFD458748:JFD458825 JFD524284:JFD524361 JFD589820:JFD589897 JFD655356:JFD655433 JFD720892:JFD720969 JFD786428:JFD786505 JFD851964:JFD852041 JFD917500:JFD917577 JFD983036:JFD983113 JOZ2:JOZ73 JOZ65532:JOZ65609 JOZ131068:JOZ131145 JOZ196604:JOZ196681 JOZ262140:JOZ262217 JOZ327676:JOZ327753 JOZ393212:JOZ393289 JOZ458748:JOZ458825 JOZ524284:JOZ524361 JOZ589820:JOZ589897 JOZ655356:JOZ655433 JOZ720892:JOZ720969 JOZ786428:JOZ786505 JOZ851964:JOZ852041 JOZ917500:JOZ917577 JOZ983036:JOZ983113 JYV2:JYV73 JYV65532:JYV65609 JYV131068:JYV131145 JYV196604:JYV196681 JYV262140:JYV262217 JYV327676:JYV327753 JYV393212:JYV393289 JYV458748:JYV458825 JYV524284:JYV524361 JYV589820:JYV589897 JYV655356:JYV655433 JYV720892:JYV720969 JYV786428:JYV786505 JYV851964:JYV852041 JYV917500:JYV917577 JYV983036:JYV983113 KIR2:KIR73 KIR65532:KIR65609 KIR131068:KIR131145 KIR196604:KIR196681 KIR262140:KIR262217 KIR327676:KIR327753 KIR393212:KIR393289 KIR458748:KIR458825 KIR524284:KIR524361 KIR589820:KIR589897 KIR655356:KIR655433 KIR720892:KIR720969 KIR786428:KIR786505 KIR851964:KIR852041 KIR917500:KIR917577 KIR983036:KIR983113 KSN2:KSN73 KSN65532:KSN65609 KSN131068:KSN131145 KSN196604:KSN196681 KSN262140:KSN262217 KSN327676:KSN327753 KSN393212:KSN393289 KSN458748:KSN458825 KSN524284:KSN524361 KSN589820:KSN589897 KSN655356:KSN655433 KSN720892:KSN720969 KSN786428:KSN786505 KSN851964:KSN852041 KSN917500:KSN917577 KSN983036:KSN983113 LCJ2:LCJ73 LCJ65532:LCJ65609 LCJ131068:LCJ131145 LCJ196604:LCJ196681 LCJ262140:LCJ262217 LCJ327676:LCJ327753 LCJ393212:LCJ393289 LCJ458748:LCJ458825 LCJ524284:LCJ524361 LCJ589820:LCJ589897 LCJ655356:LCJ655433 LCJ720892:LCJ720969 LCJ786428:LCJ786505 LCJ851964:LCJ852041 LCJ917500:LCJ917577 LCJ983036:LCJ983113 LMF2:LMF73 LMF65532:LMF65609 LMF131068:LMF131145 LMF196604:LMF196681 LMF262140:LMF262217 LMF327676:LMF327753 LMF393212:LMF393289 LMF458748:LMF458825 LMF524284:LMF524361 LMF589820:LMF589897 LMF655356:LMF655433 LMF720892:LMF720969 LMF786428:LMF786505 LMF851964:LMF852041 LMF917500:LMF917577 LMF983036:LMF983113 LWB2:LWB73 LWB65532:LWB65609 LWB131068:LWB131145 LWB196604:LWB196681 LWB262140:LWB262217 LWB327676:LWB327753 LWB393212:LWB393289 LWB458748:LWB458825 LWB524284:LWB524361 LWB589820:LWB589897 LWB655356:LWB655433 LWB720892:LWB720969 LWB786428:LWB786505 LWB851964:LWB852041 LWB917500:LWB917577 LWB983036:LWB983113 MFX2:MFX73 MFX65532:MFX65609 MFX131068:MFX131145 MFX196604:MFX196681 MFX262140:MFX262217 MFX327676:MFX327753 MFX393212:MFX393289 MFX458748:MFX458825 MFX524284:MFX524361 MFX589820:MFX589897 MFX655356:MFX655433 MFX720892:MFX720969 MFX786428:MFX786505 MFX851964:MFX852041 MFX917500:MFX917577 MFX983036:MFX983113 MPT2:MPT73 MPT65532:MPT65609 MPT131068:MPT131145 MPT196604:MPT196681 MPT262140:MPT262217 MPT327676:MPT327753 MPT393212:MPT393289 MPT458748:MPT458825 MPT524284:MPT524361 MPT589820:MPT589897 MPT655356:MPT655433 MPT720892:MPT720969 MPT786428:MPT786505 MPT851964:MPT852041 MPT917500:MPT917577 MPT983036:MPT983113 MZP2:MZP73 MZP65532:MZP65609 MZP131068:MZP131145 MZP196604:MZP196681 MZP262140:MZP262217 MZP327676:MZP327753 MZP393212:MZP393289 MZP458748:MZP458825 MZP524284:MZP524361 MZP589820:MZP589897 MZP655356:MZP655433 MZP720892:MZP720969 MZP786428:MZP786505 MZP851964:MZP852041 MZP917500:MZP917577 MZP983036:MZP983113 NJL2:NJL73 NJL65532:NJL65609 NJL131068:NJL131145 NJL196604:NJL196681 NJL262140:NJL262217 NJL327676:NJL327753 NJL393212:NJL393289 NJL458748:NJL458825 NJL524284:NJL524361 NJL589820:NJL589897 NJL655356:NJL655433 NJL720892:NJL720969 NJL786428:NJL786505 NJL851964:NJL852041 NJL917500:NJL917577 NJL983036:NJL983113 NTH2:NTH73 NTH65532:NTH65609 NTH131068:NTH131145 NTH196604:NTH196681 NTH262140:NTH262217 NTH327676:NTH327753 NTH393212:NTH393289 NTH458748:NTH458825 NTH524284:NTH524361 NTH589820:NTH589897 NTH655356:NTH655433 NTH720892:NTH720969 NTH786428:NTH786505 NTH851964:NTH852041 NTH917500:NTH917577 NTH983036:NTH983113 ODD2:ODD73 ODD65532:ODD65609 ODD131068:ODD131145 ODD196604:ODD196681 ODD262140:ODD262217 ODD327676:ODD327753 ODD393212:ODD393289 ODD458748:ODD458825 ODD524284:ODD524361 ODD589820:ODD589897 ODD655356:ODD655433 ODD720892:ODD720969 ODD786428:ODD786505 ODD851964:ODD852041 ODD917500:ODD917577 ODD983036:ODD983113 OMZ2:OMZ73 OMZ65532:OMZ65609 OMZ131068:OMZ131145 OMZ196604:OMZ196681 OMZ262140:OMZ262217 OMZ327676:OMZ327753 OMZ393212:OMZ393289 OMZ458748:OMZ458825 OMZ524284:OMZ524361 OMZ589820:OMZ589897 OMZ655356:OMZ655433 OMZ720892:OMZ720969 OMZ786428:OMZ786505 OMZ851964:OMZ852041 OMZ917500:OMZ917577 OMZ983036:OMZ983113 OWV2:OWV73 OWV65532:OWV65609 OWV131068:OWV131145 OWV196604:OWV196681 OWV262140:OWV262217 OWV327676:OWV327753 OWV393212:OWV393289 OWV458748:OWV458825 OWV524284:OWV524361 OWV589820:OWV589897 OWV655356:OWV655433 OWV720892:OWV720969 OWV786428:OWV786505 OWV851964:OWV852041 OWV917500:OWV917577 OWV983036:OWV983113 PGR2:PGR73 PGR65532:PGR65609 PGR131068:PGR131145 PGR196604:PGR196681 PGR262140:PGR262217 PGR327676:PGR327753 PGR393212:PGR393289 PGR458748:PGR458825 PGR524284:PGR524361 PGR589820:PGR589897 PGR655356:PGR655433 PGR720892:PGR720969 PGR786428:PGR786505 PGR851964:PGR852041 PGR917500:PGR917577 PGR983036:PGR983113 PQN2:PQN73 PQN65532:PQN65609 PQN131068:PQN131145 PQN196604:PQN196681 PQN262140:PQN262217 PQN327676:PQN327753 PQN393212:PQN393289 PQN458748:PQN458825 PQN524284:PQN524361 PQN589820:PQN589897 PQN655356:PQN655433 PQN720892:PQN720969 PQN786428:PQN786505 PQN851964:PQN852041 PQN917500:PQN917577 PQN983036:PQN983113 QAJ2:QAJ73 QAJ65532:QAJ65609 QAJ131068:QAJ131145 QAJ196604:QAJ196681 QAJ262140:QAJ262217 QAJ327676:QAJ327753 QAJ393212:QAJ393289 QAJ458748:QAJ458825 QAJ524284:QAJ524361 QAJ589820:QAJ589897 QAJ655356:QAJ655433 QAJ720892:QAJ720969 QAJ786428:QAJ786505 QAJ851964:QAJ852041 QAJ917500:QAJ917577 QAJ983036:QAJ983113 QKF2:QKF73 QKF65532:QKF65609 QKF131068:QKF131145 QKF196604:QKF196681 QKF262140:QKF262217 QKF327676:QKF327753 QKF393212:QKF393289 QKF458748:QKF458825 QKF524284:QKF524361 QKF589820:QKF589897 QKF655356:QKF655433 QKF720892:QKF720969 QKF786428:QKF786505 QKF851964:QKF852041 QKF917500:QKF917577 QKF983036:QKF983113 QUB2:QUB73 QUB65532:QUB65609 QUB131068:QUB131145 QUB196604:QUB196681 QUB262140:QUB262217 QUB327676:QUB327753 QUB393212:QUB393289 QUB458748:QUB458825 QUB524284:QUB524361 QUB589820:QUB589897 QUB655356:QUB655433 QUB720892:QUB720969 QUB786428:QUB786505 QUB851964:QUB852041 QUB917500:QUB917577 QUB983036:QUB983113 RDX2:RDX73 RDX65532:RDX65609 RDX131068:RDX131145 RDX196604:RDX196681 RDX262140:RDX262217 RDX327676:RDX327753 RDX393212:RDX393289 RDX458748:RDX458825 RDX524284:RDX524361 RDX589820:RDX589897 RDX655356:RDX655433 RDX720892:RDX720969 RDX786428:RDX786505 RDX851964:RDX852041 RDX917500:RDX917577 RDX983036:RDX983113 RNT2:RNT73 RNT65532:RNT65609 RNT131068:RNT131145 RNT196604:RNT196681 RNT262140:RNT262217 RNT327676:RNT327753 RNT393212:RNT393289 RNT458748:RNT458825 RNT524284:RNT524361 RNT589820:RNT589897 RNT655356:RNT655433 RNT720892:RNT720969 RNT786428:RNT786505 RNT851964:RNT852041 RNT917500:RNT917577 RNT983036:RNT983113 RXP2:RXP73 RXP65532:RXP65609 RXP131068:RXP131145 RXP196604:RXP196681 RXP262140:RXP262217 RXP327676:RXP327753 RXP393212:RXP393289 RXP458748:RXP458825 RXP524284:RXP524361 RXP589820:RXP589897 RXP655356:RXP655433 RXP720892:RXP720969 RXP786428:RXP786505 RXP851964:RXP852041 RXP917500:RXP917577 RXP983036:RXP983113 SHL2:SHL73 SHL65532:SHL65609 SHL131068:SHL131145 SHL196604:SHL196681 SHL262140:SHL262217 SHL327676:SHL327753 SHL393212:SHL393289 SHL458748:SHL458825 SHL524284:SHL524361 SHL589820:SHL589897 SHL655356:SHL655433 SHL720892:SHL720969 SHL786428:SHL786505 SHL851964:SHL852041 SHL917500:SHL917577 SHL983036:SHL983113 SRH2:SRH73 SRH65532:SRH65609 SRH131068:SRH131145 SRH196604:SRH196681 SRH262140:SRH262217 SRH327676:SRH327753 SRH393212:SRH393289 SRH458748:SRH458825 SRH524284:SRH524361 SRH589820:SRH589897 SRH655356:SRH655433 SRH720892:SRH720969 SRH786428:SRH786505 SRH851964:SRH852041 SRH917500:SRH917577 SRH983036:SRH983113 TBD2:TBD73 TBD65532:TBD65609 TBD131068:TBD131145 TBD196604:TBD196681 TBD262140:TBD262217 TBD327676:TBD327753 TBD393212:TBD393289 TBD458748:TBD458825 TBD524284:TBD524361 TBD589820:TBD589897 TBD655356:TBD655433 TBD720892:TBD720969 TBD786428:TBD786505 TBD851964:TBD852041 TBD917500:TBD917577 TBD983036:TBD983113 TKZ2:TKZ73 TKZ65532:TKZ65609 TKZ131068:TKZ131145 TKZ196604:TKZ196681 TKZ262140:TKZ262217 TKZ327676:TKZ327753 TKZ393212:TKZ393289 TKZ458748:TKZ458825 TKZ524284:TKZ524361 TKZ589820:TKZ589897 TKZ655356:TKZ655433 TKZ720892:TKZ720969 TKZ786428:TKZ786505 TKZ851964:TKZ852041 TKZ917500:TKZ917577 TKZ983036:TKZ983113 TUV2:TUV73 TUV65532:TUV65609 TUV131068:TUV131145 TUV196604:TUV196681 TUV262140:TUV262217 TUV327676:TUV327753 TUV393212:TUV393289 TUV458748:TUV458825 TUV524284:TUV524361 TUV589820:TUV589897 TUV655356:TUV655433 TUV720892:TUV720969 TUV786428:TUV786505 TUV851964:TUV852041 TUV917500:TUV917577 TUV983036:TUV983113 UER2:UER73 UER65532:UER65609 UER131068:UER131145 UER196604:UER196681 UER262140:UER262217 UER327676:UER327753 UER393212:UER393289 UER458748:UER458825 UER524284:UER524361 UER589820:UER589897 UER655356:UER655433 UER720892:UER720969 UER786428:UER786505 UER851964:UER852041 UER917500:UER917577 UER983036:UER983113 UON2:UON73 UON65532:UON65609 UON131068:UON131145 UON196604:UON196681 UON262140:UON262217 UON327676:UON327753 UON393212:UON393289 UON458748:UON458825 UON524284:UON524361 UON589820:UON589897 UON655356:UON655433 UON720892:UON720969 UON786428:UON786505 UON851964:UON852041 UON917500:UON917577 UON983036:UON983113 UYJ2:UYJ73 UYJ65532:UYJ65609 UYJ131068:UYJ131145 UYJ196604:UYJ196681 UYJ262140:UYJ262217 UYJ327676:UYJ327753 UYJ393212:UYJ393289 UYJ458748:UYJ458825 UYJ524284:UYJ524361 UYJ589820:UYJ589897 UYJ655356:UYJ655433 UYJ720892:UYJ720969 UYJ786428:UYJ786505 UYJ851964:UYJ852041 UYJ917500:UYJ917577 UYJ983036:UYJ983113 VIF2:VIF73 VIF65532:VIF65609 VIF131068:VIF131145 VIF196604:VIF196681 VIF262140:VIF262217 VIF327676:VIF327753 VIF393212:VIF393289 VIF458748:VIF458825 VIF524284:VIF524361 VIF589820:VIF589897 VIF655356:VIF655433 VIF720892:VIF720969 VIF786428:VIF786505 VIF851964:VIF852041 VIF917500:VIF917577 VIF983036:VIF983113 VSB2:VSB73 VSB65532:VSB65609 VSB131068:VSB131145 VSB196604:VSB196681 VSB262140:VSB262217 VSB327676:VSB327753 VSB393212:VSB393289 VSB458748:VSB458825 VSB524284:VSB524361 VSB589820:VSB589897 VSB655356:VSB655433 VSB720892:VSB720969 VSB786428:VSB786505 VSB851964:VSB852041 VSB917500:VSB917577 VSB983036:VSB983113 WBX2:WBX73 WBX65532:WBX65609 WBX131068:WBX131145 WBX196604:WBX196681 WBX262140:WBX262217 WBX327676:WBX327753 WBX393212:WBX393289 WBX458748:WBX458825 WBX524284:WBX524361 WBX589820:WBX589897 WBX655356:WBX655433 WBX720892:WBX720969 WBX786428:WBX786505 WBX851964:WBX852041 WBX917500:WBX917577 WBX983036:WBX983113 WLT2:WLT73 WLT65532:WLT65609 WLT131068:WLT131145 WLT196604:WLT196681 WLT262140:WLT262217 WLT327676:WLT327753 WLT393212:WLT393289 WLT458748:WLT458825 WLT524284:WLT524361 WLT589820:WLT589897 WLT655356:WLT655433 WLT720892:WLT720969 WLT786428:WLT786505 WLT851964:WLT852041 WLT917500:WLT917577 WLT983036:WLT983113 WVP2:WVP73 WVP65532:WVP65609 WVP131068:WVP131145 WVP196604:WVP196681 WVP262140:WVP262217 WVP327676:WVP327753 WVP393212:WVP393289 WVP458748:WVP458825 WVP524284:WVP524361 WVP589820:WVP589897 WVP655356:WVP655433 WVP720892:WVP720969 WVP786428:WVP786505 WVP851964:WVP852041 WVP917500:WVP917577 WVP983036:WVP983113">
      <formula1>$AL$4:$AL$10</formula1>
    </dataValidation>
    <dataValidation type="list" allowBlank="1" showInputMessage="1" showErrorMessage="1" sqref="I2:I494 I65532:I65609 I131068:I131145 I196604:I196681 I262140:I262217 I327676:I327753 I393212:I393289 I458748:I458825 I524284:I524361 I589820:I589897 I655356:I655433 I720892:I720969 I786428:I786505 I851964:I852041 I917500:I917577 I983036:I983113 JE2:JE73 JE65532:JE65609 JE131068:JE131145 JE196604:JE196681 JE262140:JE262217 JE327676:JE327753 JE393212:JE393289 JE458748:JE458825 JE524284:JE524361 JE589820:JE589897 JE655356:JE655433 JE720892:JE720969 JE786428:JE786505 JE851964:JE852041 JE917500:JE917577 JE983036:JE983113 TA2:TA73 TA65532:TA65609 TA131068:TA131145 TA196604:TA196681 TA262140:TA262217 TA327676:TA327753 TA393212:TA393289 TA458748:TA458825 TA524284:TA524361 TA589820:TA589897 TA655356:TA655433 TA720892:TA720969 TA786428:TA786505 TA851964:TA852041 TA917500:TA917577 TA983036:TA983113 ACW2:ACW73 ACW65532:ACW65609 ACW131068:ACW131145 ACW196604:ACW196681 ACW262140:ACW262217 ACW327676:ACW327753 ACW393212:ACW393289 ACW458748:ACW458825 ACW524284:ACW524361 ACW589820:ACW589897 ACW655356:ACW655433 ACW720892:ACW720969 ACW786428:ACW786505 ACW851964:ACW852041 ACW917500:ACW917577 ACW983036:ACW983113 AMS2:AMS73 AMS65532:AMS65609 AMS131068:AMS131145 AMS196604:AMS196681 AMS262140:AMS262217 AMS327676:AMS327753 AMS393212:AMS393289 AMS458748:AMS458825 AMS524284:AMS524361 AMS589820:AMS589897 AMS655356:AMS655433 AMS720892:AMS720969 AMS786428:AMS786505 AMS851964:AMS852041 AMS917500:AMS917577 AMS983036:AMS983113 AWO2:AWO73 AWO65532:AWO65609 AWO131068:AWO131145 AWO196604:AWO196681 AWO262140:AWO262217 AWO327676:AWO327753 AWO393212:AWO393289 AWO458748:AWO458825 AWO524284:AWO524361 AWO589820:AWO589897 AWO655356:AWO655433 AWO720892:AWO720969 AWO786428:AWO786505 AWO851964:AWO852041 AWO917500:AWO917577 AWO983036:AWO983113 BGK2:BGK73 BGK65532:BGK65609 BGK131068:BGK131145 BGK196604:BGK196681 BGK262140:BGK262217 BGK327676:BGK327753 BGK393212:BGK393289 BGK458748:BGK458825 BGK524284:BGK524361 BGK589820:BGK589897 BGK655356:BGK655433 BGK720892:BGK720969 BGK786428:BGK786505 BGK851964:BGK852041 BGK917500:BGK917577 BGK983036:BGK983113 BQG2:BQG73 BQG65532:BQG65609 BQG131068:BQG131145 BQG196604:BQG196681 BQG262140:BQG262217 BQG327676:BQG327753 BQG393212:BQG393289 BQG458748:BQG458825 BQG524284:BQG524361 BQG589820:BQG589897 BQG655356:BQG655433 BQG720892:BQG720969 BQG786428:BQG786505 BQG851964:BQG852041 BQG917500:BQG917577 BQG983036:BQG983113 CAC2:CAC73 CAC65532:CAC65609 CAC131068:CAC131145 CAC196604:CAC196681 CAC262140:CAC262217 CAC327676:CAC327753 CAC393212:CAC393289 CAC458748:CAC458825 CAC524284:CAC524361 CAC589820:CAC589897 CAC655356:CAC655433 CAC720892:CAC720969 CAC786428:CAC786505 CAC851964:CAC852041 CAC917500:CAC917577 CAC983036:CAC983113 CJY2:CJY73 CJY65532:CJY65609 CJY131068:CJY131145 CJY196604:CJY196681 CJY262140:CJY262217 CJY327676:CJY327753 CJY393212:CJY393289 CJY458748:CJY458825 CJY524284:CJY524361 CJY589820:CJY589897 CJY655356:CJY655433 CJY720892:CJY720969 CJY786428:CJY786505 CJY851964:CJY852041 CJY917500:CJY917577 CJY983036:CJY983113 CTU2:CTU73 CTU65532:CTU65609 CTU131068:CTU131145 CTU196604:CTU196681 CTU262140:CTU262217 CTU327676:CTU327753 CTU393212:CTU393289 CTU458748:CTU458825 CTU524284:CTU524361 CTU589820:CTU589897 CTU655356:CTU655433 CTU720892:CTU720969 CTU786428:CTU786505 CTU851964:CTU852041 CTU917500:CTU917577 CTU983036:CTU983113 DDQ2:DDQ73 DDQ65532:DDQ65609 DDQ131068:DDQ131145 DDQ196604:DDQ196681 DDQ262140:DDQ262217 DDQ327676:DDQ327753 DDQ393212:DDQ393289 DDQ458748:DDQ458825 DDQ524284:DDQ524361 DDQ589820:DDQ589897 DDQ655356:DDQ655433 DDQ720892:DDQ720969 DDQ786428:DDQ786505 DDQ851964:DDQ852041 DDQ917500:DDQ917577 DDQ983036:DDQ983113 DNM2:DNM73 DNM65532:DNM65609 DNM131068:DNM131145 DNM196604:DNM196681 DNM262140:DNM262217 DNM327676:DNM327753 DNM393212:DNM393289 DNM458748:DNM458825 DNM524284:DNM524361 DNM589820:DNM589897 DNM655356:DNM655433 DNM720892:DNM720969 DNM786428:DNM786505 DNM851964:DNM852041 DNM917500:DNM917577 DNM983036:DNM983113 DXI2:DXI73 DXI65532:DXI65609 DXI131068:DXI131145 DXI196604:DXI196681 DXI262140:DXI262217 DXI327676:DXI327753 DXI393212:DXI393289 DXI458748:DXI458825 DXI524284:DXI524361 DXI589820:DXI589897 DXI655356:DXI655433 DXI720892:DXI720969 DXI786428:DXI786505 DXI851964:DXI852041 DXI917500:DXI917577 DXI983036:DXI983113 EHE2:EHE73 EHE65532:EHE65609 EHE131068:EHE131145 EHE196604:EHE196681 EHE262140:EHE262217 EHE327676:EHE327753 EHE393212:EHE393289 EHE458748:EHE458825 EHE524284:EHE524361 EHE589820:EHE589897 EHE655356:EHE655433 EHE720892:EHE720969 EHE786428:EHE786505 EHE851964:EHE852041 EHE917500:EHE917577 EHE983036:EHE983113 ERA2:ERA73 ERA65532:ERA65609 ERA131068:ERA131145 ERA196604:ERA196681 ERA262140:ERA262217 ERA327676:ERA327753 ERA393212:ERA393289 ERA458748:ERA458825 ERA524284:ERA524361 ERA589820:ERA589897 ERA655356:ERA655433 ERA720892:ERA720969 ERA786428:ERA786505 ERA851964:ERA852041 ERA917500:ERA917577 ERA983036:ERA983113 FAW2:FAW73 FAW65532:FAW65609 FAW131068:FAW131145 FAW196604:FAW196681 FAW262140:FAW262217 FAW327676:FAW327753 FAW393212:FAW393289 FAW458748:FAW458825 FAW524284:FAW524361 FAW589820:FAW589897 FAW655356:FAW655433 FAW720892:FAW720969 FAW786428:FAW786505 FAW851964:FAW852041 FAW917500:FAW917577 FAW983036:FAW983113 FKS2:FKS73 FKS65532:FKS65609 FKS131068:FKS131145 FKS196604:FKS196681 FKS262140:FKS262217 FKS327676:FKS327753 FKS393212:FKS393289 FKS458748:FKS458825 FKS524284:FKS524361 FKS589820:FKS589897 FKS655356:FKS655433 FKS720892:FKS720969 FKS786428:FKS786505 FKS851964:FKS852041 FKS917500:FKS917577 FKS983036:FKS983113 FUO2:FUO73 FUO65532:FUO65609 FUO131068:FUO131145 FUO196604:FUO196681 FUO262140:FUO262217 FUO327676:FUO327753 FUO393212:FUO393289 FUO458748:FUO458825 FUO524284:FUO524361 FUO589820:FUO589897 FUO655356:FUO655433 FUO720892:FUO720969 FUO786428:FUO786505 FUO851964:FUO852041 FUO917500:FUO917577 FUO983036:FUO983113 GEK2:GEK73 GEK65532:GEK65609 GEK131068:GEK131145 GEK196604:GEK196681 GEK262140:GEK262217 GEK327676:GEK327753 GEK393212:GEK393289 GEK458748:GEK458825 GEK524284:GEK524361 GEK589820:GEK589897 GEK655356:GEK655433 GEK720892:GEK720969 GEK786428:GEK786505 GEK851964:GEK852041 GEK917500:GEK917577 GEK983036:GEK983113 GOG2:GOG73 GOG65532:GOG65609 GOG131068:GOG131145 GOG196604:GOG196681 GOG262140:GOG262217 GOG327676:GOG327753 GOG393212:GOG393289 GOG458748:GOG458825 GOG524284:GOG524361 GOG589820:GOG589897 GOG655356:GOG655433 GOG720892:GOG720969 GOG786428:GOG786505 GOG851964:GOG852041 GOG917500:GOG917577 GOG983036:GOG983113 GYC2:GYC73 GYC65532:GYC65609 GYC131068:GYC131145 GYC196604:GYC196681 GYC262140:GYC262217 GYC327676:GYC327753 GYC393212:GYC393289 GYC458748:GYC458825 GYC524284:GYC524361 GYC589820:GYC589897 GYC655356:GYC655433 GYC720892:GYC720969 GYC786428:GYC786505 GYC851964:GYC852041 GYC917500:GYC917577 GYC983036:GYC983113 HHY2:HHY73 HHY65532:HHY65609 HHY131068:HHY131145 HHY196604:HHY196681 HHY262140:HHY262217 HHY327676:HHY327753 HHY393212:HHY393289 HHY458748:HHY458825 HHY524284:HHY524361 HHY589820:HHY589897 HHY655356:HHY655433 HHY720892:HHY720969 HHY786428:HHY786505 HHY851964:HHY852041 HHY917500:HHY917577 HHY983036:HHY983113 HRU2:HRU73 HRU65532:HRU65609 HRU131068:HRU131145 HRU196604:HRU196681 HRU262140:HRU262217 HRU327676:HRU327753 HRU393212:HRU393289 HRU458748:HRU458825 HRU524284:HRU524361 HRU589820:HRU589897 HRU655356:HRU655433 HRU720892:HRU720969 HRU786428:HRU786505 HRU851964:HRU852041 HRU917500:HRU917577 HRU983036:HRU983113 IBQ2:IBQ73 IBQ65532:IBQ65609 IBQ131068:IBQ131145 IBQ196604:IBQ196681 IBQ262140:IBQ262217 IBQ327676:IBQ327753 IBQ393212:IBQ393289 IBQ458748:IBQ458825 IBQ524284:IBQ524361 IBQ589820:IBQ589897 IBQ655356:IBQ655433 IBQ720892:IBQ720969 IBQ786428:IBQ786505 IBQ851964:IBQ852041 IBQ917500:IBQ917577 IBQ983036:IBQ983113 ILM2:ILM73 ILM65532:ILM65609 ILM131068:ILM131145 ILM196604:ILM196681 ILM262140:ILM262217 ILM327676:ILM327753 ILM393212:ILM393289 ILM458748:ILM458825 ILM524284:ILM524361 ILM589820:ILM589897 ILM655356:ILM655433 ILM720892:ILM720969 ILM786428:ILM786505 ILM851964:ILM852041 ILM917500:ILM917577 ILM983036:ILM983113 IVI2:IVI73 IVI65532:IVI65609 IVI131068:IVI131145 IVI196604:IVI196681 IVI262140:IVI262217 IVI327676:IVI327753 IVI393212:IVI393289 IVI458748:IVI458825 IVI524284:IVI524361 IVI589820:IVI589897 IVI655356:IVI655433 IVI720892:IVI720969 IVI786428:IVI786505 IVI851964:IVI852041 IVI917500:IVI917577 IVI983036:IVI983113 JFE2:JFE73 JFE65532:JFE65609 JFE131068:JFE131145 JFE196604:JFE196681 JFE262140:JFE262217 JFE327676:JFE327753 JFE393212:JFE393289 JFE458748:JFE458825 JFE524284:JFE524361 JFE589820:JFE589897 JFE655356:JFE655433 JFE720892:JFE720969 JFE786428:JFE786505 JFE851964:JFE852041 JFE917500:JFE917577 JFE983036:JFE983113 JPA2:JPA73 JPA65532:JPA65609 JPA131068:JPA131145 JPA196604:JPA196681 JPA262140:JPA262217 JPA327676:JPA327753 JPA393212:JPA393289 JPA458748:JPA458825 JPA524284:JPA524361 JPA589820:JPA589897 JPA655356:JPA655433 JPA720892:JPA720969 JPA786428:JPA786505 JPA851964:JPA852041 JPA917500:JPA917577 JPA983036:JPA983113 JYW2:JYW73 JYW65532:JYW65609 JYW131068:JYW131145 JYW196604:JYW196681 JYW262140:JYW262217 JYW327676:JYW327753 JYW393212:JYW393289 JYW458748:JYW458825 JYW524284:JYW524361 JYW589820:JYW589897 JYW655356:JYW655433 JYW720892:JYW720969 JYW786428:JYW786505 JYW851964:JYW852041 JYW917500:JYW917577 JYW983036:JYW983113 KIS2:KIS73 KIS65532:KIS65609 KIS131068:KIS131145 KIS196604:KIS196681 KIS262140:KIS262217 KIS327676:KIS327753 KIS393212:KIS393289 KIS458748:KIS458825 KIS524284:KIS524361 KIS589820:KIS589897 KIS655356:KIS655433 KIS720892:KIS720969 KIS786428:KIS786505 KIS851964:KIS852041 KIS917500:KIS917577 KIS983036:KIS983113 KSO2:KSO73 KSO65532:KSO65609 KSO131068:KSO131145 KSO196604:KSO196681 KSO262140:KSO262217 KSO327676:KSO327753 KSO393212:KSO393289 KSO458748:KSO458825 KSO524284:KSO524361 KSO589820:KSO589897 KSO655356:KSO655433 KSO720892:KSO720969 KSO786428:KSO786505 KSO851964:KSO852041 KSO917500:KSO917577 KSO983036:KSO983113 LCK2:LCK73 LCK65532:LCK65609 LCK131068:LCK131145 LCK196604:LCK196681 LCK262140:LCK262217 LCK327676:LCK327753 LCK393212:LCK393289 LCK458748:LCK458825 LCK524284:LCK524361 LCK589820:LCK589897 LCK655356:LCK655433 LCK720892:LCK720969 LCK786428:LCK786505 LCK851964:LCK852041 LCK917500:LCK917577 LCK983036:LCK983113 LMG2:LMG73 LMG65532:LMG65609 LMG131068:LMG131145 LMG196604:LMG196681 LMG262140:LMG262217 LMG327676:LMG327753 LMG393212:LMG393289 LMG458748:LMG458825 LMG524284:LMG524361 LMG589820:LMG589897 LMG655356:LMG655433 LMG720892:LMG720969 LMG786428:LMG786505 LMG851964:LMG852041 LMG917500:LMG917577 LMG983036:LMG983113 LWC2:LWC73 LWC65532:LWC65609 LWC131068:LWC131145 LWC196604:LWC196681 LWC262140:LWC262217 LWC327676:LWC327753 LWC393212:LWC393289 LWC458748:LWC458825 LWC524284:LWC524361 LWC589820:LWC589897 LWC655356:LWC655433 LWC720892:LWC720969 LWC786428:LWC786505 LWC851964:LWC852041 LWC917500:LWC917577 LWC983036:LWC983113 MFY2:MFY73 MFY65532:MFY65609 MFY131068:MFY131145 MFY196604:MFY196681 MFY262140:MFY262217 MFY327676:MFY327753 MFY393212:MFY393289 MFY458748:MFY458825 MFY524284:MFY524361 MFY589820:MFY589897 MFY655356:MFY655433 MFY720892:MFY720969 MFY786428:MFY786505 MFY851964:MFY852041 MFY917500:MFY917577 MFY983036:MFY983113 MPU2:MPU73 MPU65532:MPU65609 MPU131068:MPU131145 MPU196604:MPU196681 MPU262140:MPU262217 MPU327676:MPU327753 MPU393212:MPU393289 MPU458748:MPU458825 MPU524284:MPU524361 MPU589820:MPU589897 MPU655356:MPU655433 MPU720892:MPU720969 MPU786428:MPU786505 MPU851964:MPU852041 MPU917500:MPU917577 MPU983036:MPU983113 MZQ2:MZQ73 MZQ65532:MZQ65609 MZQ131068:MZQ131145 MZQ196604:MZQ196681 MZQ262140:MZQ262217 MZQ327676:MZQ327753 MZQ393212:MZQ393289 MZQ458748:MZQ458825 MZQ524284:MZQ524361 MZQ589820:MZQ589897 MZQ655356:MZQ655433 MZQ720892:MZQ720969 MZQ786428:MZQ786505 MZQ851964:MZQ852041 MZQ917500:MZQ917577 MZQ983036:MZQ983113 NJM2:NJM73 NJM65532:NJM65609 NJM131068:NJM131145 NJM196604:NJM196681 NJM262140:NJM262217 NJM327676:NJM327753 NJM393212:NJM393289 NJM458748:NJM458825 NJM524284:NJM524361 NJM589820:NJM589897 NJM655356:NJM655433 NJM720892:NJM720969 NJM786428:NJM786505 NJM851964:NJM852041 NJM917500:NJM917577 NJM983036:NJM983113 NTI2:NTI73 NTI65532:NTI65609 NTI131068:NTI131145 NTI196604:NTI196681 NTI262140:NTI262217 NTI327676:NTI327753 NTI393212:NTI393289 NTI458748:NTI458825 NTI524284:NTI524361 NTI589820:NTI589897 NTI655356:NTI655433 NTI720892:NTI720969 NTI786428:NTI786505 NTI851964:NTI852041 NTI917500:NTI917577 NTI983036:NTI983113 ODE2:ODE73 ODE65532:ODE65609 ODE131068:ODE131145 ODE196604:ODE196681 ODE262140:ODE262217 ODE327676:ODE327753 ODE393212:ODE393289 ODE458748:ODE458825 ODE524284:ODE524361 ODE589820:ODE589897 ODE655356:ODE655433 ODE720892:ODE720969 ODE786428:ODE786505 ODE851964:ODE852041 ODE917500:ODE917577 ODE983036:ODE983113 ONA2:ONA73 ONA65532:ONA65609 ONA131068:ONA131145 ONA196604:ONA196681 ONA262140:ONA262217 ONA327676:ONA327753 ONA393212:ONA393289 ONA458748:ONA458825 ONA524284:ONA524361 ONA589820:ONA589897 ONA655356:ONA655433 ONA720892:ONA720969 ONA786428:ONA786505 ONA851964:ONA852041 ONA917500:ONA917577 ONA983036:ONA983113 OWW2:OWW73 OWW65532:OWW65609 OWW131068:OWW131145 OWW196604:OWW196681 OWW262140:OWW262217 OWW327676:OWW327753 OWW393212:OWW393289 OWW458748:OWW458825 OWW524284:OWW524361 OWW589820:OWW589897 OWW655356:OWW655433 OWW720892:OWW720969 OWW786428:OWW786505 OWW851964:OWW852041 OWW917500:OWW917577 OWW983036:OWW983113 PGS2:PGS73 PGS65532:PGS65609 PGS131068:PGS131145 PGS196604:PGS196681 PGS262140:PGS262217 PGS327676:PGS327753 PGS393212:PGS393289 PGS458748:PGS458825 PGS524284:PGS524361 PGS589820:PGS589897 PGS655356:PGS655433 PGS720892:PGS720969 PGS786428:PGS786505 PGS851964:PGS852041 PGS917500:PGS917577 PGS983036:PGS983113 PQO2:PQO73 PQO65532:PQO65609 PQO131068:PQO131145 PQO196604:PQO196681 PQO262140:PQO262217 PQO327676:PQO327753 PQO393212:PQO393289 PQO458748:PQO458825 PQO524284:PQO524361 PQO589820:PQO589897 PQO655356:PQO655433 PQO720892:PQO720969 PQO786428:PQO786505 PQO851964:PQO852041 PQO917500:PQO917577 PQO983036:PQO983113 QAK2:QAK73 QAK65532:QAK65609 QAK131068:QAK131145 QAK196604:QAK196681 QAK262140:QAK262217 QAK327676:QAK327753 QAK393212:QAK393289 QAK458748:QAK458825 QAK524284:QAK524361 QAK589820:QAK589897 QAK655356:QAK655433 QAK720892:QAK720969 QAK786428:QAK786505 QAK851964:QAK852041 QAK917500:QAK917577 QAK983036:QAK983113 QKG2:QKG73 QKG65532:QKG65609 QKG131068:QKG131145 QKG196604:QKG196681 QKG262140:QKG262217 QKG327676:QKG327753 QKG393212:QKG393289 QKG458748:QKG458825 QKG524284:QKG524361 QKG589820:QKG589897 QKG655356:QKG655433 QKG720892:QKG720969 QKG786428:QKG786505 QKG851964:QKG852041 QKG917500:QKG917577 QKG983036:QKG983113 QUC2:QUC73 QUC65532:QUC65609 QUC131068:QUC131145 QUC196604:QUC196681 QUC262140:QUC262217 QUC327676:QUC327753 QUC393212:QUC393289 QUC458748:QUC458825 QUC524284:QUC524361 QUC589820:QUC589897 QUC655356:QUC655433 QUC720892:QUC720969 QUC786428:QUC786505 QUC851964:QUC852041 QUC917500:QUC917577 QUC983036:QUC983113 RDY2:RDY73 RDY65532:RDY65609 RDY131068:RDY131145 RDY196604:RDY196681 RDY262140:RDY262217 RDY327676:RDY327753 RDY393212:RDY393289 RDY458748:RDY458825 RDY524284:RDY524361 RDY589820:RDY589897 RDY655356:RDY655433 RDY720892:RDY720969 RDY786428:RDY786505 RDY851964:RDY852041 RDY917500:RDY917577 RDY983036:RDY983113 RNU2:RNU73 RNU65532:RNU65609 RNU131068:RNU131145 RNU196604:RNU196681 RNU262140:RNU262217 RNU327676:RNU327753 RNU393212:RNU393289 RNU458748:RNU458825 RNU524284:RNU524361 RNU589820:RNU589897 RNU655356:RNU655433 RNU720892:RNU720969 RNU786428:RNU786505 RNU851964:RNU852041 RNU917500:RNU917577 RNU983036:RNU983113 RXQ2:RXQ73 RXQ65532:RXQ65609 RXQ131068:RXQ131145 RXQ196604:RXQ196681 RXQ262140:RXQ262217 RXQ327676:RXQ327753 RXQ393212:RXQ393289 RXQ458748:RXQ458825 RXQ524284:RXQ524361 RXQ589820:RXQ589897 RXQ655356:RXQ655433 RXQ720892:RXQ720969 RXQ786428:RXQ786505 RXQ851964:RXQ852041 RXQ917500:RXQ917577 RXQ983036:RXQ983113 SHM2:SHM73 SHM65532:SHM65609 SHM131068:SHM131145 SHM196604:SHM196681 SHM262140:SHM262217 SHM327676:SHM327753 SHM393212:SHM393289 SHM458748:SHM458825 SHM524284:SHM524361 SHM589820:SHM589897 SHM655356:SHM655433 SHM720892:SHM720969 SHM786428:SHM786505 SHM851964:SHM852041 SHM917500:SHM917577 SHM983036:SHM983113 SRI2:SRI73 SRI65532:SRI65609 SRI131068:SRI131145 SRI196604:SRI196681 SRI262140:SRI262217 SRI327676:SRI327753 SRI393212:SRI393289 SRI458748:SRI458825 SRI524284:SRI524361 SRI589820:SRI589897 SRI655356:SRI655433 SRI720892:SRI720969 SRI786428:SRI786505 SRI851964:SRI852041 SRI917500:SRI917577 SRI983036:SRI983113 TBE2:TBE73 TBE65532:TBE65609 TBE131068:TBE131145 TBE196604:TBE196681 TBE262140:TBE262217 TBE327676:TBE327753 TBE393212:TBE393289 TBE458748:TBE458825 TBE524284:TBE524361 TBE589820:TBE589897 TBE655356:TBE655433 TBE720892:TBE720969 TBE786428:TBE786505 TBE851964:TBE852041 TBE917500:TBE917577 TBE983036:TBE983113 TLA2:TLA73 TLA65532:TLA65609 TLA131068:TLA131145 TLA196604:TLA196681 TLA262140:TLA262217 TLA327676:TLA327753 TLA393212:TLA393289 TLA458748:TLA458825 TLA524284:TLA524361 TLA589820:TLA589897 TLA655356:TLA655433 TLA720892:TLA720969 TLA786428:TLA786505 TLA851964:TLA852041 TLA917500:TLA917577 TLA983036:TLA983113 TUW2:TUW73 TUW65532:TUW65609 TUW131068:TUW131145 TUW196604:TUW196681 TUW262140:TUW262217 TUW327676:TUW327753 TUW393212:TUW393289 TUW458748:TUW458825 TUW524284:TUW524361 TUW589820:TUW589897 TUW655356:TUW655433 TUW720892:TUW720969 TUW786428:TUW786505 TUW851964:TUW852041 TUW917500:TUW917577 TUW983036:TUW983113 UES2:UES73 UES65532:UES65609 UES131068:UES131145 UES196604:UES196681 UES262140:UES262217 UES327676:UES327753 UES393212:UES393289 UES458748:UES458825 UES524284:UES524361 UES589820:UES589897 UES655356:UES655433 UES720892:UES720969 UES786428:UES786505 UES851964:UES852041 UES917500:UES917577 UES983036:UES983113 UOO2:UOO73 UOO65532:UOO65609 UOO131068:UOO131145 UOO196604:UOO196681 UOO262140:UOO262217 UOO327676:UOO327753 UOO393212:UOO393289 UOO458748:UOO458825 UOO524284:UOO524361 UOO589820:UOO589897 UOO655356:UOO655433 UOO720892:UOO720969 UOO786428:UOO786505 UOO851964:UOO852041 UOO917500:UOO917577 UOO983036:UOO983113 UYK2:UYK73 UYK65532:UYK65609 UYK131068:UYK131145 UYK196604:UYK196681 UYK262140:UYK262217 UYK327676:UYK327753 UYK393212:UYK393289 UYK458748:UYK458825 UYK524284:UYK524361 UYK589820:UYK589897 UYK655356:UYK655433 UYK720892:UYK720969 UYK786428:UYK786505 UYK851964:UYK852041 UYK917500:UYK917577 UYK983036:UYK983113 VIG2:VIG73 VIG65532:VIG65609 VIG131068:VIG131145 VIG196604:VIG196681 VIG262140:VIG262217 VIG327676:VIG327753 VIG393212:VIG393289 VIG458748:VIG458825 VIG524284:VIG524361 VIG589820:VIG589897 VIG655356:VIG655433 VIG720892:VIG720969 VIG786428:VIG786505 VIG851964:VIG852041 VIG917500:VIG917577 VIG983036:VIG983113 VSC2:VSC73 VSC65532:VSC65609 VSC131068:VSC131145 VSC196604:VSC196681 VSC262140:VSC262217 VSC327676:VSC327753 VSC393212:VSC393289 VSC458748:VSC458825 VSC524284:VSC524361 VSC589820:VSC589897 VSC655356:VSC655433 VSC720892:VSC720969 VSC786428:VSC786505 VSC851964:VSC852041 VSC917500:VSC917577 VSC983036:VSC983113 WBY2:WBY73 WBY65532:WBY65609 WBY131068:WBY131145 WBY196604:WBY196681 WBY262140:WBY262217 WBY327676:WBY327753 WBY393212:WBY393289 WBY458748:WBY458825 WBY524284:WBY524361 WBY589820:WBY589897 WBY655356:WBY655433 WBY720892:WBY720969 WBY786428:WBY786505 WBY851964:WBY852041 WBY917500:WBY917577 WBY983036:WBY983113 WLU2:WLU73 WLU65532:WLU65609 WLU131068:WLU131145 WLU196604:WLU196681 WLU262140:WLU262217 WLU327676:WLU327753 WLU393212:WLU393289 WLU458748:WLU458825 WLU524284:WLU524361 WLU589820:WLU589897 WLU655356:WLU655433 WLU720892:WLU720969 WLU786428:WLU786505 WLU851964:WLU852041 WLU917500:WLU917577 WLU983036:WLU983113 WVQ2:WVQ73 WVQ65532:WVQ65609 WVQ131068:WVQ131145 WVQ196604:WVQ196681 WVQ262140:WVQ262217 WVQ327676:WVQ327753 WVQ393212:WVQ393289 WVQ458748:WVQ458825 WVQ524284:WVQ524361 WVQ589820:WVQ589897 WVQ655356:WVQ655433 WVQ720892:WVQ720969 WVQ786428:WVQ786505 WVQ851964:WVQ852041 WVQ917500:WVQ917577 WVQ983036:WVQ983113">
      <formula1>#REF!</formula1>
    </dataValidation>
    <dataValidation type="list" allowBlank="1" showInputMessage="1" showErrorMessage="1" sqref="H2:H494">
      <formula1>$AL$2:$AL$8</formula1>
    </dataValidation>
    <dataValidation type="list" allowBlank="1" showInputMessage="1" showErrorMessage="1" sqref="X2:X494 X65532:X65609 X131068:X131145 X196604:X196681 X262140:X262217 X327676:X327753 X393212:X393289 X458748:X458825 X524284:X524361 X589820:X589897 X655356:X655433 X720892:X720969 X786428:X786505 X851964:X852041 X917500:X917577 X983036:X983113 JT2:JT73 JT65532:JT65609 JT131068:JT131145 JT196604:JT196681 JT262140:JT262217 JT327676:JT327753 JT393212:JT393289 JT458748:JT458825 JT524284:JT524361 JT589820:JT589897 JT655356:JT655433 JT720892:JT720969 JT786428:JT786505 JT851964:JT852041 JT917500:JT917577 JT983036:JT983113 TP2:TP73 TP65532:TP65609 TP131068:TP131145 TP196604:TP196681 TP262140:TP262217 TP327676:TP327753 TP393212:TP393289 TP458748:TP458825 TP524284:TP524361 TP589820:TP589897 TP655356:TP655433 TP720892:TP720969 TP786428:TP786505 TP851964:TP852041 TP917500:TP917577 TP983036:TP983113 ADL2:ADL73 ADL65532:ADL65609 ADL131068:ADL131145 ADL196604:ADL196681 ADL262140:ADL262217 ADL327676:ADL327753 ADL393212:ADL393289 ADL458748:ADL458825 ADL524284:ADL524361 ADL589820:ADL589897 ADL655356:ADL655433 ADL720892:ADL720969 ADL786428:ADL786505 ADL851964:ADL852041 ADL917500:ADL917577 ADL983036:ADL983113 ANH2:ANH73 ANH65532:ANH65609 ANH131068:ANH131145 ANH196604:ANH196681 ANH262140:ANH262217 ANH327676:ANH327753 ANH393212:ANH393289 ANH458748:ANH458825 ANH524284:ANH524361 ANH589820:ANH589897 ANH655356:ANH655433 ANH720892:ANH720969 ANH786428:ANH786505 ANH851964:ANH852041 ANH917500:ANH917577 ANH983036:ANH983113 AXD2:AXD73 AXD65532:AXD65609 AXD131068:AXD131145 AXD196604:AXD196681 AXD262140:AXD262217 AXD327676:AXD327753 AXD393212:AXD393289 AXD458748:AXD458825 AXD524284:AXD524361 AXD589820:AXD589897 AXD655356:AXD655433 AXD720892:AXD720969 AXD786428:AXD786505 AXD851964:AXD852041 AXD917500:AXD917577 AXD983036:AXD983113 BGZ2:BGZ73 BGZ65532:BGZ65609 BGZ131068:BGZ131145 BGZ196604:BGZ196681 BGZ262140:BGZ262217 BGZ327676:BGZ327753 BGZ393212:BGZ393289 BGZ458748:BGZ458825 BGZ524284:BGZ524361 BGZ589820:BGZ589897 BGZ655356:BGZ655433 BGZ720892:BGZ720969 BGZ786428:BGZ786505 BGZ851964:BGZ852041 BGZ917500:BGZ917577 BGZ983036:BGZ983113 BQV2:BQV73 BQV65532:BQV65609 BQV131068:BQV131145 BQV196604:BQV196681 BQV262140:BQV262217 BQV327676:BQV327753 BQV393212:BQV393289 BQV458748:BQV458825 BQV524284:BQV524361 BQV589820:BQV589897 BQV655356:BQV655433 BQV720892:BQV720969 BQV786428:BQV786505 BQV851964:BQV852041 BQV917500:BQV917577 BQV983036:BQV983113 CAR2:CAR73 CAR65532:CAR65609 CAR131068:CAR131145 CAR196604:CAR196681 CAR262140:CAR262217 CAR327676:CAR327753 CAR393212:CAR393289 CAR458748:CAR458825 CAR524284:CAR524361 CAR589820:CAR589897 CAR655356:CAR655433 CAR720892:CAR720969 CAR786428:CAR786505 CAR851964:CAR852041 CAR917500:CAR917577 CAR983036:CAR983113 CKN2:CKN73 CKN65532:CKN65609 CKN131068:CKN131145 CKN196604:CKN196681 CKN262140:CKN262217 CKN327676:CKN327753 CKN393212:CKN393289 CKN458748:CKN458825 CKN524284:CKN524361 CKN589820:CKN589897 CKN655356:CKN655433 CKN720892:CKN720969 CKN786428:CKN786505 CKN851964:CKN852041 CKN917500:CKN917577 CKN983036:CKN983113 CUJ2:CUJ73 CUJ65532:CUJ65609 CUJ131068:CUJ131145 CUJ196604:CUJ196681 CUJ262140:CUJ262217 CUJ327676:CUJ327753 CUJ393212:CUJ393289 CUJ458748:CUJ458825 CUJ524284:CUJ524361 CUJ589820:CUJ589897 CUJ655356:CUJ655433 CUJ720892:CUJ720969 CUJ786428:CUJ786505 CUJ851964:CUJ852041 CUJ917500:CUJ917577 CUJ983036:CUJ983113 DEF2:DEF73 DEF65532:DEF65609 DEF131068:DEF131145 DEF196604:DEF196681 DEF262140:DEF262217 DEF327676:DEF327753 DEF393212:DEF393289 DEF458748:DEF458825 DEF524284:DEF524361 DEF589820:DEF589897 DEF655356:DEF655433 DEF720892:DEF720969 DEF786428:DEF786505 DEF851964:DEF852041 DEF917500:DEF917577 DEF983036:DEF983113 DOB2:DOB73 DOB65532:DOB65609 DOB131068:DOB131145 DOB196604:DOB196681 DOB262140:DOB262217 DOB327676:DOB327753 DOB393212:DOB393289 DOB458748:DOB458825 DOB524284:DOB524361 DOB589820:DOB589897 DOB655356:DOB655433 DOB720892:DOB720969 DOB786428:DOB786505 DOB851964:DOB852041 DOB917500:DOB917577 DOB983036:DOB983113 DXX2:DXX73 DXX65532:DXX65609 DXX131068:DXX131145 DXX196604:DXX196681 DXX262140:DXX262217 DXX327676:DXX327753 DXX393212:DXX393289 DXX458748:DXX458825 DXX524284:DXX524361 DXX589820:DXX589897 DXX655356:DXX655433 DXX720892:DXX720969 DXX786428:DXX786505 DXX851964:DXX852041 DXX917500:DXX917577 DXX983036:DXX983113 EHT2:EHT73 EHT65532:EHT65609 EHT131068:EHT131145 EHT196604:EHT196681 EHT262140:EHT262217 EHT327676:EHT327753 EHT393212:EHT393289 EHT458748:EHT458825 EHT524284:EHT524361 EHT589820:EHT589897 EHT655356:EHT655433 EHT720892:EHT720969 EHT786428:EHT786505 EHT851964:EHT852041 EHT917500:EHT917577 EHT983036:EHT983113 ERP2:ERP73 ERP65532:ERP65609 ERP131068:ERP131145 ERP196604:ERP196681 ERP262140:ERP262217 ERP327676:ERP327753 ERP393212:ERP393289 ERP458748:ERP458825 ERP524284:ERP524361 ERP589820:ERP589897 ERP655356:ERP655433 ERP720892:ERP720969 ERP786428:ERP786505 ERP851964:ERP852041 ERP917500:ERP917577 ERP983036:ERP983113 FBL2:FBL73 FBL65532:FBL65609 FBL131068:FBL131145 FBL196604:FBL196681 FBL262140:FBL262217 FBL327676:FBL327753 FBL393212:FBL393289 FBL458748:FBL458825 FBL524284:FBL524361 FBL589820:FBL589897 FBL655356:FBL655433 FBL720892:FBL720969 FBL786428:FBL786505 FBL851964:FBL852041 FBL917500:FBL917577 FBL983036:FBL983113 FLH2:FLH73 FLH65532:FLH65609 FLH131068:FLH131145 FLH196604:FLH196681 FLH262140:FLH262217 FLH327676:FLH327753 FLH393212:FLH393289 FLH458748:FLH458825 FLH524284:FLH524361 FLH589820:FLH589897 FLH655356:FLH655433 FLH720892:FLH720969 FLH786428:FLH786505 FLH851964:FLH852041 FLH917500:FLH917577 FLH983036:FLH983113 FVD2:FVD73 FVD65532:FVD65609 FVD131068:FVD131145 FVD196604:FVD196681 FVD262140:FVD262217 FVD327676:FVD327753 FVD393212:FVD393289 FVD458748:FVD458825 FVD524284:FVD524361 FVD589820:FVD589897 FVD655356:FVD655433 FVD720892:FVD720969 FVD786428:FVD786505 FVD851964:FVD852041 FVD917500:FVD917577 FVD983036:FVD983113 GEZ2:GEZ73 GEZ65532:GEZ65609 GEZ131068:GEZ131145 GEZ196604:GEZ196681 GEZ262140:GEZ262217 GEZ327676:GEZ327753 GEZ393212:GEZ393289 GEZ458748:GEZ458825 GEZ524284:GEZ524361 GEZ589820:GEZ589897 GEZ655356:GEZ655433 GEZ720892:GEZ720969 GEZ786428:GEZ786505 GEZ851964:GEZ852041 GEZ917500:GEZ917577 GEZ983036:GEZ983113 GOV2:GOV73 GOV65532:GOV65609 GOV131068:GOV131145 GOV196604:GOV196681 GOV262140:GOV262217 GOV327676:GOV327753 GOV393212:GOV393289 GOV458748:GOV458825 GOV524284:GOV524361 GOV589820:GOV589897 GOV655356:GOV655433 GOV720892:GOV720969 GOV786428:GOV786505 GOV851964:GOV852041 GOV917500:GOV917577 GOV983036:GOV983113 GYR2:GYR73 GYR65532:GYR65609 GYR131068:GYR131145 GYR196604:GYR196681 GYR262140:GYR262217 GYR327676:GYR327753 GYR393212:GYR393289 GYR458748:GYR458825 GYR524284:GYR524361 GYR589820:GYR589897 GYR655356:GYR655433 GYR720892:GYR720969 GYR786428:GYR786505 GYR851964:GYR852041 GYR917500:GYR917577 GYR983036:GYR983113 HIN2:HIN73 HIN65532:HIN65609 HIN131068:HIN131145 HIN196604:HIN196681 HIN262140:HIN262217 HIN327676:HIN327753 HIN393212:HIN393289 HIN458748:HIN458825 HIN524284:HIN524361 HIN589820:HIN589897 HIN655356:HIN655433 HIN720892:HIN720969 HIN786428:HIN786505 HIN851964:HIN852041 HIN917500:HIN917577 HIN983036:HIN983113 HSJ2:HSJ73 HSJ65532:HSJ65609 HSJ131068:HSJ131145 HSJ196604:HSJ196681 HSJ262140:HSJ262217 HSJ327676:HSJ327753 HSJ393212:HSJ393289 HSJ458748:HSJ458825 HSJ524284:HSJ524361 HSJ589820:HSJ589897 HSJ655356:HSJ655433 HSJ720892:HSJ720969 HSJ786428:HSJ786505 HSJ851964:HSJ852041 HSJ917500:HSJ917577 HSJ983036:HSJ983113 ICF2:ICF73 ICF65532:ICF65609 ICF131068:ICF131145 ICF196604:ICF196681 ICF262140:ICF262217 ICF327676:ICF327753 ICF393212:ICF393289 ICF458748:ICF458825 ICF524284:ICF524361 ICF589820:ICF589897 ICF655356:ICF655433 ICF720892:ICF720969 ICF786428:ICF786505 ICF851964:ICF852041 ICF917500:ICF917577 ICF983036:ICF983113 IMB2:IMB73 IMB65532:IMB65609 IMB131068:IMB131145 IMB196604:IMB196681 IMB262140:IMB262217 IMB327676:IMB327753 IMB393212:IMB393289 IMB458748:IMB458825 IMB524284:IMB524361 IMB589820:IMB589897 IMB655356:IMB655433 IMB720892:IMB720969 IMB786428:IMB786505 IMB851964:IMB852041 IMB917500:IMB917577 IMB983036:IMB983113 IVX2:IVX73 IVX65532:IVX65609 IVX131068:IVX131145 IVX196604:IVX196681 IVX262140:IVX262217 IVX327676:IVX327753 IVX393212:IVX393289 IVX458748:IVX458825 IVX524284:IVX524361 IVX589820:IVX589897 IVX655356:IVX655433 IVX720892:IVX720969 IVX786428:IVX786505 IVX851964:IVX852041 IVX917500:IVX917577 IVX983036:IVX983113 JFT2:JFT73 JFT65532:JFT65609 JFT131068:JFT131145 JFT196604:JFT196681 JFT262140:JFT262217 JFT327676:JFT327753 JFT393212:JFT393289 JFT458748:JFT458825 JFT524284:JFT524361 JFT589820:JFT589897 JFT655356:JFT655433 JFT720892:JFT720969 JFT786428:JFT786505 JFT851964:JFT852041 JFT917500:JFT917577 JFT983036:JFT983113 JPP2:JPP73 JPP65532:JPP65609 JPP131068:JPP131145 JPP196604:JPP196681 JPP262140:JPP262217 JPP327676:JPP327753 JPP393212:JPP393289 JPP458748:JPP458825 JPP524284:JPP524361 JPP589820:JPP589897 JPP655356:JPP655433 JPP720892:JPP720969 JPP786428:JPP786505 JPP851964:JPP852041 JPP917500:JPP917577 JPP983036:JPP983113 JZL2:JZL73 JZL65532:JZL65609 JZL131068:JZL131145 JZL196604:JZL196681 JZL262140:JZL262217 JZL327676:JZL327753 JZL393212:JZL393289 JZL458748:JZL458825 JZL524284:JZL524361 JZL589820:JZL589897 JZL655356:JZL655433 JZL720892:JZL720969 JZL786428:JZL786505 JZL851964:JZL852041 JZL917500:JZL917577 JZL983036:JZL983113 KJH2:KJH73 KJH65532:KJH65609 KJH131068:KJH131145 KJH196604:KJH196681 KJH262140:KJH262217 KJH327676:KJH327753 KJH393212:KJH393289 KJH458748:KJH458825 KJH524284:KJH524361 KJH589820:KJH589897 KJH655356:KJH655433 KJH720892:KJH720969 KJH786428:KJH786505 KJH851964:KJH852041 KJH917500:KJH917577 KJH983036:KJH983113 KTD2:KTD73 KTD65532:KTD65609 KTD131068:KTD131145 KTD196604:KTD196681 KTD262140:KTD262217 KTD327676:KTD327753 KTD393212:KTD393289 KTD458748:KTD458825 KTD524284:KTD524361 KTD589820:KTD589897 KTD655356:KTD655433 KTD720892:KTD720969 KTD786428:KTD786505 KTD851964:KTD852041 KTD917500:KTD917577 KTD983036:KTD983113 LCZ2:LCZ73 LCZ65532:LCZ65609 LCZ131068:LCZ131145 LCZ196604:LCZ196681 LCZ262140:LCZ262217 LCZ327676:LCZ327753 LCZ393212:LCZ393289 LCZ458748:LCZ458825 LCZ524284:LCZ524361 LCZ589820:LCZ589897 LCZ655356:LCZ655433 LCZ720892:LCZ720969 LCZ786428:LCZ786505 LCZ851964:LCZ852041 LCZ917500:LCZ917577 LCZ983036:LCZ983113 LMV2:LMV73 LMV65532:LMV65609 LMV131068:LMV131145 LMV196604:LMV196681 LMV262140:LMV262217 LMV327676:LMV327753 LMV393212:LMV393289 LMV458748:LMV458825 LMV524284:LMV524361 LMV589820:LMV589897 LMV655356:LMV655433 LMV720892:LMV720969 LMV786428:LMV786505 LMV851964:LMV852041 LMV917500:LMV917577 LMV983036:LMV983113 LWR2:LWR73 LWR65532:LWR65609 LWR131068:LWR131145 LWR196604:LWR196681 LWR262140:LWR262217 LWR327676:LWR327753 LWR393212:LWR393289 LWR458748:LWR458825 LWR524284:LWR524361 LWR589820:LWR589897 LWR655356:LWR655433 LWR720892:LWR720969 LWR786428:LWR786505 LWR851964:LWR852041 LWR917500:LWR917577 LWR983036:LWR983113 MGN2:MGN73 MGN65532:MGN65609 MGN131068:MGN131145 MGN196604:MGN196681 MGN262140:MGN262217 MGN327676:MGN327753 MGN393212:MGN393289 MGN458748:MGN458825 MGN524284:MGN524361 MGN589820:MGN589897 MGN655356:MGN655433 MGN720892:MGN720969 MGN786428:MGN786505 MGN851964:MGN852041 MGN917500:MGN917577 MGN983036:MGN983113 MQJ2:MQJ73 MQJ65532:MQJ65609 MQJ131068:MQJ131145 MQJ196604:MQJ196681 MQJ262140:MQJ262217 MQJ327676:MQJ327753 MQJ393212:MQJ393289 MQJ458748:MQJ458825 MQJ524284:MQJ524361 MQJ589820:MQJ589897 MQJ655356:MQJ655433 MQJ720892:MQJ720969 MQJ786428:MQJ786505 MQJ851964:MQJ852041 MQJ917500:MQJ917577 MQJ983036:MQJ983113 NAF2:NAF73 NAF65532:NAF65609 NAF131068:NAF131145 NAF196604:NAF196681 NAF262140:NAF262217 NAF327676:NAF327753 NAF393212:NAF393289 NAF458748:NAF458825 NAF524284:NAF524361 NAF589820:NAF589897 NAF655356:NAF655433 NAF720892:NAF720969 NAF786428:NAF786505 NAF851964:NAF852041 NAF917500:NAF917577 NAF983036:NAF983113 NKB2:NKB73 NKB65532:NKB65609 NKB131068:NKB131145 NKB196604:NKB196681 NKB262140:NKB262217 NKB327676:NKB327753 NKB393212:NKB393289 NKB458748:NKB458825 NKB524284:NKB524361 NKB589820:NKB589897 NKB655356:NKB655433 NKB720892:NKB720969 NKB786428:NKB786505 NKB851964:NKB852041 NKB917500:NKB917577 NKB983036:NKB983113 NTX2:NTX73 NTX65532:NTX65609 NTX131068:NTX131145 NTX196604:NTX196681 NTX262140:NTX262217 NTX327676:NTX327753 NTX393212:NTX393289 NTX458748:NTX458825 NTX524284:NTX524361 NTX589820:NTX589897 NTX655356:NTX655433 NTX720892:NTX720969 NTX786428:NTX786505 NTX851964:NTX852041 NTX917500:NTX917577 NTX983036:NTX983113 ODT2:ODT73 ODT65532:ODT65609 ODT131068:ODT131145 ODT196604:ODT196681 ODT262140:ODT262217 ODT327676:ODT327753 ODT393212:ODT393289 ODT458748:ODT458825 ODT524284:ODT524361 ODT589820:ODT589897 ODT655356:ODT655433 ODT720892:ODT720969 ODT786428:ODT786505 ODT851964:ODT852041 ODT917500:ODT917577 ODT983036:ODT983113 ONP2:ONP73 ONP65532:ONP65609 ONP131068:ONP131145 ONP196604:ONP196681 ONP262140:ONP262217 ONP327676:ONP327753 ONP393212:ONP393289 ONP458748:ONP458825 ONP524284:ONP524361 ONP589820:ONP589897 ONP655356:ONP655433 ONP720892:ONP720969 ONP786428:ONP786505 ONP851964:ONP852041 ONP917500:ONP917577 ONP983036:ONP983113 OXL2:OXL73 OXL65532:OXL65609 OXL131068:OXL131145 OXL196604:OXL196681 OXL262140:OXL262217 OXL327676:OXL327753 OXL393212:OXL393289 OXL458748:OXL458825 OXL524284:OXL524361 OXL589820:OXL589897 OXL655356:OXL655433 OXL720892:OXL720969 OXL786428:OXL786505 OXL851964:OXL852041 OXL917500:OXL917577 OXL983036:OXL983113 PHH2:PHH73 PHH65532:PHH65609 PHH131068:PHH131145 PHH196604:PHH196681 PHH262140:PHH262217 PHH327676:PHH327753 PHH393212:PHH393289 PHH458748:PHH458825 PHH524284:PHH524361 PHH589820:PHH589897 PHH655356:PHH655433 PHH720892:PHH720969 PHH786428:PHH786505 PHH851964:PHH852041 PHH917500:PHH917577 PHH983036:PHH983113 PRD2:PRD73 PRD65532:PRD65609 PRD131068:PRD131145 PRD196604:PRD196681 PRD262140:PRD262217 PRD327676:PRD327753 PRD393212:PRD393289 PRD458748:PRD458825 PRD524284:PRD524361 PRD589820:PRD589897 PRD655356:PRD655433 PRD720892:PRD720969 PRD786428:PRD786505 PRD851964:PRD852041 PRD917500:PRD917577 PRD983036:PRD983113 QAZ2:QAZ73 QAZ65532:QAZ65609 QAZ131068:QAZ131145 QAZ196604:QAZ196681 QAZ262140:QAZ262217 QAZ327676:QAZ327753 QAZ393212:QAZ393289 QAZ458748:QAZ458825 QAZ524284:QAZ524361 QAZ589820:QAZ589897 QAZ655356:QAZ655433 QAZ720892:QAZ720969 QAZ786428:QAZ786505 QAZ851964:QAZ852041 QAZ917500:QAZ917577 QAZ983036:QAZ983113 QKV2:QKV73 QKV65532:QKV65609 QKV131068:QKV131145 QKV196604:QKV196681 QKV262140:QKV262217 QKV327676:QKV327753 QKV393212:QKV393289 QKV458748:QKV458825 QKV524284:QKV524361 QKV589820:QKV589897 QKV655356:QKV655433 QKV720892:QKV720969 QKV786428:QKV786505 QKV851964:QKV852041 QKV917500:QKV917577 QKV983036:QKV983113 QUR2:QUR73 QUR65532:QUR65609 QUR131068:QUR131145 QUR196604:QUR196681 QUR262140:QUR262217 QUR327676:QUR327753 QUR393212:QUR393289 QUR458748:QUR458825 QUR524284:QUR524361 QUR589820:QUR589897 QUR655356:QUR655433 QUR720892:QUR720969 QUR786428:QUR786505 QUR851964:QUR852041 QUR917500:QUR917577 QUR983036:QUR983113 REN2:REN73 REN65532:REN65609 REN131068:REN131145 REN196604:REN196681 REN262140:REN262217 REN327676:REN327753 REN393212:REN393289 REN458748:REN458825 REN524284:REN524361 REN589820:REN589897 REN655356:REN655433 REN720892:REN720969 REN786428:REN786505 REN851964:REN852041 REN917500:REN917577 REN983036:REN983113 ROJ2:ROJ73 ROJ65532:ROJ65609 ROJ131068:ROJ131145 ROJ196604:ROJ196681 ROJ262140:ROJ262217 ROJ327676:ROJ327753 ROJ393212:ROJ393289 ROJ458748:ROJ458825 ROJ524284:ROJ524361 ROJ589820:ROJ589897 ROJ655356:ROJ655433 ROJ720892:ROJ720969 ROJ786428:ROJ786505 ROJ851964:ROJ852041 ROJ917500:ROJ917577 ROJ983036:ROJ983113 RYF2:RYF73 RYF65532:RYF65609 RYF131068:RYF131145 RYF196604:RYF196681 RYF262140:RYF262217 RYF327676:RYF327753 RYF393212:RYF393289 RYF458748:RYF458825 RYF524284:RYF524361 RYF589820:RYF589897 RYF655356:RYF655433 RYF720892:RYF720969 RYF786428:RYF786505 RYF851964:RYF852041 RYF917500:RYF917577 RYF983036:RYF983113 SIB2:SIB73 SIB65532:SIB65609 SIB131068:SIB131145 SIB196604:SIB196681 SIB262140:SIB262217 SIB327676:SIB327753 SIB393212:SIB393289 SIB458748:SIB458825 SIB524284:SIB524361 SIB589820:SIB589897 SIB655356:SIB655433 SIB720892:SIB720969 SIB786428:SIB786505 SIB851964:SIB852041 SIB917500:SIB917577 SIB983036:SIB983113 SRX2:SRX73 SRX65532:SRX65609 SRX131068:SRX131145 SRX196604:SRX196681 SRX262140:SRX262217 SRX327676:SRX327753 SRX393212:SRX393289 SRX458748:SRX458825 SRX524284:SRX524361 SRX589820:SRX589897 SRX655356:SRX655433 SRX720892:SRX720969 SRX786428:SRX786505 SRX851964:SRX852041 SRX917500:SRX917577 SRX983036:SRX983113 TBT2:TBT73 TBT65532:TBT65609 TBT131068:TBT131145 TBT196604:TBT196681 TBT262140:TBT262217 TBT327676:TBT327753 TBT393212:TBT393289 TBT458748:TBT458825 TBT524284:TBT524361 TBT589820:TBT589897 TBT655356:TBT655433 TBT720892:TBT720969 TBT786428:TBT786505 TBT851964:TBT852041 TBT917500:TBT917577 TBT983036:TBT983113 TLP2:TLP73 TLP65532:TLP65609 TLP131068:TLP131145 TLP196604:TLP196681 TLP262140:TLP262217 TLP327676:TLP327753 TLP393212:TLP393289 TLP458748:TLP458825 TLP524284:TLP524361 TLP589820:TLP589897 TLP655356:TLP655433 TLP720892:TLP720969 TLP786428:TLP786505 TLP851964:TLP852041 TLP917500:TLP917577 TLP983036:TLP983113 TVL2:TVL73 TVL65532:TVL65609 TVL131068:TVL131145 TVL196604:TVL196681 TVL262140:TVL262217 TVL327676:TVL327753 TVL393212:TVL393289 TVL458748:TVL458825 TVL524284:TVL524361 TVL589820:TVL589897 TVL655356:TVL655433 TVL720892:TVL720969 TVL786428:TVL786505 TVL851964:TVL852041 TVL917500:TVL917577 TVL983036:TVL983113 UFH2:UFH73 UFH65532:UFH65609 UFH131068:UFH131145 UFH196604:UFH196681 UFH262140:UFH262217 UFH327676:UFH327753 UFH393212:UFH393289 UFH458748:UFH458825 UFH524284:UFH524361 UFH589820:UFH589897 UFH655356:UFH655433 UFH720892:UFH720969 UFH786428:UFH786505 UFH851964:UFH852041 UFH917500:UFH917577 UFH983036:UFH983113 UPD2:UPD73 UPD65532:UPD65609 UPD131068:UPD131145 UPD196604:UPD196681 UPD262140:UPD262217 UPD327676:UPD327753 UPD393212:UPD393289 UPD458748:UPD458825 UPD524284:UPD524361 UPD589820:UPD589897 UPD655356:UPD655433 UPD720892:UPD720969 UPD786428:UPD786505 UPD851964:UPD852041 UPD917500:UPD917577 UPD983036:UPD983113 UYZ2:UYZ73 UYZ65532:UYZ65609 UYZ131068:UYZ131145 UYZ196604:UYZ196681 UYZ262140:UYZ262217 UYZ327676:UYZ327753 UYZ393212:UYZ393289 UYZ458748:UYZ458825 UYZ524284:UYZ524361 UYZ589820:UYZ589897 UYZ655356:UYZ655433 UYZ720892:UYZ720969 UYZ786428:UYZ786505 UYZ851964:UYZ852041 UYZ917500:UYZ917577 UYZ983036:UYZ983113 VIV2:VIV73 VIV65532:VIV65609 VIV131068:VIV131145 VIV196604:VIV196681 VIV262140:VIV262217 VIV327676:VIV327753 VIV393212:VIV393289 VIV458748:VIV458825 VIV524284:VIV524361 VIV589820:VIV589897 VIV655356:VIV655433 VIV720892:VIV720969 VIV786428:VIV786505 VIV851964:VIV852041 VIV917500:VIV917577 VIV983036:VIV983113 VSR2:VSR73 VSR65532:VSR65609 VSR131068:VSR131145 VSR196604:VSR196681 VSR262140:VSR262217 VSR327676:VSR327753 VSR393212:VSR393289 VSR458748:VSR458825 VSR524284:VSR524361 VSR589820:VSR589897 VSR655356:VSR655433 VSR720892:VSR720969 VSR786428:VSR786505 VSR851964:VSR852041 VSR917500:VSR917577 VSR983036:VSR983113 WCN2:WCN73 WCN65532:WCN65609 WCN131068:WCN131145 WCN196604:WCN196681 WCN262140:WCN262217 WCN327676:WCN327753 WCN393212:WCN393289 WCN458748:WCN458825 WCN524284:WCN524361 WCN589820:WCN589897 WCN655356:WCN655433 WCN720892:WCN720969 WCN786428:WCN786505 WCN851964:WCN852041 WCN917500:WCN917577 WCN983036:WCN983113 WMJ2:WMJ73 WMJ65532:WMJ65609 WMJ131068:WMJ131145 WMJ196604:WMJ196681 WMJ262140:WMJ262217 WMJ327676:WMJ327753 WMJ393212:WMJ393289 WMJ458748:WMJ458825 WMJ524284:WMJ524361 WMJ589820:WMJ589897 WMJ655356:WMJ655433 WMJ720892:WMJ720969 WMJ786428:WMJ786505 WMJ851964:WMJ852041 WMJ917500:WMJ917577 WMJ983036:WMJ983113 WWF2:WWF73 WWF65532:WWF65609 WWF131068:WWF131145 WWF196604:WWF196681 WWF262140:WWF262217 WWF327676:WWF327753 WWF393212:WWF393289 WWF458748:WWF458825 WWF524284:WWF524361 WWF589820:WWF589897 WWF655356:WWF655433 WWF720892:WWF720969 WWF786428:WWF786505 WWF851964:WWF852041 WWF917500:WWF917577 WWF983036:WWF983113">
      <formula1>$AT$2:$AT$3</formula1>
    </dataValidation>
    <dataValidation type="list" allowBlank="1" showInputMessage="1" showErrorMessage="1" sqref="G2:G494 G65532:G65609 G131068:G131145 G196604:G196681 G262140:G262217 G327676:G327753 G393212:G393289 G458748:G458825 G524284:G524361 G589820:G589897 G655356:G655433 G720892:G720969 G786428:G786505 G851964:G852041 G917500:G917577 G983036:G983113 JC2:JC73 JC65532:JC65609 JC131068:JC131145 JC196604:JC196681 JC262140:JC262217 JC327676:JC327753 JC393212:JC393289 JC458748:JC458825 JC524284:JC524361 JC589820:JC589897 JC655356:JC655433 JC720892:JC720969 JC786428:JC786505 JC851964:JC852041 JC917500:JC917577 JC983036:JC983113 SY2:SY73 SY65532:SY65609 SY131068:SY131145 SY196604:SY196681 SY262140:SY262217 SY327676:SY327753 SY393212:SY393289 SY458748:SY458825 SY524284:SY524361 SY589820:SY589897 SY655356:SY655433 SY720892:SY720969 SY786428:SY786505 SY851964:SY852041 SY917500:SY917577 SY983036:SY983113 ACU2:ACU73 ACU65532:ACU65609 ACU131068:ACU131145 ACU196604:ACU196681 ACU262140:ACU262217 ACU327676:ACU327753 ACU393212:ACU393289 ACU458748:ACU458825 ACU524284:ACU524361 ACU589820:ACU589897 ACU655356:ACU655433 ACU720892:ACU720969 ACU786428:ACU786505 ACU851964:ACU852041 ACU917500:ACU917577 ACU983036:ACU983113 AMQ2:AMQ73 AMQ65532:AMQ65609 AMQ131068:AMQ131145 AMQ196604:AMQ196681 AMQ262140:AMQ262217 AMQ327676:AMQ327753 AMQ393212:AMQ393289 AMQ458748:AMQ458825 AMQ524284:AMQ524361 AMQ589820:AMQ589897 AMQ655356:AMQ655433 AMQ720892:AMQ720969 AMQ786428:AMQ786505 AMQ851964:AMQ852041 AMQ917500:AMQ917577 AMQ983036:AMQ983113 AWM2:AWM73 AWM65532:AWM65609 AWM131068:AWM131145 AWM196604:AWM196681 AWM262140:AWM262217 AWM327676:AWM327753 AWM393212:AWM393289 AWM458748:AWM458825 AWM524284:AWM524361 AWM589820:AWM589897 AWM655356:AWM655433 AWM720892:AWM720969 AWM786428:AWM786505 AWM851964:AWM852041 AWM917500:AWM917577 AWM983036:AWM983113 BGI2:BGI73 BGI65532:BGI65609 BGI131068:BGI131145 BGI196604:BGI196681 BGI262140:BGI262217 BGI327676:BGI327753 BGI393212:BGI393289 BGI458748:BGI458825 BGI524284:BGI524361 BGI589820:BGI589897 BGI655356:BGI655433 BGI720892:BGI720969 BGI786428:BGI786505 BGI851964:BGI852041 BGI917500:BGI917577 BGI983036:BGI983113 BQE2:BQE73 BQE65532:BQE65609 BQE131068:BQE131145 BQE196604:BQE196681 BQE262140:BQE262217 BQE327676:BQE327753 BQE393212:BQE393289 BQE458748:BQE458825 BQE524284:BQE524361 BQE589820:BQE589897 BQE655356:BQE655433 BQE720892:BQE720969 BQE786428:BQE786505 BQE851964:BQE852041 BQE917500:BQE917577 BQE983036:BQE983113 CAA2:CAA73 CAA65532:CAA65609 CAA131068:CAA131145 CAA196604:CAA196681 CAA262140:CAA262217 CAA327676:CAA327753 CAA393212:CAA393289 CAA458748:CAA458825 CAA524284:CAA524361 CAA589820:CAA589897 CAA655356:CAA655433 CAA720892:CAA720969 CAA786428:CAA786505 CAA851964:CAA852041 CAA917500:CAA917577 CAA983036:CAA983113 CJW2:CJW73 CJW65532:CJW65609 CJW131068:CJW131145 CJW196604:CJW196681 CJW262140:CJW262217 CJW327676:CJW327753 CJW393212:CJW393289 CJW458748:CJW458825 CJW524284:CJW524361 CJW589820:CJW589897 CJW655356:CJW655433 CJW720892:CJW720969 CJW786428:CJW786505 CJW851964:CJW852041 CJW917500:CJW917577 CJW983036:CJW983113 CTS2:CTS73 CTS65532:CTS65609 CTS131068:CTS131145 CTS196604:CTS196681 CTS262140:CTS262217 CTS327676:CTS327753 CTS393212:CTS393289 CTS458748:CTS458825 CTS524284:CTS524361 CTS589820:CTS589897 CTS655356:CTS655433 CTS720892:CTS720969 CTS786428:CTS786505 CTS851964:CTS852041 CTS917500:CTS917577 CTS983036:CTS983113 DDO2:DDO73 DDO65532:DDO65609 DDO131068:DDO131145 DDO196604:DDO196681 DDO262140:DDO262217 DDO327676:DDO327753 DDO393212:DDO393289 DDO458748:DDO458825 DDO524284:DDO524361 DDO589820:DDO589897 DDO655356:DDO655433 DDO720892:DDO720969 DDO786428:DDO786505 DDO851964:DDO852041 DDO917500:DDO917577 DDO983036:DDO983113 DNK2:DNK73 DNK65532:DNK65609 DNK131068:DNK131145 DNK196604:DNK196681 DNK262140:DNK262217 DNK327676:DNK327753 DNK393212:DNK393289 DNK458748:DNK458825 DNK524284:DNK524361 DNK589820:DNK589897 DNK655356:DNK655433 DNK720892:DNK720969 DNK786428:DNK786505 DNK851964:DNK852041 DNK917500:DNK917577 DNK983036:DNK983113 DXG2:DXG73 DXG65532:DXG65609 DXG131068:DXG131145 DXG196604:DXG196681 DXG262140:DXG262217 DXG327676:DXG327753 DXG393212:DXG393289 DXG458748:DXG458825 DXG524284:DXG524361 DXG589820:DXG589897 DXG655356:DXG655433 DXG720892:DXG720969 DXG786428:DXG786505 DXG851964:DXG852041 DXG917500:DXG917577 DXG983036:DXG983113 EHC2:EHC73 EHC65532:EHC65609 EHC131068:EHC131145 EHC196604:EHC196681 EHC262140:EHC262217 EHC327676:EHC327753 EHC393212:EHC393289 EHC458748:EHC458825 EHC524284:EHC524361 EHC589820:EHC589897 EHC655356:EHC655433 EHC720892:EHC720969 EHC786428:EHC786505 EHC851964:EHC852041 EHC917500:EHC917577 EHC983036:EHC983113 EQY2:EQY73 EQY65532:EQY65609 EQY131068:EQY131145 EQY196604:EQY196681 EQY262140:EQY262217 EQY327676:EQY327753 EQY393212:EQY393289 EQY458748:EQY458825 EQY524284:EQY524361 EQY589820:EQY589897 EQY655356:EQY655433 EQY720892:EQY720969 EQY786428:EQY786505 EQY851964:EQY852041 EQY917500:EQY917577 EQY983036:EQY983113 FAU2:FAU73 FAU65532:FAU65609 FAU131068:FAU131145 FAU196604:FAU196681 FAU262140:FAU262217 FAU327676:FAU327753 FAU393212:FAU393289 FAU458748:FAU458825 FAU524284:FAU524361 FAU589820:FAU589897 FAU655356:FAU655433 FAU720892:FAU720969 FAU786428:FAU786505 FAU851964:FAU852041 FAU917500:FAU917577 FAU983036:FAU983113 FKQ2:FKQ73 FKQ65532:FKQ65609 FKQ131068:FKQ131145 FKQ196604:FKQ196681 FKQ262140:FKQ262217 FKQ327676:FKQ327753 FKQ393212:FKQ393289 FKQ458748:FKQ458825 FKQ524284:FKQ524361 FKQ589820:FKQ589897 FKQ655356:FKQ655433 FKQ720892:FKQ720969 FKQ786428:FKQ786505 FKQ851964:FKQ852041 FKQ917500:FKQ917577 FKQ983036:FKQ983113 FUM2:FUM73 FUM65532:FUM65609 FUM131068:FUM131145 FUM196604:FUM196681 FUM262140:FUM262217 FUM327676:FUM327753 FUM393212:FUM393289 FUM458748:FUM458825 FUM524284:FUM524361 FUM589820:FUM589897 FUM655356:FUM655433 FUM720892:FUM720969 FUM786428:FUM786505 FUM851964:FUM852041 FUM917500:FUM917577 FUM983036:FUM983113 GEI2:GEI73 GEI65532:GEI65609 GEI131068:GEI131145 GEI196604:GEI196681 GEI262140:GEI262217 GEI327676:GEI327753 GEI393212:GEI393289 GEI458748:GEI458825 GEI524284:GEI524361 GEI589820:GEI589897 GEI655356:GEI655433 GEI720892:GEI720969 GEI786428:GEI786505 GEI851964:GEI852041 GEI917500:GEI917577 GEI983036:GEI983113 GOE2:GOE73 GOE65532:GOE65609 GOE131068:GOE131145 GOE196604:GOE196681 GOE262140:GOE262217 GOE327676:GOE327753 GOE393212:GOE393289 GOE458748:GOE458825 GOE524284:GOE524361 GOE589820:GOE589897 GOE655356:GOE655433 GOE720892:GOE720969 GOE786428:GOE786505 GOE851964:GOE852041 GOE917500:GOE917577 GOE983036:GOE983113 GYA2:GYA73 GYA65532:GYA65609 GYA131068:GYA131145 GYA196604:GYA196681 GYA262140:GYA262217 GYA327676:GYA327753 GYA393212:GYA393289 GYA458748:GYA458825 GYA524284:GYA524361 GYA589820:GYA589897 GYA655356:GYA655433 GYA720892:GYA720969 GYA786428:GYA786505 GYA851964:GYA852041 GYA917500:GYA917577 GYA983036:GYA983113 HHW2:HHW73 HHW65532:HHW65609 HHW131068:HHW131145 HHW196604:HHW196681 HHW262140:HHW262217 HHW327676:HHW327753 HHW393212:HHW393289 HHW458748:HHW458825 HHW524284:HHW524361 HHW589820:HHW589897 HHW655356:HHW655433 HHW720892:HHW720969 HHW786428:HHW786505 HHW851964:HHW852041 HHW917500:HHW917577 HHW983036:HHW983113 HRS2:HRS73 HRS65532:HRS65609 HRS131068:HRS131145 HRS196604:HRS196681 HRS262140:HRS262217 HRS327676:HRS327753 HRS393212:HRS393289 HRS458748:HRS458825 HRS524284:HRS524361 HRS589820:HRS589897 HRS655356:HRS655433 HRS720892:HRS720969 HRS786428:HRS786505 HRS851964:HRS852041 HRS917500:HRS917577 HRS983036:HRS983113 IBO2:IBO73 IBO65532:IBO65609 IBO131068:IBO131145 IBO196604:IBO196681 IBO262140:IBO262217 IBO327676:IBO327753 IBO393212:IBO393289 IBO458748:IBO458825 IBO524284:IBO524361 IBO589820:IBO589897 IBO655356:IBO655433 IBO720892:IBO720969 IBO786428:IBO786505 IBO851964:IBO852041 IBO917500:IBO917577 IBO983036:IBO983113 ILK2:ILK73 ILK65532:ILK65609 ILK131068:ILK131145 ILK196604:ILK196681 ILK262140:ILK262217 ILK327676:ILK327753 ILK393212:ILK393289 ILK458748:ILK458825 ILK524284:ILK524361 ILK589820:ILK589897 ILK655356:ILK655433 ILK720892:ILK720969 ILK786428:ILK786505 ILK851964:ILK852041 ILK917500:ILK917577 ILK983036:ILK983113 IVG2:IVG73 IVG65532:IVG65609 IVG131068:IVG131145 IVG196604:IVG196681 IVG262140:IVG262217 IVG327676:IVG327753 IVG393212:IVG393289 IVG458748:IVG458825 IVG524284:IVG524361 IVG589820:IVG589897 IVG655356:IVG655433 IVG720892:IVG720969 IVG786428:IVG786505 IVG851964:IVG852041 IVG917500:IVG917577 IVG983036:IVG983113 JFC2:JFC73 JFC65532:JFC65609 JFC131068:JFC131145 JFC196604:JFC196681 JFC262140:JFC262217 JFC327676:JFC327753 JFC393212:JFC393289 JFC458748:JFC458825 JFC524284:JFC524361 JFC589820:JFC589897 JFC655356:JFC655433 JFC720892:JFC720969 JFC786428:JFC786505 JFC851964:JFC852041 JFC917500:JFC917577 JFC983036:JFC983113 JOY2:JOY73 JOY65532:JOY65609 JOY131068:JOY131145 JOY196604:JOY196681 JOY262140:JOY262217 JOY327676:JOY327753 JOY393212:JOY393289 JOY458748:JOY458825 JOY524284:JOY524361 JOY589820:JOY589897 JOY655356:JOY655433 JOY720892:JOY720969 JOY786428:JOY786505 JOY851964:JOY852041 JOY917500:JOY917577 JOY983036:JOY983113 JYU2:JYU73 JYU65532:JYU65609 JYU131068:JYU131145 JYU196604:JYU196681 JYU262140:JYU262217 JYU327676:JYU327753 JYU393212:JYU393289 JYU458748:JYU458825 JYU524284:JYU524361 JYU589820:JYU589897 JYU655356:JYU655433 JYU720892:JYU720969 JYU786428:JYU786505 JYU851964:JYU852041 JYU917500:JYU917577 JYU983036:JYU983113 KIQ2:KIQ73 KIQ65532:KIQ65609 KIQ131068:KIQ131145 KIQ196604:KIQ196681 KIQ262140:KIQ262217 KIQ327676:KIQ327753 KIQ393212:KIQ393289 KIQ458748:KIQ458825 KIQ524284:KIQ524361 KIQ589820:KIQ589897 KIQ655356:KIQ655433 KIQ720892:KIQ720969 KIQ786428:KIQ786505 KIQ851964:KIQ852041 KIQ917500:KIQ917577 KIQ983036:KIQ983113 KSM2:KSM73 KSM65532:KSM65609 KSM131068:KSM131145 KSM196604:KSM196681 KSM262140:KSM262217 KSM327676:KSM327753 KSM393212:KSM393289 KSM458748:KSM458825 KSM524284:KSM524361 KSM589820:KSM589897 KSM655356:KSM655433 KSM720892:KSM720969 KSM786428:KSM786505 KSM851964:KSM852041 KSM917500:KSM917577 KSM983036:KSM983113 LCI2:LCI73 LCI65532:LCI65609 LCI131068:LCI131145 LCI196604:LCI196681 LCI262140:LCI262217 LCI327676:LCI327753 LCI393212:LCI393289 LCI458748:LCI458825 LCI524284:LCI524361 LCI589820:LCI589897 LCI655356:LCI655433 LCI720892:LCI720969 LCI786428:LCI786505 LCI851964:LCI852041 LCI917500:LCI917577 LCI983036:LCI983113 LME2:LME73 LME65532:LME65609 LME131068:LME131145 LME196604:LME196681 LME262140:LME262217 LME327676:LME327753 LME393212:LME393289 LME458748:LME458825 LME524284:LME524361 LME589820:LME589897 LME655356:LME655433 LME720892:LME720969 LME786428:LME786505 LME851964:LME852041 LME917500:LME917577 LME983036:LME983113 LWA2:LWA73 LWA65532:LWA65609 LWA131068:LWA131145 LWA196604:LWA196681 LWA262140:LWA262217 LWA327676:LWA327753 LWA393212:LWA393289 LWA458748:LWA458825 LWA524284:LWA524361 LWA589820:LWA589897 LWA655356:LWA655433 LWA720892:LWA720969 LWA786428:LWA786505 LWA851964:LWA852041 LWA917500:LWA917577 LWA983036:LWA983113 MFW2:MFW73 MFW65532:MFW65609 MFW131068:MFW131145 MFW196604:MFW196681 MFW262140:MFW262217 MFW327676:MFW327753 MFW393212:MFW393289 MFW458748:MFW458825 MFW524284:MFW524361 MFW589820:MFW589897 MFW655356:MFW655433 MFW720892:MFW720969 MFW786428:MFW786505 MFW851964:MFW852041 MFW917500:MFW917577 MFW983036:MFW983113 MPS2:MPS73 MPS65532:MPS65609 MPS131068:MPS131145 MPS196604:MPS196681 MPS262140:MPS262217 MPS327676:MPS327753 MPS393212:MPS393289 MPS458748:MPS458825 MPS524284:MPS524361 MPS589820:MPS589897 MPS655356:MPS655433 MPS720892:MPS720969 MPS786428:MPS786505 MPS851964:MPS852041 MPS917500:MPS917577 MPS983036:MPS983113 MZO2:MZO73 MZO65532:MZO65609 MZO131068:MZO131145 MZO196604:MZO196681 MZO262140:MZO262217 MZO327676:MZO327753 MZO393212:MZO393289 MZO458748:MZO458825 MZO524284:MZO524361 MZO589820:MZO589897 MZO655356:MZO655433 MZO720892:MZO720969 MZO786428:MZO786505 MZO851964:MZO852041 MZO917500:MZO917577 MZO983036:MZO983113 NJK2:NJK73 NJK65532:NJK65609 NJK131068:NJK131145 NJK196604:NJK196681 NJK262140:NJK262217 NJK327676:NJK327753 NJK393212:NJK393289 NJK458748:NJK458825 NJK524284:NJK524361 NJK589820:NJK589897 NJK655356:NJK655433 NJK720892:NJK720969 NJK786428:NJK786505 NJK851964:NJK852041 NJK917500:NJK917577 NJK983036:NJK983113 NTG2:NTG73 NTG65532:NTG65609 NTG131068:NTG131145 NTG196604:NTG196681 NTG262140:NTG262217 NTG327676:NTG327753 NTG393212:NTG393289 NTG458748:NTG458825 NTG524284:NTG524361 NTG589820:NTG589897 NTG655356:NTG655433 NTG720892:NTG720969 NTG786428:NTG786505 NTG851964:NTG852041 NTG917500:NTG917577 NTG983036:NTG983113 ODC2:ODC73 ODC65532:ODC65609 ODC131068:ODC131145 ODC196604:ODC196681 ODC262140:ODC262217 ODC327676:ODC327753 ODC393212:ODC393289 ODC458748:ODC458825 ODC524284:ODC524361 ODC589820:ODC589897 ODC655356:ODC655433 ODC720892:ODC720969 ODC786428:ODC786505 ODC851964:ODC852041 ODC917500:ODC917577 ODC983036:ODC983113 OMY2:OMY73 OMY65532:OMY65609 OMY131068:OMY131145 OMY196604:OMY196681 OMY262140:OMY262217 OMY327676:OMY327753 OMY393212:OMY393289 OMY458748:OMY458825 OMY524284:OMY524361 OMY589820:OMY589897 OMY655356:OMY655433 OMY720892:OMY720969 OMY786428:OMY786505 OMY851964:OMY852041 OMY917500:OMY917577 OMY983036:OMY983113 OWU2:OWU73 OWU65532:OWU65609 OWU131068:OWU131145 OWU196604:OWU196681 OWU262140:OWU262217 OWU327676:OWU327753 OWU393212:OWU393289 OWU458748:OWU458825 OWU524284:OWU524361 OWU589820:OWU589897 OWU655356:OWU655433 OWU720892:OWU720969 OWU786428:OWU786505 OWU851964:OWU852041 OWU917500:OWU917577 OWU983036:OWU983113 PGQ2:PGQ73 PGQ65532:PGQ65609 PGQ131068:PGQ131145 PGQ196604:PGQ196681 PGQ262140:PGQ262217 PGQ327676:PGQ327753 PGQ393212:PGQ393289 PGQ458748:PGQ458825 PGQ524284:PGQ524361 PGQ589820:PGQ589897 PGQ655356:PGQ655433 PGQ720892:PGQ720969 PGQ786428:PGQ786505 PGQ851964:PGQ852041 PGQ917500:PGQ917577 PGQ983036:PGQ983113 PQM2:PQM73 PQM65532:PQM65609 PQM131068:PQM131145 PQM196604:PQM196681 PQM262140:PQM262217 PQM327676:PQM327753 PQM393212:PQM393289 PQM458748:PQM458825 PQM524284:PQM524361 PQM589820:PQM589897 PQM655356:PQM655433 PQM720892:PQM720969 PQM786428:PQM786505 PQM851964:PQM852041 PQM917500:PQM917577 PQM983036:PQM983113 QAI2:QAI73 QAI65532:QAI65609 QAI131068:QAI131145 QAI196604:QAI196681 QAI262140:QAI262217 QAI327676:QAI327753 QAI393212:QAI393289 QAI458748:QAI458825 QAI524284:QAI524361 QAI589820:QAI589897 QAI655356:QAI655433 QAI720892:QAI720969 QAI786428:QAI786505 QAI851964:QAI852041 QAI917500:QAI917577 QAI983036:QAI983113 QKE2:QKE73 QKE65532:QKE65609 QKE131068:QKE131145 QKE196604:QKE196681 QKE262140:QKE262217 QKE327676:QKE327753 QKE393212:QKE393289 QKE458748:QKE458825 QKE524284:QKE524361 QKE589820:QKE589897 QKE655356:QKE655433 QKE720892:QKE720969 QKE786428:QKE786505 QKE851964:QKE852041 QKE917500:QKE917577 QKE983036:QKE983113 QUA2:QUA73 QUA65532:QUA65609 QUA131068:QUA131145 QUA196604:QUA196681 QUA262140:QUA262217 QUA327676:QUA327753 QUA393212:QUA393289 QUA458748:QUA458825 QUA524284:QUA524361 QUA589820:QUA589897 QUA655356:QUA655433 QUA720892:QUA720969 QUA786428:QUA786505 QUA851964:QUA852041 QUA917500:QUA917577 QUA983036:QUA983113 RDW2:RDW73 RDW65532:RDW65609 RDW131068:RDW131145 RDW196604:RDW196681 RDW262140:RDW262217 RDW327676:RDW327753 RDW393212:RDW393289 RDW458748:RDW458825 RDW524284:RDW524361 RDW589820:RDW589897 RDW655356:RDW655433 RDW720892:RDW720969 RDW786428:RDW786505 RDW851964:RDW852041 RDW917500:RDW917577 RDW983036:RDW983113 RNS2:RNS73 RNS65532:RNS65609 RNS131068:RNS131145 RNS196604:RNS196681 RNS262140:RNS262217 RNS327676:RNS327753 RNS393212:RNS393289 RNS458748:RNS458825 RNS524284:RNS524361 RNS589820:RNS589897 RNS655356:RNS655433 RNS720892:RNS720969 RNS786428:RNS786505 RNS851964:RNS852041 RNS917500:RNS917577 RNS983036:RNS983113 RXO2:RXO73 RXO65532:RXO65609 RXO131068:RXO131145 RXO196604:RXO196681 RXO262140:RXO262217 RXO327676:RXO327753 RXO393212:RXO393289 RXO458748:RXO458825 RXO524284:RXO524361 RXO589820:RXO589897 RXO655356:RXO655433 RXO720892:RXO720969 RXO786428:RXO786505 RXO851964:RXO852041 RXO917500:RXO917577 RXO983036:RXO983113 SHK2:SHK73 SHK65532:SHK65609 SHK131068:SHK131145 SHK196604:SHK196681 SHK262140:SHK262217 SHK327676:SHK327753 SHK393212:SHK393289 SHK458748:SHK458825 SHK524284:SHK524361 SHK589820:SHK589897 SHK655356:SHK655433 SHK720892:SHK720969 SHK786428:SHK786505 SHK851964:SHK852041 SHK917500:SHK917577 SHK983036:SHK983113 SRG2:SRG73 SRG65532:SRG65609 SRG131068:SRG131145 SRG196604:SRG196681 SRG262140:SRG262217 SRG327676:SRG327753 SRG393212:SRG393289 SRG458748:SRG458825 SRG524284:SRG524361 SRG589820:SRG589897 SRG655356:SRG655433 SRG720892:SRG720969 SRG786428:SRG786505 SRG851964:SRG852041 SRG917500:SRG917577 SRG983036:SRG983113 TBC2:TBC73 TBC65532:TBC65609 TBC131068:TBC131145 TBC196604:TBC196681 TBC262140:TBC262217 TBC327676:TBC327753 TBC393212:TBC393289 TBC458748:TBC458825 TBC524284:TBC524361 TBC589820:TBC589897 TBC655356:TBC655433 TBC720892:TBC720969 TBC786428:TBC786505 TBC851964:TBC852041 TBC917500:TBC917577 TBC983036:TBC983113 TKY2:TKY73 TKY65532:TKY65609 TKY131068:TKY131145 TKY196604:TKY196681 TKY262140:TKY262217 TKY327676:TKY327753 TKY393212:TKY393289 TKY458748:TKY458825 TKY524284:TKY524361 TKY589820:TKY589897 TKY655356:TKY655433 TKY720892:TKY720969 TKY786428:TKY786505 TKY851964:TKY852041 TKY917500:TKY917577 TKY983036:TKY983113 TUU2:TUU73 TUU65532:TUU65609 TUU131068:TUU131145 TUU196604:TUU196681 TUU262140:TUU262217 TUU327676:TUU327753 TUU393212:TUU393289 TUU458748:TUU458825 TUU524284:TUU524361 TUU589820:TUU589897 TUU655356:TUU655433 TUU720892:TUU720969 TUU786428:TUU786505 TUU851964:TUU852041 TUU917500:TUU917577 TUU983036:TUU983113 UEQ2:UEQ73 UEQ65532:UEQ65609 UEQ131068:UEQ131145 UEQ196604:UEQ196681 UEQ262140:UEQ262217 UEQ327676:UEQ327753 UEQ393212:UEQ393289 UEQ458748:UEQ458825 UEQ524284:UEQ524361 UEQ589820:UEQ589897 UEQ655356:UEQ655433 UEQ720892:UEQ720969 UEQ786428:UEQ786505 UEQ851964:UEQ852041 UEQ917500:UEQ917577 UEQ983036:UEQ983113 UOM2:UOM73 UOM65532:UOM65609 UOM131068:UOM131145 UOM196604:UOM196681 UOM262140:UOM262217 UOM327676:UOM327753 UOM393212:UOM393289 UOM458748:UOM458825 UOM524284:UOM524361 UOM589820:UOM589897 UOM655356:UOM655433 UOM720892:UOM720969 UOM786428:UOM786505 UOM851964:UOM852041 UOM917500:UOM917577 UOM983036:UOM983113 UYI2:UYI73 UYI65532:UYI65609 UYI131068:UYI131145 UYI196604:UYI196681 UYI262140:UYI262217 UYI327676:UYI327753 UYI393212:UYI393289 UYI458748:UYI458825 UYI524284:UYI524361 UYI589820:UYI589897 UYI655356:UYI655433 UYI720892:UYI720969 UYI786428:UYI786505 UYI851964:UYI852041 UYI917500:UYI917577 UYI983036:UYI983113 VIE2:VIE73 VIE65532:VIE65609 VIE131068:VIE131145 VIE196604:VIE196681 VIE262140:VIE262217 VIE327676:VIE327753 VIE393212:VIE393289 VIE458748:VIE458825 VIE524284:VIE524361 VIE589820:VIE589897 VIE655356:VIE655433 VIE720892:VIE720969 VIE786428:VIE786505 VIE851964:VIE852041 VIE917500:VIE917577 VIE983036:VIE983113 VSA2:VSA73 VSA65532:VSA65609 VSA131068:VSA131145 VSA196604:VSA196681 VSA262140:VSA262217 VSA327676:VSA327753 VSA393212:VSA393289 VSA458748:VSA458825 VSA524284:VSA524361 VSA589820:VSA589897 VSA655356:VSA655433 VSA720892:VSA720969 VSA786428:VSA786505 VSA851964:VSA852041 VSA917500:VSA917577 VSA983036:VSA983113 WBW2:WBW73 WBW65532:WBW65609 WBW131068:WBW131145 WBW196604:WBW196681 WBW262140:WBW262217 WBW327676:WBW327753 WBW393212:WBW393289 WBW458748:WBW458825 WBW524284:WBW524361 WBW589820:WBW589897 WBW655356:WBW655433 WBW720892:WBW720969 WBW786428:WBW786505 WBW851964:WBW852041 WBW917500:WBW917577 WBW983036:WBW983113 WLS2:WLS73 WLS65532:WLS65609 WLS131068:WLS131145 WLS196604:WLS196681 WLS262140:WLS262217 WLS327676:WLS327753 WLS393212:WLS393289 WLS458748:WLS458825 WLS524284:WLS524361 WLS589820:WLS589897 WLS655356:WLS655433 WLS720892:WLS720969 WLS786428:WLS786505 WLS851964:WLS852041 WLS917500:WLS917577 WLS983036:WLS983113 WVO2:WVO73 WVO65532:WVO65609 WVO131068:WVO131145 WVO196604:WVO196681 WVO262140:WVO262217 WVO327676:WVO327753 WVO393212:WVO393289 WVO458748:WVO458825 WVO524284:WVO524361 WVO589820:WVO589897 WVO655356:WVO655433 WVO720892:WVO720969 WVO786428:WVO786505 WVO851964:WVO852041 WVO917500:WVO917577 WVO983036:WVO983113">
      <formula1>$AJ$2:$AJ$4</formula1>
    </dataValidation>
    <dataValidation type="list" allowBlank="1" showInputMessage="1" showErrorMessage="1" sqref="E2:E726 E65532:E65609 E131068:E131145 E196604:E196681 E262140:E262217 E327676:E327753 E393212:E393289 E458748:E458825 E524284:E524361 E589820:E589897 E655356:E655433 E720892:E720969 E786428:E786505 E851964:E852041 E917500:E917577 E983036:E983113 JA2:JA73 JA65532:JA65609 JA131068:JA131145 JA196604:JA196681 JA262140:JA262217 JA327676:JA327753 JA393212:JA393289 JA458748:JA458825 JA524284:JA524361 JA589820:JA589897 JA655356:JA655433 JA720892:JA720969 JA786428:JA786505 JA851964:JA852041 JA917500:JA917577 JA983036:JA983113 SW2:SW73 SW65532:SW65609 SW131068:SW131145 SW196604:SW196681 SW262140:SW262217 SW327676:SW327753 SW393212:SW393289 SW458748:SW458825 SW524284:SW524361 SW589820:SW589897 SW655356:SW655433 SW720892:SW720969 SW786428:SW786505 SW851964:SW852041 SW917500:SW917577 SW983036:SW983113 ACS2:ACS73 ACS65532:ACS65609 ACS131068:ACS131145 ACS196604:ACS196681 ACS262140:ACS262217 ACS327676:ACS327753 ACS393212:ACS393289 ACS458748:ACS458825 ACS524284:ACS524361 ACS589820:ACS589897 ACS655356:ACS655433 ACS720892:ACS720969 ACS786428:ACS786505 ACS851964:ACS852041 ACS917500:ACS917577 ACS983036:ACS983113 AMO2:AMO73 AMO65532:AMO65609 AMO131068:AMO131145 AMO196604:AMO196681 AMO262140:AMO262217 AMO327676:AMO327753 AMO393212:AMO393289 AMO458748:AMO458825 AMO524284:AMO524361 AMO589820:AMO589897 AMO655356:AMO655433 AMO720892:AMO720969 AMO786428:AMO786505 AMO851964:AMO852041 AMO917500:AMO917577 AMO983036:AMO983113 AWK2:AWK73 AWK65532:AWK65609 AWK131068:AWK131145 AWK196604:AWK196681 AWK262140:AWK262217 AWK327676:AWK327753 AWK393212:AWK393289 AWK458748:AWK458825 AWK524284:AWK524361 AWK589820:AWK589897 AWK655356:AWK655433 AWK720892:AWK720969 AWK786428:AWK786505 AWK851964:AWK852041 AWK917500:AWK917577 AWK983036:AWK983113 BGG2:BGG73 BGG65532:BGG65609 BGG131068:BGG131145 BGG196604:BGG196681 BGG262140:BGG262217 BGG327676:BGG327753 BGG393212:BGG393289 BGG458748:BGG458825 BGG524284:BGG524361 BGG589820:BGG589897 BGG655356:BGG655433 BGG720892:BGG720969 BGG786428:BGG786505 BGG851964:BGG852041 BGG917500:BGG917577 BGG983036:BGG983113 BQC2:BQC73 BQC65532:BQC65609 BQC131068:BQC131145 BQC196604:BQC196681 BQC262140:BQC262217 BQC327676:BQC327753 BQC393212:BQC393289 BQC458748:BQC458825 BQC524284:BQC524361 BQC589820:BQC589897 BQC655356:BQC655433 BQC720892:BQC720969 BQC786428:BQC786505 BQC851964:BQC852041 BQC917500:BQC917577 BQC983036:BQC983113 BZY2:BZY73 BZY65532:BZY65609 BZY131068:BZY131145 BZY196604:BZY196681 BZY262140:BZY262217 BZY327676:BZY327753 BZY393212:BZY393289 BZY458748:BZY458825 BZY524284:BZY524361 BZY589820:BZY589897 BZY655356:BZY655433 BZY720892:BZY720969 BZY786428:BZY786505 BZY851964:BZY852041 BZY917500:BZY917577 BZY983036:BZY983113 CJU2:CJU73 CJU65532:CJU65609 CJU131068:CJU131145 CJU196604:CJU196681 CJU262140:CJU262217 CJU327676:CJU327753 CJU393212:CJU393289 CJU458748:CJU458825 CJU524284:CJU524361 CJU589820:CJU589897 CJU655356:CJU655433 CJU720892:CJU720969 CJU786428:CJU786505 CJU851964:CJU852041 CJU917500:CJU917577 CJU983036:CJU983113 CTQ2:CTQ73 CTQ65532:CTQ65609 CTQ131068:CTQ131145 CTQ196604:CTQ196681 CTQ262140:CTQ262217 CTQ327676:CTQ327753 CTQ393212:CTQ393289 CTQ458748:CTQ458825 CTQ524284:CTQ524361 CTQ589820:CTQ589897 CTQ655356:CTQ655433 CTQ720892:CTQ720969 CTQ786428:CTQ786505 CTQ851964:CTQ852041 CTQ917500:CTQ917577 CTQ983036:CTQ983113 DDM2:DDM73 DDM65532:DDM65609 DDM131068:DDM131145 DDM196604:DDM196681 DDM262140:DDM262217 DDM327676:DDM327753 DDM393212:DDM393289 DDM458748:DDM458825 DDM524284:DDM524361 DDM589820:DDM589897 DDM655356:DDM655433 DDM720892:DDM720969 DDM786428:DDM786505 DDM851964:DDM852041 DDM917500:DDM917577 DDM983036:DDM983113 DNI2:DNI73 DNI65532:DNI65609 DNI131068:DNI131145 DNI196604:DNI196681 DNI262140:DNI262217 DNI327676:DNI327753 DNI393212:DNI393289 DNI458748:DNI458825 DNI524284:DNI524361 DNI589820:DNI589897 DNI655356:DNI655433 DNI720892:DNI720969 DNI786428:DNI786505 DNI851964:DNI852041 DNI917500:DNI917577 DNI983036:DNI983113 DXE2:DXE73 DXE65532:DXE65609 DXE131068:DXE131145 DXE196604:DXE196681 DXE262140:DXE262217 DXE327676:DXE327753 DXE393212:DXE393289 DXE458748:DXE458825 DXE524284:DXE524361 DXE589820:DXE589897 DXE655356:DXE655433 DXE720892:DXE720969 DXE786428:DXE786505 DXE851964:DXE852041 DXE917500:DXE917577 DXE983036:DXE983113 EHA2:EHA73 EHA65532:EHA65609 EHA131068:EHA131145 EHA196604:EHA196681 EHA262140:EHA262217 EHA327676:EHA327753 EHA393212:EHA393289 EHA458748:EHA458825 EHA524284:EHA524361 EHA589820:EHA589897 EHA655356:EHA655433 EHA720892:EHA720969 EHA786428:EHA786505 EHA851964:EHA852041 EHA917500:EHA917577 EHA983036:EHA983113 EQW2:EQW73 EQW65532:EQW65609 EQW131068:EQW131145 EQW196604:EQW196681 EQW262140:EQW262217 EQW327676:EQW327753 EQW393212:EQW393289 EQW458748:EQW458825 EQW524284:EQW524361 EQW589820:EQW589897 EQW655356:EQW655433 EQW720892:EQW720969 EQW786428:EQW786505 EQW851964:EQW852041 EQW917500:EQW917577 EQW983036:EQW983113 FAS2:FAS73 FAS65532:FAS65609 FAS131068:FAS131145 FAS196604:FAS196681 FAS262140:FAS262217 FAS327676:FAS327753 FAS393212:FAS393289 FAS458748:FAS458825 FAS524284:FAS524361 FAS589820:FAS589897 FAS655356:FAS655433 FAS720892:FAS720969 FAS786428:FAS786505 FAS851964:FAS852041 FAS917500:FAS917577 FAS983036:FAS983113 FKO2:FKO73 FKO65532:FKO65609 FKO131068:FKO131145 FKO196604:FKO196681 FKO262140:FKO262217 FKO327676:FKO327753 FKO393212:FKO393289 FKO458748:FKO458825 FKO524284:FKO524361 FKO589820:FKO589897 FKO655356:FKO655433 FKO720892:FKO720969 FKO786428:FKO786505 FKO851964:FKO852041 FKO917500:FKO917577 FKO983036:FKO983113 FUK2:FUK73 FUK65532:FUK65609 FUK131068:FUK131145 FUK196604:FUK196681 FUK262140:FUK262217 FUK327676:FUK327753 FUK393212:FUK393289 FUK458748:FUK458825 FUK524284:FUK524361 FUK589820:FUK589897 FUK655356:FUK655433 FUK720892:FUK720969 FUK786428:FUK786505 FUK851964:FUK852041 FUK917500:FUK917577 FUK983036:FUK983113 GEG2:GEG73 GEG65532:GEG65609 GEG131068:GEG131145 GEG196604:GEG196681 GEG262140:GEG262217 GEG327676:GEG327753 GEG393212:GEG393289 GEG458748:GEG458825 GEG524284:GEG524361 GEG589820:GEG589897 GEG655356:GEG655433 GEG720892:GEG720969 GEG786428:GEG786505 GEG851964:GEG852041 GEG917500:GEG917577 GEG983036:GEG983113 GOC2:GOC73 GOC65532:GOC65609 GOC131068:GOC131145 GOC196604:GOC196681 GOC262140:GOC262217 GOC327676:GOC327753 GOC393212:GOC393289 GOC458748:GOC458825 GOC524284:GOC524361 GOC589820:GOC589897 GOC655356:GOC655433 GOC720892:GOC720969 GOC786428:GOC786505 GOC851964:GOC852041 GOC917500:GOC917577 GOC983036:GOC983113 GXY2:GXY73 GXY65532:GXY65609 GXY131068:GXY131145 GXY196604:GXY196681 GXY262140:GXY262217 GXY327676:GXY327753 GXY393212:GXY393289 GXY458748:GXY458825 GXY524284:GXY524361 GXY589820:GXY589897 GXY655356:GXY655433 GXY720892:GXY720969 GXY786428:GXY786505 GXY851964:GXY852041 GXY917500:GXY917577 GXY983036:GXY983113 HHU2:HHU73 HHU65532:HHU65609 HHU131068:HHU131145 HHU196604:HHU196681 HHU262140:HHU262217 HHU327676:HHU327753 HHU393212:HHU393289 HHU458748:HHU458825 HHU524284:HHU524361 HHU589820:HHU589897 HHU655356:HHU655433 HHU720892:HHU720969 HHU786428:HHU786505 HHU851964:HHU852041 HHU917500:HHU917577 HHU983036:HHU983113 HRQ2:HRQ73 HRQ65532:HRQ65609 HRQ131068:HRQ131145 HRQ196604:HRQ196681 HRQ262140:HRQ262217 HRQ327676:HRQ327753 HRQ393212:HRQ393289 HRQ458748:HRQ458825 HRQ524284:HRQ524361 HRQ589820:HRQ589897 HRQ655356:HRQ655433 HRQ720892:HRQ720969 HRQ786428:HRQ786505 HRQ851964:HRQ852041 HRQ917500:HRQ917577 HRQ983036:HRQ983113 IBM2:IBM73 IBM65532:IBM65609 IBM131068:IBM131145 IBM196604:IBM196681 IBM262140:IBM262217 IBM327676:IBM327753 IBM393212:IBM393289 IBM458748:IBM458825 IBM524284:IBM524361 IBM589820:IBM589897 IBM655356:IBM655433 IBM720892:IBM720969 IBM786428:IBM786505 IBM851964:IBM852041 IBM917500:IBM917577 IBM983036:IBM983113 ILI2:ILI73 ILI65532:ILI65609 ILI131068:ILI131145 ILI196604:ILI196681 ILI262140:ILI262217 ILI327676:ILI327753 ILI393212:ILI393289 ILI458748:ILI458825 ILI524284:ILI524361 ILI589820:ILI589897 ILI655356:ILI655433 ILI720892:ILI720969 ILI786428:ILI786505 ILI851964:ILI852041 ILI917500:ILI917577 ILI983036:ILI983113 IVE2:IVE73 IVE65532:IVE65609 IVE131068:IVE131145 IVE196604:IVE196681 IVE262140:IVE262217 IVE327676:IVE327753 IVE393212:IVE393289 IVE458748:IVE458825 IVE524284:IVE524361 IVE589820:IVE589897 IVE655356:IVE655433 IVE720892:IVE720969 IVE786428:IVE786505 IVE851964:IVE852041 IVE917500:IVE917577 IVE983036:IVE983113 JFA2:JFA73 JFA65532:JFA65609 JFA131068:JFA131145 JFA196604:JFA196681 JFA262140:JFA262217 JFA327676:JFA327753 JFA393212:JFA393289 JFA458748:JFA458825 JFA524284:JFA524361 JFA589820:JFA589897 JFA655356:JFA655433 JFA720892:JFA720969 JFA786428:JFA786505 JFA851964:JFA852041 JFA917500:JFA917577 JFA983036:JFA983113 JOW2:JOW73 JOW65532:JOW65609 JOW131068:JOW131145 JOW196604:JOW196681 JOW262140:JOW262217 JOW327676:JOW327753 JOW393212:JOW393289 JOW458748:JOW458825 JOW524284:JOW524361 JOW589820:JOW589897 JOW655356:JOW655433 JOW720892:JOW720969 JOW786428:JOW786505 JOW851964:JOW852041 JOW917500:JOW917577 JOW983036:JOW983113 JYS2:JYS73 JYS65532:JYS65609 JYS131068:JYS131145 JYS196604:JYS196681 JYS262140:JYS262217 JYS327676:JYS327753 JYS393212:JYS393289 JYS458748:JYS458825 JYS524284:JYS524361 JYS589820:JYS589897 JYS655356:JYS655433 JYS720892:JYS720969 JYS786428:JYS786505 JYS851964:JYS852041 JYS917500:JYS917577 JYS983036:JYS983113 KIO2:KIO73 KIO65532:KIO65609 KIO131068:KIO131145 KIO196604:KIO196681 KIO262140:KIO262217 KIO327676:KIO327753 KIO393212:KIO393289 KIO458748:KIO458825 KIO524284:KIO524361 KIO589820:KIO589897 KIO655356:KIO655433 KIO720892:KIO720969 KIO786428:KIO786505 KIO851964:KIO852041 KIO917500:KIO917577 KIO983036:KIO983113 KSK2:KSK73 KSK65532:KSK65609 KSK131068:KSK131145 KSK196604:KSK196681 KSK262140:KSK262217 KSK327676:KSK327753 KSK393212:KSK393289 KSK458748:KSK458825 KSK524284:KSK524361 KSK589820:KSK589897 KSK655356:KSK655433 KSK720892:KSK720969 KSK786428:KSK786505 KSK851964:KSK852041 KSK917500:KSK917577 KSK983036:KSK983113 LCG2:LCG73 LCG65532:LCG65609 LCG131068:LCG131145 LCG196604:LCG196681 LCG262140:LCG262217 LCG327676:LCG327753 LCG393212:LCG393289 LCG458748:LCG458825 LCG524284:LCG524361 LCG589820:LCG589897 LCG655356:LCG655433 LCG720892:LCG720969 LCG786428:LCG786505 LCG851964:LCG852041 LCG917500:LCG917577 LCG983036:LCG983113 LMC2:LMC73 LMC65532:LMC65609 LMC131068:LMC131145 LMC196604:LMC196681 LMC262140:LMC262217 LMC327676:LMC327753 LMC393212:LMC393289 LMC458748:LMC458825 LMC524284:LMC524361 LMC589820:LMC589897 LMC655356:LMC655433 LMC720892:LMC720969 LMC786428:LMC786505 LMC851964:LMC852041 LMC917500:LMC917577 LMC983036:LMC983113 LVY2:LVY73 LVY65532:LVY65609 LVY131068:LVY131145 LVY196604:LVY196681 LVY262140:LVY262217 LVY327676:LVY327753 LVY393212:LVY393289 LVY458748:LVY458825 LVY524284:LVY524361 LVY589820:LVY589897 LVY655356:LVY655433 LVY720892:LVY720969 LVY786428:LVY786505 LVY851964:LVY852041 LVY917500:LVY917577 LVY983036:LVY983113 MFU2:MFU73 MFU65532:MFU65609 MFU131068:MFU131145 MFU196604:MFU196681 MFU262140:MFU262217 MFU327676:MFU327753 MFU393212:MFU393289 MFU458748:MFU458825 MFU524284:MFU524361 MFU589820:MFU589897 MFU655356:MFU655433 MFU720892:MFU720969 MFU786428:MFU786505 MFU851964:MFU852041 MFU917500:MFU917577 MFU983036:MFU983113 MPQ2:MPQ73 MPQ65532:MPQ65609 MPQ131068:MPQ131145 MPQ196604:MPQ196681 MPQ262140:MPQ262217 MPQ327676:MPQ327753 MPQ393212:MPQ393289 MPQ458748:MPQ458825 MPQ524284:MPQ524361 MPQ589820:MPQ589897 MPQ655356:MPQ655433 MPQ720892:MPQ720969 MPQ786428:MPQ786505 MPQ851964:MPQ852041 MPQ917500:MPQ917577 MPQ983036:MPQ983113 MZM2:MZM73 MZM65532:MZM65609 MZM131068:MZM131145 MZM196604:MZM196681 MZM262140:MZM262217 MZM327676:MZM327753 MZM393212:MZM393289 MZM458748:MZM458825 MZM524284:MZM524361 MZM589820:MZM589897 MZM655356:MZM655433 MZM720892:MZM720969 MZM786428:MZM786505 MZM851964:MZM852041 MZM917500:MZM917577 MZM983036:MZM983113 NJI2:NJI73 NJI65532:NJI65609 NJI131068:NJI131145 NJI196604:NJI196681 NJI262140:NJI262217 NJI327676:NJI327753 NJI393212:NJI393289 NJI458748:NJI458825 NJI524284:NJI524361 NJI589820:NJI589897 NJI655356:NJI655433 NJI720892:NJI720969 NJI786428:NJI786505 NJI851964:NJI852041 NJI917500:NJI917577 NJI983036:NJI983113 NTE2:NTE73 NTE65532:NTE65609 NTE131068:NTE131145 NTE196604:NTE196681 NTE262140:NTE262217 NTE327676:NTE327753 NTE393212:NTE393289 NTE458748:NTE458825 NTE524284:NTE524361 NTE589820:NTE589897 NTE655356:NTE655433 NTE720892:NTE720969 NTE786428:NTE786505 NTE851964:NTE852041 NTE917500:NTE917577 NTE983036:NTE983113 ODA2:ODA73 ODA65532:ODA65609 ODA131068:ODA131145 ODA196604:ODA196681 ODA262140:ODA262217 ODA327676:ODA327753 ODA393212:ODA393289 ODA458748:ODA458825 ODA524284:ODA524361 ODA589820:ODA589897 ODA655356:ODA655433 ODA720892:ODA720969 ODA786428:ODA786505 ODA851964:ODA852041 ODA917500:ODA917577 ODA983036:ODA983113 OMW2:OMW73 OMW65532:OMW65609 OMW131068:OMW131145 OMW196604:OMW196681 OMW262140:OMW262217 OMW327676:OMW327753 OMW393212:OMW393289 OMW458748:OMW458825 OMW524284:OMW524361 OMW589820:OMW589897 OMW655356:OMW655433 OMW720892:OMW720969 OMW786428:OMW786505 OMW851964:OMW852041 OMW917500:OMW917577 OMW983036:OMW983113 OWS2:OWS73 OWS65532:OWS65609 OWS131068:OWS131145 OWS196604:OWS196681 OWS262140:OWS262217 OWS327676:OWS327753 OWS393212:OWS393289 OWS458748:OWS458825 OWS524284:OWS524361 OWS589820:OWS589897 OWS655356:OWS655433 OWS720892:OWS720969 OWS786428:OWS786505 OWS851964:OWS852041 OWS917500:OWS917577 OWS983036:OWS983113 PGO2:PGO73 PGO65532:PGO65609 PGO131068:PGO131145 PGO196604:PGO196681 PGO262140:PGO262217 PGO327676:PGO327753 PGO393212:PGO393289 PGO458748:PGO458825 PGO524284:PGO524361 PGO589820:PGO589897 PGO655356:PGO655433 PGO720892:PGO720969 PGO786428:PGO786505 PGO851964:PGO852041 PGO917500:PGO917577 PGO983036:PGO983113 PQK2:PQK73 PQK65532:PQK65609 PQK131068:PQK131145 PQK196604:PQK196681 PQK262140:PQK262217 PQK327676:PQK327753 PQK393212:PQK393289 PQK458748:PQK458825 PQK524284:PQK524361 PQK589820:PQK589897 PQK655356:PQK655433 PQK720892:PQK720969 PQK786428:PQK786505 PQK851964:PQK852041 PQK917500:PQK917577 PQK983036:PQK983113 QAG2:QAG73 QAG65532:QAG65609 QAG131068:QAG131145 QAG196604:QAG196681 QAG262140:QAG262217 QAG327676:QAG327753 QAG393212:QAG393289 QAG458748:QAG458825 QAG524284:QAG524361 QAG589820:QAG589897 QAG655356:QAG655433 QAG720892:QAG720969 QAG786428:QAG786505 QAG851964:QAG852041 QAG917500:QAG917577 QAG983036:QAG983113 QKC2:QKC73 QKC65532:QKC65609 QKC131068:QKC131145 QKC196604:QKC196681 QKC262140:QKC262217 QKC327676:QKC327753 QKC393212:QKC393289 QKC458748:QKC458825 QKC524284:QKC524361 QKC589820:QKC589897 QKC655356:QKC655433 QKC720892:QKC720969 QKC786428:QKC786505 QKC851964:QKC852041 QKC917500:QKC917577 QKC983036:QKC983113 QTY2:QTY73 QTY65532:QTY65609 QTY131068:QTY131145 QTY196604:QTY196681 QTY262140:QTY262217 QTY327676:QTY327753 QTY393212:QTY393289 QTY458748:QTY458825 QTY524284:QTY524361 QTY589820:QTY589897 QTY655356:QTY655433 QTY720892:QTY720969 QTY786428:QTY786505 QTY851964:QTY852041 QTY917500:QTY917577 QTY983036:QTY983113 RDU2:RDU73 RDU65532:RDU65609 RDU131068:RDU131145 RDU196604:RDU196681 RDU262140:RDU262217 RDU327676:RDU327753 RDU393212:RDU393289 RDU458748:RDU458825 RDU524284:RDU524361 RDU589820:RDU589897 RDU655356:RDU655433 RDU720892:RDU720969 RDU786428:RDU786505 RDU851964:RDU852041 RDU917500:RDU917577 RDU983036:RDU983113 RNQ2:RNQ73 RNQ65532:RNQ65609 RNQ131068:RNQ131145 RNQ196604:RNQ196681 RNQ262140:RNQ262217 RNQ327676:RNQ327753 RNQ393212:RNQ393289 RNQ458748:RNQ458825 RNQ524284:RNQ524361 RNQ589820:RNQ589897 RNQ655356:RNQ655433 RNQ720892:RNQ720969 RNQ786428:RNQ786505 RNQ851964:RNQ852041 RNQ917500:RNQ917577 RNQ983036:RNQ983113 RXM2:RXM73 RXM65532:RXM65609 RXM131068:RXM131145 RXM196604:RXM196681 RXM262140:RXM262217 RXM327676:RXM327753 RXM393212:RXM393289 RXM458748:RXM458825 RXM524284:RXM524361 RXM589820:RXM589897 RXM655356:RXM655433 RXM720892:RXM720969 RXM786428:RXM786505 RXM851964:RXM852041 RXM917500:RXM917577 RXM983036:RXM983113 SHI2:SHI73 SHI65532:SHI65609 SHI131068:SHI131145 SHI196604:SHI196681 SHI262140:SHI262217 SHI327676:SHI327753 SHI393212:SHI393289 SHI458748:SHI458825 SHI524284:SHI524361 SHI589820:SHI589897 SHI655356:SHI655433 SHI720892:SHI720969 SHI786428:SHI786505 SHI851964:SHI852041 SHI917500:SHI917577 SHI983036:SHI983113 SRE2:SRE73 SRE65532:SRE65609 SRE131068:SRE131145 SRE196604:SRE196681 SRE262140:SRE262217 SRE327676:SRE327753 SRE393212:SRE393289 SRE458748:SRE458825 SRE524284:SRE524361 SRE589820:SRE589897 SRE655356:SRE655433 SRE720892:SRE720969 SRE786428:SRE786505 SRE851964:SRE852041 SRE917500:SRE917577 SRE983036:SRE983113 TBA2:TBA73 TBA65532:TBA65609 TBA131068:TBA131145 TBA196604:TBA196681 TBA262140:TBA262217 TBA327676:TBA327753 TBA393212:TBA393289 TBA458748:TBA458825 TBA524284:TBA524361 TBA589820:TBA589897 TBA655356:TBA655433 TBA720892:TBA720969 TBA786428:TBA786505 TBA851964:TBA852041 TBA917500:TBA917577 TBA983036:TBA983113 TKW2:TKW73 TKW65532:TKW65609 TKW131068:TKW131145 TKW196604:TKW196681 TKW262140:TKW262217 TKW327676:TKW327753 TKW393212:TKW393289 TKW458748:TKW458825 TKW524284:TKW524361 TKW589820:TKW589897 TKW655356:TKW655433 TKW720892:TKW720969 TKW786428:TKW786505 TKW851964:TKW852041 TKW917500:TKW917577 TKW983036:TKW983113 TUS2:TUS73 TUS65532:TUS65609 TUS131068:TUS131145 TUS196604:TUS196681 TUS262140:TUS262217 TUS327676:TUS327753 TUS393212:TUS393289 TUS458748:TUS458825 TUS524284:TUS524361 TUS589820:TUS589897 TUS655356:TUS655433 TUS720892:TUS720969 TUS786428:TUS786505 TUS851964:TUS852041 TUS917500:TUS917577 TUS983036:TUS983113 UEO2:UEO73 UEO65532:UEO65609 UEO131068:UEO131145 UEO196604:UEO196681 UEO262140:UEO262217 UEO327676:UEO327753 UEO393212:UEO393289 UEO458748:UEO458825 UEO524284:UEO524361 UEO589820:UEO589897 UEO655356:UEO655433 UEO720892:UEO720969 UEO786428:UEO786505 UEO851964:UEO852041 UEO917500:UEO917577 UEO983036:UEO983113 UOK2:UOK73 UOK65532:UOK65609 UOK131068:UOK131145 UOK196604:UOK196681 UOK262140:UOK262217 UOK327676:UOK327753 UOK393212:UOK393289 UOK458748:UOK458825 UOK524284:UOK524361 UOK589820:UOK589897 UOK655356:UOK655433 UOK720892:UOK720969 UOK786428:UOK786505 UOK851964:UOK852041 UOK917500:UOK917577 UOK983036:UOK983113 UYG2:UYG73 UYG65532:UYG65609 UYG131068:UYG131145 UYG196604:UYG196681 UYG262140:UYG262217 UYG327676:UYG327753 UYG393212:UYG393289 UYG458748:UYG458825 UYG524284:UYG524361 UYG589820:UYG589897 UYG655356:UYG655433 UYG720892:UYG720969 UYG786428:UYG786505 UYG851964:UYG852041 UYG917500:UYG917577 UYG983036:UYG983113 VIC2:VIC73 VIC65532:VIC65609 VIC131068:VIC131145 VIC196604:VIC196681 VIC262140:VIC262217 VIC327676:VIC327753 VIC393212:VIC393289 VIC458748:VIC458825 VIC524284:VIC524361 VIC589820:VIC589897 VIC655356:VIC655433 VIC720892:VIC720969 VIC786428:VIC786505 VIC851964:VIC852041 VIC917500:VIC917577 VIC983036:VIC983113 VRY2:VRY73 VRY65532:VRY65609 VRY131068:VRY131145 VRY196604:VRY196681 VRY262140:VRY262217 VRY327676:VRY327753 VRY393212:VRY393289 VRY458748:VRY458825 VRY524284:VRY524361 VRY589820:VRY589897 VRY655356:VRY655433 VRY720892:VRY720969 VRY786428:VRY786505 VRY851964:VRY852041 VRY917500:VRY917577 VRY983036:VRY983113 WBU2:WBU73 WBU65532:WBU65609 WBU131068:WBU131145 WBU196604:WBU196681 WBU262140:WBU262217 WBU327676:WBU327753 WBU393212:WBU393289 WBU458748:WBU458825 WBU524284:WBU524361 WBU589820:WBU589897 WBU655356:WBU655433 WBU720892:WBU720969 WBU786428:WBU786505 WBU851964:WBU852041 WBU917500:WBU917577 WBU983036:WBU983113 WLQ2:WLQ73 WLQ65532:WLQ65609 WLQ131068:WLQ131145 WLQ196604:WLQ196681 WLQ262140:WLQ262217 WLQ327676:WLQ327753 WLQ393212:WLQ393289 WLQ458748:WLQ458825 WLQ524284:WLQ524361 WLQ589820:WLQ589897 WLQ655356:WLQ655433 WLQ720892:WLQ720969 WLQ786428:WLQ786505 WLQ851964:WLQ852041 WLQ917500:WLQ917577 WLQ983036:WLQ983113 WVM2:WVM73 WVM65532:WVM65609 WVM131068:WVM131145 WVM196604:WVM196681 WVM262140:WVM262217 WVM327676:WVM327753 WVM393212:WVM393289 WVM458748:WVM458825 WVM524284:WVM524361 WVM589820:WVM589897 WVM655356:WVM655433 WVM720892:WVM720969 WVM786428:WVM786505 WVM851964:WVM852041 WVM917500:WVM917577 WVM983036:WVM983113">
      <formula1>$AG$2:$AG$10</formula1>
    </dataValidation>
    <dataValidation type="list" allowBlank="1" showInputMessage="1" showErrorMessage="1" sqref="J2:J494 J65532:J65609 J131068:J131145 J196604:J196681 J262140:J262217 J327676:J327753 J393212:J393289 J458748:J458825 J524284:J524361 J589820:J589897 J655356:J655433 J720892:J720969 J786428:J786505 J851964:J852041 J917500:J917577 J983036:J983113 JF2:JF73 JF65532:JF65609 JF131068:JF131145 JF196604:JF196681 JF262140:JF262217 JF327676:JF327753 JF393212:JF393289 JF458748:JF458825 JF524284:JF524361 JF589820:JF589897 JF655356:JF655433 JF720892:JF720969 JF786428:JF786505 JF851964:JF852041 JF917500:JF917577 JF983036:JF983113 TB2:TB73 TB65532:TB65609 TB131068:TB131145 TB196604:TB196681 TB262140:TB262217 TB327676:TB327753 TB393212:TB393289 TB458748:TB458825 TB524284:TB524361 TB589820:TB589897 TB655356:TB655433 TB720892:TB720969 TB786428:TB786505 TB851964:TB852041 TB917500:TB917577 TB983036:TB983113 ACX2:ACX73 ACX65532:ACX65609 ACX131068:ACX131145 ACX196604:ACX196681 ACX262140:ACX262217 ACX327676:ACX327753 ACX393212:ACX393289 ACX458748:ACX458825 ACX524284:ACX524361 ACX589820:ACX589897 ACX655356:ACX655433 ACX720892:ACX720969 ACX786428:ACX786505 ACX851964:ACX852041 ACX917500:ACX917577 ACX983036:ACX983113 AMT2:AMT73 AMT65532:AMT65609 AMT131068:AMT131145 AMT196604:AMT196681 AMT262140:AMT262217 AMT327676:AMT327753 AMT393212:AMT393289 AMT458748:AMT458825 AMT524284:AMT524361 AMT589820:AMT589897 AMT655356:AMT655433 AMT720892:AMT720969 AMT786428:AMT786505 AMT851964:AMT852041 AMT917500:AMT917577 AMT983036:AMT983113 AWP2:AWP73 AWP65532:AWP65609 AWP131068:AWP131145 AWP196604:AWP196681 AWP262140:AWP262217 AWP327676:AWP327753 AWP393212:AWP393289 AWP458748:AWP458825 AWP524284:AWP524361 AWP589820:AWP589897 AWP655356:AWP655433 AWP720892:AWP720969 AWP786428:AWP786505 AWP851964:AWP852041 AWP917500:AWP917577 AWP983036:AWP983113 BGL2:BGL73 BGL65532:BGL65609 BGL131068:BGL131145 BGL196604:BGL196681 BGL262140:BGL262217 BGL327676:BGL327753 BGL393212:BGL393289 BGL458748:BGL458825 BGL524284:BGL524361 BGL589820:BGL589897 BGL655356:BGL655433 BGL720892:BGL720969 BGL786428:BGL786505 BGL851964:BGL852041 BGL917500:BGL917577 BGL983036:BGL983113 BQH2:BQH73 BQH65532:BQH65609 BQH131068:BQH131145 BQH196604:BQH196681 BQH262140:BQH262217 BQH327676:BQH327753 BQH393212:BQH393289 BQH458748:BQH458825 BQH524284:BQH524361 BQH589820:BQH589897 BQH655356:BQH655433 BQH720892:BQH720969 BQH786428:BQH786505 BQH851964:BQH852041 BQH917500:BQH917577 BQH983036:BQH983113 CAD2:CAD73 CAD65532:CAD65609 CAD131068:CAD131145 CAD196604:CAD196681 CAD262140:CAD262217 CAD327676:CAD327753 CAD393212:CAD393289 CAD458748:CAD458825 CAD524284:CAD524361 CAD589820:CAD589897 CAD655356:CAD655433 CAD720892:CAD720969 CAD786428:CAD786505 CAD851964:CAD852041 CAD917500:CAD917577 CAD983036:CAD983113 CJZ2:CJZ73 CJZ65532:CJZ65609 CJZ131068:CJZ131145 CJZ196604:CJZ196681 CJZ262140:CJZ262217 CJZ327676:CJZ327753 CJZ393212:CJZ393289 CJZ458748:CJZ458825 CJZ524284:CJZ524361 CJZ589820:CJZ589897 CJZ655356:CJZ655433 CJZ720892:CJZ720969 CJZ786428:CJZ786505 CJZ851964:CJZ852041 CJZ917500:CJZ917577 CJZ983036:CJZ983113 CTV2:CTV73 CTV65532:CTV65609 CTV131068:CTV131145 CTV196604:CTV196681 CTV262140:CTV262217 CTV327676:CTV327753 CTV393212:CTV393289 CTV458748:CTV458825 CTV524284:CTV524361 CTV589820:CTV589897 CTV655356:CTV655433 CTV720892:CTV720969 CTV786428:CTV786505 CTV851964:CTV852041 CTV917500:CTV917577 CTV983036:CTV983113 DDR2:DDR73 DDR65532:DDR65609 DDR131068:DDR131145 DDR196604:DDR196681 DDR262140:DDR262217 DDR327676:DDR327753 DDR393212:DDR393289 DDR458748:DDR458825 DDR524284:DDR524361 DDR589820:DDR589897 DDR655356:DDR655433 DDR720892:DDR720969 DDR786428:DDR786505 DDR851964:DDR852041 DDR917500:DDR917577 DDR983036:DDR983113 DNN2:DNN73 DNN65532:DNN65609 DNN131068:DNN131145 DNN196604:DNN196681 DNN262140:DNN262217 DNN327676:DNN327753 DNN393212:DNN393289 DNN458748:DNN458825 DNN524284:DNN524361 DNN589820:DNN589897 DNN655356:DNN655433 DNN720892:DNN720969 DNN786428:DNN786505 DNN851964:DNN852041 DNN917500:DNN917577 DNN983036:DNN983113 DXJ2:DXJ73 DXJ65532:DXJ65609 DXJ131068:DXJ131145 DXJ196604:DXJ196681 DXJ262140:DXJ262217 DXJ327676:DXJ327753 DXJ393212:DXJ393289 DXJ458748:DXJ458825 DXJ524284:DXJ524361 DXJ589820:DXJ589897 DXJ655356:DXJ655433 DXJ720892:DXJ720969 DXJ786428:DXJ786505 DXJ851964:DXJ852041 DXJ917500:DXJ917577 DXJ983036:DXJ983113 EHF2:EHF73 EHF65532:EHF65609 EHF131068:EHF131145 EHF196604:EHF196681 EHF262140:EHF262217 EHF327676:EHF327753 EHF393212:EHF393289 EHF458748:EHF458825 EHF524284:EHF524361 EHF589820:EHF589897 EHF655356:EHF655433 EHF720892:EHF720969 EHF786428:EHF786505 EHF851964:EHF852041 EHF917500:EHF917577 EHF983036:EHF983113 ERB2:ERB73 ERB65532:ERB65609 ERB131068:ERB131145 ERB196604:ERB196681 ERB262140:ERB262217 ERB327676:ERB327753 ERB393212:ERB393289 ERB458748:ERB458825 ERB524284:ERB524361 ERB589820:ERB589897 ERB655356:ERB655433 ERB720892:ERB720969 ERB786428:ERB786505 ERB851964:ERB852041 ERB917500:ERB917577 ERB983036:ERB983113 FAX2:FAX73 FAX65532:FAX65609 FAX131068:FAX131145 FAX196604:FAX196681 FAX262140:FAX262217 FAX327676:FAX327753 FAX393212:FAX393289 FAX458748:FAX458825 FAX524284:FAX524361 FAX589820:FAX589897 FAX655356:FAX655433 FAX720892:FAX720969 FAX786428:FAX786505 FAX851964:FAX852041 FAX917500:FAX917577 FAX983036:FAX983113 FKT2:FKT73 FKT65532:FKT65609 FKT131068:FKT131145 FKT196604:FKT196681 FKT262140:FKT262217 FKT327676:FKT327753 FKT393212:FKT393289 FKT458748:FKT458825 FKT524284:FKT524361 FKT589820:FKT589897 FKT655356:FKT655433 FKT720892:FKT720969 FKT786428:FKT786505 FKT851964:FKT852041 FKT917500:FKT917577 FKT983036:FKT983113 FUP2:FUP73 FUP65532:FUP65609 FUP131068:FUP131145 FUP196604:FUP196681 FUP262140:FUP262217 FUP327676:FUP327753 FUP393212:FUP393289 FUP458748:FUP458825 FUP524284:FUP524361 FUP589820:FUP589897 FUP655356:FUP655433 FUP720892:FUP720969 FUP786428:FUP786505 FUP851964:FUP852041 FUP917500:FUP917577 FUP983036:FUP983113 GEL2:GEL73 GEL65532:GEL65609 GEL131068:GEL131145 GEL196604:GEL196681 GEL262140:GEL262217 GEL327676:GEL327753 GEL393212:GEL393289 GEL458748:GEL458825 GEL524284:GEL524361 GEL589820:GEL589897 GEL655356:GEL655433 GEL720892:GEL720969 GEL786428:GEL786505 GEL851964:GEL852041 GEL917500:GEL917577 GEL983036:GEL983113 GOH2:GOH73 GOH65532:GOH65609 GOH131068:GOH131145 GOH196604:GOH196681 GOH262140:GOH262217 GOH327676:GOH327753 GOH393212:GOH393289 GOH458748:GOH458825 GOH524284:GOH524361 GOH589820:GOH589897 GOH655356:GOH655433 GOH720892:GOH720969 GOH786428:GOH786505 GOH851964:GOH852041 GOH917500:GOH917577 GOH983036:GOH983113 GYD2:GYD73 GYD65532:GYD65609 GYD131068:GYD131145 GYD196604:GYD196681 GYD262140:GYD262217 GYD327676:GYD327753 GYD393212:GYD393289 GYD458748:GYD458825 GYD524284:GYD524361 GYD589820:GYD589897 GYD655356:GYD655433 GYD720892:GYD720969 GYD786428:GYD786505 GYD851964:GYD852041 GYD917500:GYD917577 GYD983036:GYD983113 HHZ2:HHZ73 HHZ65532:HHZ65609 HHZ131068:HHZ131145 HHZ196604:HHZ196681 HHZ262140:HHZ262217 HHZ327676:HHZ327753 HHZ393212:HHZ393289 HHZ458748:HHZ458825 HHZ524284:HHZ524361 HHZ589820:HHZ589897 HHZ655356:HHZ655433 HHZ720892:HHZ720969 HHZ786428:HHZ786505 HHZ851964:HHZ852041 HHZ917500:HHZ917577 HHZ983036:HHZ983113 HRV2:HRV73 HRV65532:HRV65609 HRV131068:HRV131145 HRV196604:HRV196681 HRV262140:HRV262217 HRV327676:HRV327753 HRV393212:HRV393289 HRV458748:HRV458825 HRV524284:HRV524361 HRV589820:HRV589897 HRV655356:HRV655433 HRV720892:HRV720969 HRV786428:HRV786505 HRV851964:HRV852041 HRV917500:HRV917577 HRV983036:HRV983113 IBR2:IBR73 IBR65532:IBR65609 IBR131068:IBR131145 IBR196604:IBR196681 IBR262140:IBR262217 IBR327676:IBR327753 IBR393212:IBR393289 IBR458748:IBR458825 IBR524284:IBR524361 IBR589820:IBR589897 IBR655356:IBR655433 IBR720892:IBR720969 IBR786428:IBR786505 IBR851964:IBR852041 IBR917500:IBR917577 IBR983036:IBR983113 ILN2:ILN73 ILN65532:ILN65609 ILN131068:ILN131145 ILN196604:ILN196681 ILN262140:ILN262217 ILN327676:ILN327753 ILN393212:ILN393289 ILN458748:ILN458825 ILN524284:ILN524361 ILN589820:ILN589897 ILN655356:ILN655433 ILN720892:ILN720969 ILN786428:ILN786505 ILN851964:ILN852041 ILN917500:ILN917577 ILN983036:ILN983113 IVJ2:IVJ73 IVJ65532:IVJ65609 IVJ131068:IVJ131145 IVJ196604:IVJ196681 IVJ262140:IVJ262217 IVJ327676:IVJ327753 IVJ393212:IVJ393289 IVJ458748:IVJ458825 IVJ524284:IVJ524361 IVJ589820:IVJ589897 IVJ655356:IVJ655433 IVJ720892:IVJ720969 IVJ786428:IVJ786505 IVJ851964:IVJ852041 IVJ917500:IVJ917577 IVJ983036:IVJ983113 JFF2:JFF73 JFF65532:JFF65609 JFF131068:JFF131145 JFF196604:JFF196681 JFF262140:JFF262217 JFF327676:JFF327753 JFF393212:JFF393289 JFF458748:JFF458825 JFF524284:JFF524361 JFF589820:JFF589897 JFF655356:JFF655433 JFF720892:JFF720969 JFF786428:JFF786505 JFF851964:JFF852041 JFF917500:JFF917577 JFF983036:JFF983113 JPB2:JPB73 JPB65532:JPB65609 JPB131068:JPB131145 JPB196604:JPB196681 JPB262140:JPB262217 JPB327676:JPB327753 JPB393212:JPB393289 JPB458748:JPB458825 JPB524284:JPB524361 JPB589820:JPB589897 JPB655356:JPB655433 JPB720892:JPB720969 JPB786428:JPB786505 JPB851964:JPB852041 JPB917500:JPB917577 JPB983036:JPB983113 JYX2:JYX73 JYX65532:JYX65609 JYX131068:JYX131145 JYX196604:JYX196681 JYX262140:JYX262217 JYX327676:JYX327753 JYX393212:JYX393289 JYX458748:JYX458825 JYX524284:JYX524361 JYX589820:JYX589897 JYX655356:JYX655433 JYX720892:JYX720969 JYX786428:JYX786505 JYX851964:JYX852041 JYX917500:JYX917577 JYX983036:JYX983113 KIT2:KIT73 KIT65532:KIT65609 KIT131068:KIT131145 KIT196604:KIT196681 KIT262140:KIT262217 KIT327676:KIT327753 KIT393212:KIT393289 KIT458748:KIT458825 KIT524284:KIT524361 KIT589820:KIT589897 KIT655356:KIT655433 KIT720892:KIT720969 KIT786428:KIT786505 KIT851964:KIT852041 KIT917500:KIT917577 KIT983036:KIT983113 KSP2:KSP73 KSP65532:KSP65609 KSP131068:KSP131145 KSP196604:KSP196681 KSP262140:KSP262217 KSP327676:KSP327753 KSP393212:KSP393289 KSP458748:KSP458825 KSP524284:KSP524361 KSP589820:KSP589897 KSP655356:KSP655433 KSP720892:KSP720969 KSP786428:KSP786505 KSP851964:KSP852041 KSP917500:KSP917577 KSP983036:KSP983113 LCL2:LCL73 LCL65532:LCL65609 LCL131068:LCL131145 LCL196604:LCL196681 LCL262140:LCL262217 LCL327676:LCL327753 LCL393212:LCL393289 LCL458748:LCL458825 LCL524284:LCL524361 LCL589820:LCL589897 LCL655356:LCL655433 LCL720892:LCL720969 LCL786428:LCL786505 LCL851964:LCL852041 LCL917500:LCL917577 LCL983036:LCL983113 LMH2:LMH73 LMH65532:LMH65609 LMH131068:LMH131145 LMH196604:LMH196681 LMH262140:LMH262217 LMH327676:LMH327753 LMH393212:LMH393289 LMH458748:LMH458825 LMH524284:LMH524361 LMH589820:LMH589897 LMH655356:LMH655433 LMH720892:LMH720969 LMH786428:LMH786505 LMH851964:LMH852041 LMH917500:LMH917577 LMH983036:LMH983113 LWD2:LWD73 LWD65532:LWD65609 LWD131068:LWD131145 LWD196604:LWD196681 LWD262140:LWD262217 LWD327676:LWD327753 LWD393212:LWD393289 LWD458748:LWD458825 LWD524284:LWD524361 LWD589820:LWD589897 LWD655356:LWD655433 LWD720892:LWD720969 LWD786428:LWD786505 LWD851964:LWD852041 LWD917500:LWD917577 LWD983036:LWD983113 MFZ2:MFZ73 MFZ65532:MFZ65609 MFZ131068:MFZ131145 MFZ196604:MFZ196681 MFZ262140:MFZ262217 MFZ327676:MFZ327753 MFZ393212:MFZ393289 MFZ458748:MFZ458825 MFZ524284:MFZ524361 MFZ589820:MFZ589897 MFZ655356:MFZ655433 MFZ720892:MFZ720969 MFZ786428:MFZ786505 MFZ851964:MFZ852041 MFZ917500:MFZ917577 MFZ983036:MFZ983113 MPV2:MPV73 MPV65532:MPV65609 MPV131068:MPV131145 MPV196604:MPV196681 MPV262140:MPV262217 MPV327676:MPV327753 MPV393212:MPV393289 MPV458748:MPV458825 MPV524284:MPV524361 MPV589820:MPV589897 MPV655356:MPV655433 MPV720892:MPV720969 MPV786428:MPV786505 MPV851964:MPV852041 MPV917500:MPV917577 MPV983036:MPV983113 MZR2:MZR73 MZR65532:MZR65609 MZR131068:MZR131145 MZR196604:MZR196681 MZR262140:MZR262217 MZR327676:MZR327753 MZR393212:MZR393289 MZR458748:MZR458825 MZR524284:MZR524361 MZR589820:MZR589897 MZR655356:MZR655433 MZR720892:MZR720969 MZR786428:MZR786505 MZR851964:MZR852041 MZR917500:MZR917577 MZR983036:MZR983113 NJN2:NJN73 NJN65532:NJN65609 NJN131068:NJN131145 NJN196604:NJN196681 NJN262140:NJN262217 NJN327676:NJN327753 NJN393212:NJN393289 NJN458748:NJN458825 NJN524284:NJN524361 NJN589820:NJN589897 NJN655356:NJN655433 NJN720892:NJN720969 NJN786428:NJN786505 NJN851964:NJN852041 NJN917500:NJN917577 NJN983036:NJN983113 NTJ2:NTJ73 NTJ65532:NTJ65609 NTJ131068:NTJ131145 NTJ196604:NTJ196681 NTJ262140:NTJ262217 NTJ327676:NTJ327753 NTJ393212:NTJ393289 NTJ458748:NTJ458825 NTJ524284:NTJ524361 NTJ589820:NTJ589897 NTJ655356:NTJ655433 NTJ720892:NTJ720969 NTJ786428:NTJ786505 NTJ851964:NTJ852041 NTJ917500:NTJ917577 NTJ983036:NTJ983113 ODF2:ODF73 ODF65532:ODF65609 ODF131068:ODF131145 ODF196604:ODF196681 ODF262140:ODF262217 ODF327676:ODF327753 ODF393212:ODF393289 ODF458748:ODF458825 ODF524284:ODF524361 ODF589820:ODF589897 ODF655356:ODF655433 ODF720892:ODF720969 ODF786428:ODF786505 ODF851964:ODF852041 ODF917500:ODF917577 ODF983036:ODF983113 ONB2:ONB73 ONB65532:ONB65609 ONB131068:ONB131145 ONB196604:ONB196681 ONB262140:ONB262217 ONB327676:ONB327753 ONB393212:ONB393289 ONB458748:ONB458825 ONB524284:ONB524361 ONB589820:ONB589897 ONB655356:ONB655433 ONB720892:ONB720969 ONB786428:ONB786505 ONB851964:ONB852041 ONB917500:ONB917577 ONB983036:ONB983113 OWX2:OWX73 OWX65532:OWX65609 OWX131068:OWX131145 OWX196604:OWX196681 OWX262140:OWX262217 OWX327676:OWX327753 OWX393212:OWX393289 OWX458748:OWX458825 OWX524284:OWX524361 OWX589820:OWX589897 OWX655356:OWX655433 OWX720892:OWX720969 OWX786428:OWX786505 OWX851964:OWX852041 OWX917500:OWX917577 OWX983036:OWX983113 PGT2:PGT73 PGT65532:PGT65609 PGT131068:PGT131145 PGT196604:PGT196681 PGT262140:PGT262217 PGT327676:PGT327753 PGT393212:PGT393289 PGT458748:PGT458825 PGT524284:PGT524361 PGT589820:PGT589897 PGT655356:PGT655433 PGT720892:PGT720969 PGT786428:PGT786505 PGT851964:PGT852041 PGT917500:PGT917577 PGT983036:PGT983113 PQP2:PQP73 PQP65532:PQP65609 PQP131068:PQP131145 PQP196604:PQP196681 PQP262140:PQP262217 PQP327676:PQP327753 PQP393212:PQP393289 PQP458748:PQP458825 PQP524284:PQP524361 PQP589820:PQP589897 PQP655356:PQP655433 PQP720892:PQP720969 PQP786428:PQP786505 PQP851964:PQP852041 PQP917500:PQP917577 PQP983036:PQP983113 QAL2:QAL73 QAL65532:QAL65609 QAL131068:QAL131145 QAL196604:QAL196681 QAL262140:QAL262217 QAL327676:QAL327753 QAL393212:QAL393289 QAL458748:QAL458825 QAL524284:QAL524361 QAL589820:QAL589897 QAL655356:QAL655433 QAL720892:QAL720969 QAL786428:QAL786505 QAL851964:QAL852041 QAL917500:QAL917577 QAL983036:QAL983113 QKH2:QKH73 QKH65532:QKH65609 QKH131068:QKH131145 QKH196604:QKH196681 QKH262140:QKH262217 QKH327676:QKH327753 QKH393212:QKH393289 QKH458748:QKH458825 QKH524284:QKH524361 QKH589820:QKH589897 QKH655356:QKH655433 QKH720892:QKH720969 QKH786428:QKH786505 QKH851964:QKH852041 QKH917500:QKH917577 QKH983036:QKH983113 QUD2:QUD73 QUD65532:QUD65609 QUD131068:QUD131145 QUD196604:QUD196681 QUD262140:QUD262217 QUD327676:QUD327753 QUD393212:QUD393289 QUD458748:QUD458825 QUD524284:QUD524361 QUD589820:QUD589897 QUD655356:QUD655433 QUD720892:QUD720969 QUD786428:QUD786505 QUD851964:QUD852041 QUD917500:QUD917577 QUD983036:QUD983113 RDZ2:RDZ73 RDZ65532:RDZ65609 RDZ131068:RDZ131145 RDZ196604:RDZ196681 RDZ262140:RDZ262217 RDZ327676:RDZ327753 RDZ393212:RDZ393289 RDZ458748:RDZ458825 RDZ524284:RDZ524361 RDZ589820:RDZ589897 RDZ655356:RDZ655433 RDZ720892:RDZ720969 RDZ786428:RDZ786505 RDZ851964:RDZ852041 RDZ917500:RDZ917577 RDZ983036:RDZ983113 RNV2:RNV73 RNV65532:RNV65609 RNV131068:RNV131145 RNV196604:RNV196681 RNV262140:RNV262217 RNV327676:RNV327753 RNV393212:RNV393289 RNV458748:RNV458825 RNV524284:RNV524361 RNV589820:RNV589897 RNV655356:RNV655433 RNV720892:RNV720969 RNV786428:RNV786505 RNV851964:RNV852041 RNV917500:RNV917577 RNV983036:RNV983113 RXR2:RXR73 RXR65532:RXR65609 RXR131068:RXR131145 RXR196604:RXR196681 RXR262140:RXR262217 RXR327676:RXR327753 RXR393212:RXR393289 RXR458748:RXR458825 RXR524284:RXR524361 RXR589820:RXR589897 RXR655356:RXR655433 RXR720892:RXR720969 RXR786428:RXR786505 RXR851964:RXR852041 RXR917500:RXR917577 RXR983036:RXR983113 SHN2:SHN73 SHN65532:SHN65609 SHN131068:SHN131145 SHN196604:SHN196681 SHN262140:SHN262217 SHN327676:SHN327753 SHN393212:SHN393289 SHN458748:SHN458825 SHN524284:SHN524361 SHN589820:SHN589897 SHN655356:SHN655433 SHN720892:SHN720969 SHN786428:SHN786505 SHN851964:SHN852041 SHN917500:SHN917577 SHN983036:SHN983113 SRJ2:SRJ73 SRJ65532:SRJ65609 SRJ131068:SRJ131145 SRJ196604:SRJ196681 SRJ262140:SRJ262217 SRJ327676:SRJ327753 SRJ393212:SRJ393289 SRJ458748:SRJ458825 SRJ524284:SRJ524361 SRJ589820:SRJ589897 SRJ655356:SRJ655433 SRJ720892:SRJ720969 SRJ786428:SRJ786505 SRJ851964:SRJ852041 SRJ917500:SRJ917577 SRJ983036:SRJ983113 TBF2:TBF73 TBF65532:TBF65609 TBF131068:TBF131145 TBF196604:TBF196681 TBF262140:TBF262217 TBF327676:TBF327753 TBF393212:TBF393289 TBF458748:TBF458825 TBF524284:TBF524361 TBF589820:TBF589897 TBF655356:TBF655433 TBF720892:TBF720969 TBF786428:TBF786505 TBF851964:TBF852041 TBF917500:TBF917577 TBF983036:TBF983113 TLB2:TLB73 TLB65532:TLB65609 TLB131068:TLB131145 TLB196604:TLB196681 TLB262140:TLB262217 TLB327676:TLB327753 TLB393212:TLB393289 TLB458748:TLB458825 TLB524284:TLB524361 TLB589820:TLB589897 TLB655356:TLB655433 TLB720892:TLB720969 TLB786428:TLB786505 TLB851964:TLB852041 TLB917500:TLB917577 TLB983036:TLB983113 TUX2:TUX73 TUX65532:TUX65609 TUX131068:TUX131145 TUX196604:TUX196681 TUX262140:TUX262217 TUX327676:TUX327753 TUX393212:TUX393289 TUX458748:TUX458825 TUX524284:TUX524361 TUX589820:TUX589897 TUX655356:TUX655433 TUX720892:TUX720969 TUX786428:TUX786505 TUX851964:TUX852041 TUX917500:TUX917577 TUX983036:TUX983113 UET2:UET73 UET65532:UET65609 UET131068:UET131145 UET196604:UET196681 UET262140:UET262217 UET327676:UET327753 UET393212:UET393289 UET458748:UET458825 UET524284:UET524361 UET589820:UET589897 UET655356:UET655433 UET720892:UET720969 UET786428:UET786505 UET851964:UET852041 UET917500:UET917577 UET983036:UET983113 UOP2:UOP73 UOP65532:UOP65609 UOP131068:UOP131145 UOP196604:UOP196681 UOP262140:UOP262217 UOP327676:UOP327753 UOP393212:UOP393289 UOP458748:UOP458825 UOP524284:UOP524361 UOP589820:UOP589897 UOP655356:UOP655433 UOP720892:UOP720969 UOP786428:UOP786505 UOP851964:UOP852041 UOP917500:UOP917577 UOP983036:UOP983113 UYL2:UYL73 UYL65532:UYL65609 UYL131068:UYL131145 UYL196604:UYL196681 UYL262140:UYL262217 UYL327676:UYL327753 UYL393212:UYL393289 UYL458748:UYL458825 UYL524284:UYL524361 UYL589820:UYL589897 UYL655356:UYL655433 UYL720892:UYL720969 UYL786428:UYL786505 UYL851964:UYL852041 UYL917500:UYL917577 UYL983036:UYL983113 VIH2:VIH73 VIH65532:VIH65609 VIH131068:VIH131145 VIH196604:VIH196681 VIH262140:VIH262217 VIH327676:VIH327753 VIH393212:VIH393289 VIH458748:VIH458825 VIH524284:VIH524361 VIH589820:VIH589897 VIH655356:VIH655433 VIH720892:VIH720969 VIH786428:VIH786505 VIH851964:VIH852041 VIH917500:VIH917577 VIH983036:VIH983113 VSD2:VSD73 VSD65532:VSD65609 VSD131068:VSD131145 VSD196604:VSD196681 VSD262140:VSD262217 VSD327676:VSD327753 VSD393212:VSD393289 VSD458748:VSD458825 VSD524284:VSD524361 VSD589820:VSD589897 VSD655356:VSD655433 VSD720892:VSD720969 VSD786428:VSD786505 VSD851964:VSD852041 VSD917500:VSD917577 VSD983036:VSD983113 WBZ2:WBZ73 WBZ65532:WBZ65609 WBZ131068:WBZ131145 WBZ196604:WBZ196681 WBZ262140:WBZ262217 WBZ327676:WBZ327753 WBZ393212:WBZ393289 WBZ458748:WBZ458825 WBZ524284:WBZ524361 WBZ589820:WBZ589897 WBZ655356:WBZ655433 WBZ720892:WBZ720969 WBZ786428:WBZ786505 WBZ851964:WBZ852041 WBZ917500:WBZ917577 WBZ983036:WBZ983113 WLV2:WLV73 WLV65532:WLV65609 WLV131068:WLV131145 WLV196604:WLV196681 WLV262140:WLV262217 WLV327676:WLV327753 WLV393212:WLV393289 WLV458748:WLV458825 WLV524284:WLV524361 WLV589820:WLV589897 WLV655356:WLV655433 WLV720892:WLV720969 WLV786428:WLV786505 WLV851964:WLV852041 WLV917500:WLV917577 WLV983036:WLV983113 WVR2:WVR73 WVR65532:WVR65609 WVR131068:WVR131145 WVR196604:WVR196681 WVR262140:WVR262217 WVR327676:WVR327753 WVR393212:WVR393289 WVR458748:WVR458825 WVR524284:WVR524361 WVR589820:WVR589897 WVR655356:WVR655433 WVR720892:WVR720969 WVR786428:WVR786505 WVR851964:WVR852041 WVR917500:WVR917577 WVR983036:WVR983113">
      <formula1>$AP$2:$AP$21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2 IX65532 ST65532 ACP65532 AML65532 AWH65532 BGD65532 BPZ65532 BZV65532 CJR65532 CTN65532 DDJ65532 DNF65532 DXB65532 EGX65532 EQT65532 FAP65532 FKL65532 FUH65532 GED65532 GNZ65532 GXV65532 HHR65532 HRN65532 IBJ65532 ILF65532 IVB65532 JEX65532 JOT65532 JYP65532 KIL65532 KSH65532 LCD65532 LLZ65532 LVV65532 MFR65532 MPN65532 MZJ65532 NJF65532 NTB65532 OCX65532 OMT65532 OWP65532 PGL65532 PQH65532 QAD65532 QJZ65532 QTV65532 RDR65532 RNN65532 RXJ65532 SHF65532 SRB65532 TAX65532 TKT65532 TUP65532 UEL65532 UOH65532 UYD65532 VHZ65532 VRV65532 WBR65532 WLN65532 WVJ65532 B131068 IX131068 ST131068 ACP131068 AML131068 AWH131068 BGD131068 BPZ131068 BZV131068 CJR131068 CTN131068 DDJ131068 DNF131068 DXB131068 EGX131068 EQT131068 FAP131068 FKL131068 FUH131068 GED131068 GNZ131068 GXV131068 HHR131068 HRN131068 IBJ131068 ILF131068 IVB131068 JEX131068 JOT131068 JYP131068 KIL131068 KSH131068 LCD131068 LLZ131068 LVV131068 MFR131068 MPN131068 MZJ131068 NJF131068 NTB131068 OCX131068 OMT131068 OWP131068 PGL131068 PQH131068 QAD131068 QJZ131068 QTV131068 RDR131068 RNN131068 RXJ131068 SHF131068 SRB131068 TAX131068 TKT131068 TUP131068 UEL131068 UOH131068 UYD131068 VHZ131068 VRV131068 WBR131068 WLN131068 WVJ131068 B196604 IX196604 ST196604 ACP196604 AML196604 AWH196604 BGD196604 BPZ196604 BZV196604 CJR196604 CTN196604 DDJ196604 DNF196604 DXB196604 EGX196604 EQT196604 FAP196604 FKL196604 FUH196604 GED196604 GNZ196604 GXV196604 HHR196604 HRN196604 IBJ196604 ILF196604 IVB196604 JEX196604 JOT196604 JYP196604 KIL196604 KSH196604 LCD196604 LLZ196604 LVV196604 MFR196604 MPN196604 MZJ196604 NJF196604 NTB196604 OCX196604 OMT196604 OWP196604 PGL196604 PQH196604 QAD196604 QJZ196604 QTV196604 RDR196604 RNN196604 RXJ196604 SHF196604 SRB196604 TAX196604 TKT196604 TUP196604 UEL196604 UOH196604 UYD196604 VHZ196604 VRV196604 WBR196604 WLN196604 WVJ196604 B262140 IX262140 ST262140 ACP262140 AML262140 AWH262140 BGD262140 BPZ262140 BZV262140 CJR262140 CTN262140 DDJ262140 DNF262140 DXB262140 EGX262140 EQT262140 FAP262140 FKL262140 FUH262140 GED262140 GNZ262140 GXV262140 HHR262140 HRN262140 IBJ262140 ILF262140 IVB262140 JEX262140 JOT262140 JYP262140 KIL262140 KSH262140 LCD262140 LLZ262140 LVV262140 MFR262140 MPN262140 MZJ262140 NJF262140 NTB262140 OCX262140 OMT262140 OWP262140 PGL262140 PQH262140 QAD262140 QJZ262140 QTV262140 RDR262140 RNN262140 RXJ262140 SHF262140 SRB262140 TAX262140 TKT262140 TUP262140 UEL262140 UOH262140 UYD262140 VHZ262140 VRV262140 WBR262140 WLN262140 WVJ262140 B327676 IX327676 ST327676 ACP327676 AML327676 AWH327676 BGD327676 BPZ327676 BZV327676 CJR327676 CTN327676 DDJ327676 DNF327676 DXB327676 EGX327676 EQT327676 FAP327676 FKL327676 FUH327676 GED327676 GNZ327676 GXV327676 HHR327676 HRN327676 IBJ327676 ILF327676 IVB327676 JEX327676 JOT327676 JYP327676 KIL327676 KSH327676 LCD327676 LLZ327676 LVV327676 MFR327676 MPN327676 MZJ327676 NJF327676 NTB327676 OCX327676 OMT327676 OWP327676 PGL327676 PQH327676 QAD327676 QJZ327676 QTV327676 RDR327676 RNN327676 RXJ327676 SHF327676 SRB327676 TAX327676 TKT327676 TUP327676 UEL327676 UOH327676 UYD327676 VHZ327676 VRV327676 WBR327676 WLN327676 WVJ327676 B393212 IX393212 ST393212 ACP393212 AML393212 AWH393212 BGD393212 BPZ393212 BZV393212 CJR393212 CTN393212 DDJ393212 DNF393212 DXB393212 EGX393212 EQT393212 FAP393212 FKL393212 FUH393212 GED393212 GNZ393212 GXV393212 HHR393212 HRN393212 IBJ393212 ILF393212 IVB393212 JEX393212 JOT393212 JYP393212 KIL393212 KSH393212 LCD393212 LLZ393212 LVV393212 MFR393212 MPN393212 MZJ393212 NJF393212 NTB393212 OCX393212 OMT393212 OWP393212 PGL393212 PQH393212 QAD393212 QJZ393212 QTV393212 RDR393212 RNN393212 RXJ393212 SHF393212 SRB393212 TAX393212 TKT393212 TUP393212 UEL393212 UOH393212 UYD393212 VHZ393212 VRV393212 WBR393212 WLN393212 WVJ393212 B458748 IX458748 ST458748 ACP458748 AML458748 AWH458748 BGD458748 BPZ458748 BZV458748 CJR458748 CTN458748 DDJ458748 DNF458748 DXB458748 EGX458748 EQT458748 FAP458748 FKL458748 FUH458748 GED458748 GNZ458748 GXV458748 HHR458748 HRN458748 IBJ458748 ILF458748 IVB458748 JEX458748 JOT458748 JYP458748 KIL458748 KSH458748 LCD458748 LLZ458748 LVV458748 MFR458748 MPN458748 MZJ458748 NJF458748 NTB458748 OCX458748 OMT458748 OWP458748 PGL458748 PQH458748 QAD458748 QJZ458748 QTV458748 RDR458748 RNN458748 RXJ458748 SHF458748 SRB458748 TAX458748 TKT458748 TUP458748 UEL458748 UOH458748 UYD458748 VHZ458748 VRV458748 WBR458748 WLN458748 WVJ458748 B524284 IX524284 ST524284 ACP524284 AML524284 AWH524284 BGD524284 BPZ524284 BZV524284 CJR524284 CTN524284 DDJ524284 DNF524284 DXB524284 EGX524284 EQT524284 FAP524284 FKL524284 FUH524284 GED524284 GNZ524284 GXV524284 HHR524284 HRN524284 IBJ524284 ILF524284 IVB524284 JEX524284 JOT524284 JYP524284 KIL524284 KSH524284 LCD524284 LLZ524284 LVV524284 MFR524284 MPN524284 MZJ524284 NJF524284 NTB524284 OCX524284 OMT524284 OWP524284 PGL524284 PQH524284 QAD524284 QJZ524284 QTV524284 RDR524284 RNN524284 RXJ524284 SHF524284 SRB524284 TAX524284 TKT524284 TUP524284 UEL524284 UOH524284 UYD524284 VHZ524284 VRV524284 WBR524284 WLN524284 WVJ524284 B589820 IX589820 ST589820 ACP589820 AML589820 AWH589820 BGD589820 BPZ589820 BZV589820 CJR589820 CTN589820 DDJ589820 DNF589820 DXB589820 EGX589820 EQT589820 FAP589820 FKL589820 FUH589820 GED589820 GNZ589820 GXV589820 HHR589820 HRN589820 IBJ589820 ILF589820 IVB589820 JEX589820 JOT589820 JYP589820 KIL589820 KSH589820 LCD589820 LLZ589820 LVV589820 MFR589820 MPN589820 MZJ589820 NJF589820 NTB589820 OCX589820 OMT589820 OWP589820 PGL589820 PQH589820 QAD589820 QJZ589820 QTV589820 RDR589820 RNN589820 RXJ589820 SHF589820 SRB589820 TAX589820 TKT589820 TUP589820 UEL589820 UOH589820 UYD589820 VHZ589820 VRV589820 WBR589820 WLN589820 WVJ589820 B655356 IX655356 ST655356 ACP655356 AML655356 AWH655356 BGD655356 BPZ655356 BZV655356 CJR655356 CTN655356 DDJ655356 DNF655356 DXB655356 EGX655356 EQT655356 FAP655356 FKL655356 FUH655356 GED655356 GNZ655356 GXV655356 HHR655356 HRN655356 IBJ655356 ILF655356 IVB655356 JEX655356 JOT655356 JYP655356 KIL655356 KSH655356 LCD655356 LLZ655356 LVV655356 MFR655356 MPN655356 MZJ655356 NJF655356 NTB655356 OCX655356 OMT655356 OWP655356 PGL655356 PQH655356 QAD655356 QJZ655356 QTV655356 RDR655356 RNN655356 RXJ655356 SHF655356 SRB655356 TAX655356 TKT655356 TUP655356 UEL655356 UOH655356 UYD655356 VHZ655356 VRV655356 WBR655356 WLN655356 WVJ655356 B720892 IX720892 ST720892 ACP720892 AML720892 AWH720892 BGD720892 BPZ720892 BZV720892 CJR720892 CTN720892 DDJ720892 DNF720892 DXB720892 EGX720892 EQT720892 FAP720892 FKL720892 FUH720892 GED720892 GNZ720892 GXV720892 HHR720892 HRN720892 IBJ720892 ILF720892 IVB720892 JEX720892 JOT720892 JYP720892 KIL720892 KSH720892 LCD720892 LLZ720892 LVV720892 MFR720892 MPN720892 MZJ720892 NJF720892 NTB720892 OCX720892 OMT720892 OWP720892 PGL720892 PQH720892 QAD720892 QJZ720892 QTV720892 RDR720892 RNN720892 RXJ720892 SHF720892 SRB720892 TAX720892 TKT720892 TUP720892 UEL720892 UOH720892 UYD720892 VHZ720892 VRV720892 WBR720892 WLN720892 WVJ720892 B786428 IX786428 ST786428 ACP786428 AML786428 AWH786428 BGD786428 BPZ786428 BZV786428 CJR786428 CTN786428 DDJ786428 DNF786428 DXB786428 EGX786428 EQT786428 FAP786428 FKL786428 FUH786428 GED786428 GNZ786428 GXV786428 HHR786428 HRN786428 IBJ786428 ILF786428 IVB786428 JEX786428 JOT786428 JYP786428 KIL786428 KSH786428 LCD786428 LLZ786428 LVV786428 MFR786428 MPN786428 MZJ786428 NJF786428 NTB786428 OCX786428 OMT786428 OWP786428 PGL786428 PQH786428 QAD786428 QJZ786428 QTV786428 RDR786428 RNN786428 RXJ786428 SHF786428 SRB786428 TAX786428 TKT786428 TUP786428 UEL786428 UOH786428 UYD786428 VHZ786428 VRV786428 WBR786428 WLN786428 WVJ786428 B851964 IX851964 ST851964 ACP851964 AML851964 AWH851964 BGD851964 BPZ851964 BZV851964 CJR851964 CTN851964 DDJ851964 DNF851964 DXB851964 EGX851964 EQT851964 FAP851964 FKL851964 FUH851964 GED851964 GNZ851964 GXV851964 HHR851964 HRN851964 IBJ851964 ILF851964 IVB851964 JEX851964 JOT851964 JYP851964 KIL851964 KSH851964 LCD851964 LLZ851964 LVV851964 MFR851964 MPN851964 MZJ851964 NJF851964 NTB851964 OCX851964 OMT851964 OWP851964 PGL851964 PQH851964 QAD851964 QJZ851964 QTV851964 RDR851964 RNN851964 RXJ851964 SHF851964 SRB851964 TAX851964 TKT851964 TUP851964 UEL851964 UOH851964 UYD851964 VHZ851964 VRV851964 WBR851964 WLN851964 WVJ851964 B917500 IX917500 ST917500 ACP917500 AML917500 AWH917500 BGD917500 BPZ917500 BZV917500 CJR917500 CTN917500 DDJ917500 DNF917500 DXB917500 EGX917500 EQT917500 FAP917500 FKL917500 FUH917500 GED917500 GNZ917500 GXV917500 HHR917500 HRN917500 IBJ917500 ILF917500 IVB917500 JEX917500 JOT917500 JYP917500 KIL917500 KSH917500 LCD917500 LLZ917500 LVV917500 MFR917500 MPN917500 MZJ917500 NJF917500 NTB917500 OCX917500 OMT917500 OWP917500 PGL917500 PQH917500 QAD917500 QJZ917500 QTV917500 RDR917500 RNN917500 RXJ917500 SHF917500 SRB917500 TAX917500 TKT917500 TUP917500 UEL917500 UOH917500 UYD917500 VHZ917500 VRV917500 WBR917500 WLN917500 WVJ917500 B983036 IX983036 ST983036 ACP983036 AML983036 AWH983036 BGD983036 BPZ983036 BZV983036 CJR983036 CTN983036 DDJ983036 DNF983036 DXB983036 EGX983036 EQT983036 FAP983036 FKL983036 FUH983036 GED983036 GNZ983036 GXV983036 HHR983036 HRN983036 IBJ983036 ILF983036 IVB983036 JEX983036 JOT983036 JYP983036 KIL983036 KSH983036 LCD983036 LLZ983036 LVV983036 MFR983036 MPN983036 MZJ983036 NJF983036 NTB983036 OCX983036 OMT983036 OWP983036 PGL983036 PQH983036 QAD983036 QJZ983036 QTV983036 RDR983036 RNN983036 RXJ983036 SHF983036 SRB983036 TAX983036 TKT983036 TUP983036 UEL983036 UOH983036 UYD983036 VHZ983036 VRV983036 WBR983036 WLN983036 WVJ983036"/>
    <dataValidation type="list" allowBlank="1" showInputMessage="1" showErrorMessage="1" sqref="A2:A494 A65532:A65609 A131068:A131145 A196604:A196681 A262140:A262217 A327676:A327753 A393212:A393289 A458748:A458825 A524284:A524361 A589820:A589897 A655356:A655433 A720892:A720969 A786428:A786505 A851964:A852041 A917500:A917577 A983036:A983113 IW2:IW73 IW65532:IW65609 IW131068:IW131145 IW196604:IW196681 IW262140:IW262217 IW327676:IW327753 IW393212:IW393289 IW458748:IW458825 IW524284:IW524361 IW589820:IW589897 IW655356:IW655433 IW720892:IW720969 IW786428:IW786505 IW851964:IW852041 IW917500:IW917577 IW983036:IW983113 SS2:SS73 SS65532:SS65609 SS131068:SS131145 SS196604:SS196681 SS262140:SS262217 SS327676:SS327753 SS393212:SS393289 SS458748:SS458825 SS524284:SS524361 SS589820:SS589897 SS655356:SS655433 SS720892:SS720969 SS786428:SS786505 SS851964:SS852041 SS917500:SS917577 SS983036:SS983113 ACO2:ACO73 ACO65532:ACO65609 ACO131068:ACO131145 ACO196604:ACO196681 ACO262140:ACO262217 ACO327676:ACO327753 ACO393212:ACO393289 ACO458748:ACO458825 ACO524284:ACO524361 ACO589820:ACO589897 ACO655356:ACO655433 ACO720892:ACO720969 ACO786428:ACO786505 ACO851964:ACO852041 ACO917500:ACO917577 ACO983036:ACO983113 AMK2:AMK73 AMK65532:AMK65609 AMK131068:AMK131145 AMK196604:AMK196681 AMK262140:AMK262217 AMK327676:AMK327753 AMK393212:AMK393289 AMK458748:AMK458825 AMK524284:AMK524361 AMK589820:AMK589897 AMK655356:AMK655433 AMK720892:AMK720969 AMK786428:AMK786505 AMK851964:AMK852041 AMK917500:AMK917577 AMK983036:AMK983113 AWG2:AWG73 AWG65532:AWG65609 AWG131068:AWG131145 AWG196604:AWG196681 AWG262140:AWG262217 AWG327676:AWG327753 AWG393212:AWG393289 AWG458748:AWG458825 AWG524284:AWG524361 AWG589820:AWG589897 AWG655356:AWG655433 AWG720892:AWG720969 AWG786428:AWG786505 AWG851964:AWG852041 AWG917500:AWG917577 AWG983036:AWG983113 BGC2:BGC73 BGC65532:BGC65609 BGC131068:BGC131145 BGC196604:BGC196681 BGC262140:BGC262217 BGC327676:BGC327753 BGC393212:BGC393289 BGC458748:BGC458825 BGC524284:BGC524361 BGC589820:BGC589897 BGC655356:BGC655433 BGC720892:BGC720969 BGC786428:BGC786505 BGC851964:BGC852041 BGC917500:BGC917577 BGC983036:BGC983113 BPY2:BPY73 BPY65532:BPY65609 BPY131068:BPY131145 BPY196604:BPY196681 BPY262140:BPY262217 BPY327676:BPY327753 BPY393212:BPY393289 BPY458748:BPY458825 BPY524284:BPY524361 BPY589820:BPY589897 BPY655356:BPY655433 BPY720892:BPY720969 BPY786428:BPY786505 BPY851964:BPY852041 BPY917500:BPY917577 BPY983036:BPY983113 BZU2:BZU73 BZU65532:BZU65609 BZU131068:BZU131145 BZU196604:BZU196681 BZU262140:BZU262217 BZU327676:BZU327753 BZU393212:BZU393289 BZU458748:BZU458825 BZU524284:BZU524361 BZU589820:BZU589897 BZU655356:BZU655433 BZU720892:BZU720969 BZU786428:BZU786505 BZU851964:BZU852041 BZU917500:BZU917577 BZU983036:BZU983113 CJQ2:CJQ73 CJQ65532:CJQ65609 CJQ131068:CJQ131145 CJQ196604:CJQ196681 CJQ262140:CJQ262217 CJQ327676:CJQ327753 CJQ393212:CJQ393289 CJQ458748:CJQ458825 CJQ524284:CJQ524361 CJQ589820:CJQ589897 CJQ655356:CJQ655433 CJQ720892:CJQ720969 CJQ786428:CJQ786505 CJQ851964:CJQ852041 CJQ917500:CJQ917577 CJQ983036:CJQ983113 CTM2:CTM73 CTM65532:CTM65609 CTM131068:CTM131145 CTM196604:CTM196681 CTM262140:CTM262217 CTM327676:CTM327753 CTM393212:CTM393289 CTM458748:CTM458825 CTM524284:CTM524361 CTM589820:CTM589897 CTM655356:CTM655433 CTM720892:CTM720969 CTM786428:CTM786505 CTM851964:CTM852041 CTM917500:CTM917577 CTM983036:CTM983113 DDI2:DDI73 DDI65532:DDI65609 DDI131068:DDI131145 DDI196604:DDI196681 DDI262140:DDI262217 DDI327676:DDI327753 DDI393212:DDI393289 DDI458748:DDI458825 DDI524284:DDI524361 DDI589820:DDI589897 DDI655356:DDI655433 DDI720892:DDI720969 DDI786428:DDI786505 DDI851964:DDI852041 DDI917500:DDI917577 DDI983036:DDI983113 DNE2:DNE73 DNE65532:DNE65609 DNE131068:DNE131145 DNE196604:DNE196681 DNE262140:DNE262217 DNE327676:DNE327753 DNE393212:DNE393289 DNE458748:DNE458825 DNE524284:DNE524361 DNE589820:DNE589897 DNE655356:DNE655433 DNE720892:DNE720969 DNE786428:DNE786505 DNE851964:DNE852041 DNE917500:DNE917577 DNE983036:DNE983113 DXA2:DXA73 DXA65532:DXA65609 DXA131068:DXA131145 DXA196604:DXA196681 DXA262140:DXA262217 DXA327676:DXA327753 DXA393212:DXA393289 DXA458748:DXA458825 DXA524284:DXA524361 DXA589820:DXA589897 DXA655356:DXA655433 DXA720892:DXA720969 DXA786428:DXA786505 DXA851964:DXA852041 DXA917500:DXA917577 DXA983036:DXA983113 EGW2:EGW73 EGW65532:EGW65609 EGW131068:EGW131145 EGW196604:EGW196681 EGW262140:EGW262217 EGW327676:EGW327753 EGW393212:EGW393289 EGW458748:EGW458825 EGW524284:EGW524361 EGW589820:EGW589897 EGW655356:EGW655433 EGW720892:EGW720969 EGW786428:EGW786505 EGW851964:EGW852041 EGW917500:EGW917577 EGW983036:EGW983113 EQS2:EQS73 EQS65532:EQS65609 EQS131068:EQS131145 EQS196604:EQS196681 EQS262140:EQS262217 EQS327676:EQS327753 EQS393212:EQS393289 EQS458748:EQS458825 EQS524284:EQS524361 EQS589820:EQS589897 EQS655356:EQS655433 EQS720892:EQS720969 EQS786428:EQS786505 EQS851964:EQS852041 EQS917500:EQS917577 EQS983036:EQS983113 FAO2:FAO73 FAO65532:FAO65609 FAO131068:FAO131145 FAO196604:FAO196681 FAO262140:FAO262217 FAO327676:FAO327753 FAO393212:FAO393289 FAO458748:FAO458825 FAO524284:FAO524361 FAO589820:FAO589897 FAO655356:FAO655433 FAO720892:FAO720969 FAO786428:FAO786505 FAO851964:FAO852041 FAO917500:FAO917577 FAO983036:FAO983113 FKK2:FKK73 FKK65532:FKK65609 FKK131068:FKK131145 FKK196604:FKK196681 FKK262140:FKK262217 FKK327676:FKK327753 FKK393212:FKK393289 FKK458748:FKK458825 FKK524284:FKK524361 FKK589820:FKK589897 FKK655356:FKK655433 FKK720892:FKK720969 FKK786428:FKK786505 FKK851964:FKK852041 FKK917500:FKK917577 FKK983036:FKK983113 FUG2:FUG73 FUG65532:FUG65609 FUG131068:FUG131145 FUG196604:FUG196681 FUG262140:FUG262217 FUG327676:FUG327753 FUG393212:FUG393289 FUG458748:FUG458825 FUG524284:FUG524361 FUG589820:FUG589897 FUG655356:FUG655433 FUG720892:FUG720969 FUG786428:FUG786505 FUG851964:FUG852041 FUG917500:FUG917577 FUG983036:FUG983113 GEC2:GEC73 GEC65532:GEC65609 GEC131068:GEC131145 GEC196604:GEC196681 GEC262140:GEC262217 GEC327676:GEC327753 GEC393212:GEC393289 GEC458748:GEC458825 GEC524284:GEC524361 GEC589820:GEC589897 GEC655356:GEC655433 GEC720892:GEC720969 GEC786428:GEC786505 GEC851964:GEC852041 GEC917500:GEC917577 GEC983036:GEC983113 GNY2:GNY73 GNY65532:GNY65609 GNY131068:GNY131145 GNY196604:GNY196681 GNY262140:GNY262217 GNY327676:GNY327753 GNY393212:GNY393289 GNY458748:GNY458825 GNY524284:GNY524361 GNY589820:GNY589897 GNY655356:GNY655433 GNY720892:GNY720969 GNY786428:GNY786505 GNY851964:GNY852041 GNY917500:GNY917577 GNY983036:GNY983113 GXU2:GXU73 GXU65532:GXU65609 GXU131068:GXU131145 GXU196604:GXU196681 GXU262140:GXU262217 GXU327676:GXU327753 GXU393212:GXU393289 GXU458748:GXU458825 GXU524284:GXU524361 GXU589820:GXU589897 GXU655356:GXU655433 GXU720892:GXU720969 GXU786428:GXU786505 GXU851964:GXU852041 GXU917500:GXU917577 GXU983036:GXU983113 HHQ2:HHQ73 HHQ65532:HHQ65609 HHQ131068:HHQ131145 HHQ196604:HHQ196681 HHQ262140:HHQ262217 HHQ327676:HHQ327753 HHQ393212:HHQ393289 HHQ458748:HHQ458825 HHQ524284:HHQ524361 HHQ589820:HHQ589897 HHQ655356:HHQ655433 HHQ720892:HHQ720969 HHQ786428:HHQ786505 HHQ851964:HHQ852041 HHQ917500:HHQ917577 HHQ983036:HHQ983113 HRM2:HRM73 HRM65532:HRM65609 HRM131068:HRM131145 HRM196604:HRM196681 HRM262140:HRM262217 HRM327676:HRM327753 HRM393212:HRM393289 HRM458748:HRM458825 HRM524284:HRM524361 HRM589820:HRM589897 HRM655356:HRM655433 HRM720892:HRM720969 HRM786428:HRM786505 HRM851964:HRM852041 HRM917500:HRM917577 HRM983036:HRM983113 IBI2:IBI73 IBI65532:IBI65609 IBI131068:IBI131145 IBI196604:IBI196681 IBI262140:IBI262217 IBI327676:IBI327753 IBI393212:IBI393289 IBI458748:IBI458825 IBI524284:IBI524361 IBI589820:IBI589897 IBI655356:IBI655433 IBI720892:IBI720969 IBI786428:IBI786505 IBI851964:IBI852041 IBI917500:IBI917577 IBI983036:IBI983113 ILE2:ILE73 ILE65532:ILE65609 ILE131068:ILE131145 ILE196604:ILE196681 ILE262140:ILE262217 ILE327676:ILE327753 ILE393212:ILE393289 ILE458748:ILE458825 ILE524284:ILE524361 ILE589820:ILE589897 ILE655356:ILE655433 ILE720892:ILE720969 ILE786428:ILE786505 ILE851964:ILE852041 ILE917500:ILE917577 ILE983036:ILE983113 IVA2:IVA73 IVA65532:IVA65609 IVA131068:IVA131145 IVA196604:IVA196681 IVA262140:IVA262217 IVA327676:IVA327753 IVA393212:IVA393289 IVA458748:IVA458825 IVA524284:IVA524361 IVA589820:IVA589897 IVA655356:IVA655433 IVA720892:IVA720969 IVA786428:IVA786505 IVA851964:IVA852041 IVA917500:IVA917577 IVA983036:IVA983113 JEW2:JEW73 JEW65532:JEW65609 JEW131068:JEW131145 JEW196604:JEW196681 JEW262140:JEW262217 JEW327676:JEW327753 JEW393212:JEW393289 JEW458748:JEW458825 JEW524284:JEW524361 JEW589820:JEW589897 JEW655356:JEW655433 JEW720892:JEW720969 JEW786428:JEW786505 JEW851964:JEW852041 JEW917500:JEW917577 JEW983036:JEW983113 JOS2:JOS73 JOS65532:JOS65609 JOS131068:JOS131145 JOS196604:JOS196681 JOS262140:JOS262217 JOS327676:JOS327753 JOS393212:JOS393289 JOS458748:JOS458825 JOS524284:JOS524361 JOS589820:JOS589897 JOS655356:JOS655433 JOS720892:JOS720969 JOS786428:JOS786505 JOS851964:JOS852041 JOS917500:JOS917577 JOS983036:JOS983113 JYO2:JYO73 JYO65532:JYO65609 JYO131068:JYO131145 JYO196604:JYO196681 JYO262140:JYO262217 JYO327676:JYO327753 JYO393212:JYO393289 JYO458748:JYO458825 JYO524284:JYO524361 JYO589820:JYO589897 JYO655356:JYO655433 JYO720892:JYO720969 JYO786428:JYO786505 JYO851964:JYO852041 JYO917500:JYO917577 JYO983036:JYO983113 KIK2:KIK73 KIK65532:KIK65609 KIK131068:KIK131145 KIK196604:KIK196681 KIK262140:KIK262217 KIK327676:KIK327753 KIK393212:KIK393289 KIK458748:KIK458825 KIK524284:KIK524361 KIK589820:KIK589897 KIK655356:KIK655433 KIK720892:KIK720969 KIK786428:KIK786505 KIK851964:KIK852041 KIK917500:KIK917577 KIK983036:KIK983113 KSG2:KSG73 KSG65532:KSG65609 KSG131068:KSG131145 KSG196604:KSG196681 KSG262140:KSG262217 KSG327676:KSG327753 KSG393212:KSG393289 KSG458748:KSG458825 KSG524284:KSG524361 KSG589820:KSG589897 KSG655356:KSG655433 KSG720892:KSG720969 KSG786428:KSG786505 KSG851964:KSG852041 KSG917500:KSG917577 KSG983036:KSG983113 LCC2:LCC73 LCC65532:LCC65609 LCC131068:LCC131145 LCC196604:LCC196681 LCC262140:LCC262217 LCC327676:LCC327753 LCC393212:LCC393289 LCC458748:LCC458825 LCC524284:LCC524361 LCC589820:LCC589897 LCC655356:LCC655433 LCC720892:LCC720969 LCC786428:LCC786505 LCC851964:LCC852041 LCC917500:LCC917577 LCC983036:LCC983113 LLY2:LLY73 LLY65532:LLY65609 LLY131068:LLY131145 LLY196604:LLY196681 LLY262140:LLY262217 LLY327676:LLY327753 LLY393212:LLY393289 LLY458748:LLY458825 LLY524284:LLY524361 LLY589820:LLY589897 LLY655356:LLY655433 LLY720892:LLY720969 LLY786428:LLY786505 LLY851964:LLY852041 LLY917500:LLY917577 LLY983036:LLY983113 LVU2:LVU73 LVU65532:LVU65609 LVU131068:LVU131145 LVU196604:LVU196681 LVU262140:LVU262217 LVU327676:LVU327753 LVU393212:LVU393289 LVU458748:LVU458825 LVU524284:LVU524361 LVU589820:LVU589897 LVU655356:LVU655433 LVU720892:LVU720969 LVU786428:LVU786505 LVU851964:LVU852041 LVU917500:LVU917577 LVU983036:LVU983113 MFQ2:MFQ73 MFQ65532:MFQ65609 MFQ131068:MFQ131145 MFQ196604:MFQ196681 MFQ262140:MFQ262217 MFQ327676:MFQ327753 MFQ393212:MFQ393289 MFQ458748:MFQ458825 MFQ524284:MFQ524361 MFQ589820:MFQ589897 MFQ655356:MFQ655433 MFQ720892:MFQ720969 MFQ786428:MFQ786505 MFQ851964:MFQ852041 MFQ917500:MFQ917577 MFQ983036:MFQ983113 MPM2:MPM73 MPM65532:MPM65609 MPM131068:MPM131145 MPM196604:MPM196681 MPM262140:MPM262217 MPM327676:MPM327753 MPM393212:MPM393289 MPM458748:MPM458825 MPM524284:MPM524361 MPM589820:MPM589897 MPM655356:MPM655433 MPM720892:MPM720969 MPM786428:MPM786505 MPM851964:MPM852041 MPM917500:MPM917577 MPM983036:MPM983113 MZI2:MZI73 MZI65532:MZI65609 MZI131068:MZI131145 MZI196604:MZI196681 MZI262140:MZI262217 MZI327676:MZI327753 MZI393212:MZI393289 MZI458748:MZI458825 MZI524284:MZI524361 MZI589820:MZI589897 MZI655356:MZI655433 MZI720892:MZI720969 MZI786428:MZI786505 MZI851964:MZI852041 MZI917500:MZI917577 MZI983036:MZI983113 NJE2:NJE73 NJE65532:NJE65609 NJE131068:NJE131145 NJE196604:NJE196681 NJE262140:NJE262217 NJE327676:NJE327753 NJE393212:NJE393289 NJE458748:NJE458825 NJE524284:NJE524361 NJE589820:NJE589897 NJE655356:NJE655433 NJE720892:NJE720969 NJE786428:NJE786505 NJE851964:NJE852041 NJE917500:NJE917577 NJE983036:NJE983113 NTA2:NTA73 NTA65532:NTA65609 NTA131068:NTA131145 NTA196604:NTA196681 NTA262140:NTA262217 NTA327676:NTA327753 NTA393212:NTA393289 NTA458748:NTA458825 NTA524284:NTA524361 NTA589820:NTA589897 NTA655356:NTA655433 NTA720892:NTA720969 NTA786428:NTA786505 NTA851964:NTA852041 NTA917500:NTA917577 NTA983036:NTA983113 OCW2:OCW73 OCW65532:OCW65609 OCW131068:OCW131145 OCW196604:OCW196681 OCW262140:OCW262217 OCW327676:OCW327753 OCW393212:OCW393289 OCW458748:OCW458825 OCW524284:OCW524361 OCW589820:OCW589897 OCW655356:OCW655433 OCW720892:OCW720969 OCW786428:OCW786505 OCW851964:OCW852041 OCW917500:OCW917577 OCW983036:OCW983113 OMS2:OMS73 OMS65532:OMS65609 OMS131068:OMS131145 OMS196604:OMS196681 OMS262140:OMS262217 OMS327676:OMS327753 OMS393212:OMS393289 OMS458748:OMS458825 OMS524284:OMS524361 OMS589820:OMS589897 OMS655356:OMS655433 OMS720892:OMS720969 OMS786428:OMS786505 OMS851964:OMS852041 OMS917500:OMS917577 OMS983036:OMS983113 OWO2:OWO73 OWO65532:OWO65609 OWO131068:OWO131145 OWO196604:OWO196681 OWO262140:OWO262217 OWO327676:OWO327753 OWO393212:OWO393289 OWO458748:OWO458825 OWO524284:OWO524361 OWO589820:OWO589897 OWO655356:OWO655433 OWO720892:OWO720969 OWO786428:OWO786505 OWO851964:OWO852041 OWO917500:OWO917577 OWO983036:OWO983113 PGK2:PGK73 PGK65532:PGK65609 PGK131068:PGK131145 PGK196604:PGK196681 PGK262140:PGK262217 PGK327676:PGK327753 PGK393212:PGK393289 PGK458748:PGK458825 PGK524284:PGK524361 PGK589820:PGK589897 PGK655356:PGK655433 PGK720892:PGK720969 PGK786428:PGK786505 PGK851964:PGK852041 PGK917500:PGK917577 PGK983036:PGK983113 PQG2:PQG73 PQG65532:PQG65609 PQG131068:PQG131145 PQG196604:PQG196681 PQG262140:PQG262217 PQG327676:PQG327753 PQG393212:PQG393289 PQG458748:PQG458825 PQG524284:PQG524361 PQG589820:PQG589897 PQG655356:PQG655433 PQG720892:PQG720969 PQG786428:PQG786505 PQG851964:PQG852041 PQG917500:PQG917577 PQG983036:PQG983113 QAC2:QAC73 QAC65532:QAC65609 QAC131068:QAC131145 QAC196604:QAC196681 QAC262140:QAC262217 QAC327676:QAC327753 QAC393212:QAC393289 QAC458748:QAC458825 QAC524284:QAC524361 QAC589820:QAC589897 QAC655356:QAC655433 QAC720892:QAC720969 QAC786428:QAC786505 QAC851964:QAC852041 QAC917500:QAC917577 QAC983036:QAC983113 QJY2:QJY73 QJY65532:QJY65609 QJY131068:QJY131145 QJY196604:QJY196681 QJY262140:QJY262217 QJY327676:QJY327753 QJY393212:QJY393289 QJY458748:QJY458825 QJY524284:QJY524361 QJY589820:QJY589897 QJY655356:QJY655433 QJY720892:QJY720969 QJY786428:QJY786505 QJY851964:QJY852041 QJY917500:QJY917577 QJY983036:QJY983113 QTU2:QTU73 QTU65532:QTU65609 QTU131068:QTU131145 QTU196604:QTU196681 QTU262140:QTU262217 QTU327676:QTU327753 QTU393212:QTU393289 QTU458748:QTU458825 QTU524284:QTU524361 QTU589820:QTU589897 QTU655356:QTU655433 QTU720892:QTU720969 QTU786428:QTU786505 QTU851964:QTU852041 QTU917500:QTU917577 QTU983036:QTU983113 RDQ2:RDQ73 RDQ65532:RDQ65609 RDQ131068:RDQ131145 RDQ196604:RDQ196681 RDQ262140:RDQ262217 RDQ327676:RDQ327753 RDQ393212:RDQ393289 RDQ458748:RDQ458825 RDQ524284:RDQ524361 RDQ589820:RDQ589897 RDQ655356:RDQ655433 RDQ720892:RDQ720969 RDQ786428:RDQ786505 RDQ851964:RDQ852041 RDQ917500:RDQ917577 RDQ983036:RDQ983113 RNM2:RNM73 RNM65532:RNM65609 RNM131068:RNM131145 RNM196604:RNM196681 RNM262140:RNM262217 RNM327676:RNM327753 RNM393212:RNM393289 RNM458748:RNM458825 RNM524284:RNM524361 RNM589820:RNM589897 RNM655356:RNM655433 RNM720892:RNM720969 RNM786428:RNM786505 RNM851964:RNM852041 RNM917500:RNM917577 RNM983036:RNM983113 RXI2:RXI73 RXI65532:RXI65609 RXI131068:RXI131145 RXI196604:RXI196681 RXI262140:RXI262217 RXI327676:RXI327753 RXI393212:RXI393289 RXI458748:RXI458825 RXI524284:RXI524361 RXI589820:RXI589897 RXI655356:RXI655433 RXI720892:RXI720969 RXI786428:RXI786505 RXI851964:RXI852041 RXI917500:RXI917577 RXI983036:RXI983113 SHE2:SHE73 SHE65532:SHE65609 SHE131068:SHE131145 SHE196604:SHE196681 SHE262140:SHE262217 SHE327676:SHE327753 SHE393212:SHE393289 SHE458748:SHE458825 SHE524284:SHE524361 SHE589820:SHE589897 SHE655356:SHE655433 SHE720892:SHE720969 SHE786428:SHE786505 SHE851964:SHE852041 SHE917500:SHE917577 SHE983036:SHE983113 SRA2:SRA73 SRA65532:SRA65609 SRA131068:SRA131145 SRA196604:SRA196681 SRA262140:SRA262217 SRA327676:SRA327753 SRA393212:SRA393289 SRA458748:SRA458825 SRA524284:SRA524361 SRA589820:SRA589897 SRA655356:SRA655433 SRA720892:SRA720969 SRA786428:SRA786505 SRA851964:SRA852041 SRA917500:SRA917577 SRA983036:SRA983113 TAW2:TAW73 TAW65532:TAW65609 TAW131068:TAW131145 TAW196604:TAW196681 TAW262140:TAW262217 TAW327676:TAW327753 TAW393212:TAW393289 TAW458748:TAW458825 TAW524284:TAW524361 TAW589820:TAW589897 TAW655356:TAW655433 TAW720892:TAW720969 TAW786428:TAW786505 TAW851964:TAW852041 TAW917500:TAW917577 TAW983036:TAW983113 TKS2:TKS73 TKS65532:TKS65609 TKS131068:TKS131145 TKS196604:TKS196681 TKS262140:TKS262217 TKS327676:TKS327753 TKS393212:TKS393289 TKS458748:TKS458825 TKS524284:TKS524361 TKS589820:TKS589897 TKS655356:TKS655433 TKS720892:TKS720969 TKS786428:TKS786505 TKS851964:TKS852041 TKS917500:TKS917577 TKS983036:TKS983113 TUO2:TUO73 TUO65532:TUO65609 TUO131068:TUO131145 TUO196604:TUO196681 TUO262140:TUO262217 TUO327676:TUO327753 TUO393212:TUO393289 TUO458748:TUO458825 TUO524284:TUO524361 TUO589820:TUO589897 TUO655356:TUO655433 TUO720892:TUO720969 TUO786428:TUO786505 TUO851964:TUO852041 TUO917500:TUO917577 TUO983036:TUO983113 UEK2:UEK73 UEK65532:UEK65609 UEK131068:UEK131145 UEK196604:UEK196681 UEK262140:UEK262217 UEK327676:UEK327753 UEK393212:UEK393289 UEK458748:UEK458825 UEK524284:UEK524361 UEK589820:UEK589897 UEK655356:UEK655433 UEK720892:UEK720969 UEK786428:UEK786505 UEK851964:UEK852041 UEK917500:UEK917577 UEK983036:UEK983113 UOG2:UOG73 UOG65532:UOG65609 UOG131068:UOG131145 UOG196604:UOG196681 UOG262140:UOG262217 UOG327676:UOG327753 UOG393212:UOG393289 UOG458748:UOG458825 UOG524284:UOG524361 UOG589820:UOG589897 UOG655356:UOG655433 UOG720892:UOG720969 UOG786428:UOG786505 UOG851964:UOG852041 UOG917500:UOG917577 UOG983036:UOG983113 UYC2:UYC73 UYC65532:UYC65609 UYC131068:UYC131145 UYC196604:UYC196681 UYC262140:UYC262217 UYC327676:UYC327753 UYC393212:UYC393289 UYC458748:UYC458825 UYC524284:UYC524361 UYC589820:UYC589897 UYC655356:UYC655433 UYC720892:UYC720969 UYC786428:UYC786505 UYC851964:UYC852041 UYC917500:UYC917577 UYC983036:UYC983113 VHY2:VHY73 VHY65532:VHY65609 VHY131068:VHY131145 VHY196604:VHY196681 VHY262140:VHY262217 VHY327676:VHY327753 VHY393212:VHY393289 VHY458748:VHY458825 VHY524284:VHY524361 VHY589820:VHY589897 VHY655356:VHY655433 VHY720892:VHY720969 VHY786428:VHY786505 VHY851964:VHY852041 VHY917500:VHY917577 VHY983036:VHY983113 VRU2:VRU73 VRU65532:VRU65609 VRU131068:VRU131145 VRU196604:VRU196681 VRU262140:VRU262217 VRU327676:VRU327753 VRU393212:VRU393289 VRU458748:VRU458825 VRU524284:VRU524361 VRU589820:VRU589897 VRU655356:VRU655433 VRU720892:VRU720969 VRU786428:VRU786505 VRU851964:VRU852041 VRU917500:VRU917577 VRU983036:VRU983113 WBQ2:WBQ73 WBQ65532:WBQ65609 WBQ131068:WBQ131145 WBQ196604:WBQ196681 WBQ262140:WBQ262217 WBQ327676:WBQ327753 WBQ393212:WBQ393289 WBQ458748:WBQ458825 WBQ524284:WBQ524361 WBQ589820:WBQ589897 WBQ655356:WBQ655433 WBQ720892:WBQ720969 WBQ786428:WBQ786505 WBQ851964:WBQ852041 WBQ917500:WBQ917577 WBQ983036:WBQ983113 WLM2:WLM73 WLM65532:WLM65609 WLM131068:WLM131145 WLM196604:WLM196681 WLM262140:WLM262217 WLM327676:WLM327753 WLM393212:WLM393289 WLM458748:WLM458825 WLM524284:WLM524361 WLM589820:WLM589897 WLM655356:WLM655433 WLM720892:WLM720969 WLM786428:WLM786505 WLM851964:WLM852041 WLM917500:WLM917577 WLM983036:WLM983113 WVI2:WVI73 WVI65532:WVI65609 WVI131068:WVI131145 WVI196604:WVI196681 WVI262140:WVI262217 WVI327676:WVI327753 WVI393212:WVI393289 WVI458748:WVI458825 WVI524284:WVI524361 WVI589820:WVI589897 WVI655356:WVI655433 WVI720892:WVI720969 WVI786428:WVI786505 WVI851964:WVI852041 WVI917500:WVI917577 WVI983036:WVI983113">
      <formula1>$AE$2:$AE$16</formula1>
    </dataValidation>
    <dataValidation type="list" allowBlank="1" showInputMessage="1" showErrorMessage="1" sqref="Y2:AA494">
      <formula1>$AV$2:$AV$18</formula1>
    </dataValidation>
    <dataValidation type="list" allowBlank="1" showInputMessage="1" showErrorMessage="1" sqref="K2:K83">
      <formula1>$AR$2:$AR$20</formula1>
    </dataValidation>
    <dataValidation type="list" allowBlank="1" showInputMessage="1" showErrorMessage="1" sqref="F2:F725 F65532:F65609 F131068:F131145 F196604:F196681 F262140:F262217 F327676:F327753 F393212:F393289 F458748:F458825 F524284:F524361 F589820:F589897 F655356:F655433 F720892:F720969 F786428:F786505 F851964:F852041 F917500:F917577 F983036:F983113 JB2:JB73 JB65532:JB65609 JB131068:JB131145 JB196604:JB196681 JB262140:JB262217 JB327676:JB327753 JB393212:JB393289 JB458748:JB458825 JB524284:JB524361 JB589820:JB589897 JB655356:JB655433 JB720892:JB720969 JB786428:JB786505 JB851964:JB852041 JB917500:JB917577 JB983036:JB983113 SX2:SX73 SX65532:SX65609 SX131068:SX131145 SX196604:SX196681 SX262140:SX262217 SX327676:SX327753 SX393212:SX393289 SX458748:SX458825 SX524284:SX524361 SX589820:SX589897 SX655356:SX655433 SX720892:SX720969 SX786428:SX786505 SX851964:SX852041 SX917500:SX917577 SX983036:SX983113 ACT2:ACT73 ACT65532:ACT65609 ACT131068:ACT131145 ACT196604:ACT196681 ACT262140:ACT262217 ACT327676:ACT327753 ACT393212:ACT393289 ACT458748:ACT458825 ACT524284:ACT524361 ACT589820:ACT589897 ACT655356:ACT655433 ACT720892:ACT720969 ACT786428:ACT786505 ACT851964:ACT852041 ACT917500:ACT917577 ACT983036:ACT983113 AMP2:AMP73 AMP65532:AMP65609 AMP131068:AMP131145 AMP196604:AMP196681 AMP262140:AMP262217 AMP327676:AMP327753 AMP393212:AMP393289 AMP458748:AMP458825 AMP524284:AMP524361 AMP589820:AMP589897 AMP655356:AMP655433 AMP720892:AMP720969 AMP786428:AMP786505 AMP851964:AMP852041 AMP917500:AMP917577 AMP983036:AMP983113 AWL2:AWL73 AWL65532:AWL65609 AWL131068:AWL131145 AWL196604:AWL196681 AWL262140:AWL262217 AWL327676:AWL327753 AWL393212:AWL393289 AWL458748:AWL458825 AWL524284:AWL524361 AWL589820:AWL589897 AWL655356:AWL655433 AWL720892:AWL720969 AWL786428:AWL786505 AWL851964:AWL852041 AWL917500:AWL917577 AWL983036:AWL983113 BGH2:BGH73 BGH65532:BGH65609 BGH131068:BGH131145 BGH196604:BGH196681 BGH262140:BGH262217 BGH327676:BGH327753 BGH393212:BGH393289 BGH458748:BGH458825 BGH524284:BGH524361 BGH589820:BGH589897 BGH655356:BGH655433 BGH720892:BGH720969 BGH786428:BGH786505 BGH851964:BGH852041 BGH917500:BGH917577 BGH983036:BGH983113 BQD2:BQD73 BQD65532:BQD65609 BQD131068:BQD131145 BQD196604:BQD196681 BQD262140:BQD262217 BQD327676:BQD327753 BQD393212:BQD393289 BQD458748:BQD458825 BQD524284:BQD524361 BQD589820:BQD589897 BQD655356:BQD655433 BQD720892:BQD720969 BQD786428:BQD786505 BQD851964:BQD852041 BQD917500:BQD917577 BQD983036:BQD983113 BZZ2:BZZ73 BZZ65532:BZZ65609 BZZ131068:BZZ131145 BZZ196604:BZZ196681 BZZ262140:BZZ262217 BZZ327676:BZZ327753 BZZ393212:BZZ393289 BZZ458748:BZZ458825 BZZ524284:BZZ524361 BZZ589820:BZZ589897 BZZ655356:BZZ655433 BZZ720892:BZZ720969 BZZ786428:BZZ786505 BZZ851964:BZZ852041 BZZ917500:BZZ917577 BZZ983036:BZZ983113 CJV2:CJV73 CJV65532:CJV65609 CJV131068:CJV131145 CJV196604:CJV196681 CJV262140:CJV262217 CJV327676:CJV327753 CJV393212:CJV393289 CJV458748:CJV458825 CJV524284:CJV524361 CJV589820:CJV589897 CJV655356:CJV655433 CJV720892:CJV720969 CJV786428:CJV786505 CJV851964:CJV852041 CJV917500:CJV917577 CJV983036:CJV983113 CTR2:CTR73 CTR65532:CTR65609 CTR131068:CTR131145 CTR196604:CTR196681 CTR262140:CTR262217 CTR327676:CTR327753 CTR393212:CTR393289 CTR458748:CTR458825 CTR524284:CTR524361 CTR589820:CTR589897 CTR655356:CTR655433 CTR720892:CTR720969 CTR786428:CTR786505 CTR851964:CTR852041 CTR917500:CTR917577 CTR983036:CTR983113 DDN2:DDN73 DDN65532:DDN65609 DDN131068:DDN131145 DDN196604:DDN196681 DDN262140:DDN262217 DDN327676:DDN327753 DDN393212:DDN393289 DDN458748:DDN458825 DDN524284:DDN524361 DDN589820:DDN589897 DDN655356:DDN655433 DDN720892:DDN720969 DDN786428:DDN786505 DDN851964:DDN852041 DDN917500:DDN917577 DDN983036:DDN983113 DNJ2:DNJ73 DNJ65532:DNJ65609 DNJ131068:DNJ131145 DNJ196604:DNJ196681 DNJ262140:DNJ262217 DNJ327676:DNJ327753 DNJ393212:DNJ393289 DNJ458748:DNJ458825 DNJ524284:DNJ524361 DNJ589820:DNJ589897 DNJ655356:DNJ655433 DNJ720892:DNJ720969 DNJ786428:DNJ786505 DNJ851964:DNJ852041 DNJ917500:DNJ917577 DNJ983036:DNJ983113 DXF2:DXF73 DXF65532:DXF65609 DXF131068:DXF131145 DXF196604:DXF196681 DXF262140:DXF262217 DXF327676:DXF327753 DXF393212:DXF393289 DXF458748:DXF458825 DXF524284:DXF524361 DXF589820:DXF589897 DXF655356:DXF655433 DXF720892:DXF720969 DXF786428:DXF786505 DXF851964:DXF852041 DXF917500:DXF917577 DXF983036:DXF983113 EHB2:EHB73 EHB65532:EHB65609 EHB131068:EHB131145 EHB196604:EHB196681 EHB262140:EHB262217 EHB327676:EHB327753 EHB393212:EHB393289 EHB458748:EHB458825 EHB524284:EHB524361 EHB589820:EHB589897 EHB655356:EHB655433 EHB720892:EHB720969 EHB786428:EHB786505 EHB851964:EHB852041 EHB917500:EHB917577 EHB983036:EHB983113 EQX2:EQX73 EQX65532:EQX65609 EQX131068:EQX131145 EQX196604:EQX196681 EQX262140:EQX262217 EQX327676:EQX327753 EQX393212:EQX393289 EQX458748:EQX458825 EQX524284:EQX524361 EQX589820:EQX589897 EQX655356:EQX655433 EQX720892:EQX720969 EQX786428:EQX786505 EQX851964:EQX852041 EQX917500:EQX917577 EQX983036:EQX983113 FAT2:FAT73 FAT65532:FAT65609 FAT131068:FAT131145 FAT196604:FAT196681 FAT262140:FAT262217 FAT327676:FAT327753 FAT393212:FAT393289 FAT458748:FAT458825 FAT524284:FAT524361 FAT589820:FAT589897 FAT655356:FAT655433 FAT720892:FAT720969 FAT786428:FAT786505 FAT851964:FAT852041 FAT917500:FAT917577 FAT983036:FAT983113 FKP2:FKP73 FKP65532:FKP65609 FKP131068:FKP131145 FKP196604:FKP196681 FKP262140:FKP262217 FKP327676:FKP327753 FKP393212:FKP393289 FKP458748:FKP458825 FKP524284:FKP524361 FKP589820:FKP589897 FKP655356:FKP655433 FKP720892:FKP720969 FKP786428:FKP786505 FKP851964:FKP852041 FKP917500:FKP917577 FKP983036:FKP983113 FUL2:FUL73 FUL65532:FUL65609 FUL131068:FUL131145 FUL196604:FUL196681 FUL262140:FUL262217 FUL327676:FUL327753 FUL393212:FUL393289 FUL458748:FUL458825 FUL524284:FUL524361 FUL589820:FUL589897 FUL655356:FUL655433 FUL720892:FUL720969 FUL786428:FUL786505 FUL851964:FUL852041 FUL917500:FUL917577 FUL983036:FUL983113 GEH2:GEH73 GEH65532:GEH65609 GEH131068:GEH131145 GEH196604:GEH196681 GEH262140:GEH262217 GEH327676:GEH327753 GEH393212:GEH393289 GEH458748:GEH458825 GEH524284:GEH524361 GEH589820:GEH589897 GEH655356:GEH655433 GEH720892:GEH720969 GEH786428:GEH786505 GEH851964:GEH852041 GEH917500:GEH917577 GEH983036:GEH983113 GOD2:GOD73 GOD65532:GOD65609 GOD131068:GOD131145 GOD196604:GOD196681 GOD262140:GOD262217 GOD327676:GOD327753 GOD393212:GOD393289 GOD458748:GOD458825 GOD524284:GOD524361 GOD589820:GOD589897 GOD655356:GOD655433 GOD720892:GOD720969 GOD786428:GOD786505 GOD851964:GOD852041 GOD917500:GOD917577 GOD983036:GOD983113 GXZ2:GXZ73 GXZ65532:GXZ65609 GXZ131068:GXZ131145 GXZ196604:GXZ196681 GXZ262140:GXZ262217 GXZ327676:GXZ327753 GXZ393212:GXZ393289 GXZ458748:GXZ458825 GXZ524284:GXZ524361 GXZ589820:GXZ589897 GXZ655356:GXZ655433 GXZ720892:GXZ720969 GXZ786428:GXZ786505 GXZ851964:GXZ852041 GXZ917500:GXZ917577 GXZ983036:GXZ983113 HHV2:HHV73 HHV65532:HHV65609 HHV131068:HHV131145 HHV196604:HHV196681 HHV262140:HHV262217 HHV327676:HHV327753 HHV393212:HHV393289 HHV458748:HHV458825 HHV524284:HHV524361 HHV589820:HHV589897 HHV655356:HHV655433 HHV720892:HHV720969 HHV786428:HHV786505 HHV851964:HHV852041 HHV917500:HHV917577 HHV983036:HHV983113 HRR2:HRR73 HRR65532:HRR65609 HRR131068:HRR131145 HRR196604:HRR196681 HRR262140:HRR262217 HRR327676:HRR327753 HRR393212:HRR393289 HRR458748:HRR458825 HRR524284:HRR524361 HRR589820:HRR589897 HRR655356:HRR655433 HRR720892:HRR720969 HRR786428:HRR786505 HRR851964:HRR852041 HRR917500:HRR917577 HRR983036:HRR983113 IBN2:IBN73 IBN65532:IBN65609 IBN131068:IBN131145 IBN196604:IBN196681 IBN262140:IBN262217 IBN327676:IBN327753 IBN393212:IBN393289 IBN458748:IBN458825 IBN524284:IBN524361 IBN589820:IBN589897 IBN655356:IBN655433 IBN720892:IBN720969 IBN786428:IBN786505 IBN851964:IBN852041 IBN917500:IBN917577 IBN983036:IBN983113 ILJ2:ILJ73 ILJ65532:ILJ65609 ILJ131068:ILJ131145 ILJ196604:ILJ196681 ILJ262140:ILJ262217 ILJ327676:ILJ327753 ILJ393212:ILJ393289 ILJ458748:ILJ458825 ILJ524284:ILJ524361 ILJ589820:ILJ589897 ILJ655356:ILJ655433 ILJ720892:ILJ720969 ILJ786428:ILJ786505 ILJ851964:ILJ852041 ILJ917500:ILJ917577 ILJ983036:ILJ983113 IVF2:IVF73 IVF65532:IVF65609 IVF131068:IVF131145 IVF196604:IVF196681 IVF262140:IVF262217 IVF327676:IVF327753 IVF393212:IVF393289 IVF458748:IVF458825 IVF524284:IVF524361 IVF589820:IVF589897 IVF655356:IVF655433 IVF720892:IVF720969 IVF786428:IVF786505 IVF851964:IVF852041 IVF917500:IVF917577 IVF983036:IVF983113 JFB2:JFB73 JFB65532:JFB65609 JFB131068:JFB131145 JFB196604:JFB196681 JFB262140:JFB262217 JFB327676:JFB327753 JFB393212:JFB393289 JFB458748:JFB458825 JFB524284:JFB524361 JFB589820:JFB589897 JFB655356:JFB655433 JFB720892:JFB720969 JFB786428:JFB786505 JFB851964:JFB852041 JFB917500:JFB917577 JFB983036:JFB983113 JOX2:JOX73 JOX65532:JOX65609 JOX131068:JOX131145 JOX196604:JOX196681 JOX262140:JOX262217 JOX327676:JOX327753 JOX393212:JOX393289 JOX458748:JOX458825 JOX524284:JOX524361 JOX589820:JOX589897 JOX655356:JOX655433 JOX720892:JOX720969 JOX786428:JOX786505 JOX851964:JOX852041 JOX917500:JOX917577 JOX983036:JOX983113 JYT2:JYT73 JYT65532:JYT65609 JYT131068:JYT131145 JYT196604:JYT196681 JYT262140:JYT262217 JYT327676:JYT327753 JYT393212:JYT393289 JYT458748:JYT458825 JYT524284:JYT524361 JYT589820:JYT589897 JYT655356:JYT655433 JYT720892:JYT720969 JYT786428:JYT786505 JYT851964:JYT852041 JYT917500:JYT917577 JYT983036:JYT983113 KIP2:KIP73 KIP65532:KIP65609 KIP131068:KIP131145 KIP196604:KIP196681 KIP262140:KIP262217 KIP327676:KIP327753 KIP393212:KIP393289 KIP458748:KIP458825 KIP524284:KIP524361 KIP589820:KIP589897 KIP655356:KIP655433 KIP720892:KIP720969 KIP786428:KIP786505 KIP851964:KIP852041 KIP917500:KIP917577 KIP983036:KIP983113 KSL2:KSL73 KSL65532:KSL65609 KSL131068:KSL131145 KSL196604:KSL196681 KSL262140:KSL262217 KSL327676:KSL327753 KSL393212:KSL393289 KSL458748:KSL458825 KSL524284:KSL524361 KSL589820:KSL589897 KSL655356:KSL655433 KSL720892:KSL720969 KSL786428:KSL786505 KSL851964:KSL852041 KSL917500:KSL917577 KSL983036:KSL983113 LCH2:LCH73 LCH65532:LCH65609 LCH131068:LCH131145 LCH196604:LCH196681 LCH262140:LCH262217 LCH327676:LCH327753 LCH393212:LCH393289 LCH458748:LCH458825 LCH524284:LCH524361 LCH589820:LCH589897 LCH655356:LCH655433 LCH720892:LCH720969 LCH786428:LCH786505 LCH851964:LCH852041 LCH917500:LCH917577 LCH983036:LCH983113 LMD2:LMD73 LMD65532:LMD65609 LMD131068:LMD131145 LMD196604:LMD196681 LMD262140:LMD262217 LMD327676:LMD327753 LMD393212:LMD393289 LMD458748:LMD458825 LMD524284:LMD524361 LMD589820:LMD589897 LMD655356:LMD655433 LMD720892:LMD720969 LMD786428:LMD786505 LMD851964:LMD852041 LMD917500:LMD917577 LMD983036:LMD983113 LVZ2:LVZ73 LVZ65532:LVZ65609 LVZ131068:LVZ131145 LVZ196604:LVZ196681 LVZ262140:LVZ262217 LVZ327676:LVZ327753 LVZ393212:LVZ393289 LVZ458748:LVZ458825 LVZ524284:LVZ524361 LVZ589820:LVZ589897 LVZ655356:LVZ655433 LVZ720892:LVZ720969 LVZ786428:LVZ786505 LVZ851964:LVZ852041 LVZ917500:LVZ917577 LVZ983036:LVZ983113 MFV2:MFV73 MFV65532:MFV65609 MFV131068:MFV131145 MFV196604:MFV196681 MFV262140:MFV262217 MFV327676:MFV327753 MFV393212:MFV393289 MFV458748:MFV458825 MFV524284:MFV524361 MFV589820:MFV589897 MFV655356:MFV655433 MFV720892:MFV720969 MFV786428:MFV786505 MFV851964:MFV852041 MFV917500:MFV917577 MFV983036:MFV983113 MPR2:MPR73 MPR65532:MPR65609 MPR131068:MPR131145 MPR196604:MPR196681 MPR262140:MPR262217 MPR327676:MPR327753 MPR393212:MPR393289 MPR458748:MPR458825 MPR524284:MPR524361 MPR589820:MPR589897 MPR655356:MPR655433 MPR720892:MPR720969 MPR786428:MPR786505 MPR851964:MPR852041 MPR917500:MPR917577 MPR983036:MPR983113 MZN2:MZN73 MZN65532:MZN65609 MZN131068:MZN131145 MZN196604:MZN196681 MZN262140:MZN262217 MZN327676:MZN327753 MZN393212:MZN393289 MZN458748:MZN458825 MZN524284:MZN524361 MZN589820:MZN589897 MZN655356:MZN655433 MZN720892:MZN720969 MZN786428:MZN786505 MZN851964:MZN852041 MZN917500:MZN917577 MZN983036:MZN983113 NJJ2:NJJ73 NJJ65532:NJJ65609 NJJ131068:NJJ131145 NJJ196604:NJJ196681 NJJ262140:NJJ262217 NJJ327676:NJJ327753 NJJ393212:NJJ393289 NJJ458748:NJJ458825 NJJ524284:NJJ524361 NJJ589820:NJJ589897 NJJ655356:NJJ655433 NJJ720892:NJJ720969 NJJ786428:NJJ786505 NJJ851964:NJJ852041 NJJ917500:NJJ917577 NJJ983036:NJJ983113 NTF2:NTF73 NTF65532:NTF65609 NTF131068:NTF131145 NTF196604:NTF196681 NTF262140:NTF262217 NTF327676:NTF327753 NTF393212:NTF393289 NTF458748:NTF458825 NTF524284:NTF524361 NTF589820:NTF589897 NTF655356:NTF655433 NTF720892:NTF720969 NTF786428:NTF786505 NTF851964:NTF852041 NTF917500:NTF917577 NTF983036:NTF983113 ODB2:ODB73 ODB65532:ODB65609 ODB131068:ODB131145 ODB196604:ODB196681 ODB262140:ODB262217 ODB327676:ODB327753 ODB393212:ODB393289 ODB458748:ODB458825 ODB524284:ODB524361 ODB589820:ODB589897 ODB655356:ODB655433 ODB720892:ODB720969 ODB786428:ODB786505 ODB851964:ODB852041 ODB917500:ODB917577 ODB983036:ODB983113 OMX2:OMX73 OMX65532:OMX65609 OMX131068:OMX131145 OMX196604:OMX196681 OMX262140:OMX262217 OMX327676:OMX327753 OMX393212:OMX393289 OMX458748:OMX458825 OMX524284:OMX524361 OMX589820:OMX589897 OMX655356:OMX655433 OMX720892:OMX720969 OMX786428:OMX786505 OMX851964:OMX852041 OMX917500:OMX917577 OMX983036:OMX983113 OWT2:OWT73 OWT65532:OWT65609 OWT131068:OWT131145 OWT196604:OWT196681 OWT262140:OWT262217 OWT327676:OWT327753 OWT393212:OWT393289 OWT458748:OWT458825 OWT524284:OWT524361 OWT589820:OWT589897 OWT655356:OWT655433 OWT720892:OWT720969 OWT786428:OWT786505 OWT851964:OWT852041 OWT917500:OWT917577 OWT983036:OWT983113 PGP2:PGP73 PGP65532:PGP65609 PGP131068:PGP131145 PGP196604:PGP196681 PGP262140:PGP262217 PGP327676:PGP327753 PGP393212:PGP393289 PGP458748:PGP458825 PGP524284:PGP524361 PGP589820:PGP589897 PGP655356:PGP655433 PGP720892:PGP720969 PGP786428:PGP786505 PGP851964:PGP852041 PGP917500:PGP917577 PGP983036:PGP983113 PQL2:PQL73 PQL65532:PQL65609 PQL131068:PQL131145 PQL196604:PQL196681 PQL262140:PQL262217 PQL327676:PQL327753 PQL393212:PQL393289 PQL458748:PQL458825 PQL524284:PQL524361 PQL589820:PQL589897 PQL655356:PQL655433 PQL720892:PQL720969 PQL786428:PQL786505 PQL851964:PQL852041 PQL917500:PQL917577 PQL983036:PQL983113 QAH2:QAH73 QAH65532:QAH65609 QAH131068:QAH131145 QAH196604:QAH196681 QAH262140:QAH262217 QAH327676:QAH327753 QAH393212:QAH393289 QAH458748:QAH458825 QAH524284:QAH524361 QAH589820:QAH589897 QAH655356:QAH655433 QAH720892:QAH720969 QAH786428:QAH786505 QAH851964:QAH852041 QAH917500:QAH917577 QAH983036:QAH983113 QKD2:QKD73 QKD65532:QKD65609 QKD131068:QKD131145 QKD196604:QKD196681 QKD262140:QKD262217 QKD327676:QKD327753 QKD393212:QKD393289 QKD458748:QKD458825 QKD524284:QKD524361 QKD589820:QKD589897 QKD655356:QKD655433 QKD720892:QKD720969 QKD786428:QKD786505 QKD851964:QKD852041 QKD917500:QKD917577 QKD983036:QKD983113 QTZ2:QTZ73 QTZ65532:QTZ65609 QTZ131068:QTZ131145 QTZ196604:QTZ196681 QTZ262140:QTZ262217 QTZ327676:QTZ327753 QTZ393212:QTZ393289 QTZ458748:QTZ458825 QTZ524284:QTZ524361 QTZ589820:QTZ589897 QTZ655356:QTZ655433 QTZ720892:QTZ720969 QTZ786428:QTZ786505 QTZ851964:QTZ852041 QTZ917500:QTZ917577 QTZ983036:QTZ983113 RDV2:RDV73 RDV65532:RDV65609 RDV131068:RDV131145 RDV196604:RDV196681 RDV262140:RDV262217 RDV327676:RDV327753 RDV393212:RDV393289 RDV458748:RDV458825 RDV524284:RDV524361 RDV589820:RDV589897 RDV655356:RDV655433 RDV720892:RDV720969 RDV786428:RDV786505 RDV851964:RDV852041 RDV917500:RDV917577 RDV983036:RDV983113 RNR2:RNR73 RNR65532:RNR65609 RNR131068:RNR131145 RNR196604:RNR196681 RNR262140:RNR262217 RNR327676:RNR327753 RNR393212:RNR393289 RNR458748:RNR458825 RNR524284:RNR524361 RNR589820:RNR589897 RNR655356:RNR655433 RNR720892:RNR720969 RNR786428:RNR786505 RNR851964:RNR852041 RNR917500:RNR917577 RNR983036:RNR983113 RXN2:RXN73 RXN65532:RXN65609 RXN131068:RXN131145 RXN196604:RXN196681 RXN262140:RXN262217 RXN327676:RXN327753 RXN393212:RXN393289 RXN458748:RXN458825 RXN524284:RXN524361 RXN589820:RXN589897 RXN655356:RXN655433 RXN720892:RXN720969 RXN786428:RXN786505 RXN851964:RXN852041 RXN917500:RXN917577 RXN983036:RXN983113 SHJ2:SHJ73 SHJ65532:SHJ65609 SHJ131068:SHJ131145 SHJ196604:SHJ196681 SHJ262140:SHJ262217 SHJ327676:SHJ327753 SHJ393212:SHJ393289 SHJ458748:SHJ458825 SHJ524284:SHJ524361 SHJ589820:SHJ589897 SHJ655356:SHJ655433 SHJ720892:SHJ720969 SHJ786428:SHJ786505 SHJ851964:SHJ852041 SHJ917500:SHJ917577 SHJ983036:SHJ983113 SRF2:SRF73 SRF65532:SRF65609 SRF131068:SRF131145 SRF196604:SRF196681 SRF262140:SRF262217 SRF327676:SRF327753 SRF393212:SRF393289 SRF458748:SRF458825 SRF524284:SRF524361 SRF589820:SRF589897 SRF655356:SRF655433 SRF720892:SRF720969 SRF786428:SRF786505 SRF851964:SRF852041 SRF917500:SRF917577 SRF983036:SRF983113 TBB2:TBB73 TBB65532:TBB65609 TBB131068:TBB131145 TBB196604:TBB196681 TBB262140:TBB262217 TBB327676:TBB327753 TBB393212:TBB393289 TBB458748:TBB458825 TBB524284:TBB524361 TBB589820:TBB589897 TBB655356:TBB655433 TBB720892:TBB720969 TBB786428:TBB786505 TBB851964:TBB852041 TBB917500:TBB917577 TBB983036:TBB983113 TKX2:TKX73 TKX65532:TKX65609 TKX131068:TKX131145 TKX196604:TKX196681 TKX262140:TKX262217 TKX327676:TKX327753 TKX393212:TKX393289 TKX458748:TKX458825 TKX524284:TKX524361 TKX589820:TKX589897 TKX655356:TKX655433 TKX720892:TKX720969 TKX786428:TKX786505 TKX851964:TKX852041 TKX917500:TKX917577 TKX983036:TKX983113 TUT2:TUT73 TUT65532:TUT65609 TUT131068:TUT131145 TUT196604:TUT196681 TUT262140:TUT262217 TUT327676:TUT327753 TUT393212:TUT393289 TUT458748:TUT458825 TUT524284:TUT524361 TUT589820:TUT589897 TUT655356:TUT655433 TUT720892:TUT720969 TUT786428:TUT786505 TUT851964:TUT852041 TUT917500:TUT917577 TUT983036:TUT983113 UEP2:UEP73 UEP65532:UEP65609 UEP131068:UEP131145 UEP196604:UEP196681 UEP262140:UEP262217 UEP327676:UEP327753 UEP393212:UEP393289 UEP458748:UEP458825 UEP524284:UEP524361 UEP589820:UEP589897 UEP655356:UEP655433 UEP720892:UEP720969 UEP786428:UEP786505 UEP851964:UEP852041 UEP917500:UEP917577 UEP983036:UEP983113 UOL2:UOL73 UOL65532:UOL65609 UOL131068:UOL131145 UOL196604:UOL196681 UOL262140:UOL262217 UOL327676:UOL327753 UOL393212:UOL393289 UOL458748:UOL458825 UOL524284:UOL524361 UOL589820:UOL589897 UOL655356:UOL655433 UOL720892:UOL720969 UOL786428:UOL786505 UOL851964:UOL852041 UOL917500:UOL917577 UOL983036:UOL983113 UYH2:UYH73 UYH65532:UYH65609 UYH131068:UYH131145 UYH196604:UYH196681 UYH262140:UYH262217 UYH327676:UYH327753 UYH393212:UYH393289 UYH458748:UYH458825 UYH524284:UYH524361 UYH589820:UYH589897 UYH655356:UYH655433 UYH720892:UYH720969 UYH786428:UYH786505 UYH851964:UYH852041 UYH917500:UYH917577 UYH983036:UYH983113 VID2:VID73 VID65532:VID65609 VID131068:VID131145 VID196604:VID196681 VID262140:VID262217 VID327676:VID327753 VID393212:VID393289 VID458748:VID458825 VID524284:VID524361 VID589820:VID589897 VID655356:VID655433 VID720892:VID720969 VID786428:VID786505 VID851964:VID852041 VID917500:VID917577 VID983036:VID983113 VRZ2:VRZ73 VRZ65532:VRZ65609 VRZ131068:VRZ131145 VRZ196604:VRZ196681 VRZ262140:VRZ262217 VRZ327676:VRZ327753 VRZ393212:VRZ393289 VRZ458748:VRZ458825 VRZ524284:VRZ524361 VRZ589820:VRZ589897 VRZ655356:VRZ655433 VRZ720892:VRZ720969 VRZ786428:VRZ786505 VRZ851964:VRZ852041 VRZ917500:VRZ917577 VRZ983036:VRZ983113 WBV2:WBV73 WBV65532:WBV65609 WBV131068:WBV131145 WBV196604:WBV196681 WBV262140:WBV262217 WBV327676:WBV327753 WBV393212:WBV393289 WBV458748:WBV458825 WBV524284:WBV524361 WBV589820:WBV589897 WBV655356:WBV655433 WBV720892:WBV720969 WBV786428:WBV786505 WBV851964:WBV852041 WBV917500:WBV917577 WBV983036:WBV983113 WLR2:WLR73 WLR65532:WLR65609 WLR131068:WLR131145 WLR196604:WLR196681 WLR262140:WLR262217 WLR327676:WLR327753 WLR393212:WLR393289 WLR458748:WLR458825 WLR524284:WLR524361 WLR589820:WLR589897 WLR655356:WLR655433 WLR720892:WLR720969 WLR786428:WLR786505 WLR851964:WLR852041 WLR917500:WLR917577 WLR983036:WLR983113 WVN2:WVN73 WVN65532:WVN65609 WVN131068:WVN131145 WVN196604:WVN196681 WVN262140:WVN262217 WVN327676:WVN327753 WVN393212:WVN393289 WVN458748:WVN458825 WVN524284:WVN524361 WVN589820:WVN589897 WVN655356:WVN655433 WVN720892:WVN720969 WVN786428:WVN786505 WVN851964:WVN852041 WVN917500:WVN917577 WVN983036:WVN983113">
      <formula1>$AH$2:$AH$10</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zoomScale="70" zoomScaleNormal="70" workbookViewId="0">
      <selection activeCell="AC35" sqref="AC35"/>
    </sheetView>
  </sheetViews>
  <sheetFormatPr defaultRowHeight="13.5" x14ac:dyDescent="0.15"/>
  <cols>
    <col min="1" max="3" width="9" style="203" customWidth="1"/>
    <col min="4" max="4" width="10.5" style="203" customWidth="1"/>
    <col min="5" max="5" width="11.25" style="203" bestFit="1" customWidth="1"/>
    <col min="6" max="7" width="9" style="203"/>
    <col min="8" max="10" width="9" style="203" customWidth="1"/>
    <col min="11" max="11" width="11.375" style="203" customWidth="1"/>
    <col min="12" max="16" width="9" style="203" customWidth="1"/>
    <col min="17" max="17" width="9" style="212" customWidth="1"/>
    <col min="18" max="18" width="9" style="203"/>
    <col min="19" max="19" width="9.5" style="203" bestFit="1" customWidth="1"/>
    <col min="20" max="20" width="9" style="212" customWidth="1"/>
    <col min="21" max="21" width="9" style="203"/>
    <col min="22" max="22" width="9" style="212" customWidth="1"/>
    <col min="23" max="28" width="9" style="203"/>
    <col min="29" max="29" width="26.5" style="203" customWidth="1"/>
    <col min="30" max="32" width="9" style="203"/>
    <col min="33" max="33" width="15.75" style="203" bestFit="1" customWidth="1"/>
    <col min="34" max="34" width="15" style="203" bestFit="1" customWidth="1"/>
    <col min="35" max="256" width="9" style="203"/>
    <col min="257" max="259" width="9" style="203" customWidth="1"/>
    <col min="260" max="260" width="10.5" style="203" customWidth="1"/>
    <col min="261" max="261" width="11.25" style="203" bestFit="1" customWidth="1"/>
    <col min="262" max="263" width="9" style="203"/>
    <col min="264" max="273" width="9" style="203" customWidth="1"/>
    <col min="274" max="274" width="9" style="203"/>
    <col min="275" max="275" width="9.5" style="203" bestFit="1" customWidth="1"/>
    <col min="276" max="276" width="9" style="203" customWidth="1"/>
    <col min="277" max="277" width="9" style="203"/>
    <col min="278" max="278" width="9" style="203" customWidth="1"/>
    <col min="279" max="284" width="9" style="203"/>
    <col min="285" max="285" width="26.5" style="203" customWidth="1"/>
    <col min="286" max="288" width="9" style="203"/>
    <col min="289" max="289" width="14.75" style="203" bestFit="1" customWidth="1"/>
    <col min="290" max="512" width="9" style="203"/>
    <col min="513" max="515" width="9" style="203" customWidth="1"/>
    <col min="516" max="516" width="10.5" style="203" customWidth="1"/>
    <col min="517" max="517" width="11.25" style="203" bestFit="1" customWidth="1"/>
    <col min="518" max="519" width="9" style="203"/>
    <col min="520" max="529" width="9" style="203" customWidth="1"/>
    <col min="530" max="530" width="9" style="203"/>
    <col min="531" max="531" width="9.5" style="203" bestFit="1" customWidth="1"/>
    <col min="532" max="532" width="9" style="203" customWidth="1"/>
    <col min="533" max="533" width="9" style="203"/>
    <col min="534" max="534" width="9" style="203" customWidth="1"/>
    <col min="535" max="540" width="9" style="203"/>
    <col min="541" max="541" width="26.5" style="203" customWidth="1"/>
    <col min="542" max="544" width="9" style="203"/>
    <col min="545" max="545" width="14.75" style="203" bestFit="1" customWidth="1"/>
    <col min="546" max="768" width="9" style="203"/>
    <col min="769" max="771" width="9" style="203" customWidth="1"/>
    <col min="772" max="772" width="10.5" style="203" customWidth="1"/>
    <col min="773" max="773" width="11.25" style="203" bestFit="1" customWidth="1"/>
    <col min="774" max="775" width="9" style="203"/>
    <col min="776" max="785" width="9" style="203" customWidth="1"/>
    <col min="786" max="786" width="9" style="203"/>
    <col min="787" max="787" width="9.5" style="203" bestFit="1" customWidth="1"/>
    <col min="788" max="788" width="9" style="203" customWidth="1"/>
    <col min="789" max="789" width="9" style="203"/>
    <col min="790" max="790" width="9" style="203" customWidth="1"/>
    <col min="791" max="796" width="9" style="203"/>
    <col min="797" max="797" width="26.5" style="203" customWidth="1"/>
    <col min="798" max="800" width="9" style="203"/>
    <col min="801" max="801" width="14.75" style="203" bestFit="1" customWidth="1"/>
    <col min="802" max="1024" width="9" style="203"/>
    <col min="1025" max="1027" width="9" style="203" customWidth="1"/>
    <col min="1028" max="1028" width="10.5" style="203" customWidth="1"/>
    <col min="1029" max="1029" width="11.25" style="203" bestFit="1" customWidth="1"/>
    <col min="1030" max="1031" width="9" style="203"/>
    <col min="1032" max="1041" width="9" style="203" customWidth="1"/>
    <col min="1042" max="1042" width="9" style="203"/>
    <col min="1043" max="1043" width="9.5" style="203" bestFit="1" customWidth="1"/>
    <col min="1044" max="1044" width="9" style="203" customWidth="1"/>
    <col min="1045" max="1045" width="9" style="203"/>
    <col min="1046" max="1046" width="9" style="203" customWidth="1"/>
    <col min="1047" max="1052" width="9" style="203"/>
    <col min="1053" max="1053" width="26.5" style="203" customWidth="1"/>
    <col min="1054" max="1056" width="9" style="203"/>
    <col min="1057" max="1057" width="14.75" style="203" bestFit="1" customWidth="1"/>
    <col min="1058" max="1280" width="9" style="203"/>
    <col min="1281" max="1283" width="9" style="203" customWidth="1"/>
    <col min="1284" max="1284" width="10.5" style="203" customWidth="1"/>
    <col min="1285" max="1285" width="11.25" style="203" bestFit="1" customWidth="1"/>
    <col min="1286" max="1287" width="9" style="203"/>
    <col min="1288" max="1297" width="9" style="203" customWidth="1"/>
    <col min="1298" max="1298" width="9" style="203"/>
    <col min="1299" max="1299" width="9.5" style="203" bestFit="1" customWidth="1"/>
    <col min="1300" max="1300" width="9" style="203" customWidth="1"/>
    <col min="1301" max="1301" width="9" style="203"/>
    <col min="1302" max="1302" width="9" style="203" customWidth="1"/>
    <col min="1303" max="1308" width="9" style="203"/>
    <col min="1309" max="1309" width="26.5" style="203" customWidth="1"/>
    <col min="1310" max="1312" width="9" style="203"/>
    <col min="1313" max="1313" width="14.75" style="203" bestFit="1" customWidth="1"/>
    <col min="1314" max="1536" width="9" style="203"/>
    <col min="1537" max="1539" width="9" style="203" customWidth="1"/>
    <col min="1540" max="1540" width="10.5" style="203" customWidth="1"/>
    <col min="1541" max="1541" width="11.25" style="203" bestFit="1" customWidth="1"/>
    <col min="1542" max="1543" width="9" style="203"/>
    <col min="1544" max="1553" width="9" style="203" customWidth="1"/>
    <col min="1554" max="1554" width="9" style="203"/>
    <col min="1555" max="1555" width="9.5" style="203" bestFit="1" customWidth="1"/>
    <col min="1556" max="1556" width="9" style="203" customWidth="1"/>
    <col min="1557" max="1557" width="9" style="203"/>
    <col min="1558" max="1558" width="9" style="203" customWidth="1"/>
    <col min="1559" max="1564" width="9" style="203"/>
    <col min="1565" max="1565" width="26.5" style="203" customWidth="1"/>
    <col min="1566" max="1568" width="9" style="203"/>
    <col min="1569" max="1569" width="14.75" style="203" bestFit="1" customWidth="1"/>
    <col min="1570" max="1792" width="9" style="203"/>
    <col min="1793" max="1795" width="9" style="203" customWidth="1"/>
    <col min="1796" max="1796" width="10.5" style="203" customWidth="1"/>
    <col min="1797" max="1797" width="11.25" style="203" bestFit="1" customWidth="1"/>
    <col min="1798" max="1799" width="9" style="203"/>
    <col min="1800" max="1809" width="9" style="203" customWidth="1"/>
    <col min="1810" max="1810" width="9" style="203"/>
    <col min="1811" max="1811" width="9.5" style="203" bestFit="1" customWidth="1"/>
    <col min="1812" max="1812" width="9" style="203" customWidth="1"/>
    <col min="1813" max="1813" width="9" style="203"/>
    <col min="1814" max="1814" width="9" style="203" customWidth="1"/>
    <col min="1815" max="1820" width="9" style="203"/>
    <col min="1821" max="1821" width="26.5" style="203" customWidth="1"/>
    <col min="1822" max="1824" width="9" style="203"/>
    <col min="1825" max="1825" width="14.75" style="203" bestFit="1" customWidth="1"/>
    <col min="1826" max="2048" width="9" style="203"/>
    <col min="2049" max="2051" width="9" style="203" customWidth="1"/>
    <col min="2052" max="2052" width="10.5" style="203" customWidth="1"/>
    <col min="2053" max="2053" width="11.25" style="203" bestFit="1" customWidth="1"/>
    <col min="2054" max="2055" width="9" style="203"/>
    <col min="2056" max="2065" width="9" style="203" customWidth="1"/>
    <col min="2066" max="2066" width="9" style="203"/>
    <col min="2067" max="2067" width="9.5" style="203" bestFit="1" customWidth="1"/>
    <col min="2068" max="2068" width="9" style="203" customWidth="1"/>
    <col min="2069" max="2069" width="9" style="203"/>
    <col min="2070" max="2070" width="9" style="203" customWidth="1"/>
    <col min="2071" max="2076" width="9" style="203"/>
    <col min="2077" max="2077" width="26.5" style="203" customWidth="1"/>
    <col min="2078" max="2080" width="9" style="203"/>
    <col min="2081" max="2081" width="14.75" style="203" bestFit="1" customWidth="1"/>
    <col min="2082" max="2304" width="9" style="203"/>
    <col min="2305" max="2307" width="9" style="203" customWidth="1"/>
    <col min="2308" max="2308" width="10.5" style="203" customWidth="1"/>
    <col min="2309" max="2309" width="11.25" style="203" bestFit="1" customWidth="1"/>
    <col min="2310" max="2311" width="9" style="203"/>
    <col min="2312" max="2321" width="9" style="203" customWidth="1"/>
    <col min="2322" max="2322" width="9" style="203"/>
    <col min="2323" max="2323" width="9.5" style="203" bestFit="1" customWidth="1"/>
    <col min="2324" max="2324" width="9" style="203" customWidth="1"/>
    <col min="2325" max="2325" width="9" style="203"/>
    <col min="2326" max="2326" width="9" style="203" customWidth="1"/>
    <col min="2327" max="2332" width="9" style="203"/>
    <col min="2333" max="2333" width="26.5" style="203" customWidth="1"/>
    <col min="2334" max="2336" width="9" style="203"/>
    <col min="2337" max="2337" width="14.75" style="203" bestFit="1" customWidth="1"/>
    <col min="2338" max="2560" width="9" style="203"/>
    <col min="2561" max="2563" width="9" style="203" customWidth="1"/>
    <col min="2564" max="2564" width="10.5" style="203" customWidth="1"/>
    <col min="2565" max="2565" width="11.25" style="203" bestFit="1" customWidth="1"/>
    <col min="2566" max="2567" width="9" style="203"/>
    <col min="2568" max="2577" width="9" style="203" customWidth="1"/>
    <col min="2578" max="2578" width="9" style="203"/>
    <col min="2579" max="2579" width="9.5" style="203" bestFit="1" customWidth="1"/>
    <col min="2580" max="2580" width="9" style="203" customWidth="1"/>
    <col min="2581" max="2581" width="9" style="203"/>
    <col min="2582" max="2582" width="9" style="203" customWidth="1"/>
    <col min="2583" max="2588" width="9" style="203"/>
    <col min="2589" max="2589" width="26.5" style="203" customWidth="1"/>
    <col min="2590" max="2592" width="9" style="203"/>
    <col min="2593" max="2593" width="14.75" style="203" bestFit="1" customWidth="1"/>
    <col min="2594" max="2816" width="9" style="203"/>
    <col min="2817" max="2819" width="9" style="203" customWidth="1"/>
    <col min="2820" max="2820" width="10.5" style="203" customWidth="1"/>
    <col min="2821" max="2821" width="11.25" style="203" bestFit="1" customWidth="1"/>
    <col min="2822" max="2823" width="9" style="203"/>
    <col min="2824" max="2833" width="9" style="203" customWidth="1"/>
    <col min="2834" max="2834" width="9" style="203"/>
    <col min="2835" max="2835" width="9.5" style="203" bestFit="1" customWidth="1"/>
    <col min="2836" max="2836" width="9" style="203" customWidth="1"/>
    <col min="2837" max="2837" width="9" style="203"/>
    <col min="2838" max="2838" width="9" style="203" customWidth="1"/>
    <col min="2839" max="2844" width="9" style="203"/>
    <col min="2845" max="2845" width="26.5" style="203" customWidth="1"/>
    <col min="2846" max="2848" width="9" style="203"/>
    <col min="2849" max="2849" width="14.75" style="203" bestFit="1" customWidth="1"/>
    <col min="2850" max="3072" width="9" style="203"/>
    <col min="3073" max="3075" width="9" style="203" customWidth="1"/>
    <col min="3076" max="3076" width="10.5" style="203" customWidth="1"/>
    <col min="3077" max="3077" width="11.25" style="203" bestFit="1" customWidth="1"/>
    <col min="3078" max="3079" width="9" style="203"/>
    <col min="3080" max="3089" width="9" style="203" customWidth="1"/>
    <col min="3090" max="3090" width="9" style="203"/>
    <col min="3091" max="3091" width="9.5" style="203" bestFit="1" customWidth="1"/>
    <col min="3092" max="3092" width="9" style="203" customWidth="1"/>
    <col min="3093" max="3093" width="9" style="203"/>
    <col min="3094" max="3094" width="9" style="203" customWidth="1"/>
    <col min="3095" max="3100" width="9" style="203"/>
    <col min="3101" max="3101" width="26.5" style="203" customWidth="1"/>
    <col min="3102" max="3104" width="9" style="203"/>
    <col min="3105" max="3105" width="14.75" style="203" bestFit="1" customWidth="1"/>
    <col min="3106" max="3328" width="9" style="203"/>
    <col min="3329" max="3331" width="9" style="203" customWidth="1"/>
    <col min="3332" max="3332" width="10.5" style="203" customWidth="1"/>
    <col min="3333" max="3333" width="11.25" style="203" bestFit="1" customWidth="1"/>
    <col min="3334" max="3335" width="9" style="203"/>
    <col min="3336" max="3345" width="9" style="203" customWidth="1"/>
    <col min="3346" max="3346" width="9" style="203"/>
    <col min="3347" max="3347" width="9.5" style="203" bestFit="1" customWidth="1"/>
    <col min="3348" max="3348" width="9" style="203" customWidth="1"/>
    <col min="3349" max="3349" width="9" style="203"/>
    <col min="3350" max="3350" width="9" style="203" customWidth="1"/>
    <col min="3351" max="3356" width="9" style="203"/>
    <col min="3357" max="3357" width="26.5" style="203" customWidth="1"/>
    <col min="3358" max="3360" width="9" style="203"/>
    <col min="3361" max="3361" width="14.75" style="203" bestFit="1" customWidth="1"/>
    <col min="3362" max="3584" width="9" style="203"/>
    <col min="3585" max="3587" width="9" style="203" customWidth="1"/>
    <col min="3588" max="3588" width="10.5" style="203" customWidth="1"/>
    <col min="3589" max="3589" width="11.25" style="203" bestFit="1" customWidth="1"/>
    <col min="3590" max="3591" width="9" style="203"/>
    <col min="3592" max="3601" width="9" style="203" customWidth="1"/>
    <col min="3602" max="3602" width="9" style="203"/>
    <col min="3603" max="3603" width="9.5" style="203" bestFit="1" customWidth="1"/>
    <col min="3604" max="3604" width="9" style="203" customWidth="1"/>
    <col min="3605" max="3605" width="9" style="203"/>
    <col min="3606" max="3606" width="9" style="203" customWidth="1"/>
    <col min="3607" max="3612" width="9" style="203"/>
    <col min="3613" max="3613" width="26.5" style="203" customWidth="1"/>
    <col min="3614" max="3616" width="9" style="203"/>
    <col min="3617" max="3617" width="14.75" style="203" bestFit="1" customWidth="1"/>
    <col min="3618" max="3840" width="9" style="203"/>
    <col min="3841" max="3843" width="9" style="203" customWidth="1"/>
    <col min="3844" max="3844" width="10.5" style="203" customWidth="1"/>
    <col min="3845" max="3845" width="11.25" style="203" bestFit="1" customWidth="1"/>
    <col min="3846" max="3847" width="9" style="203"/>
    <col min="3848" max="3857" width="9" style="203" customWidth="1"/>
    <col min="3858" max="3858" width="9" style="203"/>
    <col min="3859" max="3859" width="9.5" style="203" bestFit="1" customWidth="1"/>
    <col min="3860" max="3860" width="9" style="203" customWidth="1"/>
    <col min="3861" max="3861" width="9" style="203"/>
    <col min="3862" max="3862" width="9" style="203" customWidth="1"/>
    <col min="3863" max="3868" width="9" style="203"/>
    <col min="3869" max="3869" width="26.5" style="203" customWidth="1"/>
    <col min="3870" max="3872" width="9" style="203"/>
    <col min="3873" max="3873" width="14.75" style="203" bestFit="1" customWidth="1"/>
    <col min="3874" max="4096" width="9" style="203"/>
    <col min="4097" max="4099" width="9" style="203" customWidth="1"/>
    <col min="4100" max="4100" width="10.5" style="203" customWidth="1"/>
    <col min="4101" max="4101" width="11.25" style="203" bestFit="1" customWidth="1"/>
    <col min="4102" max="4103" width="9" style="203"/>
    <col min="4104" max="4113" width="9" style="203" customWidth="1"/>
    <col min="4114" max="4114" width="9" style="203"/>
    <col min="4115" max="4115" width="9.5" style="203" bestFit="1" customWidth="1"/>
    <col min="4116" max="4116" width="9" style="203" customWidth="1"/>
    <col min="4117" max="4117" width="9" style="203"/>
    <col min="4118" max="4118" width="9" style="203" customWidth="1"/>
    <col min="4119" max="4124" width="9" style="203"/>
    <col min="4125" max="4125" width="26.5" style="203" customWidth="1"/>
    <col min="4126" max="4128" width="9" style="203"/>
    <col min="4129" max="4129" width="14.75" style="203" bestFit="1" customWidth="1"/>
    <col min="4130" max="4352" width="9" style="203"/>
    <col min="4353" max="4355" width="9" style="203" customWidth="1"/>
    <col min="4356" max="4356" width="10.5" style="203" customWidth="1"/>
    <col min="4357" max="4357" width="11.25" style="203" bestFit="1" customWidth="1"/>
    <col min="4358" max="4359" width="9" style="203"/>
    <col min="4360" max="4369" width="9" style="203" customWidth="1"/>
    <col min="4370" max="4370" width="9" style="203"/>
    <col min="4371" max="4371" width="9.5" style="203" bestFit="1" customWidth="1"/>
    <col min="4372" max="4372" width="9" style="203" customWidth="1"/>
    <col min="4373" max="4373" width="9" style="203"/>
    <col min="4374" max="4374" width="9" style="203" customWidth="1"/>
    <col min="4375" max="4380" width="9" style="203"/>
    <col min="4381" max="4381" width="26.5" style="203" customWidth="1"/>
    <col min="4382" max="4384" width="9" style="203"/>
    <col min="4385" max="4385" width="14.75" style="203" bestFit="1" customWidth="1"/>
    <col min="4386" max="4608" width="9" style="203"/>
    <col min="4609" max="4611" width="9" style="203" customWidth="1"/>
    <col min="4612" max="4612" width="10.5" style="203" customWidth="1"/>
    <col min="4613" max="4613" width="11.25" style="203" bestFit="1" customWidth="1"/>
    <col min="4614" max="4615" width="9" style="203"/>
    <col min="4616" max="4625" width="9" style="203" customWidth="1"/>
    <col min="4626" max="4626" width="9" style="203"/>
    <col min="4627" max="4627" width="9.5" style="203" bestFit="1" customWidth="1"/>
    <col min="4628" max="4628" width="9" style="203" customWidth="1"/>
    <col min="4629" max="4629" width="9" style="203"/>
    <col min="4630" max="4630" width="9" style="203" customWidth="1"/>
    <col min="4631" max="4636" width="9" style="203"/>
    <col min="4637" max="4637" width="26.5" style="203" customWidth="1"/>
    <col min="4638" max="4640" width="9" style="203"/>
    <col min="4641" max="4641" width="14.75" style="203" bestFit="1" customWidth="1"/>
    <col min="4642" max="4864" width="9" style="203"/>
    <col min="4865" max="4867" width="9" style="203" customWidth="1"/>
    <col min="4868" max="4868" width="10.5" style="203" customWidth="1"/>
    <col min="4869" max="4869" width="11.25" style="203" bestFit="1" customWidth="1"/>
    <col min="4870" max="4871" width="9" style="203"/>
    <col min="4872" max="4881" width="9" style="203" customWidth="1"/>
    <col min="4882" max="4882" width="9" style="203"/>
    <col min="4883" max="4883" width="9.5" style="203" bestFit="1" customWidth="1"/>
    <col min="4884" max="4884" width="9" style="203" customWidth="1"/>
    <col min="4885" max="4885" width="9" style="203"/>
    <col min="4886" max="4886" width="9" style="203" customWidth="1"/>
    <col min="4887" max="4892" width="9" style="203"/>
    <col min="4893" max="4893" width="26.5" style="203" customWidth="1"/>
    <col min="4894" max="4896" width="9" style="203"/>
    <col min="4897" max="4897" width="14.75" style="203" bestFit="1" customWidth="1"/>
    <col min="4898" max="5120" width="9" style="203"/>
    <col min="5121" max="5123" width="9" style="203" customWidth="1"/>
    <col min="5124" max="5124" width="10.5" style="203" customWidth="1"/>
    <col min="5125" max="5125" width="11.25" style="203" bestFit="1" customWidth="1"/>
    <col min="5126" max="5127" width="9" style="203"/>
    <col min="5128" max="5137" width="9" style="203" customWidth="1"/>
    <col min="5138" max="5138" width="9" style="203"/>
    <col min="5139" max="5139" width="9.5" style="203" bestFit="1" customWidth="1"/>
    <col min="5140" max="5140" width="9" style="203" customWidth="1"/>
    <col min="5141" max="5141" width="9" style="203"/>
    <col min="5142" max="5142" width="9" style="203" customWidth="1"/>
    <col min="5143" max="5148" width="9" style="203"/>
    <col min="5149" max="5149" width="26.5" style="203" customWidth="1"/>
    <col min="5150" max="5152" width="9" style="203"/>
    <col min="5153" max="5153" width="14.75" style="203" bestFit="1" customWidth="1"/>
    <col min="5154" max="5376" width="9" style="203"/>
    <col min="5377" max="5379" width="9" style="203" customWidth="1"/>
    <col min="5380" max="5380" width="10.5" style="203" customWidth="1"/>
    <col min="5381" max="5381" width="11.25" style="203" bestFit="1" customWidth="1"/>
    <col min="5382" max="5383" width="9" style="203"/>
    <col min="5384" max="5393" width="9" style="203" customWidth="1"/>
    <col min="5394" max="5394" width="9" style="203"/>
    <col min="5395" max="5395" width="9.5" style="203" bestFit="1" customWidth="1"/>
    <col min="5396" max="5396" width="9" style="203" customWidth="1"/>
    <col min="5397" max="5397" width="9" style="203"/>
    <col min="5398" max="5398" width="9" style="203" customWidth="1"/>
    <col min="5399" max="5404" width="9" style="203"/>
    <col min="5405" max="5405" width="26.5" style="203" customWidth="1"/>
    <col min="5406" max="5408" width="9" style="203"/>
    <col min="5409" max="5409" width="14.75" style="203" bestFit="1" customWidth="1"/>
    <col min="5410" max="5632" width="9" style="203"/>
    <col min="5633" max="5635" width="9" style="203" customWidth="1"/>
    <col min="5636" max="5636" width="10.5" style="203" customWidth="1"/>
    <col min="5637" max="5637" width="11.25" style="203" bestFit="1" customWidth="1"/>
    <col min="5638" max="5639" width="9" style="203"/>
    <col min="5640" max="5649" width="9" style="203" customWidth="1"/>
    <col min="5650" max="5650" width="9" style="203"/>
    <col min="5651" max="5651" width="9.5" style="203" bestFit="1" customWidth="1"/>
    <col min="5652" max="5652" width="9" style="203" customWidth="1"/>
    <col min="5653" max="5653" width="9" style="203"/>
    <col min="5654" max="5654" width="9" style="203" customWidth="1"/>
    <col min="5655" max="5660" width="9" style="203"/>
    <col min="5661" max="5661" width="26.5" style="203" customWidth="1"/>
    <col min="5662" max="5664" width="9" style="203"/>
    <col min="5665" max="5665" width="14.75" style="203" bestFit="1" customWidth="1"/>
    <col min="5666" max="5888" width="9" style="203"/>
    <col min="5889" max="5891" width="9" style="203" customWidth="1"/>
    <col min="5892" max="5892" width="10.5" style="203" customWidth="1"/>
    <col min="5893" max="5893" width="11.25" style="203" bestFit="1" customWidth="1"/>
    <col min="5894" max="5895" width="9" style="203"/>
    <col min="5896" max="5905" width="9" style="203" customWidth="1"/>
    <col min="5906" max="5906" width="9" style="203"/>
    <col min="5907" max="5907" width="9.5" style="203" bestFit="1" customWidth="1"/>
    <col min="5908" max="5908" width="9" style="203" customWidth="1"/>
    <col min="5909" max="5909" width="9" style="203"/>
    <col min="5910" max="5910" width="9" style="203" customWidth="1"/>
    <col min="5911" max="5916" width="9" style="203"/>
    <col min="5917" max="5917" width="26.5" style="203" customWidth="1"/>
    <col min="5918" max="5920" width="9" style="203"/>
    <col min="5921" max="5921" width="14.75" style="203" bestFit="1" customWidth="1"/>
    <col min="5922" max="6144" width="9" style="203"/>
    <col min="6145" max="6147" width="9" style="203" customWidth="1"/>
    <col min="6148" max="6148" width="10.5" style="203" customWidth="1"/>
    <col min="6149" max="6149" width="11.25" style="203" bestFit="1" customWidth="1"/>
    <col min="6150" max="6151" width="9" style="203"/>
    <col min="6152" max="6161" width="9" style="203" customWidth="1"/>
    <col min="6162" max="6162" width="9" style="203"/>
    <col min="6163" max="6163" width="9.5" style="203" bestFit="1" customWidth="1"/>
    <col min="6164" max="6164" width="9" style="203" customWidth="1"/>
    <col min="6165" max="6165" width="9" style="203"/>
    <col min="6166" max="6166" width="9" style="203" customWidth="1"/>
    <col min="6167" max="6172" width="9" style="203"/>
    <col min="6173" max="6173" width="26.5" style="203" customWidth="1"/>
    <col min="6174" max="6176" width="9" style="203"/>
    <col min="6177" max="6177" width="14.75" style="203" bestFit="1" customWidth="1"/>
    <col min="6178" max="6400" width="9" style="203"/>
    <col min="6401" max="6403" width="9" style="203" customWidth="1"/>
    <col min="6404" max="6404" width="10.5" style="203" customWidth="1"/>
    <col min="6405" max="6405" width="11.25" style="203" bestFit="1" customWidth="1"/>
    <col min="6406" max="6407" width="9" style="203"/>
    <col min="6408" max="6417" width="9" style="203" customWidth="1"/>
    <col min="6418" max="6418" width="9" style="203"/>
    <col min="6419" max="6419" width="9.5" style="203" bestFit="1" customWidth="1"/>
    <col min="6420" max="6420" width="9" style="203" customWidth="1"/>
    <col min="6421" max="6421" width="9" style="203"/>
    <col min="6422" max="6422" width="9" style="203" customWidth="1"/>
    <col min="6423" max="6428" width="9" style="203"/>
    <col min="6429" max="6429" width="26.5" style="203" customWidth="1"/>
    <col min="6430" max="6432" width="9" style="203"/>
    <col min="6433" max="6433" width="14.75" style="203" bestFit="1" customWidth="1"/>
    <col min="6434" max="6656" width="9" style="203"/>
    <col min="6657" max="6659" width="9" style="203" customWidth="1"/>
    <col min="6660" max="6660" width="10.5" style="203" customWidth="1"/>
    <col min="6661" max="6661" width="11.25" style="203" bestFit="1" customWidth="1"/>
    <col min="6662" max="6663" width="9" style="203"/>
    <col min="6664" max="6673" width="9" style="203" customWidth="1"/>
    <col min="6674" max="6674" width="9" style="203"/>
    <col min="6675" max="6675" width="9.5" style="203" bestFit="1" customWidth="1"/>
    <col min="6676" max="6676" width="9" style="203" customWidth="1"/>
    <col min="6677" max="6677" width="9" style="203"/>
    <col min="6678" max="6678" width="9" style="203" customWidth="1"/>
    <col min="6679" max="6684" width="9" style="203"/>
    <col min="6685" max="6685" width="26.5" style="203" customWidth="1"/>
    <col min="6686" max="6688" width="9" style="203"/>
    <col min="6689" max="6689" width="14.75" style="203" bestFit="1" customWidth="1"/>
    <col min="6690" max="6912" width="9" style="203"/>
    <col min="6913" max="6915" width="9" style="203" customWidth="1"/>
    <col min="6916" max="6916" width="10.5" style="203" customWidth="1"/>
    <col min="6917" max="6917" width="11.25" style="203" bestFit="1" customWidth="1"/>
    <col min="6918" max="6919" width="9" style="203"/>
    <col min="6920" max="6929" width="9" style="203" customWidth="1"/>
    <col min="6930" max="6930" width="9" style="203"/>
    <col min="6931" max="6931" width="9.5" style="203" bestFit="1" customWidth="1"/>
    <col min="6932" max="6932" width="9" style="203" customWidth="1"/>
    <col min="6933" max="6933" width="9" style="203"/>
    <col min="6934" max="6934" width="9" style="203" customWidth="1"/>
    <col min="6935" max="6940" width="9" style="203"/>
    <col min="6941" max="6941" width="26.5" style="203" customWidth="1"/>
    <col min="6942" max="6944" width="9" style="203"/>
    <col min="6945" max="6945" width="14.75" style="203" bestFit="1" customWidth="1"/>
    <col min="6946" max="7168" width="9" style="203"/>
    <col min="7169" max="7171" width="9" style="203" customWidth="1"/>
    <col min="7172" max="7172" width="10.5" style="203" customWidth="1"/>
    <col min="7173" max="7173" width="11.25" style="203" bestFit="1" customWidth="1"/>
    <col min="7174" max="7175" width="9" style="203"/>
    <col min="7176" max="7185" width="9" style="203" customWidth="1"/>
    <col min="7186" max="7186" width="9" style="203"/>
    <col min="7187" max="7187" width="9.5" style="203" bestFit="1" customWidth="1"/>
    <col min="7188" max="7188" width="9" style="203" customWidth="1"/>
    <col min="7189" max="7189" width="9" style="203"/>
    <col min="7190" max="7190" width="9" style="203" customWidth="1"/>
    <col min="7191" max="7196" width="9" style="203"/>
    <col min="7197" max="7197" width="26.5" style="203" customWidth="1"/>
    <col min="7198" max="7200" width="9" style="203"/>
    <col min="7201" max="7201" width="14.75" style="203" bestFit="1" customWidth="1"/>
    <col min="7202" max="7424" width="9" style="203"/>
    <col min="7425" max="7427" width="9" style="203" customWidth="1"/>
    <col min="7428" max="7428" width="10.5" style="203" customWidth="1"/>
    <col min="7429" max="7429" width="11.25" style="203" bestFit="1" customWidth="1"/>
    <col min="7430" max="7431" width="9" style="203"/>
    <col min="7432" max="7441" width="9" style="203" customWidth="1"/>
    <col min="7442" max="7442" width="9" style="203"/>
    <col min="7443" max="7443" width="9.5" style="203" bestFit="1" customWidth="1"/>
    <col min="7444" max="7444" width="9" style="203" customWidth="1"/>
    <col min="7445" max="7445" width="9" style="203"/>
    <col min="7446" max="7446" width="9" style="203" customWidth="1"/>
    <col min="7447" max="7452" width="9" style="203"/>
    <col min="7453" max="7453" width="26.5" style="203" customWidth="1"/>
    <col min="7454" max="7456" width="9" style="203"/>
    <col min="7457" max="7457" width="14.75" style="203" bestFit="1" customWidth="1"/>
    <col min="7458" max="7680" width="9" style="203"/>
    <col min="7681" max="7683" width="9" style="203" customWidth="1"/>
    <col min="7684" max="7684" width="10.5" style="203" customWidth="1"/>
    <col min="7685" max="7685" width="11.25" style="203" bestFit="1" customWidth="1"/>
    <col min="7686" max="7687" width="9" style="203"/>
    <col min="7688" max="7697" width="9" style="203" customWidth="1"/>
    <col min="7698" max="7698" width="9" style="203"/>
    <col min="7699" max="7699" width="9.5" style="203" bestFit="1" customWidth="1"/>
    <col min="7700" max="7700" width="9" style="203" customWidth="1"/>
    <col min="7701" max="7701" width="9" style="203"/>
    <col min="7702" max="7702" width="9" style="203" customWidth="1"/>
    <col min="7703" max="7708" width="9" style="203"/>
    <col min="7709" max="7709" width="26.5" style="203" customWidth="1"/>
    <col min="7710" max="7712" width="9" style="203"/>
    <col min="7713" max="7713" width="14.75" style="203" bestFit="1" customWidth="1"/>
    <col min="7714" max="7936" width="9" style="203"/>
    <col min="7937" max="7939" width="9" style="203" customWidth="1"/>
    <col min="7940" max="7940" width="10.5" style="203" customWidth="1"/>
    <col min="7941" max="7941" width="11.25" style="203" bestFit="1" customWidth="1"/>
    <col min="7942" max="7943" width="9" style="203"/>
    <col min="7944" max="7953" width="9" style="203" customWidth="1"/>
    <col min="7954" max="7954" width="9" style="203"/>
    <col min="7955" max="7955" width="9.5" style="203" bestFit="1" customWidth="1"/>
    <col min="7956" max="7956" width="9" style="203" customWidth="1"/>
    <col min="7957" max="7957" width="9" style="203"/>
    <col min="7958" max="7958" width="9" style="203" customWidth="1"/>
    <col min="7959" max="7964" width="9" style="203"/>
    <col min="7965" max="7965" width="26.5" style="203" customWidth="1"/>
    <col min="7966" max="7968" width="9" style="203"/>
    <col min="7969" max="7969" width="14.75" style="203" bestFit="1" customWidth="1"/>
    <col min="7970" max="8192" width="9" style="203"/>
    <col min="8193" max="8195" width="9" style="203" customWidth="1"/>
    <col min="8196" max="8196" width="10.5" style="203" customWidth="1"/>
    <col min="8197" max="8197" width="11.25" style="203" bestFit="1" customWidth="1"/>
    <col min="8198" max="8199" width="9" style="203"/>
    <col min="8200" max="8209" width="9" style="203" customWidth="1"/>
    <col min="8210" max="8210" width="9" style="203"/>
    <col min="8211" max="8211" width="9.5" style="203" bestFit="1" customWidth="1"/>
    <col min="8212" max="8212" width="9" style="203" customWidth="1"/>
    <col min="8213" max="8213" width="9" style="203"/>
    <col min="8214" max="8214" width="9" style="203" customWidth="1"/>
    <col min="8215" max="8220" width="9" style="203"/>
    <col min="8221" max="8221" width="26.5" style="203" customWidth="1"/>
    <col min="8222" max="8224" width="9" style="203"/>
    <col min="8225" max="8225" width="14.75" style="203" bestFit="1" customWidth="1"/>
    <col min="8226" max="8448" width="9" style="203"/>
    <col min="8449" max="8451" width="9" style="203" customWidth="1"/>
    <col min="8452" max="8452" width="10.5" style="203" customWidth="1"/>
    <col min="8453" max="8453" width="11.25" style="203" bestFit="1" customWidth="1"/>
    <col min="8454" max="8455" width="9" style="203"/>
    <col min="8456" max="8465" width="9" style="203" customWidth="1"/>
    <col min="8466" max="8466" width="9" style="203"/>
    <col min="8467" max="8467" width="9.5" style="203" bestFit="1" customWidth="1"/>
    <col min="8468" max="8468" width="9" style="203" customWidth="1"/>
    <col min="8469" max="8469" width="9" style="203"/>
    <col min="8470" max="8470" width="9" style="203" customWidth="1"/>
    <col min="8471" max="8476" width="9" style="203"/>
    <col min="8477" max="8477" width="26.5" style="203" customWidth="1"/>
    <col min="8478" max="8480" width="9" style="203"/>
    <col min="8481" max="8481" width="14.75" style="203" bestFit="1" customWidth="1"/>
    <col min="8482" max="8704" width="9" style="203"/>
    <col min="8705" max="8707" width="9" style="203" customWidth="1"/>
    <col min="8708" max="8708" width="10.5" style="203" customWidth="1"/>
    <col min="8709" max="8709" width="11.25" style="203" bestFit="1" customWidth="1"/>
    <col min="8710" max="8711" width="9" style="203"/>
    <col min="8712" max="8721" width="9" style="203" customWidth="1"/>
    <col min="8722" max="8722" width="9" style="203"/>
    <col min="8723" max="8723" width="9.5" style="203" bestFit="1" customWidth="1"/>
    <col min="8724" max="8724" width="9" style="203" customWidth="1"/>
    <col min="8725" max="8725" width="9" style="203"/>
    <col min="8726" max="8726" width="9" style="203" customWidth="1"/>
    <col min="8727" max="8732" width="9" style="203"/>
    <col min="8733" max="8733" width="26.5" style="203" customWidth="1"/>
    <col min="8734" max="8736" width="9" style="203"/>
    <col min="8737" max="8737" width="14.75" style="203" bestFit="1" customWidth="1"/>
    <col min="8738" max="8960" width="9" style="203"/>
    <col min="8961" max="8963" width="9" style="203" customWidth="1"/>
    <col min="8964" max="8964" width="10.5" style="203" customWidth="1"/>
    <col min="8965" max="8965" width="11.25" style="203" bestFit="1" customWidth="1"/>
    <col min="8966" max="8967" width="9" style="203"/>
    <col min="8968" max="8977" width="9" style="203" customWidth="1"/>
    <col min="8978" max="8978" width="9" style="203"/>
    <col min="8979" max="8979" width="9.5" style="203" bestFit="1" customWidth="1"/>
    <col min="8980" max="8980" width="9" style="203" customWidth="1"/>
    <col min="8981" max="8981" width="9" style="203"/>
    <col min="8982" max="8982" width="9" style="203" customWidth="1"/>
    <col min="8983" max="8988" width="9" style="203"/>
    <col min="8989" max="8989" width="26.5" style="203" customWidth="1"/>
    <col min="8990" max="8992" width="9" style="203"/>
    <col min="8993" max="8993" width="14.75" style="203" bestFit="1" customWidth="1"/>
    <col min="8994" max="9216" width="9" style="203"/>
    <col min="9217" max="9219" width="9" style="203" customWidth="1"/>
    <col min="9220" max="9220" width="10.5" style="203" customWidth="1"/>
    <col min="9221" max="9221" width="11.25" style="203" bestFit="1" customWidth="1"/>
    <col min="9222" max="9223" width="9" style="203"/>
    <col min="9224" max="9233" width="9" style="203" customWidth="1"/>
    <col min="9234" max="9234" width="9" style="203"/>
    <col min="9235" max="9235" width="9.5" style="203" bestFit="1" customWidth="1"/>
    <col min="9236" max="9236" width="9" style="203" customWidth="1"/>
    <col min="9237" max="9237" width="9" style="203"/>
    <col min="9238" max="9238" width="9" style="203" customWidth="1"/>
    <col min="9239" max="9244" width="9" style="203"/>
    <col min="9245" max="9245" width="26.5" style="203" customWidth="1"/>
    <col min="9246" max="9248" width="9" style="203"/>
    <col min="9249" max="9249" width="14.75" style="203" bestFit="1" customWidth="1"/>
    <col min="9250" max="9472" width="9" style="203"/>
    <col min="9473" max="9475" width="9" style="203" customWidth="1"/>
    <col min="9476" max="9476" width="10.5" style="203" customWidth="1"/>
    <col min="9477" max="9477" width="11.25" style="203" bestFit="1" customWidth="1"/>
    <col min="9478" max="9479" width="9" style="203"/>
    <col min="9480" max="9489" width="9" style="203" customWidth="1"/>
    <col min="9490" max="9490" width="9" style="203"/>
    <col min="9491" max="9491" width="9.5" style="203" bestFit="1" customWidth="1"/>
    <col min="9492" max="9492" width="9" style="203" customWidth="1"/>
    <col min="9493" max="9493" width="9" style="203"/>
    <col min="9494" max="9494" width="9" style="203" customWidth="1"/>
    <col min="9495" max="9500" width="9" style="203"/>
    <col min="9501" max="9501" width="26.5" style="203" customWidth="1"/>
    <col min="9502" max="9504" width="9" style="203"/>
    <col min="9505" max="9505" width="14.75" style="203" bestFit="1" customWidth="1"/>
    <col min="9506" max="9728" width="9" style="203"/>
    <col min="9729" max="9731" width="9" style="203" customWidth="1"/>
    <col min="9732" max="9732" width="10.5" style="203" customWidth="1"/>
    <col min="9733" max="9733" width="11.25" style="203" bestFit="1" customWidth="1"/>
    <col min="9734" max="9735" width="9" style="203"/>
    <col min="9736" max="9745" width="9" style="203" customWidth="1"/>
    <col min="9746" max="9746" width="9" style="203"/>
    <col min="9747" max="9747" width="9.5" style="203" bestFit="1" customWidth="1"/>
    <col min="9748" max="9748" width="9" style="203" customWidth="1"/>
    <col min="9749" max="9749" width="9" style="203"/>
    <col min="9750" max="9750" width="9" style="203" customWidth="1"/>
    <col min="9751" max="9756" width="9" style="203"/>
    <col min="9757" max="9757" width="26.5" style="203" customWidth="1"/>
    <col min="9758" max="9760" width="9" style="203"/>
    <col min="9761" max="9761" width="14.75" style="203" bestFit="1" customWidth="1"/>
    <col min="9762" max="9984" width="9" style="203"/>
    <col min="9985" max="9987" width="9" style="203" customWidth="1"/>
    <col min="9988" max="9988" width="10.5" style="203" customWidth="1"/>
    <col min="9989" max="9989" width="11.25" style="203" bestFit="1" customWidth="1"/>
    <col min="9990" max="9991" width="9" style="203"/>
    <col min="9992" max="10001" width="9" style="203" customWidth="1"/>
    <col min="10002" max="10002" width="9" style="203"/>
    <col min="10003" max="10003" width="9.5" style="203" bestFit="1" customWidth="1"/>
    <col min="10004" max="10004" width="9" style="203" customWidth="1"/>
    <col min="10005" max="10005" width="9" style="203"/>
    <col min="10006" max="10006" width="9" style="203" customWidth="1"/>
    <col min="10007" max="10012" width="9" style="203"/>
    <col min="10013" max="10013" width="26.5" style="203" customWidth="1"/>
    <col min="10014" max="10016" width="9" style="203"/>
    <col min="10017" max="10017" width="14.75" style="203" bestFit="1" customWidth="1"/>
    <col min="10018" max="10240" width="9" style="203"/>
    <col min="10241" max="10243" width="9" style="203" customWidth="1"/>
    <col min="10244" max="10244" width="10.5" style="203" customWidth="1"/>
    <col min="10245" max="10245" width="11.25" style="203" bestFit="1" customWidth="1"/>
    <col min="10246" max="10247" width="9" style="203"/>
    <col min="10248" max="10257" width="9" style="203" customWidth="1"/>
    <col min="10258" max="10258" width="9" style="203"/>
    <col min="10259" max="10259" width="9.5" style="203" bestFit="1" customWidth="1"/>
    <col min="10260" max="10260" width="9" style="203" customWidth="1"/>
    <col min="10261" max="10261" width="9" style="203"/>
    <col min="10262" max="10262" width="9" style="203" customWidth="1"/>
    <col min="10263" max="10268" width="9" style="203"/>
    <col min="10269" max="10269" width="26.5" style="203" customWidth="1"/>
    <col min="10270" max="10272" width="9" style="203"/>
    <col min="10273" max="10273" width="14.75" style="203" bestFit="1" customWidth="1"/>
    <col min="10274" max="10496" width="9" style="203"/>
    <col min="10497" max="10499" width="9" style="203" customWidth="1"/>
    <col min="10500" max="10500" width="10.5" style="203" customWidth="1"/>
    <col min="10501" max="10501" width="11.25" style="203" bestFit="1" customWidth="1"/>
    <col min="10502" max="10503" width="9" style="203"/>
    <col min="10504" max="10513" width="9" style="203" customWidth="1"/>
    <col min="10514" max="10514" width="9" style="203"/>
    <col min="10515" max="10515" width="9.5" style="203" bestFit="1" customWidth="1"/>
    <col min="10516" max="10516" width="9" style="203" customWidth="1"/>
    <col min="10517" max="10517" width="9" style="203"/>
    <col min="10518" max="10518" width="9" style="203" customWidth="1"/>
    <col min="10519" max="10524" width="9" style="203"/>
    <col min="10525" max="10525" width="26.5" style="203" customWidth="1"/>
    <col min="10526" max="10528" width="9" style="203"/>
    <col min="10529" max="10529" width="14.75" style="203" bestFit="1" customWidth="1"/>
    <col min="10530" max="10752" width="9" style="203"/>
    <col min="10753" max="10755" width="9" style="203" customWidth="1"/>
    <col min="10756" max="10756" width="10.5" style="203" customWidth="1"/>
    <col min="10757" max="10757" width="11.25" style="203" bestFit="1" customWidth="1"/>
    <col min="10758" max="10759" width="9" style="203"/>
    <col min="10760" max="10769" width="9" style="203" customWidth="1"/>
    <col min="10770" max="10770" width="9" style="203"/>
    <col min="10771" max="10771" width="9.5" style="203" bestFit="1" customWidth="1"/>
    <col min="10772" max="10772" width="9" style="203" customWidth="1"/>
    <col min="10773" max="10773" width="9" style="203"/>
    <col min="10774" max="10774" width="9" style="203" customWidth="1"/>
    <col min="10775" max="10780" width="9" style="203"/>
    <col min="10781" max="10781" width="26.5" style="203" customWidth="1"/>
    <col min="10782" max="10784" width="9" style="203"/>
    <col min="10785" max="10785" width="14.75" style="203" bestFit="1" customWidth="1"/>
    <col min="10786" max="11008" width="9" style="203"/>
    <col min="11009" max="11011" width="9" style="203" customWidth="1"/>
    <col min="11012" max="11012" width="10.5" style="203" customWidth="1"/>
    <col min="11013" max="11013" width="11.25" style="203" bestFit="1" customWidth="1"/>
    <col min="11014" max="11015" width="9" style="203"/>
    <col min="11016" max="11025" width="9" style="203" customWidth="1"/>
    <col min="11026" max="11026" width="9" style="203"/>
    <col min="11027" max="11027" width="9.5" style="203" bestFit="1" customWidth="1"/>
    <col min="11028" max="11028" width="9" style="203" customWidth="1"/>
    <col min="11029" max="11029" width="9" style="203"/>
    <col min="11030" max="11030" width="9" style="203" customWidth="1"/>
    <col min="11031" max="11036" width="9" style="203"/>
    <col min="11037" max="11037" width="26.5" style="203" customWidth="1"/>
    <col min="11038" max="11040" width="9" style="203"/>
    <col min="11041" max="11041" width="14.75" style="203" bestFit="1" customWidth="1"/>
    <col min="11042" max="11264" width="9" style="203"/>
    <col min="11265" max="11267" width="9" style="203" customWidth="1"/>
    <col min="11268" max="11268" width="10.5" style="203" customWidth="1"/>
    <col min="11269" max="11269" width="11.25" style="203" bestFit="1" customWidth="1"/>
    <col min="11270" max="11271" width="9" style="203"/>
    <col min="11272" max="11281" width="9" style="203" customWidth="1"/>
    <col min="11282" max="11282" width="9" style="203"/>
    <col min="11283" max="11283" width="9.5" style="203" bestFit="1" customWidth="1"/>
    <col min="11284" max="11284" width="9" style="203" customWidth="1"/>
    <col min="11285" max="11285" width="9" style="203"/>
    <col min="11286" max="11286" width="9" style="203" customWidth="1"/>
    <col min="11287" max="11292" width="9" style="203"/>
    <col min="11293" max="11293" width="26.5" style="203" customWidth="1"/>
    <col min="11294" max="11296" width="9" style="203"/>
    <col min="11297" max="11297" width="14.75" style="203" bestFit="1" customWidth="1"/>
    <col min="11298" max="11520" width="9" style="203"/>
    <col min="11521" max="11523" width="9" style="203" customWidth="1"/>
    <col min="11524" max="11524" width="10.5" style="203" customWidth="1"/>
    <col min="11525" max="11525" width="11.25" style="203" bestFit="1" customWidth="1"/>
    <col min="11526" max="11527" width="9" style="203"/>
    <col min="11528" max="11537" width="9" style="203" customWidth="1"/>
    <col min="11538" max="11538" width="9" style="203"/>
    <col min="11539" max="11539" width="9.5" style="203" bestFit="1" customWidth="1"/>
    <col min="11540" max="11540" width="9" style="203" customWidth="1"/>
    <col min="11541" max="11541" width="9" style="203"/>
    <col min="11542" max="11542" width="9" style="203" customWidth="1"/>
    <col min="11543" max="11548" width="9" style="203"/>
    <col min="11549" max="11549" width="26.5" style="203" customWidth="1"/>
    <col min="11550" max="11552" width="9" style="203"/>
    <col min="11553" max="11553" width="14.75" style="203" bestFit="1" customWidth="1"/>
    <col min="11554" max="11776" width="9" style="203"/>
    <col min="11777" max="11779" width="9" style="203" customWidth="1"/>
    <col min="11780" max="11780" width="10.5" style="203" customWidth="1"/>
    <col min="11781" max="11781" width="11.25" style="203" bestFit="1" customWidth="1"/>
    <col min="11782" max="11783" width="9" style="203"/>
    <col min="11784" max="11793" width="9" style="203" customWidth="1"/>
    <col min="11794" max="11794" width="9" style="203"/>
    <col min="11795" max="11795" width="9.5" style="203" bestFit="1" customWidth="1"/>
    <col min="11796" max="11796" width="9" style="203" customWidth="1"/>
    <col min="11797" max="11797" width="9" style="203"/>
    <col min="11798" max="11798" width="9" style="203" customWidth="1"/>
    <col min="11799" max="11804" width="9" style="203"/>
    <col min="11805" max="11805" width="26.5" style="203" customWidth="1"/>
    <col min="11806" max="11808" width="9" style="203"/>
    <col min="11809" max="11809" width="14.75" style="203" bestFit="1" customWidth="1"/>
    <col min="11810" max="12032" width="9" style="203"/>
    <col min="12033" max="12035" width="9" style="203" customWidth="1"/>
    <col min="12036" max="12036" width="10.5" style="203" customWidth="1"/>
    <col min="12037" max="12037" width="11.25" style="203" bestFit="1" customWidth="1"/>
    <col min="12038" max="12039" width="9" style="203"/>
    <col min="12040" max="12049" width="9" style="203" customWidth="1"/>
    <col min="12050" max="12050" width="9" style="203"/>
    <col min="12051" max="12051" width="9.5" style="203" bestFit="1" customWidth="1"/>
    <col min="12052" max="12052" width="9" style="203" customWidth="1"/>
    <col min="12053" max="12053" width="9" style="203"/>
    <col min="12054" max="12054" width="9" style="203" customWidth="1"/>
    <col min="12055" max="12060" width="9" style="203"/>
    <col min="12061" max="12061" width="26.5" style="203" customWidth="1"/>
    <col min="12062" max="12064" width="9" style="203"/>
    <col min="12065" max="12065" width="14.75" style="203" bestFit="1" customWidth="1"/>
    <col min="12066" max="12288" width="9" style="203"/>
    <col min="12289" max="12291" width="9" style="203" customWidth="1"/>
    <col min="12292" max="12292" width="10.5" style="203" customWidth="1"/>
    <col min="12293" max="12293" width="11.25" style="203" bestFit="1" customWidth="1"/>
    <col min="12294" max="12295" width="9" style="203"/>
    <col min="12296" max="12305" width="9" style="203" customWidth="1"/>
    <col min="12306" max="12306" width="9" style="203"/>
    <col min="12307" max="12307" width="9.5" style="203" bestFit="1" customWidth="1"/>
    <col min="12308" max="12308" width="9" style="203" customWidth="1"/>
    <col min="12309" max="12309" width="9" style="203"/>
    <col min="12310" max="12310" width="9" style="203" customWidth="1"/>
    <col min="12311" max="12316" width="9" style="203"/>
    <col min="12317" max="12317" width="26.5" style="203" customWidth="1"/>
    <col min="12318" max="12320" width="9" style="203"/>
    <col min="12321" max="12321" width="14.75" style="203" bestFit="1" customWidth="1"/>
    <col min="12322" max="12544" width="9" style="203"/>
    <col min="12545" max="12547" width="9" style="203" customWidth="1"/>
    <col min="12548" max="12548" width="10.5" style="203" customWidth="1"/>
    <col min="12549" max="12549" width="11.25" style="203" bestFit="1" customWidth="1"/>
    <col min="12550" max="12551" width="9" style="203"/>
    <col min="12552" max="12561" width="9" style="203" customWidth="1"/>
    <col min="12562" max="12562" width="9" style="203"/>
    <col min="12563" max="12563" width="9.5" style="203" bestFit="1" customWidth="1"/>
    <col min="12564" max="12564" width="9" style="203" customWidth="1"/>
    <col min="12565" max="12565" width="9" style="203"/>
    <col min="12566" max="12566" width="9" style="203" customWidth="1"/>
    <col min="12567" max="12572" width="9" style="203"/>
    <col min="12573" max="12573" width="26.5" style="203" customWidth="1"/>
    <col min="12574" max="12576" width="9" style="203"/>
    <col min="12577" max="12577" width="14.75" style="203" bestFit="1" customWidth="1"/>
    <col min="12578" max="12800" width="9" style="203"/>
    <col min="12801" max="12803" width="9" style="203" customWidth="1"/>
    <col min="12804" max="12804" width="10.5" style="203" customWidth="1"/>
    <col min="12805" max="12805" width="11.25" style="203" bestFit="1" customWidth="1"/>
    <col min="12806" max="12807" width="9" style="203"/>
    <col min="12808" max="12817" width="9" style="203" customWidth="1"/>
    <col min="12818" max="12818" width="9" style="203"/>
    <col min="12819" max="12819" width="9.5" style="203" bestFit="1" customWidth="1"/>
    <col min="12820" max="12820" width="9" style="203" customWidth="1"/>
    <col min="12821" max="12821" width="9" style="203"/>
    <col min="12822" max="12822" width="9" style="203" customWidth="1"/>
    <col min="12823" max="12828" width="9" style="203"/>
    <col min="12829" max="12829" width="26.5" style="203" customWidth="1"/>
    <col min="12830" max="12832" width="9" style="203"/>
    <col min="12833" max="12833" width="14.75" style="203" bestFit="1" customWidth="1"/>
    <col min="12834" max="13056" width="9" style="203"/>
    <col min="13057" max="13059" width="9" style="203" customWidth="1"/>
    <col min="13060" max="13060" width="10.5" style="203" customWidth="1"/>
    <col min="13061" max="13061" width="11.25" style="203" bestFit="1" customWidth="1"/>
    <col min="13062" max="13063" width="9" style="203"/>
    <col min="13064" max="13073" width="9" style="203" customWidth="1"/>
    <col min="13074" max="13074" width="9" style="203"/>
    <col min="13075" max="13075" width="9.5" style="203" bestFit="1" customWidth="1"/>
    <col min="13076" max="13076" width="9" style="203" customWidth="1"/>
    <col min="13077" max="13077" width="9" style="203"/>
    <col min="13078" max="13078" width="9" style="203" customWidth="1"/>
    <col min="13079" max="13084" width="9" style="203"/>
    <col min="13085" max="13085" width="26.5" style="203" customWidth="1"/>
    <col min="13086" max="13088" width="9" style="203"/>
    <col min="13089" max="13089" width="14.75" style="203" bestFit="1" customWidth="1"/>
    <col min="13090" max="13312" width="9" style="203"/>
    <col min="13313" max="13315" width="9" style="203" customWidth="1"/>
    <col min="13316" max="13316" width="10.5" style="203" customWidth="1"/>
    <col min="13317" max="13317" width="11.25" style="203" bestFit="1" customWidth="1"/>
    <col min="13318" max="13319" width="9" style="203"/>
    <col min="13320" max="13329" width="9" style="203" customWidth="1"/>
    <col min="13330" max="13330" width="9" style="203"/>
    <col min="13331" max="13331" width="9.5" style="203" bestFit="1" customWidth="1"/>
    <col min="13332" max="13332" width="9" style="203" customWidth="1"/>
    <col min="13333" max="13333" width="9" style="203"/>
    <col min="13334" max="13334" width="9" style="203" customWidth="1"/>
    <col min="13335" max="13340" width="9" style="203"/>
    <col min="13341" max="13341" width="26.5" style="203" customWidth="1"/>
    <col min="13342" max="13344" width="9" style="203"/>
    <col min="13345" max="13345" width="14.75" style="203" bestFit="1" customWidth="1"/>
    <col min="13346" max="13568" width="9" style="203"/>
    <col min="13569" max="13571" width="9" style="203" customWidth="1"/>
    <col min="13572" max="13572" width="10.5" style="203" customWidth="1"/>
    <col min="13573" max="13573" width="11.25" style="203" bestFit="1" customWidth="1"/>
    <col min="13574" max="13575" width="9" style="203"/>
    <col min="13576" max="13585" width="9" style="203" customWidth="1"/>
    <col min="13586" max="13586" width="9" style="203"/>
    <col min="13587" max="13587" width="9.5" style="203" bestFit="1" customWidth="1"/>
    <col min="13588" max="13588" width="9" style="203" customWidth="1"/>
    <col min="13589" max="13589" width="9" style="203"/>
    <col min="13590" max="13590" width="9" style="203" customWidth="1"/>
    <col min="13591" max="13596" width="9" style="203"/>
    <col min="13597" max="13597" width="26.5" style="203" customWidth="1"/>
    <col min="13598" max="13600" width="9" style="203"/>
    <col min="13601" max="13601" width="14.75" style="203" bestFit="1" customWidth="1"/>
    <col min="13602" max="13824" width="9" style="203"/>
    <col min="13825" max="13827" width="9" style="203" customWidth="1"/>
    <col min="13828" max="13828" width="10.5" style="203" customWidth="1"/>
    <col min="13829" max="13829" width="11.25" style="203" bestFit="1" customWidth="1"/>
    <col min="13830" max="13831" width="9" style="203"/>
    <col min="13832" max="13841" width="9" style="203" customWidth="1"/>
    <col min="13842" max="13842" width="9" style="203"/>
    <col min="13843" max="13843" width="9.5" style="203" bestFit="1" customWidth="1"/>
    <col min="13844" max="13844" width="9" style="203" customWidth="1"/>
    <col min="13845" max="13845" width="9" style="203"/>
    <col min="13846" max="13846" width="9" style="203" customWidth="1"/>
    <col min="13847" max="13852" width="9" style="203"/>
    <col min="13853" max="13853" width="26.5" style="203" customWidth="1"/>
    <col min="13854" max="13856" width="9" style="203"/>
    <col min="13857" max="13857" width="14.75" style="203" bestFit="1" customWidth="1"/>
    <col min="13858" max="14080" width="9" style="203"/>
    <col min="14081" max="14083" width="9" style="203" customWidth="1"/>
    <col min="14084" max="14084" width="10.5" style="203" customWidth="1"/>
    <col min="14085" max="14085" width="11.25" style="203" bestFit="1" customWidth="1"/>
    <col min="14086" max="14087" width="9" style="203"/>
    <col min="14088" max="14097" width="9" style="203" customWidth="1"/>
    <col min="14098" max="14098" width="9" style="203"/>
    <col min="14099" max="14099" width="9.5" style="203" bestFit="1" customWidth="1"/>
    <col min="14100" max="14100" width="9" style="203" customWidth="1"/>
    <col min="14101" max="14101" width="9" style="203"/>
    <col min="14102" max="14102" width="9" style="203" customWidth="1"/>
    <col min="14103" max="14108" width="9" style="203"/>
    <col min="14109" max="14109" width="26.5" style="203" customWidth="1"/>
    <col min="14110" max="14112" width="9" style="203"/>
    <col min="14113" max="14113" width="14.75" style="203" bestFit="1" customWidth="1"/>
    <col min="14114" max="14336" width="9" style="203"/>
    <col min="14337" max="14339" width="9" style="203" customWidth="1"/>
    <col min="14340" max="14340" width="10.5" style="203" customWidth="1"/>
    <col min="14341" max="14341" width="11.25" style="203" bestFit="1" customWidth="1"/>
    <col min="14342" max="14343" width="9" style="203"/>
    <col min="14344" max="14353" width="9" style="203" customWidth="1"/>
    <col min="14354" max="14354" width="9" style="203"/>
    <col min="14355" max="14355" width="9.5" style="203" bestFit="1" customWidth="1"/>
    <col min="14356" max="14356" width="9" style="203" customWidth="1"/>
    <col min="14357" max="14357" width="9" style="203"/>
    <col min="14358" max="14358" width="9" style="203" customWidth="1"/>
    <col min="14359" max="14364" width="9" style="203"/>
    <col min="14365" max="14365" width="26.5" style="203" customWidth="1"/>
    <col min="14366" max="14368" width="9" style="203"/>
    <col min="14369" max="14369" width="14.75" style="203" bestFit="1" customWidth="1"/>
    <col min="14370" max="14592" width="9" style="203"/>
    <col min="14593" max="14595" width="9" style="203" customWidth="1"/>
    <col min="14596" max="14596" width="10.5" style="203" customWidth="1"/>
    <col min="14597" max="14597" width="11.25" style="203" bestFit="1" customWidth="1"/>
    <col min="14598" max="14599" width="9" style="203"/>
    <col min="14600" max="14609" width="9" style="203" customWidth="1"/>
    <col min="14610" max="14610" width="9" style="203"/>
    <col min="14611" max="14611" width="9.5" style="203" bestFit="1" customWidth="1"/>
    <col min="14612" max="14612" width="9" style="203" customWidth="1"/>
    <col min="14613" max="14613" width="9" style="203"/>
    <col min="14614" max="14614" width="9" style="203" customWidth="1"/>
    <col min="14615" max="14620" width="9" style="203"/>
    <col min="14621" max="14621" width="26.5" style="203" customWidth="1"/>
    <col min="14622" max="14624" width="9" style="203"/>
    <col min="14625" max="14625" width="14.75" style="203" bestFit="1" customWidth="1"/>
    <col min="14626" max="14848" width="9" style="203"/>
    <col min="14849" max="14851" width="9" style="203" customWidth="1"/>
    <col min="14852" max="14852" width="10.5" style="203" customWidth="1"/>
    <col min="14853" max="14853" width="11.25" style="203" bestFit="1" customWidth="1"/>
    <col min="14854" max="14855" width="9" style="203"/>
    <col min="14856" max="14865" width="9" style="203" customWidth="1"/>
    <col min="14866" max="14866" width="9" style="203"/>
    <col min="14867" max="14867" width="9.5" style="203" bestFit="1" customWidth="1"/>
    <col min="14868" max="14868" width="9" style="203" customWidth="1"/>
    <col min="14869" max="14869" width="9" style="203"/>
    <col min="14870" max="14870" width="9" style="203" customWidth="1"/>
    <col min="14871" max="14876" width="9" style="203"/>
    <col min="14877" max="14877" width="26.5" style="203" customWidth="1"/>
    <col min="14878" max="14880" width="9" style="203"/>
    <col min="14881" max="14881" width="14.75" style="203" bestFit="1" customWidth="1"/>
    <col min="14882" max="15104" width="9" style="203"/>
    <col min="15105" max="15107" width="9" style="203" customWidth="1"/>
    <col min="15108" max="15108" width="10.5" style="203" customWidth="1"/>
    <col min="15109" max="15109" width="11.25" style="203" bestFit="1" customWidth="1"/>
    <col min="15110" max="15111" width="9" style="203"/>
    <col min="15112" max="15121" width="9" style="203" customWidth="1"/>
    <col min="15122" max="15122" width="9" style="203"/>
    <col min="15123" max="15123" width="9.5" style="203" bestFit="1" customWidth="1"/>
    <col min="15124" max="15124" width="9" style="203" customWidth="1"/>
    <col min="15125" max="15125" width="9" style="203"/>
    <col min="15126" max="15126" width="9" style="203" customWidth="1"/>
    <col min="15127" max="15132" width="9" style="203"/>
    <col min="15133" max="15133" width="26.5" style="203" customWidth="1"/>
    <col min="15134" max="15136" width="9" style="203"/>
    <col min="15137" max="15137" width="14.75" style="203" bestFit="1" customWidth="1"/>
    <col min="15138" max="15360" width="9" style="203"/>
    <col min="15361" max="15363" width="9" style="203" customWidth="1"/>
    <col min="15364" max="15364" width="10.5" style="203" customWidth="1"/>
    <col min="15365" max="15365" width="11.25" style="203" bestFit="1" customWidth="1"/>
    <col min="15366" max="15367" width="9" style="203"/>
    <col min="15368" max="15377" width="9" style="203" customWidth="1"/>
    <col min="15378" max="15378" width="9" style="203"/>
    <col min="15379" max="15379" width="9.5" style="203" bestFit="1" customWidth="1"/>
    <col min="15380" max="15380" width="9" style="203" customWidth="1"/>
    <col min="15381" max="15381" width="9" style="203"/>
    <col min="15382" max="15382" width="9" style="203" customWidth="1"/>
    <col min="15383" max="15388" width="9" style="203"/>
    <col min="15389" max="15389" width="26.5" style="203" customWidth="1"/>
    <col min="15390" max="15392" width="9" style="203"/>
    <col min="15393" max="15393" width="14.75" style="203" bestFit="1" customWidth="1"/>
    <col min="15394" max="15616" width="9" style="203"/>
    <col min="15617" max="15619" width="9" style="203" customWidth="1"/>
    <col min="15620" max="15620" width="10.5" style="203" customWidth="1"/>
    <col min="15621" max="15621" width="11.25" style="203" bestFit="1" customWidth="1"/>
    <col min="15622" max="15623" width="9" style="203"/>
    <col min="15624" max="15633" width="9" style="203" customWidth="1"/>
    <col min="15634" max="15634" width="9" style="203"/>
    <col min="15635" max="15635" width="9.5" style="203" bestFit="1" customWidth="1"/>
    <col min="15636" max="15636" width="9" style="203" customWidth="1"/>
    <col min="15637" max="15637" width="9" style="203"/>
    <col min="15638" max="15638" width="9" style="203" customWidth="1"/>
    <col min="15639" max="15644" width="9" style="203"/>
    <col min="15645" max="15645" width="26.5" style="203" customWidth="1"/>
    <col min="15646" max="15648" width="9" style="203"/>
    <col min="15649" max="15649" width="14.75" style="203" bestFit="1" customWidth="1"/>
    <col min="15650" max="15872" width="9" style="203"/>
    <col min="15873" max="15875" width="9" style="203" customWidth="1"/>
    <col min="15876" max="15876" width="10.5" style="203" customWidth="1"/>
    <col min="15877" max="15877" width="11.25" style="203" bestFit="1" customWidth="1"/>
    <col min="15878" max="15879" width="9" style="203"/>
    <col min="15880" max="15889" width="9" style="203" customWidth="1"/>
    <col min="15890" max="15890" width="9" style="203"/>
    <col min="15891" max="15891" width="9.5" style="203" bestFit="1" customWidth="1"/>
    <col min="15892" max="15892" width="9" style="203" customWidth="1"/>
    <col min="15893" max="15893" width="9" style="203"/>
    <col min="15894" max="15894" width="9" style="203" customWidth="1"/>
    <col min="15895" max="15900" width="9" style="203"/>
    <col min="15901" max="15901" width="26.5" style="203" customWidth="1"/>
    <col min="15902" max="15904" width="9" style="203"/>
    <col min="15905" max="15905" width="14.75" style="203" bestFit="1" customWidth="1"/>
    <col min="15906" max="16128" width="9" style="203"/>
    <col min="16129" max="16131" width="9" style="203" customWidth="1"/>
    <col min="16132" max="16132" width="10.5" style="203" customWidth="1"/>
    <col min="16133" max="16133" width="11.25" style="203" bestFit="1" customWidth="1"/>
    <col min="16134" max="16135" width="9" style="203"/>
    <col min="16136" max="16145" width="9" style="203" customWidth="1"/>
    <col min="16146" max="16146" width="9" style="203"/>
    <col min="16147" max="16147" width="9.5" style="203" bestFit="1" customWidth="1"/>
    <col min="16148" max="16148" width="9" style="203" customWidth="1"/>
    <col min="16149" max="16149" width="9" style="203"/>
    <col min="16150" max="16150" width="9" style="203" customWidth="1"/>
    <col min="16151" max="16156" width="9" style="203"/>
    <col min="16157" max="16157" width="26.5" style="203" customWidth="1"/>
    <col min="16158" max="16160" width="9" style="203"/>
    <col min="16161" max="16161" width="14.75" style="203" bestFit="1" customWidth="1"/>
    <col min="16162" max="16384" width="9" style="203"/>
  </cols>
  <sheetData>
    <row r="1" spans="1:53" ht="44.25" customHeight="1" x14ac:dyDescent="0.15">
      <c r="A1" s="130" t="s">
        <v>374</v>
      </c>
      <c r="B1" s="197" t="s">
        <v>1</v>
      </c>
      <c r="C1" s="197" t="s">
        <v>375</v>
      </c>
      <c r="D1" s="198" t="s">
        <v>3</v>
      </c>
      <c r="E1" s="198" t="s">
        <v>376</v>
      </c>
      <c r="F1" s="198" t="s">
        <v>5</v>
      </c>
      <c r="G1" s="198" t="s">
        <v>6</v>
      </c>
      <c r="H1" s="198" t="s">
        <v>241</v>
      </c>
      <c r="I1" s="198" t="s">
        <v>8</v>
      </c>
      <c r="J1" s="198" t="s">
        <v>9</v>
      </c>
      <c r="K1" s="198" t="s">
        <v>10</v>
      </c>
      <c r="L1" s="198" t="s">
        <v>158</v>
      </c>
      <c r="M1" s="198" t="s">
        <v>12</v>
      </c>
      <c r="N1" s="198" t="s">
        <v>13</v>
      </c>
      <c r="O1" s="198" t="s">
        <v>159</v>
      </c>
      <c r="P1" s="198" t="s">
        <v>15</v>
      </c>
      <c r="Q1" s="199" t="s">
        <v>16</v>
      </c>
      <c r="R1" s="198" t="s">
        <v>17</v>
      </c>
      <c r="S1" s="198" t="s">
        <v>18</v>
      </c>
      <c r="T1" s="199" t="s">
        <v>19</v>
      </c>
      <c r="U1" s="200" t="s">
        <v>108</v>
      </c>
      <c r="V1" s="201" t="s">
        <v>20</v>
      </c>
      <c r="W1" s="198" t="s">
        <v>21</v>
      </c>
      <c r="X1" s="198" t="s">
        <v>22</v>
      </c>
      <c r="Y1" s="198" t="s">
        <v>23</v>
      </c>
      <c r="Z1" s="198" t="s">
        <v>24</v>
      </c>
      <c r="AA1" s="131" t="s">
        <v>25</v>
      </c>
      <c r="AB1" s="132" t="s">
        <v>160</v>
      </c>
      <c r="AC1" s="133"/>
      <c r="AE1" s="204" t="s">
        <v>0</v>
      </c>
      <c r="AF1" s="205"/>
      <c r="AG1" s="204" t="s">
        <v>4</v>
      </c>
      <c r="AH1" s="204" t="s">
        <v>5</v>
      </c>
      <c r="AI1" s="205"/>
      <c r="AJ1" s="204" t="s">
        <v>6</v>
      </c>
      <c r="AK1" s="205"/>
      <c r="AL1" s="206" t="s">
        <v>7</v>
      </c>
      <c r="AM1" s="205"/>
      <c r="AN1" s="206" t="s">
        <v>8</v>
      </c>
      <c r="AO1" s="205"/>
      <c r="AP1" s="206" t="s">
        <v>27</v>
      </c>
      <c r="AQ1" s="205"/>
      <c r="AR1" s="206" t="s">
        <v>10</v>
      </c>
      <c r="AS1" s="205"/>
      <c r="AT1" s="207" t="s">
        <v>28</v>
      </c>
      <c r="AU1" s="205"/>
      <c r="AV1" s="206" t="s">
        <v>29</v>
      </c>
      <c r="AX1" s="208" t="s">
        <v>161</v>
      </c>
      <c r="AY1" s="209" t="s">
        <v>162</v>
      </c>
      <c r="AZ1" s="209" t="s">
        <v>163</v>
      </c>
      <c r="BA1" s="210" t="s">
        <v>164</v>
      </c>
    </row>
    <row r="2" spans="1:53" s="140" customFormat="1" x14ac:dyDescent="0.15">
      <c r="A2" s="134" t="s">
        <v>61</v>
      </c>
      <c r="B2" s="134" t="s">
        <v>335</v>
      </c>
      <c r="C2" s="134">
        <v>2018</v>
      </c>
      <c r="D2" s="135" t="s">
        <v>353</v>
      </c>
      <c r="E2" s="134" t="s">
        <v>243</v>
      </c>
      <c r="F2" s="134" t="s">
        <v>242</v>
      </c>
      <c r="G2" s="134" t="s">
        <v>42</v>
      </c>
      <c r="H2" s="242" t="s">
        <v>155</v>
      </c>
      <c r="I2" s="242" t="s">
        <v>153</v>
      </c>
      <c r="J2" s="134" t="s">
        <v>38</v>
      </c>
      <c r="K2" s="242" t="s">
        <v>154</v>
      </c>
      <c r="L2" s="242">
        <v>1</v>
      </c>
      <c r="M2" s="242"/>
      <c r="N2" s="242">
        <v>1</v>
      </c>
      <c r="O2" s="242">
        <v>1</v>
      </c>
      <c r="P2" s="242">
        <v>1</v>
      </c>
      <c r="Q2" s="136">
        <f t="shared" ref="Q2:Q65" si="0">IF(OR(O2="",P2=""),"",AVERAGE(O2,P2))</f>
        <v>1</v>
      </c>
      <c r="R2" s="242">
        <v>16.8</v>
      </c>
      <c r="S2" s="242">
        <v>132</v>
      </c>
      <c r="T2" s="137">
        <f t="shared" ref="T2:T65" si="1">IF(H2="","",IF(OR(H2="GREEN",H2="GK"),IF(S2&gt;=$AX$2,VLOOKUP(S2,$AX$2:$AY$15,2,1),""),IF(S2&gt;=$AZ$2,VLOOKUP(S2,$AZ$2:$BA$15,2,1),"")))</f>
        <v>25</v>
      </c>
      <c r="U2" s="242">
        <v>81</v>
      </c>
      <c r="V2" s="138">
        <f t="shared" ref="V2:V65" si="2">IF(OR(N2="",U2="",T2=""),"",U2/N2*T2)</f>
        <v>2025</v>
      </c>
      <c r="W2" s="242">
        <v>1</v>
      </c>
      <c r="X2" s="134" t="s">
        <v>39</v>
      </c>
      <c r="Y2" s="242" t="s">
        <v>90</v>
      </c>
      <c r="Z2" s="242" t="s">
        <v>50</v>
      </c>
      <c r="AA2" s="242" t="s">
        <v>78</v>
      </c>
      <c r="AB2" s="134" t="s">
        <v>337</v>
      </c>
      <c r="AC2" s="139"/>
      <c r="AE2" s="213" t="s">
        <v>35</v>
      </c>
      <c r="AG2" s="49" t="s">
        <v>243</v>
      </c>
      <c r="AH2" s="49" t="s">
        <v>242</v>
      </c>
      <c r="AJ2" s="141" t="s">
        <v>36</v>
      </c>
      <c r="AL2" s="214" t="s">
        <v>127</v>
      </c>
      <c r="AN2" s="141" t="s">
        <v>37</v>
      </c>
      <c r="AP2" s="214" t="s">
        <v>38</v>
      </c>
      <c r="AR2" s="214" t="s">
        <v>120</v>
      </c>
      <c r="AT2" s="141" t="s">
        <v>39</v>
      </c>
      <c r="AV2" s="214" t="s">
        <v>40</v>
      </c>
      <c r="AX2" s="142">
        <v>1</v>
      </c>
      <c r="AY2" s="143">
        <v>50</v>
      </c>
      <c r="AZ2" s="143">
        <v>1</v>
      </c>
      <c r="BA2" s="144">
        <v>50</v>
      </c>
    </row>
    <row r="3" spans="1:53" x14ac:dyDescent="0.15">
      <c r="A3" s="134" t="s">
        <v>61</v>
      </c>
      <c r="B3" s="134" t="s">
        <v>335</v>
      </c>
      <c r="C3" s="134">
        <v>2018</v>
      </c>
      <c r="D3" s="135" t="s">
        <v>353</v>
      </c>
      <c r="E3" s="134" t="s">
        <v>243</v>
      </c>
      <c r="F3" s="134" t="s">
        <v>242</v>
      </c>
      <c r="G3" s="134" t="s">
        <v>42</v>
      </c>
      <c r="H3" s="242" t="s">
        <v>155</v>
      </c>
      <c r="I3" s="242" t="s">
        <v>153</v>
      </c>
      <c r="J3" s="134" t="s">
        <v>38</v>
      </c>
      <c r="K3" s="242" t="s">
        <v>154</v>
      </c>
      <c r="L3" s="242">
        <v>2</v>
      </c>
      <c r="M3" s="242"/>
      <c r="N3" s="242">
        <v>1</v>
      </c>
      <c r="O3" s="242">
        <v>0.8</v>
      </c>
      <c r="P3" s="242">
        <v>0.8</v>
      </c>
      <c r="Q3" s="136">
        <f t="shared" si="0"/>
        <v>0.8</v>
      </c>
      <c r="R3" s="242">
        <v>16.5</v>
      </c>
      <c r="S3" s="242">
        <v>140</v>
      </c>
      <c r="T3" s="137">
        <f t="shared" si="1"/>
        <v>22</v>
      </c>
      <c r="U3" s="242">
        <v>81</v>
      </c>
      <c r="V3" s="138">
        <f t="shared" si="2"/>
        <v>1782</v>
      </c>
      <c r="W3" s="242">
        <v>1</v>
      </c>
      <c r="X3" s="134" t="s">
        <v>39</v>
      </c>
      <c r="Y3" s="242" t="s">
        <v>90</v>
      </c>
      <c r="Z3" s="242" t="s">
        <v>50</v>
      </c>
      <c r="AA3" s="242" t="s">
        <v>78</v>
      </c>
      <c r="AB3" s="134" t="s">
        <v>337</v>
      </c>
      <c r="AC3" s="139"/>
      <c r="AE3" s="218" t="s">
        <v>41</v>
      </c>
      <c r="AG3" s="49" t="s">
        <v>244</v>
      </c>
      <c r="AH3" s="49" t="s">
        <v>245</v>
      </c>
      <c r="AJ3" s="219" t="s">
        <v>42</v>
      </c>
      <c r="AL3" s="219" t="s">
        <v>128</v>
      </c>
      <c r="AN3" s="219" t="s">
        <v>43</v>
      </c>
      <c r="AP3" s="219" t="s">
        <v>44</v>
      </c>
      <c r="AR3" s="233" t="s">
        <v>45</v>
      </c>
      <c r="AT3" s="219" t="s">
        <v>46</v>
      </c>
      <c r="AV3" s="233" t="s">
        <v>47</v>
      </c>
      <c r="AX3" s="220">
        <v>72</v>
      </c>
      <c r="AY3" s="221">
        <v>46</v>
      </c>
      <c r="AZ3" s="221">
        <v>71</v>
      </c>
      <c r="BA3" s="222">
        <v>42</v>
      </c>
    </row>
    <row r="4" spans="1:53" x14ac:dyDescent="0.15">
      <c r="A4" s="134" t="s">
        <v>61</v>
      </c>
      <c r="B4" s="134" t="s">
        <v>335</v>
      </c>
      <c r="C4" s="134">
        <v>2018</v>
      </c>
      <c r="D4" s="135" t="s">
        <v>353</v>
      </c>
      <c r="E4" s="134" t="s">
        <v>243</v>
      </c>
      <c r="F4" s="134" t="s">
        <v>242</v>
      </c>
      <c r="G4" s="134" t="s">
        <v>42</v>
      </c>
      <c r="H4" s="242" t="s">
        <v>155</v>
      </c>
      <c r="I4" s="242" t="s">
        <v>153</v>
      </c>
      <c r="J4" s="134" t="s">
        <v>38</v>
      </c>
      <c r="K4" s="242" t="s">
        <v>154</v>
      </c>
      <c r="L4" s="242">
        <v>3</v>
      </c>
      <c r="M4" s="242"/>
      <c r="N4" s="242">
        <v>1</v>
      </c>
      <c r="O4" s="242">
        <v>0.8</v>
      </c>
      <c r="P4" s="242">
        <v>0.8</v>
      </c>
      <c r="Q4" s="136">
        <f t="shared" si="0"/>
        <v>0.8</v>
      </c>
      <c r="R4" s="242">
        <v>16.100000000000001</v>
      </c>
      <c r="S4" s="242">
        <v>137</v>
      </c>
      <c r="T4" s="137">
        <f t="shared" si="1"/>
        <v>25</v>
      </c>
      <c r="U4" s="242">
        <v>81</v>
      </c>
      <c r="V4" s="138">
        <f t="shared" si="2"/>
        <v>2025</v>
      </c>
      <c r="W4" s="242">
        <v>1</v>
      </c>
      <c r="X4" s="134" t="s">
        <v>39</v>
      </c>
      <c r="Y4" s="242" t="s">
        <v>90</v>
      </c>
      <c r="Z4" s="242" t="s">
        <v>50</v>
      </c>
      <c r="AA4" s="242" t="s">
        <v>78</v>
      </c>
      <c r="AB4" s="134" t="s">
        <v>337</v>
      </c>
      <c r="AC4" s="139"/>
      <c r="AE4" s="218" t="s">
        <v>34</v>
      </c>
      <c r="AG4" s="49" t="s">
        <v>246</v>
      </c>
      <c r="AH4" s="49" t="s">
        <v>247</v>
      </c>
      <c r="AJ4" s="223" t="s">
        <v>48</v>
      </c>
      <c r="AL4" s="223" t="s">
        <v>129</v>
      </c>
      <c r="AN4" s="224" t="s">
        <v>49</v>
      </c>
      <c r="AP4" s="219" t="s">
        <v>165</v>
      </c>
      <c r="AR4" s="233" t="s">
        <v>121</v>
      </c>
      <c r="AT4" s="224"/>
      <c r="AV4" s="233" t="s">
        <v>50</v>
      </c>
      <c r="AX4" s="220">
        <v>75</v>
      </c>
      <c r="AY4" s="221">
        <v>42</v>
      </c>
      <c r="AZ4" s="221">
        <v>76</v>
      </c>
      <c r="BA4" s="222">
        <v>39</v>
      </c>
    </row>
    <row r="5" spans="1:53" x14ac:dyDescent="0.15">
      <c r="A5" s="134" t="s">
        <v>61</v>
      </c>
      <c r="B5" s="134" t="s">
        <v>335</v>
      </c>
      <c r="C5" s="134">
        <v>2018</v>
      </c>
      <c r="D5" s="135" t="s">
        <v>353</v>
      </c>
      <c r="E5" s="134" t="s">
        <v>244</v>
      </c>
      <c r="F5" s="134" t="s">
        <v>245</v>
      </c>
      <c r="G5" s="134" t="s">
        <v>42</v>
      </c>
      <c r="H5" s="242" t="s">
        <v>155</v>
      </c>
      <c r="I5" s="242" t="s">
        <v>153</v>
      </c>
      <c r="J5" s="134" t="s">
        <v>38</v>
      </c>
      <c r="K5" s="242" t="s">
        <v>154</v>
      </c>
      <c r="L5" s="242">
        <v>1</v>
      </c>
      <c r="M5" s="242"/>
      <c r="N5" s="242">
        <v>4</v>
      </c>
      <c r="O5" s="242">
        <v>0.8</v>
      </c>
      <c r="P5" s="242">
        <v>0.9</v>
      </c>
      <c r="Q5" s="136">
        <f t="shared" si="0"/>
        <v>0.85000000000000009</v>
      </c>
      <c r="R5" s="242">
        <v>17</v>
      </c>
      <c r="S5" s="242">
        <v>105</v>
      </c>
      <c r="T5" s="137">
        <f t="shared" si="1"/>
        <v>33</v>
      </c>
      <c r="U5" s="242">
        <v>398</v>
      </c>
      <c r="V5" s="138">
        <f t="shared" si="2"/>
        <v>3283.5</v>
      </c>
      <c r="W5" s="242">
        <v>3</v>
      </c>
      <c r="X5" s="134" t="s">
        <v>46</v>
      </c>
      <c r="Y5" s="242" t="s">
        <v>84</v>
      </c>
      <c r="Z5" s="242" t="s">
        <v>90</v>
      </c>
      <c r="AA5" s="242" t="s">
        <v>69</v>
      </c>
      <c r="AB5" s="134" t="s">
        <v>337</v>
      </c>
      <c r="AC5" s="139"/>
      <c r="AE5" s="218" t="s">
        <v>51</v>
      </c>
      <c r="AG5" s="49" t="s">
        <v>248</v>
      </c>
      <c r="AH5" s="49" t="s">
        <v>249</v>
      </c>
      <c r="AJ5" s="223"/>
      <c r="AL5" s="225" t="s">
        <v>167</v>
      </c>
      <c r="AN5" s="225" t="s">
        <v>168</v>
      </c>
      <c r="AP5" s="219" t="s">
        <v>119</v>
      </c>
      <c r="AR5" s="233" t="s">
        <v>54</v>
      </c>
      <c r="AT5" s="242"/>
      <c r="AV5" s="233" t="s">
        <v>55</v>
      </c>
      <c r="AX5" s="220">
        <v>84</v>
      </c>
      <c r="AY5" s="221">
        <v>39</v>
      </c>
      <c r="AZ5" s="221">
        <v>84</v>
      </c>
      <c r="BA5" s="222">
        <v>36</v>
      </c>
    </row>
    <row r="6" spans="1:53" x14ac:dyDescent="0.15">
      <c r="A6" s="134" t="s">
        <v>61</v>
      </c>
      <c r="B6" s="134" t="s">
        <v>335</v>
      </c>
      <c r="C6" s="134">
        <v>2018</v>
      </c>
      <c r="D6" s="135" t="s">
        <v>353</v>
      </c>
      <c r="E6" s="134" t="s">
        <v>244</v>
      </c>
      <c r="F6" s="134" t="s">
        <v>245</v>
      </c>
      <c r="G6" s="134" t="s">
        <v>42</v>
      </c>
      <c r="H6" s="242" t="s">
        <v>155</v>
      </c>
      <c r="I6" s="242" t="s">
        <v>153</v>
      </c>
      <c r="J6" s="134" t="s">
        <v>38</v>
      </c>
      <c r="K6" s="242" t="s">
        <v>154</v>
      </c>
      <c r="L6" s="242">
        <v>2</v>
      </c>
      <c r="M6" s="242"/>
      <c r="N6" s="242">
        <v>4</v>
      </c>
      <c r="O6" s="242">
        <v>0.8</v>
      </c>
      <c r="P6" s="242">
        <v>0.8</v>
      </c>
      <c r="Q6" s="136">
        <f t="shared" si="0"/>
        <v>0.8</v>
      </c>
      <c r="R6" s="242">
        <v>17.2</v>
      </c>
      <c r="S6" s="242">
        <v>104</v>
      </c>
      <c r="T6" s="137">
        <f t="shared" si="1"/>
        <v>33</v>
      </c>
      <c r="U6" s="242">
        <v>398</v>
      </c>
      <c r="V6" s="138">
        <f t="shared" si="2"/>
        <v>3283.5</v>
      </c>
      <c r="W6" s="242">
        <v>3</v>
      </c>
      <c r="X6" s="134" t="s">
        <v>46</v>
      </c>
      <c r="Y6" s="242" t="s">
        <v>84</v>
      </c>
      <c r="Z6" s="242" t="s">
        <v>90</v>
      </c>
      <c r="AA6" s="242" t="s">
        <v>69</v>
      </c>
      <c r="AB6" s="134" t="s">
        <v>337</v>
      </c>
      <c r="AC6" s="139"/>
      <c r="AE6" s="218" t="s">
        <v>56</v>
      </c>
      <c r="AG6" s="49" t="s">
        <v>250</v>
      </c>
      <c r="AH6" s="49" t="s">
        <v>251</v>
      </c>
      <c r="AJ6" s="223"/>
      <c r="AL6" s="225" t="s">
        <v>169</v>
      </c>
      <c r="AN6" s="225" t="s">
        <v>170</v>
      </c>
      <c r="AP6" s="219" t="s">
        <v>53</v>
      </c>
      <c r="AR6" s="233" t="s">
        <v>59</v>
      </c>
      <c r="AT6" s="242"/>
      <c r="AV6" s="233" t="s">
        <v>60</v>
      </c>
      <c r="AX6" s="220">
        <v>97</v>
      </c>
      <c r="AY6" s="221">
        <v>36</v>
      </c>
      <c r="AZ6" s="221">
        <v>99</v>
      </c>
      <c r="BA6" s="222">
        <v>33</v>
      </c>
    </row>
    <row r="7" spans="1:53" x14ac:dyDescent="0.15">
      <c r="A7" s="134" t="s">
        <v>61</v>
      </c>
      <c r="B7" s="134" t="s">
        <v>335</v>
      </c>
      <c r="C7" s="134">
        <v>2018</v>
      </c>
      <c r="D7" s="135" t="s">
        <v>353</v>
      </c>
      <c r="E7" s="134" t="s">
        <v>244</v>
      </c>
      <c r="F7" s="134" t="s">
        <v>245</v>
      </c>
      <c r="G7" s="134" t="s">
        <v>42</v>
      </c>
      <c r="H7" s="242" t="s">
        <v>155</v>
      </c>
      <c r="I7" s="242" t="s">
        <v>153</v>
      </c>
      <c r="J7" s="134" t="s">
        <v>38</v>
      </c>
      <c r="K7" s="242" t="s">
        <v>154</v>
      </c>
      <c r="L7" s="242">
        <v>3</v>
      </c>
      <c r="M7" s="242"/>
      <c r="N7" s="242">
        <v>4</v>
      </c>
      <c r="O7" s="242">
        <v>0.7</v>
      </c>
      <c r="P7" s="242">
        <v>0.75</v>
      </c>
      <c r="Q7" s="136">
        <f t="shared" si="0"/>
        <v>0.72499999999999998</v>
      </c>
      <c r="R7" s="242">
        <v>16.5</v>
      </c>
      <c r="S7" s="242">
        <v>95</v>
      </c>
      <c r="T7" s="137">
        <f t="shared" si="1"/>
        <v>36</v>
      </c>
      <c r="U7" s="242">
        <v>398</v>
      </c>
      <c r="V7" s="138">
        <f t="shared" si="2"/>
        <v>3582</v>
      </c>
      <c r="W7" s="242">
        <v>3</v>
      </c>
      <c r="X7" s="134" t="s">
        <v>46</v>
      </c>
      <c r="Y7" s="242" t="s">
        <v>84</v>
      </c>
      <c r="Z7" s="242" t="s">
        <v>90</v>
      </c>
      <c r="AA7" s="242" t="s">
        <v>69</v>
      </c>
      <c r="AB7" s="134" t="s">
        <v>337</v>
      </c>
      <c r="AC7" s="139"/>
      <c r="AE7" s="218" t="s">
        <v>61</v>
      </c>
      <c r="AG7" s="49" t="s">
        <v>252</v>
      </c>
      <c r="AH7" s="49" t="s">
        <v>253</v>
      </c>
      <c r="AJ7" s="223"/>
      <c r="AL7" s="230" t="s">
        <v>109</v>
      </c>
      <c r="AN7" s="145"/>
      <c r="AP7" s="219" t="s">
        <v>58</v>
      </c>
      <c r="AR7" s="226" t="s">
        <v>122</v>
      </c>
      <c r="AT7" s="242"/>
      <c r="AV7" s="233" t="s">
        <v>64</v>
      </c>
      <c r="AX7" s="220">
        <v>109</v>
      </c>
      <c r="AY7" s="221">
        <v>33</v>
      </c>
      <c r="AZ7" s="221">
        <v>113</v>
      </c>
      <c r="BA7" s="222">
        <v>30</v>
      </c>
    </row>
    <row r="8" spans="1:53" x14ac:dyDescent="0.15">
      <c r="A8" s="134" t="s">
        <v>61</v>
      </c>
      <c r="B8" s="134" t="s">
        <v>377</v>
      </c>
      <c r="C8" s="134">
        <v>2018</v>
      </c>
      <c r="D8" s="135" t="s">
        <v>378</v>
      </c>
      <c r="E8" s="134" t="s">
        <v>244</v>
      </c>
      <c r="F8" s="134" t="s">
        <v>245</v>
      </c>
      <c r="G8" s="134" t="s">
        <v>42</v>
      </c>
      <c r="H8" s="242" t="s">
        <v>166</v>
      </c>
      <c r="I8" s="242" t="s">
        <v>379</v>
      </c>
      <c r="J8" s="134" t="s">
        <v>38</v>
      </c>
      <c r="K8" s="242" t="s">
        <v>154</v>
      </c>
      <c r="L8" s="242">
        <v>1</v>
      </c>
      <c r="M8" s="242"/>
      <c r="N8" s="242">
        <v>4</v>
      </c>
      <c r="O8" s="242">
        <v>0.5</v>
      </c>
      <c r="P8" s="242">
        <v>0.5</v>
      </c>
      <c r="Q8" s="136">
        <f t="shared" si="0"/>
        <v>0.5</v>
      </c>
      <c r="R8" s="242">
        <v>17.7</v>
      </c>
      <c r="S8" s="242">
        <v>125</v>
      </c>
      <c r="T8" s="137">
        <f t="shared" si="1"/>
        <v>27</v>
      </c>
      <c r="U8" s="242">
        <v>498</v>
      </c>
      <c r="V8" s="138">
        <f t="shared" si="2"/>
        <v>3361.5</v>
      </c>
      <c r="W8" s="242">
        <v>3</v>
      </c>
      <c r="X8" s="134" t="s">
        <v>46</v>
      </c>
      <c r="Y8" s="242" t="s">
        <v>84</v>
      </c>
      <c r="Z8" s="242" t="s">
        <v>90</v>
      </c>
      <c r="AA8" s="242" t="s">
        <v>69</v>
      </c>
      <c r="AB8" s="134" t="s">
        <v>380</v>
      </c>
      <c r="AC8" s="139"/>
      <c r="AE8" s="218" t="s">
        <v>59</v>
      </c>
      <c r="AG8" s="49" t="s">
        <v>254</v>
      </c>
      <c r="AH8" s="49" t="s">
        <v>255</v>
      </c>
      <c r="AJ8" s="224"/>
      <c r="AL8" s="139" t="s">
        <v>366</v>
      </c>
      <c r="AN8" s="225"/>
      <c r="AP8" s="219" t="s">
        <v>62</v>
      </c>
      <c r="AR8" s="233" t="s">
        <v>81</v>
      </c>
      <c r="AT8" s="242"/>
      <c r="AV8" s="233" t="s">
        <v>97</v>
      </c>
      <c r="AX8" s="220">
        <v>119</v>
      </c>
      <c r="AY8" s="221">
        <v>30</v>
      </c>
      <c r="AZ8" s="221">
        <v>121</v>
      </c>
      <c r="BA8" s="222">
        <v>27</v>
      </c>
    </row>
    <row r="9" spans="1:53" x14ac:dyDescent="0.15">
      <c r="A9" s="134" t="s">
        <v>61</v>
      </c>
      <c r="B9" s="134" t="s">
        <v>377</v>
      </c>
      <c r="C9" s="134">
        <v>2018</v>
      </c>
      <c r="D9" s="135" t="s">
        <v>378</v>
      </c>
      <c r="E9" s="134" t="s">
        <v>244</v>
      </c>
      <c r="F9" s="134" t="s">
        <v>245</v>
      </c>
      <c r="G9" s="134" t="s">
        <v>42</v>
      </c>
      <c r="H9" s="242" t="s">
        <v>166</v>
      </c>
      <c r="I9" s="242" t="s">
        <v>153</v>
      </c>
      <c r="J9" s="134" t="s">
        <v>38</v>
      </c>
      <c r="K9" s="242" t="s">
        <v>154</v>
      </c>
      <c r="L9" s="242">
        <v>2</v>
      </c>
      <c r="M9" s="242"/>
      <c r="N9" s="242">
        <v>4</v>
      </c>
      <c r="O9" s="242">
        <v>0.55000000000000004</v>
      </c>
      <c r="P9" s="242">
        <v>0.6</v>
      </c>
      <c r="Q9" s="136">
        <f t="shared" si="0"/>
        <v>0.57499999999999996</v>
      </c>
      <c r="R9" s="242">
        <v>17.2</v>
      </c>
      <c r="S9" s="242">
        <v>120</v>
      </c>
      <c r="T9" s="137">
        <f t="shared" si="1"/>
        <v>30</v>
      </c>
      <c r="U9" s="242">
        <v>498</v>
      </c>
      <c r="V9" s="138">
        <f t="shared" si="2"/>
        <v>3735</v>
      </c>
      <c r="W9" s="242">
        <v>3</v>
      </c>
      <c r="X9" s="134" t="s">
        <v>46</v>
      </c>
      <c r="Y9" s="242" t="s">
        <v>84</v>
      </c>
      <c r="Z9" s="242" t="s">
        <v>90</v>
      </c>
      <c r="AA9" s="242" t="s">
        <v>69</v>
      </c>
      <c r="AB9" s="134" t="s">
        <v>380</v>
      </c>
      <c r="AC9" s="139"/>
      <c r="AE9" s="218" t="s">
        <v>98</v>
      </c>
      <c r="AG9" s="49" t="s">
        <v>133</v>
      </c>
      <c r="AH9" s="49" t="s">
        <v>256</v>
      </c>
      <c r="AJ9" s="242"/>
      <c r="AL9" s="225"/>
      <c r="AN9" s="225"/>
      <c r="AP9" s="219" t="s">
        <v>95</v>
      </c>
      <c r="AR9" s="226" t="s">
        <v>89</v>
      </c>
      <c r="AT9" s="242"/>
      <c r="AV9" s="233" t="s">
        <v>102</v>
      </c>
      <c r="AX9" s="220">
        <v>128</v>
      </c>
      <c r="AY9" s="221">
        <v>27</v>
      </c>
      <c r="AZ9" s="221">
        <v>129</v>
      </c>
      <c r="BA9" s="222">
        <v>25</v>
      </c>
    </row>
    <row r="10" spans="1:53" x14ac:dyDescent="0.15">
      <c r="A10" s="134" t="s">
        <v>61</v>
      </c>
      <c r="B10" s="134" t="s">
        <v>381</v>
      </c>
      <c r="C10" s="134">
        <v>2018</v>
      </c>
      <c r="D10" s="135" t="s">
        <v>382</v>
      </c>
      <c r="E10" s="134" t="s">
        <v>244</v>
      </c>
      <c r="F10" s="134" t="s">
        <v>245</v>
      </c>
      <c r="G10" s="134" t="s">
        <v>42</v>
      </c>
      <c r="H10" s="242" t="s">
        <v>166</v>
      </c>
      <c r="I10" s="242" t="s">
        <v>153</v>
      </c>
      <c r="J10" s="134" t="s">
        <v>38</v>
      </c>
      <c r="K10" s="242" t="s">
        <v>154</v>
      </c>
      <c r="L10" s="242">
        <v>3</v>
      </c>
      <c r="M10" s="242"/>
      <c r="N10" s="242">
        <v>4</v>
      </c>
      <c r="O10" s="242">
        <v>0.6</v>
      </c>
      <c r="P10" s="242">
        <v>0.7</v>
      </c>
      <c r="Q10" s="136">
        <f t="shared" si="0"/>
        <v>0.64999999999999991</v>
      </c>
      <c r="R10" s="242">
        <v>16.8</v>
      </c>
      <c r="S10" s="242">
        <v>118</v>
      </c>
      <c r="T10" s="137">
        <f t="shared" si="1"/>
        <v>30</v>
      </c>
      <c r="U10" s="242">
        <v>498</v>
      </c>
      <c r="V10" s="138">
        <f t="shared" si="2"/>
        <v>3735</v>
      </c>
      <c r="W10" s="242">
        <v>3</v>
      </c>
      <c r="X10" s="134" t="s">
        <v>46</v>
      </c>
      <c r="Y10" s="242" t="s">
        <v>84</v>
      </c>
      <c r="Z10" s="242" t="s">
        <v>90</v>
      </c>
      <c r="AA10" s="242" t="s">
        <v>69</v>
      </c>
      <c r="AB10" s="134" t="s">
        <v>383</v>
      </c>
      <c r="AC10" s="139"/>
      <c r="AE10" s="218" t="s">
        <v>103</v>
      </c>
      <c r="AG10" s="49" t="s">
        <v>257</v>
      </c>
      <c r="AH10" s="49" t="s">
        <v>258</v>
      </c>
      <c r="AJ10" s="242"/>
      <c r="AL10" s="223"/>
      <c r="AN10" s="242"/>
      <c r="AP10" s="219" t="s">
        <v>100</v>
      </c>
      <c r="AR10" s="226" t="s">
        <v>123</v>
      </c>
      <c r="AT10" s="242"/>
      <c r="AV10" s="233" t="s">
        <v>106</v>
      </c>
      <c r="AX10" s="220">
        <v>138</v>
      </c>
      <c r="AY10" s="221">
        <v>25</v>
      </c>
      <c r="AZ10" s="221">
        <v>138</v>
      </c>
      <c r="BA10" s="222">
        <v>22</v>
      </c>
    </row>
    <row r="11" spans="1:53" x14ac:dyDescent="0.15">
      <c r="A11" s="134" t="s">
        <v>61</v>
      </c>
      <c r="B11" s="134" t="s">
        <v>381</v>
      </c>
      <c r="C11" s="134">
        <v>2018</v>
      </c>
      <c r="D11" s="135" t="s">
        <v>382</v>
      </c>
      <c r="E11" s="134" t="s">
        <v>246</v>
      </c>
      <c r="F11" s="134" t="s">
        <v>247</v>
      </c>
      <c r="G11" s="134" t="s">
        <v>42</v>
      </c>
      <c r="H11" s="242" t="s">
        <v>155</v>
      </c>
      <c r="I11" s="242" t="s">
        <v>153</v>
      </c>
      <c r="J11" s="134" t="s">
        <v>38</v>
      </c>
      <c r="K11" s="242" t="s">
        <v>154</v>
      </c>
      <c r="L11" s="242">
        <v>1</v>
      </c>
      <c r="M11" s="242"/>
      <c r="N11" s="242">
        <v>5</v>
      </c>
      <c r="O11" s="242">
        <v>0.8</v>
      </c>
      <c r="P11" s="242">
        <v>0.7</v>
      </c>
      <c r="Q11" s="136">
        <f t="shared" si="0"/>
        <v>0.75</v>
      </c>
      <c r="R11" s="242">
        <v>11</v>
      </c>
      <c r="S11" s="242">
        <v>86</v>
      </c>
      <c r="T11" s="137">
        <f t="shared" si="1"/>
        <v>36</v>
      </c>
      <c r="U11" s="242">
        <v>298</v>
      </c>
      <c r="V11" s="138">
        <f t="shared" si="2"/>
        <v>2145.6</v>
      </c>
      <c r="W11" s="242">
        <v>15</v>
      </c>
      <c r="X11" s="134" t="s">
        <v>46</v>
      </c>
      <c r="Y11" s="242" t="s">
        <v>90</v>
      </c>
      <c r="Z11" s="242" t="s">
        <v>84</v>
      </c>
      <c r="AA11" s="242" t="s">
        <v>50</v>
      </c>
      <c r="AB11" s="134" t="s">
        <v>383</v>
      </c>
      <c r="AC11" s="139"/>
      <c r="AE11" s="218" t="s">
        <v>65</v>
      </c>
      <c r="AG11" s="49" t="s">
        <v>259</v>
      </c>
      <c r="AH11" s="49" t="s">
        <v>258</v>
      </c>
      <c r="AJ11" s="242"/>
      <c r="AL11" s="146"/>
      <c r="AN11" s="242"/>
      <c r="AP11" s="219" t="s">
        <v>104</v>
      </c>
      <c r="AR11" s="226" t="s">
        <v>87</v>
      </c>
      <c r="AV11" s="147" t="s">
        <v>384</v>
      </c>
      <c r="AX11" s="220">
        <v>151</v>
      </c>
      <c r="AY11" s="221">
        <v>22</v>
      </c>
      <c r="AZ11" s="221">
        <v>152</v>
      </c>
      <c r="BA11" s="222">
        <v>18</v>
      </c>
    </row>
    <row r="12" spans="1:53" x14ac:dyDescent="0.15">
      <c r="A12" s="134" t="s">
        <v>61</v>
      </c>
      <c r="B12" s="134" t="s">
        <v>385</v>
      </c>
      <c r="C12" s="134">
        <v>2018</v>
      </c>
      <c r="D12" s="135" t="s">
        <v>386</v>
      </c>
      <c r="E12" s="134" t="s">
        <v>246</v>
      </c>
      <c r="F12" s="134" t="s">
        <v>247</v>
      </c>
      <c r="G12" s="134" t="s">
        <v>42</v>
      </c>
      <c r="H12" s="242" t="s">
        <v>155</v>
      </c>
      <c r="I12" s="242" t="s">
        <v>153</v>
      </c>
      <c r="J12" s="134" t="s">
        <v>38</v>
      </c>
      <c r="K12" s="242" t="s">
        <v>154</v>
      </c>
      <c r="L12" s="242">
        <v>2</v>
      </c>
      <c r="M12" s="242"/>
      <c r="N12" s="242">
        <v>5</v>
      </c>
      <c r="O12" s="242">
        <v>0.75</v>
      </c>
      <c r="P12" s="242">
        <v>0.7</v>
      </c>
      <c r="Q12" s="136">
        <f t="shared" si="0"/>
        <v>0.72499999999999998</v>
      </c>
      <c r="R12" s="242">
        <v>16</v>
      </c>
      <c r="S12" s="242">
        <v>90</v>
      </c>
      <c r="T12" s="137">
        <f t="shared" si="1"/>
        <v>36</v>
      </c>
      <c r="U12" s="242">
        <v>298</v>
      </c>
      <c r="V12" s="138">
        <f t="shared" si="2"/>
        <v>2145.6</v>
      </c>
      <c r="W12" s="242">
        <v>15</v>
      </c>
      <c r="X12" s="134" t="s">
        <v>46</v>
      </c>
      <c r="Y12" s="242" t="s">
        <v>90</v>
      </c>
      <c r="Z12" s="242" t="s">
        <v>84</v>
      </c>
      <c r="AA12" s="242" t="s">
        <v>50</v>
      </c>
      <c r="AB12" s="134" t="s">
        <v>387</v>
      </c>
      <c r="AC12" s="139"/>
      <c r="AE12" s="218" t="s">
        <v>70</v>
      </c>
      <c r="AG12" s="219"/>
      <c r="AH12" s="218"/>
      <c r="AJ12" s="242"/>
      <c r="AL12" s="146"/>
      <c r="AN12" s="242"/>
      <c r="AP12" s="219" t="s">
        <v>67</v>
      </c>
      <c r="AR12" s="226" t="s">
        <v>124</v>
      </c>
      <c r="AV12" s="147" t="s">
        <v>388</v>
      </c>
      <c r="AX12" s="220">
        <v>180</v>
      </c>
      <c r="AY12" s="221">
        <v>18</v>
      </c>
      <c r="AZ12" s="221">
        <v>181</v>
      </c>
      <c r="BA12" s="222">
        <v>16</v>
      </c>
    </row>
    <row r="13" spans="1:53" x14ac:dyDescent="0.15">
      <c r="A13" s="134" t="s">
        <v>61</v>
      </c>
      <c r="B13" s="134" t="s">
        <v>389</v>
      </c>
      <c r="C13" s="134">
        <v>2018</v>
      </c>
      <c r="D13" s="135" t="s">
        <v>390</v>
      </c>
      <c r="E13" s="134" t="s">
        <v>246</v>
      </c>
      <c r="F13" s="134" t="s">
        <v>247</v>
      </c>
      <c r="G13" s="134" t="s">
        <v>42</v>
      </c>
      <c r="H13" s="242" t="s">
        <v>155</v>
      </c>
      <c r="I13" s="242" t="s">
        <v>153</v>
      </c>
      <c r="J13" s="134" t="s">
        <v>38</v>
      </c>
      <c r="K13" s="242" t="s">
        <v>154</v>
      </c>
      <c r="L13" s="242">
        <v>3</v>
      </c>
      <c r="M13" s="242"/>
      <c r="N13" s="242">
        <v>5</v>
      </c>
      <c r="O13" s="242">
        <v>0.5</v>
      </c>
      <c r="P13" s="242">
        <v>0.5</v>
      </c>
      <c r="Q13" s="136">
        <f t="shared" si="0"/>
        <v>0.5</v>
      </c>
      <c r="R13" s="242">
        <v>15.4</v>
      </c>
      <c r="S13" s="242">
        <v>83</v>
      </c>
      <c r="T13" s="137">
        <f t="shared" si="1"/>
        <v>39</v>
      </c>
      <c r="U13" s="242">
        <v>298</v>
      </c>
      <c r="V13" s="138">
        <f t="shared" si="2"/>
        <v>2324.4</v>
      </c>
      <c r="W13" s="242">
        <v>15</v>
      </c>
      <c r="X13" s="134" t="s">
        <v>46</v>
      </c>
      <c r="Y13" s="242" t="s">
        <v>90</v>
      </c>
      <c r="Z13" s="242" t="s">
        <v>84</v>
      </c>
      <c r="AA13" s="242" t="s">
        <v>50</v>
      </c>
      <c r="AB13" s="134" t="s">
        <v>391</v>
      </c>
      <c r="AC13" s="139"/>
      <c r="AE13" s="218" t="s">
        <v>73</v>
      </c>
      <c r="AG13" s="219"/>
      <c r="AH13" s="218"/>
      <c r="AJ13" s="242"/>
      <c r="AL13" s="148"/>
      <c r="AN13" s="242"/>
      <c r="AP13" s="219" t="s">
        <v>71</v>
      </c>
      <c r="AR13" s="226" t="s">
        <v>103</v>
      </c>
      <c r="AV13" s="147" t="s">
        <v>392</v>
      </c>
      <c r="AX13" s="220"/>
      <c r="AY13" s="221"/>
      <c r="AZ13" s="221"/>
      <c r="BA13" s="222"/>
    </row>
    <row r="14" spans="1:53" x14ac:dyDescent="0.15">
      <c r="A14" s="134" t="s">
        <v>61</v>
      </c>
      <c r="B14" s="134" t="s">
        <v>393</v>
      </c>
      <c r="C14" s="134">
        <v>2018</v>
      </c>
      <c r="D14" s="135" t="s">
        <v>394</v>
      </c>
      <c r="E14" s="134" t="s">
        <v>246</v>
      </c>
      <c r="F14" s="134" t="s">
        <v>247</v>
      </c>
      <c r="G14" s="134" t="s">
        <v>42</v>
      </c>
      <c r="H14" s="242" t="s">
        <v>166</v>
      </c>
      <c r="I14" s="242" t="s">
        <v>153</v>
      </c>
      <c r="J14" s="134" t="s">
        <v>38</v>
      </c>
      <c r="K14" s="242" t="s">
        <v>154</v>
      </c>
      <c r="L14" s="242">
        <v>1</v>
      </c>
      <c r="M14" s="242"/>
      <c r="N14" s="242">
        <v>1</v>
      </c>
      <c r="O14" s="242">
        <v>0.5</v>
      </c>
      <c r="P14" s="242">
        <v>0.5</v>
      </c>
      <c r="Q14" s="136">
        <f t="shared" si="0"/>
        <v>0.5</v>
      </c>
      <c r="R14" s="242">
        <v>17</v>
      </c>
      <c r="S14" s="242">
        <v>129</v>
      </c>
      <c r="T14" s="137">
        <f t="shared" si="1"/>
        <v>25</v>
      </c>
      <c r="U14" s="242">
        <v>158</v>
      </c>
      <c r="V14" s="138">
        <f t="shared" si="2"/>
        <v>3950</v>
      </c>
      <c r="W14" s="242">
        <v>15</v>
      </c>
      <c r="X14" s="134" t="s">
        <v>46</v>
      </c>
      <c r="Y14" s="242" t="s">
        <v>90</v>
      </c>
      <c r="Z14" s="242" t="s">
        <v>84</v>
      </c>
      <c r="AA14" s="242" t="s">
        <v>50</v>
      </c>
      <c r="AB14" s="134" t="s">
        <v>395</v>
      </c>
      <c r="AC14" s="139"/>
      <c r="AE14" s="218" t="s">
        <v>76</v>
      </c>
      <c r="AG14" s="219"/>
      <c r="AH14" s="218"/>
      <c r="AL14" s="230"/>
      <c r="AP14" s="219" t="s">
        <v>74</v>
      </c>
      <c r="AR14" s="226" t="s">
        <v>125</v>
      </c>
      <c r="AV14" s="147" t="s">
        <v>396</v>
      </c>
      <c r="AX14" s="220"/>
      <c r="AY14" s="221"/>
      <c r="AZ14" s="221"/>
      <c r="BA14" s="222"/>
    </row>
    <row r="15" spans="1:53" x14ac:dyDescent="0.15">
      <c r="A15" s="134" t="s">
        <v>61</v>
      </c>
      <c r="B15" s="134" t="s">
        <v>393</v>
      </c>
      <c r="C15" s="134">
        <v>2018</v>
      </c>
      <c r="D15" s="135" t="s">
        <v>394</v>
      </c>
      <c r="E15" s="134" t="s">
        <v>246</v>
      </c>
      <c r="F15" s="134" t="s">
        <v>247</v>
      </c>
      <c r="G15" s="134" t="s">
        <v>42</v>
      </c>
      <c r="H15" s="242" t="s">
        <v>166</v>
      </c>
      <c r="I15" s="242" t="s">
        <v>153</v>
      </c>
      <c r="J15" s="134" t="s">
        <v>38</v>
      </c>
      <c r="K15" s="242" t="s">
        <v>154</v>
      </c>
      <c r="L15" s="242">
        <v>2</v>
      </c>
      <c r="M15" s="242"/>
      <c r="N15" s="242">
        <v>1</v>
      </c>
      <c r="O15" s="242">
        <v>0.55000000000000004</v>
      </c>
      <c r="P15" s="242">
        <v>0.6</v>
      </c>
      <c r="Q15" s="136">
        <f t="shared" si="0"/>
        <v>0.57499999999999996</v>
      </c>
      <c r="R15" s="139">
        <v>17.7</v>
      </c>
      <c r="S15" s="242">
        <v>129</v>
      </c>
      <c r="T15" s="137">
        <f t="shared" si="1"/>
        <v>25</v>
      </c>
      <c r="U15" s="242">
        <v>158</v>
      </c>
      <c r="V15" s="138">
        <f t="shared" si="2"/>
        <v>3950</v>
      </c>
      <c r="W15" s="242">
        <v>15</v>
      </c>
      <c r="X15" s="134" t="s">
        <v>46</v>
      </c>
      <c r="Y15" s="242" t="s">
        <v>90</v>
      </c>
      <c r="Z15" s="242" t="s">
        <v>84</v>
      </c>
      <c r="AA15" s="242" t="s">
        <v>50</v>
      </c>
      <c r="AB15" s="134" t="s">
        <v>395</v>
      </c>
      <c r="AC15" s="139"/>
      <c r="AE15" s="218" t="s">
        <v>79</v>
      </c>
      <c r="AG15" s="219"/>
      <c r="AH15" s="219"/>
      <c r="AL15" s="230"/>
      <c r="AP15" s="219" t="s">
        <v>77</v>
      </c>
      <c r="AR15" s="226" t="s">
        <v>94</v>
      </c>
      <c r="AV15" s="147" t="s">
        <v>397</v>
      </c>
      <c r="AX15" s="227"/>
      <c r="AY15" s="228"/>
      <c r="AZ15" s="228"/>
      <c r="BA15" s="229"/>
    </row>
    <row r="16" spans="1:53" x14ac:dyDescent="0.15">
      <c r="A16" s="134" t="s">
        <v>61</v>
      </c>
      <c r="B16" s="134" t="s">
        <v>398</v>
      </c>
      <c r="C16" s="134">
        <v>2018</v>
      </c>
      <c r="D16" s="135" t="s">
        <v>399</v>
      </c>
      <c r="E16" s="134" t="s">
        <v>246</v>
      </c>
      <c r="F16" s="134" t="s">
        <v>247</v>
      </c>
      <c r="G16" s="134" t="s">
        <v>42</v>
      </c>
      <c r="H16" s="242" t="s">
        <v>166</v>
      </c>
      <c r="I16" s="242" t="s">
        <v>153</v>
      </c>
      <c r="J16" s="134" t="s">
        <v>38</v>
      </c>
      <c r="K16" s="242" t="s">
        <v>154</v>
      </c>
      <c r="L16" s="242">
        <v>3</v>
      </c>
      <c r="M16" s="242"/>
      <c r="N16" s="242">
        <v>1</v>
      </c>
      <c r="O16" s="242">
        <v>0.6</v>
      </c>
      <c r="P16" s="242">
        <v>0.6</v>
      </c>
      <c r="Q16" s="136">
        <f t="shared" si="0"/>
        <v>0.6</v>
      </c>
      <c r="R16" s="242">
        <v>17.5</v>
      </c>
      <c r="S16" s="242">
        <v>125</v>
      </c>
      <c r="T16" s="137">
        <f t="shared" si="1"/>
        <v>27</v>
      </c>
      <c r="U16" s="242">
        <v>158</v>
      </c>
      <c r="V16" s="138">
        <f t="shared" si="2"/>
        <v>4266</v>
      </c>
      <c r="W16" s="242">
        <v>15</v>
      </c>
      <c r="X16" s="134" t="s">
        <v>46</v>
      </c>
      <c r="Y16" s="242" t="s">
        <v>90</v>
      </c>
      <c r="Z16" s="242" t="s">
        <v>84</v>
      </c>
      <c r="AA16" s="242" t="s">
        <v>50</v>
      </c>
      <c r="AB16" s="134" t="s">
        <v>400</v>
      </c>
      <c r="AC16" s="139"/>
      <c r="AE16" s="218" t="s">
        <v>82</v>
      </c>
      <c r="AG16" s="219"/>
      <c r="AH16" s="219"/>
      <c r="AP16" s="219" t="s">
        <v>80</v>
      </c>
      <c r="AR16" s="233" t="s">
        <v>63</v>
      </c>
      <c r="AV16" s="147" t="s">
        <v>401</v>
      </c>
    </row>
    <row r="17" spans="1:48" x14ac:dyDescent="0.15">
      <c r="A17" s="134" t="s">
        <v>61</v>
      </c>
      <c r="B17" s="134" t="s">
        <v>398</v>
      </c>
      <c r="C17" s="134">
        <v>2018</v>
      </c>
      <c r="D17" s="135" t="s">
        <v>399</v>
      </c>
      <c r="E17" s="134" t="s">
        <v>248</v>
      </c>
      <c r="F17" s="134" t="s">
        <v>249</v>
      </c>
      <c r="G17" s="134" t="s">
        <v>42</v>
      </c>
      <c r="H17" s="242" t="s">
        <v>155</v>
      </c>
      <c r="I17" s="242" t="s">
        <v>153</v>
      </c>
      <c r="J17" s="134" t="s">
        <v>38</v>
      </c>
      <c r="K17" s="242" t="s">
        <v>154</v>
      </c>
      <c r="L17" s="242">
        <v>1</v>
      </c>
      <c r="M17" s="242"/>
      <c r="N17" s="242">
        <v>4</v>
      </c>
      <c r="O17" s="242">
        <v>0.7</v>
      </c>
      <c r="P17" s="242">
        <v>0.7</v>
      </c>
      <c r="Q17" s="136">
        <f t="shared" si="0"/>
        <v>0.7</v>
      </c>
      <c r="R17" s="242">
        <v>17.3</v>
      </c>
      <c r="S17" s="242">
        <v>96</v>
      </c>
      <c r="T17" s="137">
        <f t="shared" si="1"/>
        <v>36</v>
      </c>
      <c r="U17" s="242">
        <v>429</v>
      </c>
      <c r="V17" s="138">
        <f t="shared" si="2"/>
        <v>3861</v>
      </c>
      <c r="W17" s="242">
        <v>10</v>
      </c>
      <c r="X17" s="134" t="s">
        <v>46</v>
      </c>
      <c r="Y17" s="242" t="s">
        <v>84</v>
      </c>
      <c r="Z17" s="242" t="s">
        <v>90</v>
      </c>
      <c r="AA17" s="242" t="s">
        <v>69</v>
      </c>
      <c r="AB17" s="134" t="s">
        <v>400</v>
      </c>
      <c r="AC17" s="139"/>
      <c r="AE17" s="218" t="s">
        <v>85</v>
      </c>
      <c r="AP17" s="234" t="s">
        <v>110</v>
      </c>
      <c r="AR17" s="233" t="s">
        <v>96</v>
      </c>
      <c r="AV17" s="147" t="s">
        <v>402</v>
      </c>
    </row>
    <row r="18" spans="1:48" x14ac:dyDescent="0.15">
      <c r="A18" s="134" t="s">
        <v>61</v>
      </c>
      <c r="B18" s="134" t="s">
        <v>398</v>
      </c>
      <c r="C18" s="134">
        <v>2018</v>
      </c>
      <c r="D18" s="135" t="s">
        <v>399</v>
      </c>
      <c r="E18" s="134" t="s">
        <v>248</v>
      </c>
      <c r="F18" s="134" t="s">
        <v>249</v>
      </c>
      <c r="G18" s="134" t="s">
        <v>42</v>
      </c>
      <c r="H18" s="242" t="s">
        <v>155</v>
      </c>
      <c r="I18" s="242" t="s">
        <v>153</v>
      </c>
      <c r="J18" s="134" t="s">
        <v>38</v>
      </c>
      <c r="K18" s="242" t="s">
        <v>154</v>
      </c>
      <c r="L18" s="242">
        <v>2</v>
      </c>
      <c r="M18" s="242"/>
      <c r="N18" s="242">
        <v>4</v>
      </c>
      <c r="O18" s="242">
        <v>0.7</v>
      </c>
      <c r="P18" s="242">
        <v>0.7</v>
      </c>
      <c r="Q18" s="136">
        <f t="shared" si="0"/>
        <v>0.7</v>
      </c>
      <c r="R18" s="242">
        <v>17</v>
      </c>
      <c r="S18" s="242">
        <v>105</v>
      </c>
      <c r="T18" s="137">
        <f t="shared" si="1"/>
        <v>33</v>
      </c>
      <c r="U18" s="242">
        <v>429</v>
      </c>
      <c r="V18" s="138">
        <f t="shared" si="2"/>
        <v>3539.25</v>
      </c>
      <c r="W18" s="242">
        <v>10</v>
      </c>
      <c r="X18" s="134" t="s">
        <v>46</v>
      </c>
      <c r="Y18" s="242" t="s">
        <v>84</v>
      </c>
      <c r="Z18" s="242" t="s">
        <v>90</v>
      </c>
      <c r="AA18" s="242" t="s">
        <v>69</v>
      </c>
      <c r="AB18" s="134" t="s">
        <v>400</v>
      </c>
      <c r="AC18" s="139"/>
      <c r="AE18" s="218" t="s">
        <v>87</v>
      </c>
      <c r="AP18" s="234" t="s">
        <v>111</v>
      </c>
      <c r="AR18" s="233" t="s">
        <v>101</v>
      </c>
      <c r="AV18" s="147" t="s">
        <v>367</v>
      </c>
    </row>
    <row r="19" spans="1:48" x14ac:dyDescent="0.15">
      <c r="A19" s="134" t="s">
        <v>61</v>
      </c>
      <c r="B19" s="134" t="s">
        <v>385</v>
      </c>
      <c r="C19" s="134">
        <v>2018</v>
      </c>
      <c r="D19" s="135" t="s">
        <v>386</v>
      </c>
      <c r="E19" s="134" t="s">
        <v>248</v>
      </c>
      <c r="F19" s="134" t="s">
        <v>249</v>
      </c>
      <c r="G19" s="134" t="s">
        <v>42</v>
      </c>
      <c r="H19" s="242" t="s">
        <v>155</v>
      </c>
      <c r="I19" s="242" t="s">
        <v>153</v>
      </c>
      <c r="J19" s="134" t="s">
        <v>38</v>
      </c>
      <c r="K19" s="242" t="s">
        <v>154</v>
      </c>
      <c r="L19" s="242">
        <v>3</v>
      </c>
      <c r="M19" s="242"/>
      <c r="N19" s="242">
        <v>4</v>
      </c>
      <c r="O19" s="242">
        <v>0.6</v>
      </c>
      <c r="P19" s="242">
        <v>0.6</v>
      </c>
      <c r="Q19" s="136">
        <f t="shared" si="0"/>
        <v>0.6</v>
      </c>
      <c r="R19" s="242">
        <v>16.8</v>
      </c>
      <c r="S19" s="242">
        <v>103</v>
      </c>
      <c r="T19" s="137">
        <f t="shared" si="1"/>
        <v>33</v>
      </c>
      <c r="U19" s="242">
        <v>429</v>
      </c>
      <c r="V19" s="138">
        <f t="shared" si="2"/>
        <v>3539.25</v>
      </c>
      <c r="W19" s="242">
        <v>10</v>
      </c>
      <c r="X19" s="134" t="s">
        <v>46</v>
      </c>
      <c r="Y19" s="242" t="s">
        <v>84</v>
      </c>
      <c r="Z19" s="242" t="s">
        <v>90</v>
      </c>
      <c r="AA19" s="242" t="s">
        <v>69</v>
      </c>
      <c r="AB19" s="134" t="s">
        <v>387</v>
      </c>
      <c r="AC19" s="139"/>
      <c r="AE19" s="231" t="s">
        <v>89</v>
      </c>
      <c r="AP19" s="234" t="s">
        <v>112</v>
      </c>
      <c r="AR19" s="226" t="s">
        <v>126</v>
      </c>
      <c r="AV19" s="147" t="s">
        <v>403</v>
      </c>
    </row>
    <row r="20" spans="1:48" x14ac:dyDescent="0.15">
      <c r="A20" s="134" t="s">
        <v>61</v>
      </c>
      <c r="B20" s="134" t="s">
        <v>385</v>
      </c>
      <c r="C20" s="134">
        <v>2018</v>
      </c>
      <c r="D20" s="135" t="s">
        <v>386</v>
      </c>
      <c r="E20" s="134" t="s">
        <v>248</v>
      </c>
      <c r="F20" s="134" t="s">
        <v>249</v>
      </c>
      <c r="G20" s="134" t="s">
        <v>42</v>
      </c>
      <c r="H20" s="242" t="s">
        <v>155</v>
      </c>
      <c r="I20" s="242" t="s">
        <v>156</v>
      </c>
      <c r="J20" s="134" t="s">
        <v>38</v>
      </c>
      <c r="K20" s="242" t="s">
        <v>154</v>
      </c>
      <c r="L20" s="242">
        <v>1</v>
      </c>
      <c r="M20" s="242"/>
      <c r="N20" s="242">
        <v>4</v>
      </c>
      <c r="O20" s="242">
        <v>0.6</v>
      </c>
      <c r="P20" s="242">
        <v>0.65</v>
      </c>
      <c r="Q20" s="136">
        <f t="shared" si="0"/>
        <v>0.625</v>
      </c>
      <c r="R20" s="242">
        <v>12.6</v>
      </c>
      <c r="S20" s="242">
        <v>94</v>
      </c>
      <c r="T20" s="137">
        <f t="shared" si="1"/>
        <v>36</v>
      </c>
      <c r="U20" s="242">
        <v>429</v>
      </c>
      <c r="V20" s="138">
        <f t="shared" si="2"/>
        <v>3861</v>
      </c>
      <c r="W20" s="242">
        <v>10</v>
      </c>
      <c r="X20" s="134" t="s">
        <v>46</v>
      </c>
      <c r="Y20" s="242" t="s">
        <v>84</v>
      </c>
      <c r="Z20" s="242" t="s">
        <v>90</v>
      </c>
      <c r="AA20" s="242" t="s">
        <v>69</v>
      </c>
      <c r="AB20" s="134" t="s">
        <v>387</v>
      </c>
      <c r="AC20" s="139"/>
      <c r="AE20" s="218"/>
      <c r="AG20" s="242"/>
      <c r="AH20" s="242"/>
      <c r="AJ20" s="242"/>
      <c r="AN20" s="242"/>
      <c r="AP20" s="234" t="s">
        <v>113</v>
      </c>
      <c r="AR20" s="233" t="s">
        <v>105</v>
      </c>
      <c r="AV20" s="147" t="s">
        <v>404</v>
      </c>
    </row>
    <row r="21" spans="1:48" x14ac:dyDescent="0.15">
      <c r="A21" s="134" t="s">
        <v>61</v>
      </c>
      <c r="B21" s="134" t="s">
        <v>385</v>
      </c>
      <c r="C21" s="134">
        <v>2018</v>
      </c>
      <c r="D21" s="135" t="s">
        <v>386</v>
      </c>
      <c r="E21" s="134" t="s">
        <v>248</v>
      </c>
      <c r="F21" s="134" t="s">
        <v>249</v>
      </c>
      <c r="G21" s="134" t="s">
        <v>42</v>
      </c>
      <c r="H21" s="242" t="s">
        <v>155</v>
      </c>
      <c r="I21" s="242" t="s">
        <v>156</v>
      </c>
      <c r="J21" s="134" t="s">
        <v>38</v>
      </c>
      <c r="K21" s="242" t="s">
        <v>154</v>
      </c>
      <c r="L21" s="242">
        <v>2</v>
      </c>
      <c r="M21" s="242"/>
      <c r="N21" s="242">
        <v>4</v>
      </c>
      <c r="O21" s="242">
        <v>0.7</v>
      </c>
      <c r="P21" s="242">
        <v>0.7</v>
      </c>
      <c r="Q21" s="136">
        <f t="shared" si="0"/>
        <v>0.7</v>
      </c>
      <c r="R21" s="242">
        <v>13</v>
      </c>
      <c r="S21" s="242">
        <v>95</v>
      </c>
      <c r="T21" s="137">
        <f t="shared" si="1"/>
        <v>36</v>
      </c>
      <c r="U21" s="242">
        <v>429</v>
      </c>
      <c r="V21" s="138">
        <f t="shared" si="2"/>
        <v>3861</v>
      </c>
      <c r="W21" s="242">
        <v>10</v>
      </c>
      <c r="X21" s="134" t="s">
        <v>46</v>
      </c>
      <c r="Y21" s="242" t="s">
        <v>84</v>
      </c>
      <c r="Z21" s="242" t="s">
        <v>90</v>
      </c>
      <c r="AA21" s="242" t="s">
        <v>69</v>
      </c>
      <c r="AB21" s="134" t="s">
        <v>387</v>
      </c>
      <c r="AC21" s="139"/>
      <c r="AE21" s="218"/>
      <c r="AG21" s="242"/>
      <c r="AH21" s="242"/>
      <c r="AL21" s="242"/>
      <c r="AN21" s="242"/>
      <c r="AP21" s="234" t="s">
        <v>114</v>
      </c>
      <c r="AR21" s="233" t="s">
        <v>68</v>
      </c>
      <c r="AV21" s="147" t="s">
        <v>405</v>
      </c>
    </row>
    <row r="22" spans="1:48" x14ac:dyDescent="0.15">
      <c r="A22" s="134" t="s">
        <v>61</v>
      </c>
      <c r="B22" s="134" t="s">
        <v>385</v>
      </c>
      <c r="C22" s="134">
        <v>2018</v>
      </c>
      <c r="D22" s="135" t="s">
        <v>386</v>
      </c>
      <c r="E22" s="134" t="s">
        <v>248</v>
      </c>
      <c r="F22" s="134" t="s">
        <v>249</v>
      </c>
      <c r="G22" s="134" t="s">
        <v>42</v>
      </c>
      <c r="H22" s="242" t="s">
        <v>155</v>
      </c>
      <c r="I22" s="242" t="s">
        <v>156</v>
      </c>
      <c r="J22" s="134" t="s">
        <v>38</v>
      </c>
      <c r="K22" s="242" t="s">
        <v>154</v>
      </c>
      <c r="L22" s="242">
        <v>3</v>
      </c>
      <c r="M22" s="242"/>
      <c r="N22" s="139">
        <v>4</v>
      </c>
      <c r="O22" s="139">
        <v>0.7</v>
      </c>
      <c r="P22" s="242">
        <v>0.7</v>
      </c>
      <c r="Q22" s="136">
        <f t="shared" si="0"/>
        <v>0.7</v>
      </c>
      <c r="R22" s="242">
        <v>13.2</v>
      </c>
      <c r="S22" s="242">
        <v>107</v>
      </c>
      <c r="T22" s="137">
        <f t="shared" si="1"/>
        <v>33</v>
      </c>
      <c r="U22" s="242">
        <v>429</v>
      </c>
      <c r="V22" s="138">
        <f t="shared" si="2"/>
        <v>3539.25</v>
      </c>
      <c r="W22" s="242">
        <v>10</v>
      </c>
      <c r="X22" s="134" t="s">
        <v>46</v>
      </c>
      <c r="Y22" s="242" t="s">
        <v>84</v>
      </c>
      <c r="Z22" s="242" t="s">
        <v>90</v>
      </c>
      <c r="AA22" s="242" t="s">
        <v>69</v>
      </c>
      <c r="AB22" s="134" t="s">
        <v>387</v>
      </c>
      <c r="AC22" s="139"/>
      <c r="AE22" s="231"/>
      <c r="AG22" s="242"/>
      <c r="AH22" s="242"/>
      <c r="AL22" s="242"/>
      <c r="AP22" s="234" t="s">
        <v>115</v>
      </c>
      <c r="AR22" s="233" t="s">
        <v>83</v>
      </c>
      <c r="AV22" s="219"/>
    </row>
    <row r="23" spans="1:48" x14ac:dyDescent="0.15">
      <c r="A23" s="134" t="s">
        <v>61</v>
      </c>
      <c r="B23" s="134" t="s">
        <v>385</v>
      </c>
      <c r="C23" s="134">
        <v>2018</v>
      </c>
      <c r="D23" s="135" t="s">
        <v>386</v>
      </c>
      <c r="E23" s="134" t="s">
        <v>250</v>
      </c>
      <c r="F23" s="134" t="s">
        <v>251</v>
      </c>
      <c r="G23" s="134" t="s">
        <v>42</v>
      </c>
      <c r="H23" s="242" t="s">
        <v>155</v>
      </c>
      <c r="I23" s="242" t="s">
        <v>153</v>
      </c>
      <c r="J23" s="134" t="s">
        <v>38</v>
      </c>
      <c r="K23" s="242" t="s">
        <v>154</v>
      </c>
      <c r="L23" s="242">
        <v>1</v>
      </c>
      <c r="M23" s="242"/>
      <c r="N23" s="242">
        <v>5</v>
      </c>
      <c r="O23" s="242">
        <v>0.5</v>
      </c>
      <c r="P23" s="139">
        <v>0.6</v>
      </c>
      <c r="Q23" s="136">
        <f t="shared" si="0"/>
        <v>0.55000000000000004</v>
      </c>
      <c r="R23" s="242">
        <v>15.6</v>
      </c>
      <c r="S23" s="242">
        <v>101</v>
      </c>
      <c r="T23" s="137">
        <f t="shared" si="1"/>
        <v>33</v>
      </c>
      <c r="U23" s="242">
        <v>429</v>
      </c>
      <c r="V23" s="138">
        <f t="shared" si="2"/>
        <v>2831.4</v>
      </c>
      <c r="W23" s="242">
        <v>6</v>
      </c>
      <c r="X23" s="134" t="s">
        <v>39</v>
      </c>
      <c r="Y23" s="242" t="s">
        <v>90</v>
      </c>
      <c r="Z23" s="242" t="s">
        <v>69</v>
      </c>
      <c r="AA23" s="242" t="s">
        <v>84</v>
      </c>
      <c r="AB23" s="134" t="s">
        <v>387</v>
      </c>
      <c r="AC23" s="139"/>
      <c r="AE23" s="218"/>
      <c r="AG23" s="242"/>
      <c r="AH23" s="242"/>
      <c r="AL23" s="242"/>
      <c r="AP23" s="234" t="s">
        <v>406</v>
      </c>
      <c r="AR23" s="233" t="s">
        <v>61</v>
      </c>
      <c r="AV23" s="242"/>
    </row>
    <row r="24" spans="1:48" x14ac:dyDescent="0.15">
      <c r="A24" s="134" t="s">
        <v>61</v>
      </c>
      <c r="B24" s="134" t="s">
        <v>385</v>
      </c>
      <c r="C24" s="134">
        <v>2018</v>
      </c>
      <c r="D24" s="135" t="s">
        <v>386</v>
      </c>
      <c r="E24" s="134" t="s">
        <v>250</v>
      </c>
      <c r="F24" s="134" t="s">
        <v>251</v>
      </c>
      <c r="G24" s="134" t="s">
        <v>42</v>
      </c>
      <c r="H24" s="242" t="s">
        <v>155</v>
      </c>
      <c r="I24" s="242" t="s">
        <v>153</v>
      </c>
      <c r="J24" s="134" t="s">
        <v>38</v>
      </c>
      <c r="K24" s="242" t="s">
        <v>154</v>
      </c>
      <c r="L24" s="242">
        <v>2</v>
      </c>
      <c r="M24" s="242"/>
      <c r="N24" s="242">
        <v>5</v>
      </c>
      <c r="O24" s="242">
        <v>0.55000000000000004</v>
      </c>
      <c r="P24" s="139">
        <v>0.6</v>
      </c>
      <c r="Q24" s="136">
        <f t="shared" si="0"/>
        <v>0.57499999999999996</v>
      </c>
      <c r="R24" s="242">
        <v>16.8</v>
      </c>
      <c r="S24" s="242">
        <v>101</v>
      </c>
      <c r="T24" s="137">
        <f t="shared" si="1"/>
        <v>33</v>
      </c>
      <c r="U24" s="242">
        <v>429</v>
      </c>
      <c r="V24" s="138">
        <f t="shared" si="2"/>
        <v>2831.4</v>
      </c>
      <c r="W24" s="242">
        <v>6</v>
      </c>
      <c r="X24" s="134" t="s">
        <v>39</v>
      </c>
      <c r="Y24" s="242" t="s">
        <v>90</v>
      </c>
      <c r="Z24" s="242" t="s">
        <v>69</v>
      </c>
      <c r="AA24" s="242" t="s">
        <v>84</v>
      </c>
      <c r="AB24" s="134" t="s">
        <v>387</v>
      </c>
      <c r="AC24" s="139"/>
      <c r="AE24" s="218"/>
      <c r="AG24" s="242"/>
      <c r="AH24" s="242"/>
      <c r="AL24" s="242"/>
      <c r="AP24" s="234" t="s">
        <v>407</v>
      </c>
      <c r="AR24" s="233" t="s">
        <v>91</v>
      </c>
      <c r="AV24" s="242"/>
    </row>
    <row r="25" spans="1:48" x14ac:dyDescent="0.15">
      <c r="A25" s="134" t="s">
        <v>61</v>
      </c>
      <c r="B25" s="134" t="s">
        <v>385</v>
      </c>
      <c r="C25" s="134">
        <v>2018</v>
      </c>
      <c r="D25" s="135" t="s">
        <v>386</v>
      </c>
      <c r="E25" s="134" t="s">
        <v>250</v>
      </c>
      <c r="F25" s="134" t="s">
        <v>251</v>
      </c>
      <c r="G25" s="134" t="s">
        <v>42</v>
      </c>
      <c r="H25" s="242" t="s">
        <v>155</v>
      </c>
      <c r="I25" s="242" t="s">
        <v>153</v>
      </c>
      <c r="J25" s="134" t="s">
        <v>38</v>
      </c>
      <c r="K25" s="242" t="s">
        <v>154</v>
      </c>
      <c r="L25" s="242">
        <v>3</v>
      </c>
      <c r="M25" s="242"/>
      <c r="N25" s="242">
        <v>5</v>
      </c>
      <c r="O25" s="242">
        <v>0.6</v>
      </c>
      <c r="P25" s="139">
        <v>0.6</v>
      </c>
      <c r="Q25" s="136">
        <f t="shared" si="0"/>
        <v>0.6</v>
      </c>
      <c r="R25" s="242">
        <v>16.5</v>
      </c>
      <c r="S25" s="242">
        <v>98</v>
      </c>
      <c r="T25" s="137">
        <f t="shared" si="1"/>
        <v>36</v>
      </c>
      <c r="U25" s="242">
        <v>429</v>
      </c>
      <c r="V25" s="138">
        <f t="shared" si="2"/>
        <v>3088.7999999999997</v>
      </c>
      <c r="W25" s="242">
        <v>6</v>
      </c>
      <c r="X25" s="134" t="s">
        <v>39</v>
      </c>
      <c r="Y25" s="242" t="s">
        <v>90</v>
      </c>
      <c r="Z25" s="242" t="s">
        <v>69</v>
      </c>
      <c r="AA25" s="242" t="s">
        <v>84</v>
      </c>
      <c r="AB25" s="134" t="s">
        <v>387</v>
      </c>
      <c r="AC25" s="139"/>
      <c r="AE25" s="231"/>
      <c r="AG25" s="242"/>
      <c r="AH25" s="242"/>
      <c r="AL25" s="242"/>
      <c r="AP25" s="234" t="s">
        <v>116</v>
      </c>
      <c r="AR25" s="42" t="s">
        <v>92</v>
      </c>
      <c r="AV25" s="242"/>
    </row>
    <row r="26" spans="1:48" x14ac:dyDescent="0.15">
      <c r="A26" s="134" t="s">
        <v>61</v>
      </c>
      <c r="B26" s="134" t="s">
        <v>385</v>
      </c>
      <c r="C26" s="134">
        <v>2018</v>
      </c>
      <c r="D26" s="135" t="s">
        <v>386</v>
      </c>
      <c r="E26" s="134" t="s">
        <v>250</v>
      </c>
      <c r="F26" s="134" t="s">
        <v>251</v>
      </c>
      <c r="G26" s="134" t="s">
        <v>42</v>
      </c>
      <c r="H26" s="242" t="s">
        <v>128</v>
      </c>
      <c r="I26" s="242" t="s">
        <v>153</v>
      </c>
      <c r="J26" s="134" t="s">
        <v>80</v>
      </c>
      <c r="K26" s="242" t="s">
        <v>94</v>
      </c>
      <c r="L26" s="242">
        <v>1</v>
      </c>
      <c r="M26" s="242"/>
      <c r="N26" s="242">
        <v>4</v>
      </c>
      <c r="O26" s="242">
        <v>0.7</v>
      </c>
      <c r="P26" s="139">
        <v>0.6</v>
      </c>
      <c r="Q26" s="136">
        <f t="shared" si="0"/>
        <v>0.64999999999999991</v>
      </c>
      <c r="R26" s="242">
        <v>17.600000000000001</v>
      </c>
      <c r="S26" s="242">
        <v>104</v>
      </c>
      <c r="T26" s="137">
        <f t="shared" si="1"/>
        <v>33</v>
      </c>
      <c r="U26" s="242">
        <v>537</v>
      </c>
      <c r="V26" s="138">
        <f t="shared" si="2"/>
        <v>4430.25</v>
      </c>
      <c r="W26" s="242">
        <v>6</v>
      </c>
      <c r="X26" s="134" t="s">
        <v>39</v>
      </c>
      <c r="Y26" s="242" t="s">
        <v>90</v>
      </c>
      <c r="Z26" s="242" t="s">
        <v>69</v>
      </c>
      <c r="AA26" s="242" t="s">
        <v>84</v>
      </c>
      <c r="AB26" s="134" t="s">
        <v>387</v>
      </c>
      <c r="AC26" s="139"/>
      <c r="AD26" s="230"/>
      <c r="AE26" s="231"/>
      <c r="AG26" s="242"/>
      <c r="AH26" s="242"/>
      <c r="AP26" s="234" t="s">
        <v>117</v>
      </c>
      <c r="AR26" s="219" t="s">
        <v>286</v>
      </c>
      <c r="AV26" s="242"/>
    </row>
    <row r="27" spans="1:48" x14ac:dyDescent="0.15">
      <c r="A27" s="134" t="s">
        <v>61</v>
      </c>
      <c r="B27" s="134" t="s">
        <v>385</v>
      </c>
      <c r="C27" s="134">
        <v>2018</v>
      </c>
      <c r="D27" s="135" t="s">
        <v>386</v>
      </c>
      <c r="E27" s="134" t="s">
        <v>250</v>
      </c>
      <c r="F27" s="134" t="s">
        <v>251</v>
      </c>
      <c r="G27" s="134" t="s">
        <v>42</v>
      </c>
      <c r="H27" s="242" t="s">
        <v>128</v>
      </c>
      <c r="I27" s="242" t="s">
        <v>153</v>
      </c>
      <c r="J27" s="134" t="s">
        <v>80</v>
      </c>
      <c r="K27" s="242" t="s">
        <v>94</v>
      </c>
      <c r="L27" s="242">
        <v>2</v>
      </c>
      <c r="M27" s="242"/>
      <c r="N27" s="242">
        <v>4</v>
      </c>
      <c r="O27" s="242">
        <v>0.7</v>
      </c>
      <c r="P27" s="139">
        <v>0.7</v>
      </c>
      <c r="Q27" s="136">
        <f t="shared" si="0"/>
        <v>0.7</v>
      </c>
      <c r="R27" s="242">
        <v>17</v>
      </c>
      <c r="S27" s="242">
        <v>106</v>
      </c>
      <c r="T27" s="137">
        <f t="shared" si="1"/>
        <v>33</v>
      </c>
      <c r="U27" s="242">
        <v>537</v>
      </c>
      <c r="V27" s="138">
        <f t="shared" si="2"/>
        <v>4430.25</v>
      </c>
      <c r="W27" s="242">
        <v>6</v>
      </c>
      <c r="X27" s="134" t="s">
        <v>39</v>
      </c>
      <c r="Y27" s="242" t="s">
        <v>90</v>
      </c>
      <c r="Z27" s="242" t="s">
        <v>69</v>
      </c>
      <c r="AA27" s="242" t="s">
        <v>84</v>
      </c>
      <c r="AB27" s="134" t="s">
        <v>387</v>
      </c>
      <c r="AC27" s="139"/>
      <c r="AD27" s="230"/>
      <c r="AE27" s="224"/>
      <c r="AG27" s="242"/>
      <c r="AH27" s="242"/>
      <c r="AP27" s="234" t="s">
        <v>118</v>
      </c>
      <c r="AR27" s="219"/>
      <c r="AV27" s="242"/>
    </row>
    <row r="28" spans="1:48" x14ac:dyDescent="0.15">
      <c r="A28" s="134" t="s">
        <v>61</v>
      </c>
      <c r="B28" s="134" t="s">
        <v>385</v>
      </c>
      <c r="C28" s="134">
        <v>2018</v>
      </c>
      <c r="D28" s="135" t="s">
        <v>386</v>
      </c>
      <c r="E28" s="134" t="s">
        <v>250</v>
      </c>
      <c r="F28" s="134" t="s">
        <v>251</v>
      </c>
      <c r="G28" s="134" t="s">
        <v>42</v>
      </c>
      <c r="H28" s="242" t="s">
        <v>128</v>
      </c>
      <c r="I28" s="242" t="s">
        <v>153</v>
      </c>
      <c r="J28" s="134" t="s">
        <v>80</v>
      </c>
      <c r="K28" s="242" t="s">
        <v>94</v>
      </c>
      <c r="L28" s="242">
        <v>3</v>
      </c>
      <c r="M28" s="242"/>
      <c r="N28" s="242">
        <v>4</v>
      </c>
      <c r="O28" s="242">
        <v>0.5</v>
      </c>
      <c r="P28" s="139">
        <v>0.55000000000000004</v>
      </c>
      <c r="Q28" s="136">
        <f t="shared" si="0"/>
        <v>0.52500000000000002</v>
      </c>
      <c r="R28" s="242">
        <v>17.2</v>
      </c>
      <c r="S28" s="242">
        <v>93</v>
      </c>
      <c r="T28" s="137">
        <f t="shared" si="1"/>
        <v>36</v>
      </c>
      <c r="U28" s="242">
        <v>537</v>
      </c>
      <c r="V28" s="138">
        <f t="shared" si="2"/>
        <v>4833</v>
      </c>
      <c r="W28" s="242">
        <v>6</v>
      </c>
      <c r="X28" s="134" t="s">
        <v>39</v>
      </c>
      <c r="Y28" s="242" t="s">
        <v>90</v>
      </c>
      <c r="Z28" s="242" t="s">
        <v>69</v>
      </c>
      <c r="AA28" s="242" t="s">
        <v>84</v>
      </c>
      <c r="AB28" s="134" t="s">
        <v>387</v>
      </c>
      <c r="AC28" s="139"/>
      <c r="AD28" s="230"/>
      <c r="AE28" s="242"/>
      <c r="AG28" s="242"/>
      <c r="AH28" s="242"/>
      <c r="AP28" s="223"/>
      <c r="AR28" s="219"/>
      <c r="AV28" s="242"/>
    </row>
    <row r="29" spans="1:48" x14ac:dyDescent="0.15">
      <c r="A29" s="134" t="s">
        <v>61</v>
      </c>
      <c r="B29" s="134" t="s">
        <v>385</v>
      </c>
      <c r="C29" s="134">
        <v>2018</v>
      </c>
      <c r="D29" s="135" t="s">
        <v>386</v>
      </c>
      <c r="E29" s="134" t="s">
        <v>250</v>
      </c>
      <c r="F29" s="134" t="s">
        <v>251</v>
      </c>
      <c r="G29" s="134" t="s">
        <v>42</v>
      </c>
      <c r="H29" s="242" t="s">
        <v>128</v>
      </c>
      <c r="I29" s="242" t="s">
        <v>153</v>
      </c>
      <c r="J29" s="134" t="s">
        <v>80</v>
      </c>
      <c r="K29" s="242" t="s">
        <v>59</v>
      </c>
      <c r="L29" s="242">
        <v>1</v>
      </c>
      <c r="M29" s="242"/>
      <c r="N29" s="242">
        <v>2</v>
      </c>
      <c r="O29" s="242">
        <v>0.5</v>
      </c>
      <c r="P29" s="242">
        <v>0.5</v>
      </c>
      <c r="Q29" s="136">
        <f t="shared" si="0"/>
        <v>0.5</v>
      </c>
      <c r="R29" s="242">
        <v>13.2</v>
      </c>
      <c r="S29" s="242">
        <v>138</v>
      </c>
      <c r="T29" s="137">
        <f t="shared" si="1"/>
        <v>22</v>
      </c>
      <c r="U29" s="242">
        <v>429</v>
      </c>
      <c r="V29" s="138">
        <f t="shared" si="2"/>
        <v>4719</v>
      </c>
      <c r="W29" s="242">
        <v>6</v>
      </c>
      <c r="X29" s="134" t="s">
        <v>39</v>
      </c>
      <c r="Y29" s="242" t="s">
        <v>90</v>
      </c>
      <c r="Z29" s="242" t="s">
        <v>69</v>
      </c>
      <c r="AA29" s="242" t="s">
        <v>84</v>
      </c>
      <c r="AB29" s="134" t="s">
        <v>387</v>
      </c>
      <c r="AC29" s="139"/>
    </row>
    <row r="30" spans="1:48" x14ac:dyDescent="0.15">
      <c r="A30" s="134" t="s">
        <v>61</v>
      </c>
      <c r="B30" s="134" t="s">
        <v>385</v>
      </c>
      <c r="C30" s="134">
        <v>2018</v>
      </c>
      <c r="D30" s="135" t="s">
        <v>386</v>
      </c>
      <c r="E30" s="134" t="s">
        <v>250</v>
      </c>
      <c r="F30" s="134" t="s">
        <v>251</v>
      </c>
      <c r="G30" s="134" t="s">
        <v>42</v>
      </c>
      <c r="H30" s="242" t="s">
        <v>128</v>
      </c>
      <c r="I30" s="242" t="s">
        <v>153</v>
      </c>
      <c r="J30" s="134" t="s">
        <v>80</v>
      </c>
      <c r="K30" s="242" t="s">
        <v>59</v>
      </c>
      <c r="L30" s="242">
        <v>2</v>
      </c>
      <c r="M30" s="242"/>
      <c r="N30" s="242">
        <v>2</v>
      </c>
      <c r="O30" s="242">
        <v>0.6</v>
      </c>
      <c r="P30" s="242">
        <v>0.55000000000000004</v>
      </c>
      <c r="Q30" s="136">
        <f t="shared" si="0"/>
        <v>0.57499999999999996</v>
      </c>
      <c r="R30" s="242">
        <v>13.8</v>
      </c>
      <c r="S30" s="242">
        <v>155</v>
      </c>
      <c r="T30" s="137">
        <f t="shared" si="1"/>
        <v>18</v>
      </c>
      <c r="U30" s="242">
        <v>429</v>
      </c>
      <c r="V30" s="138">
        <f t="shared" si="2"/>
        <v>3861</v>
      </c>
      <c r="W30" s="242">
        <v>6</v>
      </c>
      <c r="X30" s="134" t="s">
        <v>39</v>
      </c>
      <c r="Y30" s="242" t="s">
        <v>90</v>
      </c>
      <c r="Z30" s="242" t="s">
        <v>69</v>
      </c>
      <c r="AA30" s="242" t="s">
        <v>84</v>
      </c>
      <c r="AB30" s="134" t="s">
        <v>387</v>
      </c>
      <c r="AC30" s="139"/>
    </row>
    <row r="31" spans="1:48" x14ac:dyDescent="0.15">
      <c r="A31" s="134" t="s">
        <v>61</v>
      </c>
      <c r="B31" s="134" t="s">
        <v>385</v>
      </c>
      <c r="C31" s="134">
        <v>2018</v>
      </c>
      <c r="D31" s="135" t="s">
        <v>386</v>
      </c>
      <c r="E31" s="134" t="s">
        <v>250</v>
      </c>
      <c r="F31" s="134" t="s">
        <v>251</v>
      </c>
      <c r="G31" s="134" t="s">
        <v>42</v>
      </c>
      <c r="H31" s="242" t="s">
        <v>128</v>
      </c>
      <c r="I31" s="242" t="s">
        <v>153</v>
      </c>
      <c r="J31" s="134" t="s">
        <v>80</v>
      </c>
      <c r="K31" s="242" t="s">
        <v>59</v>
      </c>
      <c r="L31" s="242">
        <v>3</v>
      </c>
      <c r="M31" s="242"/>
      <c r="N31" s="242">
        <v>2</v>
      </c>
      <c r="O31" s="242">
        <v>0.5</v>
      </c>
      <c r="P31" s="242">
        <v>0.55000000000000004</v>
      </c>
      <c r="Q31" s="136">
        <f t="shared" si="0"/>
        <v>0.52500000000000002</v>
      </c>
      <c r="R31" s="242">
        <v>14</v>
      </c>
      <c r="S31" s="242">
        <v>146</v>
      </c>
      <c r="T31" s="137">
        <f t="shared" si="1"/>
        <v>22</v>
      </c>
      <c r="U31" s="242">
        <v>429</v>
      </c>
      <c r="V31" s="138">
        <f t="shared" si="2"/>
        <v>4719</v>
      </c>
      <c r="W31" s="242">
        <v>6</v>
      </c>
      <c r="X31" s="134" t="s">
        <v>39</v>
      </c>
      <c r="Y31" s="242" t="s">
        <v>90</v>
      </c>
      <c r="Z31" s="242" t="s">
        <v>69</v>
      </c>
      <c r="AA31" s="242" t="s">
        <v>84</v>
      </c>
      <c r="AB31" s="134" t="s">
        <v>387</v>
      </c>
      <c r="AC31" s="139"/>
    </row>
    <row r="32" spans="1:48" x14ac:dyDescent="0.15">
      <c r="A32" s="134" t="s">
        <v>61</v>
      </c>
      <c r="B32" s="134" t="s">
        <v>385</v>
      </c>
      <c r="C32" s="134">
        <v>2018</v>
      </c>
      <c r="D32" s="135" t="s">
        <v>386</v>
      </c>
      <c r="E32" s="134" t="s">
        <v>252</v>
      </c>
      <c r="F32" s="134" t="s">
        <v>253</v>
      </c>
      <c r="G32" s="134" t="s">
        <v>42</v>
      </c>
      <c r="H32" s="242" t="s">
        <v>155</v>
      </c>
      <c r="I32" s="242" t="s">
        <v>153</v>
      </c>
      <c r="J32" s="134" t="s">
        <v>38</v>
      </c>
      <c r="K32" s="242" t="s">
        <v>154</v>
      </c>
      <c r="L32" s="242">
        <v>1</v>
      </c>
      <c r="M32" s="242"/>
      <c r="N32" s="242">
        <v>4</v>
      </c>
      <c r="O32" s="242">
        <v>0.7</v>
      </c>
      <c r="P32" s="242">
        <v>0.8</v>
      </c>
      <c r="Q32" s="136">
        <f t="shared" si="0"/>
        <v>0.75</v>
      </c>
      <c r="R32" s="242">
        <v>17.100000000000001</v>
      </c>
      <c r="S32" s="242">
        <v>91</v>
      </c>
      <c r="T32" s="137">
        <f t="shared" si="1"/>
        <v>36</v>
      </c>
      <c r="U32" s="242">
        <v>350</v>
      </c>
      <c r="V32" s="138">
        <f t="shared" si="2"/>
        <v>3150</v>
      </c>
      <c r="W32" s="242">
        <v>3</v>
      </c>
      <c r="X32" s="134" t="s">
        <v>39</v>
      </c>
      <c r="Y32" s="242" t="s">
        <v>90</v>
      </c>
      <c r="Z32" s="242" t="s">
        <v>84</v>
      </c>
      <c r="AA32" s="242" t="s">
        <v>69</v>
      </c>
      <c r="AB32" s="134" t="s">
        <v>387</v>
      </c>
      <c r="AC32" s="139"/>
    </row>
    <row r="33" spans="1:29" x14ac:dyDescent="0.15">
      <c r="A33" s="134" t="s">
        <v>61</v>
      </c>
      <c r="B33" s="134" t="s">
        <v>385</v>
      </c>
      <c r="C33" s="134">
        <v>2018</v>
      </c>
      <c r="D33" s="135" t="s">
        <v>386</v>
      </c>
      <c r="E33" s="134" t="s">
        <v>252</v>
      </c>
      <c r="F33" s="134" t="s">
        <v>253</v>
      </c>
      <c r="G33" s="134" t="s">
        <v>42</v>
      </c>
      <c r="H33" s="242" t="s">
        <v>155</v>
      </c>
      <c r="I33" s="242" t="s">
        <v>153</v>
      </c>
      <c r="J33" s="134" t="s">
        <v>38</v>
      </c>
      <c r="K33" s="242" t="s">
        <v>154</v>
      </c>
      <c r="L33" s="242">
        <v>2</v>
      </c>
      <c r="M33" s="242"/>
      <c r="N33" s="242">
        <v>4</v>
      </c>
      <c r="O33" s="242">
        <v>0.6</v>
      </c>
      <c r="P33" s="242">
        <v>0.6</v>
      </c>
      <c r="Q33" s="136">
        <f t="shared" si="0"/>
        <v>0.6</v>
      </c>
      <c r="R33" s="242">
        <v>17.2</v>
      </c>
      <c r="S33" s="242">
        <v>94</v>
      </c>
      <c r="T33" s="137">
        <f t="shared" si="1"/>
        <v>36</v>
      </c>
      <c r="U33" s="242">
        <v>350</v>
      </c>
      <c r="V33" s="138">
        <f t="shared" si="2"/>
        <v>3150</v>
      </c>
      <c r="W33" s="242">
        <v>3</v>
      </c>
      <c r="X33" s="134" t="s">
        <v>39</v>
      </c>
      <c r="Y33" s="242" t="s">
        <v>90</v>
      </c>
      <c r="Z33" s="242" t="s">
        <v>84</v>
      </c>
      <c r="AA33" s="242" t="s">
        <v>69</v>
      </c>
      <c r="AB33" s="134" t="s">
        <v>387</v>
      </c>
      <c r="AC33" s="139"/>
    </row>
    <row r="34" spans="1:29" x14ac:dyDescent="0.15">
      <c r="A34" s="134" t="s">
        <v>61</v>
      </c>
      <c r="B34" s="134" t="s">
        <v>385</v>
      </c>
      <c r="C34" s="134">
        <v>2018</v>
      </c>
      <c r="D34" s="135" t="s">
        <v>386</v>
      </c>
      <c r="E34" s="134" t="s">
        <v>252</v>
      </c>
      <c r="F34" s="134" t="s">
        <v>253</v>
      </c>
      <c r="G34" s="134" t="s">
        <v>42</v>
      </c>
      <c r="H34" s="242" t="s">
        <v>155</v>
      </c>
      <c r="I34" s="242" t="s">
        <v>153</v>
      </c>
      <c r="J34" s="134" t="s">
        <v>38</v>
      </c>
      <c r="K34" s="242" t="s">
        <v>154</v>
      </c>
      <c r="L34" s="242">
        <v>3</v>
      </c>
      <c r="M34" s="242"/>
      <c r="N34" s="242">
        <v>4</v>
      </c>
      <c r="O34" s="242">
        <v>0.7</v>
      </c>
      <c r="P34" s="242">
        <v>0.7</v>
      </c>
      <c r="Q34" s="136">
        <f t="shared" si="0"/>
        <v>0.7</v>
      </c>
      <c r="R34" s="242">
        <v>17</v>
      </c>
      <c r="S34" s="242">
        <v>87</v>
      </c>
      <c r="T34" s="137">
        <f t="shared" si="1"/>
        <v>36</v>
      </c>
      <c r="U34" s="242">
        <v>350</v>
      </c>
      <c r="V34" s="138">
        <f t="shared" si="2"/>
        <v>3150</v>
      </c>
      <c r="W34" s="242">
        <v>3</v>
      </c>
      <c r="X34" s="134" t="s">
        <v>39</v>
      </c>
      <c r="Y34" s="242" t="s">
        <v>90</v>
      </c>
      <c r="Z34" s="242" t="s">
        <v>84</v>
      </c>
      <c r="AA34" s="242" t="s">
        <v>69</v>
      </c>
      <c r="AB34" s="134" t="s">
        <v>387</v>
      </c>
      <c r="AC34" s="139"/>
    </row>
    <row r="35" spans="1:29" x14ac:dyDescent="0.15">
      <c r="A35" s="134" t="s">
        <v>61</v>
      </c>
      <c r="B35" s="134" t="s">
        <v>385</v>
      </c>
      <c r="C35" s="134">
        <v>2018</v>
      </c>
      <c r="D35" s="135" t="s">
        <v>386</v>
      </c>
      <c r="E35" s="134" t="s">
        <v>252</v>
      </c>
      <c r="F35" s="134" t="s">
        <v>253</v>
      </c>
      <c r="G35" s="134" t="s">
        <v>42</v>
      </c>
      <c r="H35" s="242" t="s">
        <v>166</v>
      </c>
      <c r="I35" s="242" t="s">
        <v>153</v>
      </c>
      <c r="J35" s="134" t="s">
        <v>38</v>
      </c>
      <c r="K35" s="242" t="s">
        <v>154</v>
      </c>
      <c r="L35" s="242">
        <v>1</v>
      </c>
      <c r="M35" s="242"/>
      <c r="N35" s="242">
        <v>1</v>
      </c>
      <c r="O35" s="242">
        <v>0.5</v>
      </c>
      <c r="P35" s="242">
        <v>0.5</v>
      </c>
      <c r="Q35" s="136">
        <f t="shared" si="0"/>
        <v>0.5</v>
      </c>
      <c r="R35" s="242">
        <v>17</v>
      </c>
      <c r="S35" s="242">
        <v>136</v>
      </c>
      <c r="T35" s="137">
        <f t="shared" si="1"/>
        <v>25</v>
      </c>
      <c r="U35" s="242">
        <v>138</v>
      </c>
      <c r="V35" s="138">
        <f t="shared" si="2"/>
        <v>3450</v>
      </c>
      <c r="W35" s="242">
        <v>3</v>
      </c>
      <c r="X35" s="134" t="s">
        <v>39</v>
      </c>
      <c r="Y35" s="242" t="s">
        <v>90</v>
      </c>
      <c r="Z35" s="242" t="s">
        <v>84</v>
      </c>
      <c r="AA35" s="242" t="s">
        <v>69</v>
      </c>
      <c r="AB35" s="134" t="s">
        <v>387</v>
      </c>
      <c r="AC35" s="139"/>
    </row>
    <row r="36" spans="1:29" x14ac:dyDescent="0.15">
      <c r="A36" s="134" t="s">
        <v>61</v>
      </c>
      <c r="B36" s="134" t="s">
        <v>385</v>
      </c>
      <c r="C36" s="134">
        <v>2018</v>
      </c>
      <c r="D36" s="135" t="s">
        <v>386</v>
      </c>
      <c r="E36" s="134" t="s">
        <v>252</v>
      </c>
      <c r="F36" s="134" t="s">
        <v>253</v>
      </c>
      <c r="G36" s="134" t="s">
        <v>42</v>
      </c>
      <c r="H36" s="242" t="s">
        <v>166</v>
      </c>
      <c r="I36" s="242" t="s">
        <v>153</v>
      </c>
      <c r="J36" s="134" t="s">
        <v>38</v>
      </c>
      <c r="K36" s="242" t="s">
        <v>154</v>
      </c>
      <c r="L36" s="242">
        <v>2</v>
      </c>
      <c r="M36" s="242"/>
      <c r="N36" s="242">
        <v>1</v>
      </c>
      <c r="O36" s="242">
        <v>0.55000000000000004</v>
      </c>
      <c r="P36" s="242">
        <v>0.6</v>
      </c>
      <c r="Q36" s="136">
        <f t="shared" si="0"/>
        <v>0.57499999999999996</v>
      </c>
      <c r="R36" s="242">
        <v>17.3</v>
      </c>
      <c r="S36" s="242">
        <v>127</v>
      </c>
      <c r="T36" s="137">
        <f t="shared" si="1"/>
        <v>27</v>
      </c>
      <c r="U36" s="242">
        <v>138</v>
      </c>
      <c r="V36" s="138">
        <f t="shared" si="2"/>
        <v>3726</v>
      </c>
      <c r="W36" s="242">
        <v>3</v>
      </c>
      <c r="X36" s="134" t="s">
        <v>39</v>
      </c>
      <c r="Y36" s="242" t="s">
        <v>90</v>
      </c>
      <c r="Z36" s="242" t="s">
        <v>84</v>
      </c>
      <c r="AA36" s="242" t="s">
        <v>69</v>
      </c>
      <c r="AB36" s="134" t="s">
        <v>387</v>
      </c>
      <c r="AC36" s="139"/>
    </row>
    <row r="37" spans="1:29" x14ac:dyDescent="0.15">
      <c r="A37" s="134" t="s">
        <v>61</v>
      </c>
      <c r="B37" s="134" t="s">
        <v>385</v>
      </c>
      <c r="C37" s="134">
        <v>2018</v>
      </c>
      <c r="D37" s="135" t="s">
        <v>386</v>
      </c>
      <c r="E37" s="134" t="s">
        <v>252</v>
      </c>
      <c r="F37" s="134" t="s">
        <v>253</v>
      </c>
      <c r="G37" s="134" t="s">
        <v>42</v>
      </c>
      <c r="H37" s="242" t="s">
        <v>166</v>
      </c>
      <c r="I37" s="242" t="s">
        <v>153</v>
      </c>
      <c r="J37" s="134" t="s">
        <v>38</v>
      </c>
      <c r="K37" s="242" t="s">
        <v>154</v>
      </c>
      <c r="L37" s="242">
        <v>3</v>
      </c>
      <c r="M37" s="242"/>
      <c r="N37" s="242">
        <v>1</v>
      </c>
      <c r="O37" s="242">
        <v>0.6</v>
      </c>
      <c r="P37" s="242">
        <v>0.6</v>
      </c>
      <c r="Q37" s="136">
        <f t="shared" si="0"/>
        <v>0.6</v>
      </c>
      <c r="R37" s="242">
        <v>17.2</v>
      </c>
      <c r="S37" s="242">
        <v>136</v>
      </c>
      <c r="T37" s="137">
        <f t="shared" si="1"/>
        <v>25</v>
      </c>
      <c r="U37" s="242">
        <v>138</v>
      </c>
      <c r="V37" s="138">
        <f t="shared" si="2"/>
        <v>3450</v>
      </c>
      <c r="W37" s="242">
        <v>3</v>
      </c>
      <c r="X37" s="134" t="s">
        <v>39</v>
      </c>
      <c r="Y37" s="242" t="s">
        <v>90</v>
      </c>
      <c r="Z37" s="242" t="s">
        <v>84</v>
      </c>
      <c r="AA37" s="242" t="s">
        <v>69</v>
      </c>
      <c r="AB37" s="134" t="s">
        <v>387</v>
      </c>
      <c r="AC37" s="139"/>
    </row>
    <row r="38" spans="1:29" x14ac:dyDescent="0.15">
      <c r="A38" s="134" t="s">
        <v>61</v>
      </c>
      <c r="B38" s="134" t="s">
        <v>385</v>
      </c>
      <c r="C38" s="134">
        <v>2018</v>
      </c>
      <c r="D38" s="135" t="s">
        <v>386</v>
      </c>
      <c r="E38" s="134" t="s">
        <v>254</v>
      </c>
      <c r="F38" s="134" t="s">
        <v>255</v>
      </c>
      <c r="G38" s="134" t="s">
        <v>42</v>
      </c>
      <c r="H38" s="242" t="s">
        <v>155</v>
      </c>
      <c r="I38" s="242" t="s">
        <v>153</v>
      </c>
      <c r="J38" s="134" t="s">
        <v>38</v>
      </c>
      <c r="K38" s="242" t="s">
        <v>154</v>
      </c>
      <c r="L38" s="242">
        <v>1</v>
      </c>
      <c r="M38" s="242"/>
      <c r="N38" s="242">
        <v>4</v>
      </c>
      <c r="O38" s="242">
        <v>0.6</v>
      </c>
      <c r="P38" s="242">
        <v>0.65</v>
      </c>
      <c r="Q38" s="136">
        <f t="shared" si="0"/>
        <v>0.625</v>
      </c>
      <c r="R38" s="242">
        <v>17</v>
      </c>
      <c r="S38" s="242">
        <v>106</v>
      </c>
      <c r="T38" s="137">
        <f t="shared" si="1"/>
        <v>33</v>
      </c>
      <c r="U38" s="242">
        <v>321</v>
      </c>
      <c r="V38" s="138">
        <f t="shared" si="2"/>
        <v>2648.25</v>
      </c>
      <c r="W38" s="242">
        <v>6</v>
      </c>
      <c r="X38" s="134" t="s">
        <v>39</v>
      </c>
      <c r="Y38" s="242" t="s">
        <v>84</v>
      </c>
      <c r="Z38" s="242" t="s">
        <v>50</v>
      </c>
      <c r="AA38" s="242" t="s">
        <v>69</v>
      </c>
      <c r="AB38" s="134" t="s">
        <v>387</v>
      </c>
      <c r="AC38" s="139"/>
    </row>
    <row r="39" spans="1:29" x14ac:dyDescent="0.15">
      <c r="A39" s="134" t="s">
        <v>61</v>
      </c>
      <c r="B39" s="134" t="s">
        <v>385</v>
      </c>
      <c r="C39" s="134">
        <v>2018</v>
      </c>
      <c r="D39" s="135" t="s">
        <v>386</v>
      </c>
      <c r="E39" s="134" t="s">
        <v>254</v>
      </c>
      <c r="F39" s="134" t="s">
        <v>255</v>
      </c>
      <c r="G39" s="134" t="s">
        <v>42</v>
      </c>
      <c r="H39" s="242" t="s">
        <v>155</v>
      </c>
      <c r="I39" s="242" t="s">
        <v>153</v>
      </c>
      <c r="J39" s="134" t="s">
        <v>38</v>
      </c>
      <c r="K39" s="242" t="s">
        <v>154</v>
      </c>
      <c r="L39" s="242">
        <v>2</v>
      </c>
      <c r="M39" s="242"/>
      <c r="N39" s="242">
        <v>4</v>
      </c>
      <c r="O39" s="242">
        <v>0.6</v>
      </c>
      <c r="P39" s="242">
        <v>0.6</v>
      </c>
      <c r="Q39" s="136">
        <f t="shared" si="0"/>
        <v>0.6</v>
      </c>
      <c r="R39" s="242">
        <v>17.2</v>
      </c>
      <c r="S39" s="242">
        <v>95</v>
      </c>
      <c r="T39" s="137">
        <f t="shared" si="1"/>
        <v>36</v>
      </c>
      <c r="U39" s="242">
        <v>321</v>
      </c>
      <c r="V39" s="138">
        <f t="shared" si="2"/>
        <v>2889</v>
      </c>
      <c r="W39" s="242">
        <v>6</v>
      </c>
      <c r="X39" s="134" t="s">
        <v>39</v>
      </c>
      <c r="Y39" s="242" t="s">
        <v>84</v>
      </c>
      <c r="Z39" s="242" t="s">
        <v>50</v>
      </c>
      <c r="AA39" s="242" t="s">
        <v>69</v>
      </c>
      <c r="AB39" s="134" t="s">
        <v>387</v>
      </c>
      <c r="AC39" s="139"/>
    </row>
    <row r="40" spans="1:29" x14ac:dyDescent="0.15">
      <c r="A40" s="134" t="s">
        <v>61</v>
      </c>
      <c r="B40" s="134" t="s">
        <v>385</v>
      </c>
      <c r="C40" s="134">
        <v>2018</v>
      </c>
      <c r="D40" s="135" t="s">
        <v>386</v>
      </c>
      <c r="E40" s="134" t="s">
        <v>254</v>
      </c>
      <c r="F40" s="134" t="s">
        <v>255</v>
      </c>
      <c r="G40" s="134" t="s">
        <v>42</v>
      </c>
      <c r="H40" s="242" t="s">
        <v>155</v>
      </c>
      <c r="I40" s="242" t="s">
        <v>153</v>
      </c>
      <c r="J40" s="134" t="s">
        <v>38</v>
      </c>
      <c r="K40" s="242" t="s">
        <v>154</v>
      </c>
      <c r="L40" s="242">
        <v>3</v>
      </c>
      <c r="M40" s="242"/>
      <c r="N40" s="242">
        <v>4</v>
      </c>
      <c r="O40" s="242">
        <v>0.6</v>
      </c>
      <c r="P40" s="242">
        <v>0.6</v>
      </c>
      <c r="Q40" s="136">
        <f t="shared" si="0"/>
        <v>0.6</v>
      </c>
      <c r="R40" s="242">
        <v>17.2</v>
      </c>
      <c r="S40" s="242">
        <v>99</v>
      </c>
      <c r="T40" s="137">
        <f t="shared" si="1"/>
        <v>33</v>
      </c>
      <c r="U40" s="242">
        <v>321</v>
      </c>
      <c r="V40" s="138">
        <f t="shared" si="2"/>
        <v>2648.25</v>
      </c>
      <c r="W40" s="242">
        <v>6</v>
      </c>
      <c r="X40" s="134" t="s">
        <v>39</v>
      </c>
      <c r="Y40" s="242" t="s">
        <v>84</v>
      </c>
      <c r="Z40" s="242" t="s">
        <v>50</v>
      </c>
      <c r="AA40" s="242" t="s">
        <v>69</v>
      </c>
      <c r="AB40" s="134" t="s">
        <v>387</v>
      </c>
      <c r="AC40" s="139"/>
    </row>
    <row r="41" spans="1:29" x14ac:dyDescent="0.15">
      <c r="A41" s="134" t="s">
        <v>61</v>
      </c>
      <c r="B41" s="134" t="s">
        <v>385</v>
      </c>
      <c r="C41" s="134">
        <v>2018</v>
      </c>
      <c r="D41" s="135" t="s">
        <v>386</v>
      </c>
      <c r="E41" s="134" t="s">
        <v>254</v>
      </c>
      <c r="F41" s="134" t="s">
        <v>255</v>
      </c>
      <c r="G41" s="134" t="s">
        <v>42</v>
      </c>
      <c r="H41" s="242" t="s">
        <v>166</v>
      </c>
      <c r="I41" s="242" t="s">
        <v>153</v>
      </c>
      <c r="J41" s="134" t="s">
        <v>38</v>
      </c>
      <c r="K41" s="242" t="s">
        <v>154</v>
      </c>
      <c r="L41" s="242">
        <v>1</v>
      </c>
      <c r="M41" s="242"/>
      <c r="N41" s="242">
        <v>3</v>
      </c>
      <c r="O41" s="242">
        <v>0.5</v>
      </c>
      <c r="P41" s="242">
        <v>0.5</v>
      </c>
      <c r="Q41" s="136">
        <f t="shared" si="0"/>
        <v>0.5</v>
      </c>
      <c r="R41" s="242">
        <v>17.399999999999999</v>
      </c>
      <c r="S41" s="242">
        <v>129</v>
      </c>
      <c r="T41" s="137">
        <f t="shared" si="1"/>
        <v>25</v>
      </c>
      <c r="U41" s="242">
        <v>429</v>
      </c>
      <c r="V41" s="138">
        <f t="shared" si="2"/>
        <v>3575</v>
      </c>
      <c r="W41" s="242">
        <v>6</v>
      </c>
      <c r="X41" s="134" t="s">
        <v>39</v>
      </c>
      <c r="Y41" s="242" t="s">
        <v>84</v>
      </c>
      <c r="Z41" s="242" t="s">
        <v>50</v>
      </c>
      <c r="AA41" s="242" t="s">
        <v>69</v>
      </c>
      <c r="AB41" s="134" t="s">
        <v>387</v>
      </c>
      <c r="AC41" s="139"/>
    </row>
    <row r="42" spans="1:29" x14ac:dyDescent="0.15">
      <c r="A42" s="134" t="s">
        <v>61</v>
      </c>
      <c r="B42" s="134" t="s">
        <v>385</v>
      </c>
      <c r="C42" s="134">
        <v>2018</v>
      </c>
      <c r="D42" s="135" t="s">
        <v>386</v>
      </c>
      <c r="E42" s="134" t="s">
        <v>254</v>
      </c>
      <c r="F42" s="134" t="s">
        <v>255</v>
      </c>
      <c r="G42" s="134" t="s">
        <v>42</v>
      </c>
      <c r="H42" s="242" t="s">
        <v>166</v>
      </c>
      <c r="I42" s="242" t="s">
        <v>153</v>
      </c>
      <c r="J42" s="134" t="s">
        <v>38</v>
      </c>
      <c r="K42" s="242" t="s">
        <v>154</v>
      </c>
      <c r="L42" s="242">
        <v>2</v>
      </c>
      <c r="M42" s="242"/>
      <c r="N42" s="242">
        <v>3</v>
      </c>
      <c r="O42" s="242">
        <v>0.55000000000000004</v>
      </c>
      <c r="P42" s="242">
        <v>0.55000000000000004</v>
      </c>
      <c r="Q42" s="136">
        <f t="shared" si="0"/>
        <v>0.55000000000000004</v>
      </c>
      <c r="R42" s="242">
        <v>17.600000000000001</v>
      </c>
      <c r="S42" s="242">
        <v>136</v>
      </c>
      <c r="T42" s="137">
        <f t="shared" si="1"/>
        <v>25</v>
      </c>
      <c r="U42" s="242">
        <v>429</v>
      </c>
      <c r="V42" s="138">
        <f t="shared" si="2"/>
        <v>3575</v>
      </c>
      <c r="W42" s="242">
        <v>6</v>
      </c>
      <c r="X42" s="134" t="s">
        <v>39</v>
      </c>
      <c r="Y42" s="242" t="s">
        <v>84</v>
      </c>
      <c r="Z42" s="242" t="s">
        <v>50</v>
      </c>
      <c r="AA42" s="242" t="s">
        <v>69</v>
      </c>
      <c r="AB42" s="134" t="s">
        <v>387</v>
      </c>
      <c r="AC42" s="139"/>
    </row>
    <row r="43" spans="1:29" x14ac:dyDescent="0.15">
      <c r="A43" s="134" t="s">
        <v>61</v>
      </c>
      <c r="B43" s="134" t="s">
        <v>385</v>
      </c>
      <c r="C43" s="134">
        <v>2018</v>
      </c>
      <c r="D43" s="135" t="s">
        <v>386</v>
      </c>
      <c r="E43" s="134" t="s">
        <v>254</v>
      </c>
      <c r="F43" s="134" t="s">
        <v>255</v>
      </c>
      <c r="G43" s="134" t="s">
        <v>42</v>
      </c>
      <c r="H43" s="242" t="s">
        <v>166</v>
      </c>
      <c r="I43" s="242" t="s">
        <v>153</v>
      </c>
      <c r="J43" s="134" t="s">
        <v>38</v>
      </c>
      <c r="K43" s="242" t="s">
        <v>154</v>
      </c>
      <c r="L43" s="242">
        <v>3</v>
      </c>
      <c r="M43" s="242"/>
      <c r="N43" s="242">
        <v>3</v>
      </c>
      <c r="O43" s="242">
        <v>0.5</v>
      </c>
      <c r="P43" s="242">
        <v>0.6</v>
      </c>
      <c r="Q43" s="136">
        <f t="shared" si="0"/>
        <v>0.55000000000000004</v>
      </c>
      <c r="R43" s="242">
        <v>17.2</v>
      </c>
      <c r="S43" s="242">
        <v>127</v>
      </c>
      <c r="T43" s="137">
        <f t="shared" si="1"/>
        <v>27</v>
      </c>
      <c r="U43" s="242">
        <v>429</v>
      </c>
      <c r="V43" s="138">
        <f t="shared" si="2"/>
        <v>3861</v>
      </c>
      <c r="W43" s="242">
        <v>6</v>
      </c>
      <c r="X43" s="134" t="s">
        <v>39</v>
      </c>
      <c r="Y43" s="242" t="s">
        <v>84</v>
      </c>
      <c r="Z43" s="242" t="s">
        <v>50</v>
      </c>
      <c r="AA43" s="242" t="s">
        <v>69</v>
      </c>
      <c r="AB43" s="134" t="s">
        <v>387</v>
      </c>
      <c r="AC43" s="139"/>
    </row>
    <row r="44" spans="1:29" x14ac:dyDescent="0.15">
      <c r="A44" s="134" t="s">
        <v>61</v>
      </c>
      <c r="B44" s="134" t="s">
        <v>385</v>
      </c>
      <c r="C44" s="134">
        <v>2018</v>
      </c>
      <c r="D44" s="135" t="s">
        <v>386</v>
      </c>
      <c r="E44" s="134" t="s">
        <v>133</v>
      </c>
      <c r="F44" s="134" t="s">
        <v>256</v>
      </c>
      <c r="G44" s="134" t="s">
        <v>42</v>
      </c>
      <c r="H44" s="242" t="s">
        <v>155</v>
      </c>
      <c r="I44" s="242" t="s">
        <v>153</v>
      </c>
      <c r="J44" s="134" t="s">
        <v>38</v>
      </c>
      <c r="K44" s="242" t="s">
        <v>154</v>
      </c>
      <c r="L44" s="242">
        <v>1</v>
      </c>
      <c r="M44" s="242"/>
      <c r="N44" s="242">
        <v>1</v>
      </c>
      <c r="O44" s="242">
        <v>0.8</v>
      </c>
      <c r="P44" s="242">
        <v>0.8</v>
      </c>
      <c r="Q44" s="136">
        <f t="shared" si="0"/>
        <v>0.8</v>
      </c>
      <c r="R44" s="242">
        <v>17</v>
      </c>
      <c r="S44" s="242">
        <v>143</v>
      </c>
      <c r="T44" s="137">
        <f t="shared" si="1"/>
        <v>22</v>
      </c>
      <c r="U44" s="242">
        <v>105</v>
      </c>
      <c r="V44" s="138">
        <f t="shared" si="2"/>
        <v>2310</v>
      </c>
      <c r="W44" s="242">
        <v>12</v>
      </c>
      <c r="X44" s="134" t="s">
        <v>46</v>
      </c>
      <c r="Y44" s="242" t="s">
        <v>90</v>
      </c>
      <c r="Z44" s="242" t="s">
        <v>84</v>
      </c>
      <c r="AA44" s="242" t="s">
        <v>69</v>
      </c>
      <c r="AB44" s="134" t="s">
        <v>387</v>
      </c>
      <c r="AC44" s="139"/>
    </row>
    <row r="45" spans="1:29" x14ac:dyDescent="0.15">
      <c r="A45" s="134" t="s">
        <v>61</v>
      </c>
      <c r="B45" s="134" t="s">
        <v>385</v>
      </c>
      <c r="C45" s="134">
        <v>2018</v>
      </c>
      <c r="D45" s="135" t="s">
        <v>386</v>
      </c>
      <c r="E45" s="134" t="s">
        <v>133</v>
      </c>
      <c r="F45" s="134" t="s">
        <v>256</v>
      </c>
      <c r="G45" s="134" t="s">
        <v>42</v>
      </c>
      <c r="H45" s="242" t="s">
        <v>155</v>
      </c>
      <c r="I45" s="242" t="s">
        <v>153</v>
      </c>
      <c r="J45" s="134" t="s">
        <v>38</v>
      </c>
      <c r="K45" s="242" t="s">
        <v>154</v>
      </c>
      <c r="L45" s="242">
        <v>2</v>
      </c>
      <c r="M45" s="242"/>
      <c r="N45" s="242">
        <v>1</v>
      </c>
      <c r="O45" s="242">
        <v>0.7</v>
      </c>
      <c r="P45" s="242">
        <v>0.7</v>
      </c>
      <c r="Q45" s="136">
        <f t="shared" si="0"/>
        <v>0.7</v>
      </c>
      <c r="R45" s="242">
        <v>17.2</v>
      </c>
      <c r="S45" s="242">
        <v>141</v>
      </c>
      <c r="T45" s="137">
        <f t="shared" si="1"/>
        <v>22</v>
      </c>
      <c r="U45" s="242">
        <v>105</v>
      </c>
      <c r="V45" s="138">
        <f t="shared" si="2"/>
        <v>2310</v>
      </c>
      <c r="W45" s="242">
        <v>12</v>
      </c>
      <c r="X45" s="134" t="s">
        <v>46</v>
      </c>
      <c r="Y45" s="242" t="s">
        <v>90</v>
      </c>
      <c r="Z45" s="242" t="s">
        <v>84</v>
      </c>
      <c r="AA45" s="242" t="s">
        <v>69</v>
      </c>
      <c r="AB45" s="134" t="s">
        <v>387</v>
      </c>
      <c r="AC45" s="139"/>
    </row>
    <row r="46" spans="1:29" x14ac:dyDescent="0.15">
      <c r="A46" s="134" t="s">
        <v>61</v>
      </c>
      <c r="B46" s="134" t="s">
        <v>385</v>
      </c>
      <c r="C46" s="134">
        <v>2018</v>
      </c>
      <c r="D46" s="135" t="s">
        <v>386</v>
      </c>
      <c r="E46" s="134" t="s">
        <v>133</v>
      </c>
      <c r="F46" s="134" t="s">
        <v>256</v>
      </c>
      <c r="G46" s="134" t="s">
        <v>42</v>
      </c>
      <c r="H46" s="242" t="s">
        <v>155</v>
      </c>
      <c r="I46" s="242" t="s">
        <v>153</v>
      </c>
      <c r="J46" s="134" t="s">
        <v>38</v>
      </c>
      <c r="K46" s="242" t="s">
        <v>154</v>
      </c>
      <c r="L46" s="242">
        <v>3</v>
      </c>
      <c r="M46" s="242"/>
      <c r="N46" s="242">
        <v>1</v>
      </c>
      <c r="O46" s="242">
        <v>0.75</v>
      </c>
      <c r="P46" s="242">
        <v>0.7</v>
      </c>
      <c r="Q46" s="136">
        <f t="shared" si="0"/>
        <v>0.72499999999999998</v>
      </c>
      <c r="R46" s="242">
        <v>17.2</v>
      </c>
      <c r="S46" s="242">
        <v>143</v>
      </c>
      <c r="T46" s="137">
        <f t="shared" si="1"/>
        <v>22</v>
      </c>
      <c r="U46" s="242">
        <v>105</v>
      </c>
      <c r="V46" s="138">
        <f t="shared" si="2"/>
        <v>2310</v>
      </c>
      <c r="W46" s="242">
        <v>12</v>
      </c>
      <c r="X46" s="134" t="s">
        <v>46</v>
      </c>
      <c r="Y46" s="242" t="s">
        <v>90</v>
      </c>
      <c r="Z46" s="242" t="s">
        <v>84</v>
      </c>
      <c r="AA46" s="242" t="s">
        <v>69</v>
      </c>
      <c r="AB46" s="134" t="s">
        <v>387</v>
      </c>
      <c r="AC46" s="139"/>
    </row>
    <row r="47" spans="1:29" x14ac:dyDescent="0.15">
      <c r="A47" s="134" t="s">
        <v>61</v>
      </c>
      <c r="B47" s="134" t="s">
        <v>385</v>
      </c>
      <c r="C47" s="134">
        <v>2018</v>
      </c>
      <c r="D47" s="135" t="s">
        <v>386</v>
      </c>
      <c r="E47" s="134" t="s">
        <v>133</v>
      </c>
      <c r="F47" s="134" t="s">
        <v>256</v>
      </c>
      <c r="G47" s="134" t="s">
        <v>42</v>
      </c>
      <c r="H47" s="242" t="s">
        <v>166</v>
      </c>
      <c r="I47" s="242" t="s">
        <v>153</v>
      </c>
      <c r="J47" s="134" t="s">
        <v>38</v>
      </c>
      <c r="K47" s="242" t="s">
        <v>154</v>
      </c>
      <c r="L47" s="242">
        <v>1</v>
      </c>
      <c r="M47" s="242"/>
      <c r="N47" s="242">
        <v>1</v>
      </c>
      <c r="O47" s="242">
        <v>0.5</v>
      </c>
      <c r="P47" s="242">
        <v>0.5</v>
      </c>
      <c r="Q47" s="136">
        <f t="shared" si="0"/>
        <v>0.5</v>
      </c>
      <c r="R47" s="242">
        <v>17.8</v>
      </c>
      <c r="S47" s="242">
        <v>153</v>
      </c>
      <c r="T47" s="137">
        <f t="shared" si="1"/>
        <v>18</v>
      </c>
      <c r="U47" s="242">
        <v>159</v>
      </c>
      <c r="V47" s="138">
        <f t="shared" si="2"/>
        <v>2862</v>
      </c>
      <c r="W47" s="242">
        <v>12</v>
      </c>
      <c r="X47" s="134" t="s">
        <v>46</v>
      </c>
      <c r="Y47" s="242" t="s">
        <v>90</v>
      </c>
      <c r="Z47" s="242" t="s">
        <v>84</v>
      </c>
      <c r="AA47" s="242" t="s">
        <v>69</v>
      </c>
      <c r="AB47" s="134" t="s">
        <v>387</v>
      </c>
      <c r="AC47" s="139"/>
    </row>
    <row r="48" spans="1:29" x14ac:dyDescent="0.15">
      <c r="A48" s="134" t="s">
        <v>61</v>
      </c>
      <c r="B48" s="134" t="s">
        <v>385</v>
      </c>
      <c r="C48" s="134">
        <v>2018</v>
      </c>
      <c r="D48" s="135" t="s">
        <v>386</v>
      </c>
      <c r="E48" s="134" t="s">
        <v>133</v>
      </c>
      <c r="F48" s="134" t="s">
        <v>256</v>
      </c>
      <c r="G48" s="134" t="s">
        <v>42</v>
      </c>
      <c r="H48" s="242" t="s">
        <v>166</v>
      </c>
      <c r="I48" s="242" t="s">
        <v>153</v>
      </c>
      <c r="J48" s="134" t="s">
        <v>38</v>
      </c>
      <c r="K48" s="242" t="s">
        <v>154</v>
      </c>
      <c r="L48" s="242">
        <v>2</v>
      </c>
      <c r="M48" s="242"/>
      <c r="N48" s="242">
        <v>1</v>
      </c>
      <c r="O48" s="242">
        <v>0.55000000000000004</v>
      </c>
      <c r="P48" s="242">
        <v>0.6</v>
      </c>
      <c r="Q48" s="136">
        <f t="shared" si="0"/>
        <v>0.57499999999999996</v>
      </c>
      <c r="R48" s="242">
        <v>17.5</v>
      </c>
      <c r="S48" s="242">
        <v>156</v>
      </c>
      <c r="T48" s="137">
        <f t="shared" si="1"/>
        <v>18</v>
      </c>
      <c r="U48" s="242">
        <v>159</v>
      </c>
      <c r="V48" s="138">
        <f t="shared" si="2"/>
        <v>2862</v>
      </c>
      <c r="W48" s="242">
        <v>12</v>
      </c>
      <c r="X48" s="134" t="s">
        <v>46</v>
      </c>
      <c r="Y48" s="242" t="s">
        <v>90</v>
      </c>
      <c r="Z48" s="242" t="s">
        <v>84</v>
      </c>
      <c r="AA48" s="242" t="s">
        <v>69</v>
      </c>
      <c r="AB48" s="134" t="s">
        <v>387</v>
      </c>
      <c r="AC48" s="139"/>
    </row>
    <row r="49" spans="1:29" x14ac:dyDescent="0.15">
      <c r="A49" s="134" t="s">
        <v>61</v>
      </c>
      <c r="B49" s="134" t="s">
        <v>385</v>
      </c>
      <c r="C49" s="134">
        <v>2018</v>
      </c>
      <c r="D49" s="135" t="s">
        <v>386</v>
      </c>
      <c r="E49" s="134" t="s">
        <v>133</v>
      </c>
      <c r="F49" s="134" t="s">
        <v>256</v>
      </c>
      <c r="G49" s="134" t="s">
        <v>42</v>
      </c>
      <c r="H49" s="242" t="s">
        <v>166</v>
      </c>
      <c r="I49" s="242" t="s">
        <v>153</v>
      </c>
      <c r="J49" s="134" t="s">
        <v>38</v>
      </c>
      <c r="K49" s="242" t="s">
        <v>154</v>
      </c>
      <c r="L49" s="242">
        <v>3</v>
      </c>
      <c r="M49" s="242"/>
      <c r="N49" s="242">
        <v>1</v>
      </c>
      <c r="O49" s="242">
        <v>0.6</v>
      </c>
      <c r="P49" s="242">
        <v>0.5</v>
      </c>
      <c r="Q49" s="136">
        <f t="shared" si="0"/>
        <v>0.55000000000000004</v>
      </c>
      <c r="R49" s="242">
        <v>17.5</v>
      </c>
      <c r="S49" s="242">
        <v>151</v>
      </c>
      <c r="T49" s="137">
        <f t="shared" si="1"/>
        <v>22</v>
      </c>
      <c r="U49" s="242">
        <v>159</v>
      </c>
      <c r="V49" s="138">
        <f t="shared" si="2"/>
        <v>3498</v>
      </c>
      <c r="W49" s="242">
        <v>12</v>
      </c>
      <c r="X49" s="134" t="s">
        <v>46</v>
      </c>
      <c r="Y49" s="242" t="s">
        <v>90</v>
      </c>
      <c r="Z49" s="242" t="s">
        <v>84</v>
      </c>
      <c r="AA49" s="242" t="s">
        <v>69</v>
      </c>
      <c r="AB49" s="134" t="s">
        <v>387</v>
      </c>
      <c r="AC49" s="139"/>
    </row>
    <row r="50" spans="1:29" x14ac:dyDescent="0.15">
      <c r="A50" s="134" t="s">
        <v>61</v>
      </c>
      <c r="B50" s="134" t="s">
        <v>385</v>
      </c>
      <c r="C50" s="134">
        <v>2018</v>
      </c>
      <c r="D50" s="135" t="s">
        <v>386</v>
      </c>
      <c r="E50" s="134" t="s">
        <v>133</v>
      </c>
      <c r="F50" s="134" t="s">
        <v>256</v>
      </c>
      <c r="G50" s="134" t="s">
        <v>42</v>
      </c>
      <c r="H50" s="242" t="s">
        <v>127</v>
      </c>
      <c r="I50" s="242" t="s">
        <v>153</v>
      </c>
      <c r="J50" s="134" t="s">
        <v>80</v>
      </c>
      <c r="K50" s="242" t="s">
        <v>45</v>
      </c>
      <c r="L50" s="242">
        <v>1</v>
      </c>
      <c r="M50" s="242"/>
      <c r="N50" s="242">
        <v>5</v>
      </c>
      <c r="O50" s="242">
        <v>0.6</v>
      </c>
      <c r="P50" s="242">
        <v>0.6</v>
      </c>
      <c r="Q50" s="136">
        <f t="shared" si="0"/>
        <v>0.6</v>
      </c>
      <c r="R50" s="242">
        <v>12</v>
      </c>
      <c r="S50" s="242">
        <v>93</v>
      </c>
      <c r="T50" s="137">
        <f t="shared" si="1"/>
        <v>36</v>
      </c>
      <c r="U50" s="242">
        <v>321</v>
      </c>
      <c r="V50" s="138">
        <f t="shared" si="2"/>
        <v>2311.2000000000003</v>
      </c>
      <c r="W50" s="242">
        <v>12</v>
      </c>
      <c r="X50" s="134" t="s">
        <v>46</v>
      </c>
      <c r="Y50" s="242" t="s">
        <v>90</v>
      </c>
      <c r="Z50" s="242" t="s">
        <v>84</v>
      </c>
      <c r="AA50" s="242" t="s">
        <v>69</v>
      </c>
      <c r="AB50" s="134" t="s">
        <v>387</v>
      </c>
      <c r="AC50" s="139"/>
    </row>
    <row r="51" spans="1:29" x14ac:dyDescent="0.15">
      <c r="A51" s="134" t="s">
        <v>61</v>
      </c>
      <c r="B51" s="134" t="s">
        <v>385</v>
      </c>
      <c r="C51" s="134">
        <v>2018</v>
      </c>
      <c r="D51" s="135" t="s">
        <v>386</v>
      </c>
      <c r="E51" s="134" t="s">
        <v>133</v>
      </c>
      <c r="F51" s="134" t="s">
        <v>256</v>
      </c>
      <c r="G51" s="134" t="s">
        <v>42</v>
      </c>
      <c r="H51" s="242" t="s">
        <v>127</v>
      </c>
      <c r="I51" s="242" t="s">
        <v>153</v>
      </c>
      <c r="J51" s="134" t="s">
        <v>80</v>
      </c>
      <c r="K51" s="242" t="s">
        <v>45</v>
      </c>
      <c r="L51" s="242">
        <v>2</v>
      </c>
      <c r="M51" s="242"/>
      <c r="N51" s="242">
        <v>5</v>
      </c>
      <c r="O51" s="242">
        <v>0.7</v>
      </c>
      <c r="P51" s="242">
        <v>0.7</v>
      </c>
      <c r="Q51" s="136">
        <f t="shared" si="0"/>
        <v>0.7</v>
      </c>
      <c r="R51" s="242">
        <v>12.2</v>
      </c>
      <c r="S51" s="242">
        <v>100</v>
      </c>
      <c r="T51" s="137">
        <f t="shared" si="1"/>
        <v>33</v>
      </c>
      <c r="U51" s="242">
        <v>321</v>
      </c>
      <c r="V51" s="138">
        <f t="shared" si="2"/>
        <v>2118.6</v>
      </c>
      <c r="W51" s="242">
        <v>12</v>
      </c>
      <c r="X51" s="134" t="s">
        <v>46</v>
      </c>
      <c r="Y51" s="242" t="s">
        <v>90</v>
      </c>
      <c r="Z51" s="242" t="s">
        <v>84</v>
      </c>
      <c r="AA51" s="242" t="s">
        <v>69</v>
      </c>
      <c r="AB51" s="134" t="s">
        <v>387</v>
      </c>
      <c r="AC51" s="139"/>
    </row>
    <row r="52" spans="1:29" x14ac:dyDescent="0.15">
      <c r="A52" s="134" t="s">
        <v>61</v>
      </c>
      <c r="B52" s="134" t="s">
        <v>385</v>
      </c>
      <c r="C52" s="134">
        <v>2018</v>
      </c>
      <c r="D52" s="135" t="s">
        <v>386</v>
      </c>
      <c r="E52" s="134" t="s">
        <v>133</v>
      </c>
      <c r="F52" s="134" t="s">
        <v>256</v>
      </c>
      <c r="G52" s="134" t="s">
        <v>42</v>
      </c>
      <c r="H52" s="242" t="s">
        <v>127</v>
      </c>
      <c r="I52" s="242" t="s">
        <v>408</v>
      </c>
      <c r="J52" s="134" t="s">
        <v>80</v>
      </c>
      <c r="K52" s="242" t="s">
        <v>45</v>
      </c>
      <c r="L52" s="242">
        <v>3</v>
      </c>
      <c r="M52" s="242"/>
      <c r="N52" s="242">
        <v>5</v>
      </c>
      <c r="O52" s="242">
        <v>0.75</v>
      </c>
      <c r="P52" s="242">
        <v>0.7</v>
      </c>
      <c r="Q52" s="136">
        <f t="shared" si="0"/>
        <v>0.72499999999999998</v>
      </c>
      <c r="R52" s="242">
        <v>12.6</v>
      </c>
      <c r="S52" s="242">
        <v>90</v>
      </c>
      <c r="T52" s="137">
        <f t="shared" si="1"/>
        <v>36</v>
      </c>
      <c r="U52" s="242">
        <v>321</v>
      </c>
      <c r="V52" s="138">
        <f t="shared" si="2"/>
        <v>2311.2000000000003</v>
      </c>
      <c r="W52" s="242">
        <v>12</v>
      </c>
      <c r="X52" s="134" t="s">
        <v>46</v>
      </c>
      <c r="Y52" s="242" t="s">
        <v>90</v>
      </c>
      <c r="Z52" s="242" t="s">
        <v>84</v>
      </c>
      <c r="AA52" s="242" t="s">
        <v>69</v>
      </c>
      <c r="AB52" s="134" t="s">
        <v>387</v>
      </c>
      <c r="AC52" s="139"/>
    </row>
    <row r="53" spans="1:29" x14ac:dyDescent="0.15">
      <c r="A53" s="134" t="s">
        <v>61</v>
      </c>
      <c r="B53" s="134" t="s">
        <v>385</v>
      </c>
      <c r="C53" s="134">
        <v>2018</v>
      </c>
      <c r="D53" s="135" t="s">
        <v>386</v>
      </c>
      <c r="E53" s="134" t="s">
        <v>133</v>
      </c>
      <c r="F53" s="134" t="s">
        <v>256</v>
      </c>
      <c r="G53" s="134" t="s">
        <v>42</v>
      </c>
      <c r="H53" s="242" t="s">
        <v>128</v>
      </c>
      <c r="I53" s="242" t="s">
        <v>153</v>
      </c>
      <c r="J53" s="134" t="s">
        <v>80</v>
      </c>
      <c r="K53" s="242" t="s">
        <v>94</v>
      </c>
      <c r="L53" s="242">
        <v>1</v>
      </c>
      <c r="M53" s="242"/>
      <c r="N53" s="242">
        <v>1</v>
      </c>
      <c r="O53" s="242">
        <v>0.5</v>
      </c>
      <c r="P53" s="242">
        <v>0.5</v>
      </c>
      <c r="Q53" s="136">
        <f t="shared" si="0"/>
        <v>0.5</v>
      </c>
      <c r="R53" s="242">
        <v>18.899999999999999</v>
      </c>
      <c r="S53" s="242">
        <v>107</v>
      </c>
      <c r="T53" s="137">
        <f t="shared" si="1"/>
        <v>33</v>
      </c>
      <c r="U53" s="242">
        <v>105</v>
      </c>
      <c r="V53" s="138">
        <f t="shared" si="2"/>
        <v>3465</v>
      </c>
      <c r="W53" s="242">
        <v>12</v>
      </c>
      <c r="X53" s="134" t="s">
        <v>46</v>
      </c>
      <c r="Y53" s="242" t="s">
        <v>90</v>
      </c>
      <c r="Z53" s="242" t="s">
        <v>84</v>
      </c>
      <c r="AA53" s="242" t="s">
        <v>69</v>
      </c>
      <c r="AB53" s="134" t="s">
        <v>387</v>
      </c>
      <c r="AC53" s="242"/>
    </row>
    <row r="54" spans="1:29" x14ac:dyDescent="0.15">
      <c r="A54" s="134" t="s">
        <v>61</v>
      </c>
      <c r="B54" s="134" t="s">
        <v>385</v>
      </c>
      <c r="C54" s="134">
        <v>2018</v>
      </c>
      <c r="D54" s="135" t="s">
        <v>386</v>
      </c>
      <c r="E54" s="134" t="s">
        <v>133</v>
      </c>
      <c r="F54" s="134" t="s">
        <v>256</v>
      </c>
      <c r="G54" s="134" t="s">
        <v>42</v>
      </c>
      <c r="H54" s="242" t="s">
        <v>128</v>
      </c>
      <c r="I54" s="242" t="s">
        <v>153</v>
      </c>
      <c r="J54" s="134" t="s">
        <v>80</v>
      </c>
      <c r="K54" s="242" t="s">
        <v>94</v>
      </c>
      <c r="L54" s="242">
        <v>2</v>
      </c>
      <c r="M54" s="242"/>
      <c r="N54" s="242">
        <v>1</v>
      </c>
      <c r="O54" s="242">
        <v>0.6</v>
      </c>
      <c r="P54" s="242">
        <v>0.5</v>
      </c>
      <c r="Q54" s="136">
        <f t="shared" si="0"/>
        <v>0.55000000000000004</v>
      </c>
      <c r="R54" s="242">
        <v>18.600000000000001</v>
      </c>
      <c r="S54" s="242">
        <v>109</v>
      </c>
      <c r="T54" s="137">
        <f t="shared" si="1"/>
        <v>33</v>
      </c>
      <c r="U54" s="242">
        <v>105</v>
      </c>
      <c r="V54" s="138">
        <f t="shared" si="2"/>
        <v>3465</v>
      </c>
      <c r="W54" s="242">
        <v>12</v>
      </c>
      <c r="X54" s="134" t="s">
        <v>46</v>
      </c>
      <c r="Y54" s="242" t="s">
        <v>90</v>
      </c>
      <c r="Z54" s="242" t="s">
        <v>84</v>
      </c>
      <c r="AA54" s="242" t="s">
        <v>69</v>
      </c>
      <c r="AB54" s="134" t="s">
        <v>387</v>
      </c>
      <c r="AC54" s="242"/>
    </row>
    <row r="55" spans="1:29" x14ac:dyDescent="0.15">
      <c r="A55" s="134" t="s">
        <v>61</v>
      </c>
      <c r="B55" s="134" t="s">
        <v>385</v>
      </c>
      <c r="C55" s="134">
        <v>2018</v>
      </c>
      <c r="D55" s="135" t="s">
        <v>386</v>
      </c>
      <c r="E55" s="134" t="s">
        <v>133</v>
      </c>
      <c r="F55" s="134" t="s">
        <v>256</v>
      </c>
      <c r="G55" s="134" t="s">
        <v>42</v>
      </c>
      <c r="H55" s="242" t="s">
        <v>128</v>
      </c>
      <c r="I55" s="242" t="s">
        <v>153</v>
      </c>
      <c r="J55" s="134" t="s">
        <v>80</v>
      </c>
      <c r="K55" s="242" t="s">
        <v>94</v>
      </c>
      <c r="L55" s="242">
        <v>3</v>
      </c>
      <c r="M55" s="242"/>
      <c r="N55" s="242">
        <v>1</v>
      </c>
      <c r="O55" s="242">
        <v>0.55000000000000004</v>
      </c>
      <c r="P55" s="242">
        <v>0.5</v>
      </c>
      <c r="Q55" s="136">
        <f t="shared" si="0"/>
        <v>0.52500000000000002</v>
      </c>
      <c r="R55" s="242">
        <v>18.8</v>
      </c>
      <c r="S55" s="242">
        <v>107</v>
      </c>
      <c r="T55" s="137">
        <f t="shared" si="1"/>
        <v>33</v>
      </c>
      <c r="U55" s="242">
        <v>105</v>
      </c>
      <c r="V55" s="138">
        <f t="shared" si="2"/>
        <v>3465</v>
      </c>
      <c r="W55" s="242">
        <v>12</v>
      </c>
      <c r="X55" s="134" t="s">
        <v>46</v>
      </c>
      <c r="Y55" s="242" t="s">
        <v>90</v>
      </c>
      <c r="Z55" s="242" t="s">
        <v>84</v>
      </c>
      <c r="AA55" s="242" t="s">
        <v>69</v>
      </c>
      <c r="AB55" s="134" t="s">
        <v>387</v>
      </c>
      <c r="AC55" s="242"/>
    </row>
    <row r="56" spans="1:29" x14ac:dyDescent="0.15">
      <c r="A56" s="134" t="s">
        <v>61</v>
      </c>
      <c r="B56" s="134" t="s">
        <v>385</v>
      </c>
      <c r="C56" s="134">
        <v>2018</v>
      </c>
      <c r="D56" s="135" t="s">
        <v>386</v>
      </c>
      <c r="E56" s="134" t="s">
        <v>257</v>
      </c>
      <c r="F56" s="134" t="s">
        <v>258</v>
      </c>
      <c r="G56" s="134" t="s">
        <v>42</v>
      </c>
      <c r="H56" s="242" t="s">
        <v>155</v>
      </c>
      <c r="I56" s="242" t="s">
        <v>153</v>
      </c>
      <c r="J56" s="134" t="s">
        <v>38</v>
      </c>
      <c r="K56" s="242" t="s">
        <v>154</v>
      </c>
      <c r="L56" s="242">
        <v>1</v>
      </c>
      <c r="M56" s="242"/>
      <c r="N56" s="242">
        <v>4</v>
      </c>
      <c r="O56" s="242">
        <v>0.5</v>
      </c>
      <c r="P56" s="242">
        <v>0.5</v>
      </c>
      <c r="Q56" s="136">
        <f t="shared" si="0"/>
        <v>0.5</v>
      </c>
      <c r="R56" s="242">
        <v>17</v>
      </c>
      <c r="S56" s="242">
        <v>104</v>
      </c>
      <c r="T56" s="137">
        <f t="shared" si="1"/>
        <v>33</v>
      </c>
      <c r="U56" s="242">
        <v>298</v>
      </c>
      <c r="V56" s="138">
        <f t="shared" si="2"/>
        <v>2458.5</v>
      </c>
      <c r="W56" s="242">
        <v>20</v>
      </c>
      <c r="X56" s="134" t="s">
        <v>46</v>
      </c>
      <c r="Y56" s="242" t="s">
        <v>90</v>
      </c>
      <c r="Z56" s="242" t="s">
        <v>69</v>
      </c>
      <c r="AA56" s="242" t="s">
        <v>50</v>
      </c>
      <c r="AB56" s="134" t="s">
        <v>387</v>
      </c>
      <c r="AC56" s="242"/>
    </row>
    <row r="57" spans="1:29" x14ac:dyDescent="0.15">
      <c r="A57" s="134" t="s">
        <v>61</v>
      </c>
      <c r="B57" s="134" t="s">
        <v>385</v>
      </c>
      <c r="C57" s="134">
        <v>2018</v>
      </c>
      <c r="D57" s="135" t="s">
        <v>386</v>
      </c>
      <c r="E57" s="134" t="s">
        <v>257</v>
      </c>
      <c r="F57" s="134" t="s">
        <v>258</v>
      </c>
      <c r="G57" s="134" t="s">
        <v>42</v>
      </c>
      <c r="H57" s="242" t="s">
        <v>155</v>
      </c>
      <c r="I57" s="242" t="s">
        <v>153</v>
      </c>
      <c r="J57" s="134" t="s">
        <v>38</v>
      </c>
      <c r="K57" s="242" t="s">
        <v>154</v>
      </c>
      <c r="L57" s="242">
        <v>2</v>
      </c>
      <c r="M57" s="242"/>
      <c r="N57" s="242">
        <v>4</v>
      </c>
      <c r="O57" s="242">
        <v>0.6</v>
      </c>
      <c r="P57" s="242">
        <v>0.65</v>
      </c>
      <c r="Q57" s="136">
        <f t="shared" si="0"/>
        <v>0.625</v>
      </c>
      <c r="R57" s="242">
        <v>16.8</v>
      </c>
      <c r="S57" s="242">
        <v>96</v>
      </c>
      <c r="T57" s="137">
        <f t="shared" si="1"/>
        <v>36</v>
      </c>
      <c r="U57" s="242">
        <v>298</v>
      </c>
      <c r="V57" s="138">
        <f t="shared" si="2"/>
        <v>2682</v>
      </c>
      <c r="W57" s="242">
        <v>20</v>
      </c>
      <c r="X57" s="134" t="s">
        <v>46</v>
      </c>
      <c r="Y57" s="242" t="s">
        <v>90</v>
      </c>
      <c r="Z57" s="242" t="s">
        <v>69</v>
      </c>
      <c r="AA57" s="242" t="s">
        <v>50</v>
      </c>
      <c r="AB57" s="134" t="s">
        <v>387</v>
      </c>
      <c r="AC57" s="242"/>
    </row>
    <row r="58" spans="1:29" x14ac:dyDescent="0.15">
      <c r="A58" s="134" t="s">
        <v>61</v>
      </c>
      <c r="B58" s="134" t="s">
        <v>385</v>
      </c>
      <c r="C58" s="134">
        <v>2018</v>
      </c>
      <c r="D58" s="135" t="s">
        <v>386</v>
      </c>
      <c r="E58" s="134" t="s">
        <v>257</v>
      </c>
      <c r="F58" s="134" t="s">
        <v>258</v>
      </c>
      <c r="G58" s="134" t="s">
        <v>42</v>
      </c>
      <c r="H58" s="242" t="s">
        <v>155</v>
      </c>
      <c r="I58" s="242" t="s">
        <v>153</v>
      </c>
      <c r="J58" s="134" t="s">
        <v>38</v>
      </c>
      <c r="K58" s="242" t="s">
        <v>154</v>
      </c>
      <c r="L58" s="242">
        <v>3</v>
      </c>
      <c r="M58" s="242"/>
      <c r="N58" s="242">
        <v>4</v>
      </c>
      <c r="O58" s="242">
        <v>0.6</v>
      </c>
      <c r="P58" s="242">
        <v>0.6</v>
      </c>
      <c r="Q58" s="136">
        <f t="shared" si="0"/>
        <v>0.6</v>
      </c>
      <c r="R58" s="242">
        <v>17.2</v>
      </c>
      <c r="S58" s="242">
        <v>110</v>
      </c>
      <c r="T58" s="137">
        <f t="shared" si="1"/>
        <v>33</v>
      </c>
      <c r="U58" s="242">
        <v>298</v>
      </c>
      <c r="V58" s="138">
        <f t="shared" si="2"/>
        <v>2458.5</v>
      </c>
      <c r="W58" s="242">
        <v>20</v>
      </c>
      <c r="X58" s="134" t="s">
        <v>46</v>
      </c>
      <c r="Y58" s="242" t="s">
        <v>90</v>
      </c>
      <c r="Z58" s="242" t="s">
        <v>69</v>
      </c>
      <c r="AA58" s="242" t="s">
        <v>50</v>
      </c>
      <c r="AB58" s="134" t="s">
        <v>387</v>
      </c>
      <c r="AC58" s="242"/>
    </row>
    <row r="59" spans="1:29" x14ac:dyDescent="0.15">
      <c r="A59" s="134" t="s">
        <v>61</v>
      </c>
      <c r="B59" s="134" t="s">
        <v>385</v>
      </c>
      <c r="C59" s="134">
        <v>2018</v>
      </c>
      <c r="D59" s="135" t="s">
        <v>386</v>
      </c>
      <c r="E59" s="134" t="s">
        <v>257</v>
      </c>
      <c r="F59" s="134" t="s">
        <v>258</v>
      </c>
      <c r="G59" s="134" t="s">
        <v>42</v>
      </c>
      <c r="H59" s="242" t="s">
        <v>166</v>
      </c>
      <c r="I59" s="242" t="s">
        <v>153</v>
      </c>
      <c r="J59" s="134" t="s">
        <v>38</v>
      </c>
      <c r="K59" s="242" t="s">
        <v>154</v>
      </c>
      <c r="L59" s="242">
        <v>1</v>
      </c>
      <c r="M59" s="242"/>
      <c r="N59" s="242">
        <v>1</v>
      </c>
      <c r="O59" s="242">
        <v>0.55000000000000004</v>
      </c>
      <c r="P59" s="242">
        <v>0.5</v>
      </c>
      <c r="Q59" s="136">
        <f t="shared" si="0"/>
        <v>0.52500000000000002</v>
      </c>
      <c r="R59" s="242">
        <v>17.7</v>
      </c>
      <c r="S59" s="242">
        <v>134</v>
      </c>
      <c r="T59" s="137">
        <f t="shared" si="1"/>
        <v>25</v>
      </c>
      <c r="U59" s="242">
        <v>158</v>
      </c>
      <c r="V59" s="138">
        <f t="shared" si="2"/>
        <v>3950</v>
      </c>
      <c r="W59" s="242">
        <v>20</v>
      </c>
      <c r="X59" s="134" t="s">
        <v>46</v>
      </c>
      <c r="Y59" s="242" t="s">
        <v>90</v>
      </c>
      <c r="Z59" s="242" t="s">
        <v>69</v>
      </c>
      <c r="AA59" s="242" t="s">
        <v>50</v>
      </c>
      <c r="AB59" s="134" t="s">
        <v>387</v>
      </c>
      <c r="AC59" s="139"/>
    </row>
    <row r="60" spans="1:29" x14ac:dyDescent="0.15">
      <c r="A60" s="134" t="s">
        <v>61</v>
      </c>
      <c r="B60" s="134" t="s">
        <v>385</v>
      </c>
      <c r="C60" s="134">
        <v>2018</v>
      </c>
      <c r="D60" s="135" t="s">
        <v>386</v>
      </c>
      <c r="E60" s="134" t="s">
        <v>257</v>
      </c>
      <c r="F60" s="134" t="s">
        <v>258</v>
      </c>
      <c r="G60" s="134" t="s">
        <v>42</v>
      </c>
      <c r="H60" s="242" t="s">
        <v>166</v>
      </c>
      <c r="I60" s="242" t="s">
        <v>153</v>
      </c>
      <c r="J60" s="134" t="s">
        <v>38</v>
      </c>
      <c r="K60" s="242" t="s">
        <v>154</v>
      </c>
      <c r="L60" s="242">
        <v>2</v>
      </c>
      <c r="M60" s="242"/>
      <c r="N60" s="242">
        <v>1</v>
      </c>
      <c r="O60" s="242">
        <v>0.5</v>
      </c>
      <c r="P60" s="242">
        <v>0.5</v>
      </c>
      <c r="Q60" s="136">
        <f t="shared" si="0"/>
        <v>0.5</v>
      </c>
      <c r="R60" s="242">
        <v>17.5</v>
      </c>
      <c r="S60" s="242">
        <v>132</v>
      </c>
      <c r="T60" s="137">
        <f t="shared" si="1"/>
        <v>25</v>
      </c>
      <c r="U60" s="242">
        <v>158</v>
      </c>
      <c r="V60" s="138">
        <f t="shared" si="2"/>
        <v>3950</v>
      </c>
      <c r="W60" s="242">
        <v>20</v>
      </c>
      <c r="X60" s="134" t="s">
        <v>46</v>
      </c>
      <c r="Y60" s="242" t="s">
        <v>90</v>
      </c>
      <c r="Z60" s="242" t="s">
        <v>69</v>
      </c>
      <c r="AA60" s="242" t="s">
        <v>50</v>
      </c>
      <c r="AB60" s="134" t="s">
        <v>387</v>
      </c>
      <c r="AC60" s="139"/>
    </row>
    <row r="61" spans="1:29" x14ac:dyDescent="0.15">
      <c r="A61" s="134" t="s">
        <v>61</v>
      </c>
      <c r="B61" s="134" t="s">
        <v>385</v>
      </c>
      <c r="C61" s="134">
        <v>2018</v>
      </c>
      <c r="D61" s="135" t="s">
        <v>386</v>
      </c>
      <c r="E61" s="134" t="s">
        <v>257</v>
      </c>
      <c r="F61" s="134" t="s">
        <v>258</v>
      </c>
      <c r="G61" s="134" t="s">
        <v>42</v>
      </c>
      <c r="H61" s="242" t="s">
        <v>166</v>
      </c>
      <c r="I61" s="242" t="s">
        <v>153</v>
      </c>
      <c r="J61" s="134" t="s">
        <v>38</v>
      </c>
      <c r="K61" s="242" t="s">
        <v>154</v>
      </c>
      <c r="L61" s="242">
        <v>3</v>
      </c>
      <c r="M61" s="242"/>
      <c r="N61" s="242">
        <v>1</v>
      </c>
      <c r="O61" s="242">
        <v>0.55000000000000004</v>
      </c>
      <c r="P61" s="242">
        <v>0.6</v>
      </c>
      <c r="Q61" s="136">
        <f t="shared" si="0"/>
        <v>0.57499999999999996</v>
      </c>
      <c r="R61" s="242">
        <v>17.5</v>
      </c>
      <c r="S61" s="242">
        <v>130</v>
      </c>
      <c r="T61" s="137">
        <f t="shared" si="1"/>
        <v>25</v>
      </c>
      <c r="U61" s="242">
        <v>158</v>
      </c>
      <c r="V61" s="138">
        <f t="shared" si="2"/>
        <v>3950</v>
      </c>
      <c r="W61" s="242">
        <v>20</v>
      </c>
      <c r="X61" s="134" t="s">
        <v>46</v>
      </c>
      <c r="Y61" s="242" t="s">
        <v>90</v>
      </c>
      <c r="Z61" s="242" t="s">
        <v>69</v>
      </c>
      <c r="AA61" s="242" t="s">
        <v>50</v>
      </c>
      <c r="AB61" s="134" t="s">
        <v>387</v>
      </c>
      <c r="AC61" s="139"/>
    </row>
    <row r="62" spans="1:29" x14ac:dyDescent="0.15">
      <c r="A62" s="134" t="s">
        <v>61</v>
      </c>
      <c r="B62" s="134" t="s">
        <v>385</v>
      </c>
      <c r="C62" s="134">
        <v>2018</v>
      </c>
      <c r="D62" s="135" t="s">
        <v>386</v>
      </c>
      <c r="E62" s="134" t="s">
        <v>259</v>
      </c>
      <c r="F62" s="134" t="s">
        <v>258</v>
      </c>
      <c r="G62" s="134" t="s">
        <v>42</v>
      </c>
      <c r="H62" s="242" t="s">
        <v>155</v>
      </c>
      <c r="I62" s="242" t="s">
        <v>153</v>
      </c>
      <c r="J62" s="134" t="s">
        <v>38</v>
      </c>
      <c r="K62" s="242" t="s">
        <v>154</v>
      </c>
      <c r="L62" s="242">
        <v>1</v>
      </c>
      <c r="M62" s="242"/>
      <c r="N62" s="242">
        <v>4</v>
      </c>
      <c r="O62" s="242">
        <v>0.5</v>
      </c>
      <c r="P62" s="242">
        <v>0.5</v>
      </c>
      <c r="Q62" s="136">
        <f t="shared" si="0"/>
        <v>0.5</v>
      </c>
      <c r="R62" s="242">
        <v>17.3</v>
      </c>
      <c r="S62" s="242">
        <v>98</v>
      </c>
      <c r="T62" s="137">
        <f t="shared" si="1"/>
        <v>36</v>
      </c>
      <c r="U62" s="242">
        <v>300</v>
      </c>
      <c r="V62" s="138">
        <f t="shared" si="2"/>
        <v>2700</v>
      </c>
      <c r="W62" s="242">
        <v>10</v>
      </c>
      <c r="X62" s="134" t="s">
        <v>46</v>
      </c>
      <c r="Y62" s="242" t="s">
        <v>90</v>
      </c>
      <c r="Z62" s="242" t="s">
        <v>84</v>
      </c>
      <c r="AA62" s="242" t="s">
        <v>78</v>
      </c>
      <c r="AB62" s="134" t="s">
        <v>387</v>
      </c>
      <c r="AC62" s="139"/>
    </row>
    <row r="63" spans="1:29" x14ac:dyDescent="0.15">
      <c r="A63" s="134" t="s">
        <v>61</v>
      </c>
      <c r="B63" s="134" t="s">
        <v>385</v>
      </c>
      <c r="C63" s="134">
        <v>2018</v>
      </c>
      <c r="D63" s="135" t="s">
        <v>386</v>
      </c>
      <c r="E63" s="134" t="s">
        <v>259</v>
      </c>
      <c r="F63" s="134" t="s">
        <v>258</v>
      </c>
      <c r="G63" s="134" t="s">
        <v>42</v>
      </c>
      <c r="H63" s="242" t="s">
        <v>155</v>
      </c>
      <c r="I63" s="242" t="s">
        <v>153</v>
      </c>
      <c r="J63" s="134" t="s">
        <v>38</v>
      </c>
      <c r="K63" s="242" t="s">
        <v>154</v>
      </c>
      <c r="L63" s="242">
        <v>2</v>
      </c>
      <c r="M63" s="242"/>
      <c r="N63" s="242">
        <v>4</v>
      </c>
      <c r="O63" s="242">
        <v>0.5</v>
      </c>
      <c r="P63" s="242">
        <v>0.5</v>
      </c>
      <c r="Q63" s="136">
        <f t="shared" si="0"/>
        <v>0.5</v>
      </c>
      <c r="R63" s="242">
        <v>17.399999999999999</v>
      </c>
      <c r="S63" s="242">
        <v>95</v>
      </c>
      <c r="T63" s="137">
        <f t="shared" si="1"/>
        <v>36</v>
      </c>
      <c r="U63" s="242">
        <v>300</v>
      </c>
      <c r="V63" s="138">
        <f t="shared" si="2"/>
        <v>2700</v>
      </c>
      <c r="W63" s="242">
        <v>10</v>
      </c>
      <c r="X63" s="134" t="s">
        <v>46</v>
      </c>
      <c r="Y63" s="242" t="s">
        <v>90</v>
      </c>
      <c r="Z63" s="242" t="s">
        <v>84</v>
      </c>
      <c r="AA63" s="242" t="s">
        <v>78</v>
      </c>
      <c r="AB63" s="134" t="s">
        <v>387</v>
      </c>
      <c r="AC63" s="139"/>
    </row>
    <row r="64" spans="1:29" x14ac:dyDescent="0.15">
      <c r="A64" s="134" t="s">
        <v>61</v>
      </c>
      <c r="B64" s="134" t="s">
        <v>385</v>
      </c>
      <c r="C64" s="134">
        <v>2018</v>
      </c>
      <c r="D64" s="135" t="s">
        <v>386</v>
      </c>
      <c r="E64" s="134" t="s">
        <v>259</v>
      </c>
      <c r="F64" s="134" t="s">
        <v>258</v>
      </c>
      <c r="G64" s="134" t="s">
        <v>42</v>
      </c>
      <c r="H64" s="242" t="s">
        <v>155</v>
      </c>
      <c r="I64" s="242" t="s">
        <v>153</v>
      </c>
      <c r="J64" s="134" t="s">
        <v>38</v>
      </c>
      <c r="K64" s="242" t="s">
        <v>154</v>
      </c>
      <c r="L64" s="242">
        <v>3</v>
      </c>
      <c r="M64" s="242"/>
      <c r="N64" s="242">
        <v>4</v>
      </c>
      <c r="O64" s="242">
        <v>0.6</v>
      </c>
      <c r="P64" s="242">
        <v>0.65</v>
      </c>
      <c r="Q64" s="136">
        <f t="shared" si="0"/>
        <v>0.625</v>
      </c>
      <c r="R64" s="242">
        <v>16.8</v>
      </c>
      <c r="S64" s="242">
        <v>100</v>
      </c>
      <c r="T64" s="137">
        <f t="shared" si="1"/>
        <v>33</v>
      </c>
      <c r="U64" s="242">
        <v>300</v>
      </c>
      <c r="V64" s="138">
        <f t="shared" si="2"/>
        <v>2475</v>
      </c>
      <c r="W64" s="242">
        <v>10</v>
      </c>
      <c r="X64" s="134" t="s">
        <v>46</v>
      </c>
      <c r="Y64" s="242" t="s">
        <v>90</v>
      </c>
      <c r="Z64" s="242" t="s">
        <v>84</v>
      </c>
      <c r="AA64" s="242" t="s">
        <v>78</v>
      </c>
      <c r="AB64" s="134" t="s">
        <v>387</v>
      </c>
      <c r="AC64" s="139"/>
    </row>
    <row r="65" spans="1:29" x14ac:dyDescent="0.15">
      <c r="A65" s="134"/>
      <c r="B65" s="134"/>
      <c r="C65" s="134"/>
      <c r="D65" s="135"/>
      <c r="E65" s="134"/>
      <c r="F65" s="134"/>
      <c r="G65" s="134"/>
      <c r="H65" s="242"/>
      <c r="I65" s="242"/>
      <c r="J65" s="134"/>
      <c r="K65" s="242"/>
      <c r="L65" s="242"/>
      <c r="M65" s="242"/>
      <c r="N65" s="242"/>
      <c r="O65" s="242"/>
      <c r="P65" s="242"/>
      <c r="Q65" s="136" t="str">
        <f t="shared" si="0"/>
        <v/>
      </c>
      <c r="R65" s="242"/>
      <c r="S65" s="242"/>
      <c r="T65" s="137" t="str">
        <f t="shared" si="1"/>
        <v/>
      </c>
      <c r="U65" s="242"/>
      <c r="V65" s="138" t="str">
        <f t="shared" si="2"/>
        <v/>
      </c>
      <c r="W65" s="242"/>
      <c r="X65" s="134"/>
      <c r="Y65" s="242"/>
      <c r="Z65" s="242"/>
      <c r="AA65" s="242"/>
      <c r="AB65" s="134"/>
      <c r="AC65" s="139"/>
    </row>
    <row r="66" spans="1:29" x14ac:dyDescent="0.15">
      <c r="A66" s="134"/>
      <c r="B66" s="134"/>
      <c r="C66" s="134"/>
      <c r="D66" s="135"/>
      <c r="E66" s="134"/>
      <c r="F66" s="134"/>
      <c r="G66" s="134"/>
      <c r="H66" s="242"/>
      <c r="I66" s="242"/>
      <c r="J66" s="134"/>
      <c r="K66" s="242"/>
      <c r="L66" s="242"/>
      <c r="M66" s="242"/>
      <c r="N66" s="242"/>
      <c r="O66" s="242"/>
      <c r="P66" s="242"/>
      <c r="Q66" s="136" t="str">
        <f t="shared" ref="Q66:Q99" si="3">IF(OR(O66="",P66=""),"",AVERAGE(O66,P66))</f>
        <v/>
      </c>
      <c r="R66" s="242"/>
      <c r="S66" s="242"/>
      <c r="T66" s="137" t="str">
        <f t="shared" ref="T66:T99" si="4">IF(H66="","",IF(OR(H66="GREEN",H66="GK"),IF(S66&gt;=$AX$2,VLOOKUP(S66,$AX$2:$AY$15,2,1),""),IF(S66&gt;=$AZ$2,VLOOKUP(S66,$AZ$2:$BA$15,2,1),"")))</f>
        <v/>
      </c>
      <c r="U66" s="242"/>
      <c r="V66" s="138" t="str">
        <f t="shared" ref="V66:V99" si="5">IF(OR(N66="",U66="",T66=""),"",U66/N66*T66)</f>
        <v/>
      </c>
      <c r="W66" s="242"/>
      <c r="X66" s="134"/>
      <c r="Y66" s="242"/>
      <c r="Z66" s="242"/>
      <c r="AA66" s="242"/>
      <c r="AB66" s="134"/>
      <c r="AC66" s="139"/>
    </row>
    <row r="67" spans="1:29" x14ac:dyDescent="0.15">
      <c r="A67" s="134"/>
      <c r="B67" s="134"/>
      <c r="C67" s="134"/>
      <c r="D67" s="135"/>
      <c r="E67" s="134"/>
      <c r="F67" s="134"/>
      <c r="G67" s="134"/>
      <c r="H67" s="242"/>
      <c r="I67" s="242"/>
      <c r="J67" s="134"/>
      <c r="K67" s="242"/>
      <c r="L67" s="242"/>
      <c r="M67" s="242"/>
      <c r="N67" s="242"/>
      <c r="O67" s="242"/>
      <c r="P67" s="242"/>
      <c r="Q67" s="136" t="str">
        <f t="shared" si="3"/>
        <v/>
      </c>
      <c r="R67" s="242"/>
      <c r="S67" s="242"/>
      <c r="T67" s="137" t="str">
        <f t="shared" si="4"/>
        <v/>
      </c>
      <c r="U67" s="242"/>
      <c r="V67" s="138" t="str">
        <f t="shared" si="5"/>
        <v/>
      </c>
      <c r="W67" s="242"/>
      <c r="X67" s="134"/>
      <c r="Y67" s="242"/>
      <c r="Z67" s="242"/>
      <c r="AA67" s="242"/>
      <c r="AB67" s="134"/>
      <c r="AC67" s="139"/>
    </row>
    <row r="68" spans="1:29" x14ac:dyDescent="0.15">
      <c r="A68" s="134"/>
      <c r="B68" s="134"/>
      <c r="C68" s="134"/>
      <c r="D68" s="135"/>
      <c r="E68" s="134"/>
      <c r="F68" s="134"/>
      <c r="G68" s="134"/>
      <c r="H68" s="242"/>
      <c r="I68" s="242"/>
      <c r="J68" s="134"/>
      <c r="K68" s="242"/>
      <c r="L68" s="242"/>
      <c r="M68" s="242"/>
      <c r="N68" s="242"/>
      <c r="O68" s="242"/>
      <c r="P68" s="242"/>
      <c r="Q68" s="136"/>
      <c r="R68" s="242"/>
      <c r="S68" s="242"/>
      <c r="T68" s="137"/>
      <c r="U68" s="242"/>
      <c r="V68" s="138"/>
      <c r="W68" s="242"/>
      <c r="X68" s="134"/>
      <c r="Y68" s="242"/>
      <c r="Z68" s="242"/>
      <c r="AA68" s="242"/>
      <c r="AB68" s="134"/>
      <c r="AC68" s="242"/>
    </row>
    <row r="69" spans="1:29" x14ac:dyDescent="0.15">
      <c r="A69" s="134"/>
      <c r="B69" s="134"/>
      <c r="C69" s="134"/>
      <c r="D69" s="135"/>
      <c r="E69" s="134"/>
      <c r="F69" s="134"/>
      <c r="G69" s="134"/>
      <c r="H69" s="242"/>
      <c r="I69" s="242"/>
      <c r="J69" s="134"/>
      <c r="K69" s="242"/>
      <c r="L69" s="242"/>
      <c r="M69" s="242"/>
      <c r="N69" s="242"/>
      <c r="O69" s="242"/>
      <c r="P69" s="242"/>
      <c r="Q69" s="136"/>
      <c r="R69" s="242"/>
      <c r="S69" s="242"/>
      <c r="T69" s="137"/>
      <c r="U69" s="242"/>
      <c r="V69" s="138"/>
      <c r="W69" s="242"/>
      <c r="X69" s="134"/>
      <c r="Y69" s="242"/>
      <c r="Z69" s="242"/>
      <c r="AA69" s="242"/>
      <c r="AB69" s="134"/>
      <c r="AC69" s="242"/>
    </row>
    <row r="70" spans="1:29" x14ac:dyDescent="0.15">
      <c r="A70" s="134"/>
      <c r="B70" s="134"/>
      <c r="C70" s="134"/>
      <c r="D70" s="135"/>
      <c r="E70" s="134"/>
      <c r="F70" s="134"/>
      <c r="G70" s="134"/>
      <c r="H70" s="242"/>
      <c r="I70" s="242"/>
      <c r="J70" s="134"/>
      <c r="K70" s="242"/>
      <c r="L70" s="242"/>
      <c r="M70" s="242"/>
      <c r="N70" s="242"/>
      <c r="O70" s="242"/>
      <c r="P70" s="242"/>
      <c r="Q70" s="136"/>
      <c r="R70" s="242"/>
      <c r="S70" s="242"/>
      <c r="T70" s="137"/>
      <c r="U70" s="242"/>
      <c r="V70" s="138"/>
      <c r="W70" s="242"/>
      <c r="X70" s="134"/>
      <c r="Y70" s="242"/>
      <c r="Z70" s="242"/>
      <c r="AA70" s="242"/>
      <c r="AB70" s="134"/>
      <c r="AC70" s="242"/>
    </row>
    <row r="71" spans="1:29" x14ac:dyDescent="0.15">
      <c r="A71" s="134"/>
      <c r="B71" s="134"/>
      <c r="C71" s="134"/>
      <c r="D71" s="135"/>
      <c r="E71" s="134"/>
      <c r="F71" s="134"/>
      <c r="G71" s="134"/>
      <c r="H71" s="242"/>
      <c r="I71" s="242"/>
      <c r="J71" s="134"/>
      <c r="K71" s="242"/>
      <c r="L71" s="242"/>
      <c r="M71" s="242"/>
      <c r="N71" s="242"/>
      <c r="O71" s="242"/>
      <c r="P71" s="242"/>
      <c r="Q71" s="136"/>
      <c r="R71" s="242"/>
      <c r="S71" s="242"/>
      <c r="T71" s="137"/>
      <c r="U71" s="242"/>
      <c r="V71" s="138"/>
      <c r="W71" s="242"/>
      <c r="X71" s="134"/>
      <c r="Y71" s="242"/>
      <c r="Z71" s="242"/>
      <c r="AA71" s="242"/>
      <c r="AB71" s="134"/>
      <c r="AC71" s="242"/>
    </row>
    <row r="72" spans="1:29" x14ac:dyDescent="0.15">
      <c r="A72" s="134"/>
      <c r="B72" s="134"/>
      <c r="C72" s="134"/>
      <c r="D72" s="135"/>
      <c r="E72" s="134"/>
      <c r="F72" s="134"/>
      <c r="G72" s="134"/>
      <c r="H72" s="242"/>
      <c r="I72" s="242"/>
      <c r="J72" s="134"/>
      <c r="K72" s="242"/>
      <c r="L72" s="242"/>
      <c r="M72" s="242"/>
      <c r="N72" s="242"/>
      <c r="O72" s="242"/>
      <c r="P72" s="242"/>
      <c r="Q72" s="136"/>
      <c r="R72" s="242"/>
      <c r="S72" s="242"/>
      <c r="T72" s="137"/>
      <c r="U72" s="242"/>
      <c r="V72" s="138"/>
      <c r="W72" s="242"/>
      <c r="X72" s="134"/>
      <c r="Y72" s="242"/>
      <c r="Z72" s="242"/>
      <c r="AA72" s="242"/>
      <c r="AB72" s="134"/>
      <c r="AC72" s="242"/>
    </row>
    <row r="73" spans="1:29" x14ac:dyDescent="0.15">
      <c r="A73" s="134"/>
      <c r="B73" s="134"/>
      <c r="C73" s="134"/>
      <c r="D73" s="135"/>
      <c r="E73" s="134"/>
      <c r="F73" s="134"/>
      <c r="G73" s="134"/>
      <c r="H73" s="242"/>
      <c r="I73" s="242"/>
      <c r="J73" s="134"/>
      <c r="K73" s="242"/>
      <c r="L73" s="242"/>
      <c r="M73" s="242"/>
      <c r="N73" s="242"/>
      <c r="O73" s="242"/>
      <c r="P73" s="242"/>
      <c r="Q73" s="136"/>
      <c r="R73" s="242"/>
      <c r="S73" s="242"/>
      <c r="T73" s="137"/>
      <c r="U73" s="242"/>
      <c r="V73" s="138"/>
      <c r="W73" s="242"/>
      <c r="X73" s="134"/>
      <c r="Y73" s="242"/>
      <c r="Z73" s="242"/>
      <c r="AA73" s="242"/>
      <c r="AB73" s="134"/>
      <c r="AC73" s="242"/>
    </row>
    <row r="74" spans="1:29" x14ac:dyDescent="0.15">
      <c r="A74" s="134"/>
      <c r="B74" s="134"/>
      <c r="C74" s="134"/>
      <c r="D74" s="135"/>
      <c r="E74" s="134"/>
      <c r="F74" s="134"/>
      <c r="G74" s="134"/>
      <c r="H74" s="242"/>
      <c r="I74" s="242"/>
      <c r="J74" s="134"/>
      <c r="K74" s="242"/>
      <c r="L74" s="242"/>
      <c r="M74" s="242"/>
      <c r="N74" s="242"/>
      <c r="O74" s="242"/>
      <c r="P74" s="242"/>
      <c r="Q74" s="136"/>
      <c r="R74" s="242"/>
      <c r="S74" s="242"/>
      <c r="T74" s="137"/>
      <c r="U74" s="242"/>
      <c r="V74" s="138"/>
      <c r="W74" s="242"/>
      <c r="X74" s="134"/>
      <c r="Y74" s="242"/>
      <c r="Z74" s="242"/>
      <c r="AA74" s="242"/>
      <c r="AB74" s="134"/>
      <c r="AC74" s="242"/>
    </row>
    <row r="75" spans="1:29" x14ac:dyDescent="0.15">
      <c r="A75" s="134"/>
      <c r="B75" s="134"/>
      <c r="C75" s="134"/>
      <c r="D75" s="135"/>
      <c r="E75" s="134"/>
      <c r="F75" s="134"/>
      <c r="G75" s="134"/>
      <c r="H75" s="242"/>
      <c r="I75" s="242"/>
      <c r="J75" s="134"/>
      <c r="K75" s="242"/>
      <c r="L75" s="242"/>
      <c r="M75" s="242"/>
      <c r="N75" s="242"/>
      <c r="O75" s="242"/>
      <c r="P75" s="242"/>
      <c r="Q75" s="136"/>
      <c r="R75" s="242"/>
      <c r="S75" s="242"/>
      <c r="T75" s="137"/>
      <c r="U75" s="242"/>
      <c r="V75" s="138"/>
      <c r="W75" s="242"/>
      <c r="X75" s="134"/>
      <c r="Y75" s="242"/>
      <c r="Z75" s="242"/>
      <c r="AA75" s="242"/>
      <c r="AB75" s="134"/>
      <c r="AC75" s="242"/>
    </row>
    <row r="76" spans="1:29" x14ac:dyDescent="0.15">
      <c r="A76" s="134"/>
      <c r="B76" s="134"/>
      <c r="C76" s="134"/>
      <c r="D76" s="135"/>
      <c r="E76" s="134"/>
      <c r="F76" s="134"/>
      <c r="G76" s="134"/>
      <c r="H76" s="242"/>
      <c r="I76" s="242"/>
      <c r="J76" s="134"/>
      <c r="K76" s="242"/>
      <c r="L76" s="242"/>
      <c r="M76" s="242"/>
      <c r="N76" s="242"/>
      <c r="O76" s="242"/>
      <c r="P76" s="242"/>
      <c r="Q76" s="136"/>
      <c r="R76" s="242"/>
      <c r="S76" s="242"/>
      <c r="T76" s="137"/>
      <c r="U76" s="242"/>
      <c r="V76" s="138"/>
      <c r="W76" s="242"/>
      <c r="X76" s="134"/>
      <c r="Y76" s="242"/>
      <c r="Z76" s="242"/>
      <c r="AA76" s="242"/>
      <c r="AB76" s="134"/>
      <c r="AC76" s="242"/>
    </row>
    <row r="77" spans="1:29" x14ac:dyDescent="0.15">
      <c r="A77" s="134"/>
      <c r="B77" s="134"/>
      <c r="C77" s="134"/>
      <c r="D77" s="135"/>
      <c r="E77" s="134"/>
      <c r="F77" s="134"/>
      <c r="G77" s="134"/>
      <c r="H77" s="242"/>
      <c r="I77" s="242"/>
      <c r="J77" s="134"/>
      <c r="K77" s="242"/>
      <c r="L77" s="242"/>
      <c r="M77" s="242"/>
      <c r="N77" s="242"/>
      <c r="O77" s="242"/>
      <c r="P77" s="242"/>
      <c r="Q77" s="136"/>
      <c r="R77" s="242"/>
      <c r="S77" s="242"/>
      <c r="T77" s="137"/>
      <c r="U77" s="242"/>
      <c r="V77" s="138"/>
      <c r="W77" s="242"/>
      <c r="X77" s="134"/>
      <c r="Y77" s="242"/>
      <c r="Z77" s="242"/>
      <c r="AA77" s="242"/>
      <c r="AB77" s="134"/>
      <c r="AC77" s="242"/>
    </row>
    <row r="78" spans="1:29" x14ac:dyDescent="0.15">
      <c r="A78" s="134"/>
      <c r="B78" s="134"/>
      <c r="C78" s="134"/>
      <c r="D78" s="135"/>
      <c r="E78" s="134"/>
      <c r="F78" s="134"/>
      <c r="G78" s="134"/>
      <c r="H78" s="242"/>
      <c r="I78" s="242"/>
      <c r="J78" s="134"/>
      <c r="K78" s="242"/>
      <c r="L78" s="242"/>
      <c r="M78" s="242"/>
      <c r="N78" s="242"/>
      <c r="O78" s="242"/>
      <c r="P78" s="242"/>
      <c r="Q78" s="136"/>
      <c r="R78" s="242"/>
      <c r="S78" s="242"/>
      <c r="T78" s="137"/>
      <c r="U78" s="242"/>
      <c r="V78" s="138"/>
      <c r="W78" s="242"/>
      <c r="X78" s="134"/>
      <c r="Y78" s="242"/>
      <c r="Z78" s="242"/>
      <c r="AA78" s="242"/>
      <c r="AB78" s="134"/>
      <c r="AC78" s="242"/>
    </row>
    <row r="79" spans="1:29" x14ac:dyDescent="0.15">
      <c r="A79" s="134"/>
      <c r="B79" s="134"/>
      <c r="C79" s="134"/>
      <c r="D79" s="135"/>
      <c r="E79" s="134"/>
      <c r="F79" s="134"/>
      <c r="G79" s="134"/>
      <c r="H79" s="242"/>
      <c r="I79" s="242"/>
      <c r="J79" s="134"/>
      <c r="K79" s="242"/>
      <c r="L79" s="242"/>
      <c r="M79" s="242"/>
      <c r="N79" s="242"/>
      <c r="O79" s="242"/>
      <c r="P79" s="242"/>
      <c r="Q79" s="136"/>
      <c r="R79" s="242"/>
      <c r="S79" s="242"/>
      <c r="T79" s="137"/>
      <c r="U79" s="242"/>
      <c r="V79" s="138"/>
      <c r="W79" s="242"/>
      <c r="X79" s="134"/>
      <c r="Y79" s="242"/>
      <c r="Z79" s="242"/>
      <c r="AA79" s="242"/>
      <c r="AB79" s="134"/>
      <c r="AC79" s="242"/>
    </row>
    <row r="80" spans="1:29" x14ac:dyDescent="0.15">
      <c r="A80" s="134"/>
      <c r="B80" s="134"/>
      <c r="C80" s="134"/>
      <c r="D80" s="135"/>
      <c r="E80" s="134"/>
      <c r="F80" s="134"/>
      <c r="G80" s="134"/>
      <c r="H80" s="242"/>
      <c r="I80" s="242"/>
      <c r="J80" s="134"/>
      <c r="K80" s="242"/>
      <c r="L80" s="242"/>
      <c r="M80" s="242"/>
      <c r="N80" s="242"/>
      <c r="O80" s="242"/>
      <c r="P80" s="242"/>
      <c r="Q80" s="136"/>
      <c r="R80" s="242"/>
      <c r="S80" s="242"/>
      <c r="T80" s="137"/>
      <c r="U80" s="242"/>
      <c r="V80" s="138"/>
      <c r="W80" s="242"/>
      <c r="X80" s="134"/>
      <c r="Y80" s="242"/>
      <c r="Z80" s="242"/>
      <c r="AA80" s="242"/>
      <c r="AB80" s="134"/>
      <c r="AC80" s="242"/>
    </row>
    <row r="81" spans="1:29" x14ac:dyDescent="0.15">
      <c r="A81" s="134"/>
      <c r="B81" s="134"/>
      <c r="C81" s="134"/>
      <c r="D81" s="135"/>
      <c r="E81" s="134"/>
      <c r="F81" s="134"/>
      <c r="G81" s="134"/>
      <c r="H81" s="242"/>
      <c r="I81" s="242"/>
      <c r="J81" s="134"/>
      <c r="K81" s="242"/>
      <c r="L81" s="242"/>
      <c r="M81" s="242"/>
      <c r="N81" s="242"/>
      <c r="O81" s="242"/>
      <c r="P81" s="242"/>
      <c r="Q81" s="136"/>
      <c r="R81" s="242"/>
      <c r="S81" s="242"/>
      <c r="T81" s="137"/>
      <c r="U81" s="242"/>
      <c r="V81" s="138"/>
      <c r="W81" s="242"/>
      <c r="X81" s="134"/>
      <c r="Y81" s="242"/>
      <c r="Z81" s="242"/>
      <c r="AA81" s="242"/>
      <c r="AB81" s="134"/>
      <c r="AC81" s="242"/>
    </row>
    <row r="82" spans="1:29" x14ac:dyDescent="0.15">
      <c r="A82" s="134"/>
      <c r="B82" s="134"/>
      <c r="C82" s="134"/>
      <c r="D82" s="135"/>
      <c r="E82" s="134"/>
      <c r="F82" s="134"/>
      <c r="G82" s="134"/>
      <c r="H82" s="242"/>
      <c r="I82" s="242"/>
      <c r="J82" s="134"/>
      <c r="K82" s="242"/>
      <c r="L82" s="242"/>
      <c r="M82" s="242"/>
      <c r="N82" s="242"/>
      <c r="O82" s="242"/>
      <c r="P82" s="242"/>
      <c r="Q82" s="136"/>
      <c r="R82" s="242"/>
      <c r="S82" s="242"/>
      <c r="T82" s="137"/>
      <c r="U82" s="242"/>
      <c r="V82" s="138"/>
      <c r="W82" s="242"/>
      <c r="X82" s="134"/>
      <c r="Y82" s="242"/>
      <c r="Z82" s="242"/>
      <c r="AA82" s="242"/>
      <c r="AB82" s="134"/>
      <c r="AC82" s="242"/>
    </row>
    <row r="83" spans="1:29" x14ac:dyDescent="0.15">
      <c r="A83" s="134"/>
      <c r="B83" s="134"/>
      <c r="C83" s="134"/>
      <c r="D83" s="135"/>
      <c r="E83" s="242"/>
      <c r="F83" s="242"/>
      <c r="G83" s="134"/>
      <c r="H83" s="242"/>
      <c r="I83" s="242"/>
      <c r="J83" s="134"/>
      <c r="K83" s="242"/>
      <c r="L83" s="242"/>
      <c r="M83" s="242"/>
      <c r="N83" s="242"/>
      <c r="O83" s="242"/>
      <c r="P83" s="242"/>
      <c r="Q83" s="136"/>
      <c r="R83" s="242"/>
      <c r="S83" s="242"/>
      <c r="T83" s="137"/>
      <c r="U83" s="242"/>
      <c r="V83" s="138"/>
      <c r="W83" s="242"/>
      <c r="X83" s="134"/>
      <c r="Y83" s="242"/>
      <c r="Z83" s="242"/>
      <c r="AA83" s="242"/>
      <c r="AB83" s="134"/>
      <c r="AC83" s="242"/>
    </row>
    <row r="84" spans="1:29" x14ac:dyDescent="0.15">
      <c r="A84" s="134"/>
      <c r="B84" s="134"/>
      <c r="C84" s="134"/>
      <c r="D84" s="135"/>
      <c r="E84" s="242"/>
      <c r="F84" s="242"/>
      <c r="G84" s="134"/>
      <c r="H84" s="242"/>
      <c r="I84" s="242"/>
      <c r="J84" s="134"/>
      <c r="K84" s="242"/>
      <c r="L84" s="242"/>
      <c r="M84" s="242"/>
      <c r="N84" s="242"/>
      <c r="O84" s="242"/>
      <c r="P84" s="242"/>
      <c r="Q84" s="136"/>
      <c r="R84" s="242"/>
      <c r="S84" s="242"/>
      <c r="T84" s="137"/>
      <c r="U84" s="242"/>
      <c r="V84" s="138"/>
      <c r="W84" s="242"/>
      <c r="X84" s="134"/>
      <c r="Y84" s="242"/>
      <c r="Z84" s="242"/>
      <c r="AA84" s="242"/>
      <c r="AB84" s="134"/>
      <c r="AC84" s="242"/>
    </row>
    <row r="85" spans="1:29" x14ac:dyDescent="0.15">
      <c r="A85" s="134"/>
      <c r="B85" s="134"/>
      <c r="C85" s="134"/>
      <c r="D85" s="135"/>
      <c r="E85" s="242"/>
      <c r="F85" s="242"/>
      <c r="G85" s="134"/>
      <c r="H85" s="242"/>
      <c r="I85" s="242"/>
      <c r="J85" s="134"/>
      <c r="K85" s="242"/>
      <c r="L85" s="242"/>
      <c r="M85" s="242"/>
      <c r="N85" s="242"/>
      <c r="O85" s="242"/>
      <c r="P85" s="242"/>
      <c r="Q85" s="136"/>
      <c r="R85" s="242"/>
      <c r="S85" s="242"/>
      <c r="T85" s="137"/>
      <c r="U85" s="242"/>
      <c r="V85" s="138"/>
      <c r="W85" s="242"/>
      <c r="X85" s="134"/>
      <c r="Y85" s="242"/>
      <c r="Z85" s="242"/>
      <c r="AA85" s="242"/>
      <c r="AB85" s="134"/>
      <c r="AC85" s="242"/>
    </row>
    <row r="86" spans="1:29" x14ac:dyDescent="0.15">
      <c r="A86" s="134"/>
      <c r="B86" s="134"/>
      <c r="C86" s="134"/>
      <c r="D86" s="135"/>
      <c r="E86" s="242"/>
      <c r="F86" s="242"/>
      <c r="G86" s="134"/>
      <c r="H86" s="242"/>
      <c r="I86" s="242"/>
      <c r="J86" s="134"/>
      <c r="K86" s="242"/>
      <c r="L86" s="242"/>
      <c r="M86" s="242"/>
      <c r="N86" s="242"/>
      <c r="O86" s="242"/>
      <c r="P86" s="242"/>
      <c r="Q86" s="136"/>
      <c r="R86" s="242"/>
      <c r="S86" s="242"/>
      <c r="T86" s="137"/>
      <c r="U86" s="242"/>
      <c r="V86" s="138"/>
      <c r="W86" s="242"/>
      <c r="X86" s="134"/>
      <c r="Y86" s="242"/>
      <c r="Z86" s="242"/>
      <c r="AA86" s="242"/>
      <c r="AB86" s="134"/>
      <c r="AC86" s="242"/>
    </row>
    <row r="87" spans="1:29" x14ac:dyDescent="0.15">
      <c r="A87" s="134"/>
      <c r="B87" s="134"/>
      <c r="C87" s="134"/>
      <c r="D87" s="135"/>
      <c r="E87" s="242"/>
      <c r="F87" s="242"/>
      <c r="G87" s="134"/>
      <c r="H87" s="242"/>
      <c r="I87" s="242"/>
      <c r="J87" s="134"/>
      <c r="K87" s="242"/>
      <c r="L87" s="242"/>
      <c r="M87" s="242"/>
      <c r="N87" s="242"/>
      <c r="O87" s="242"/>
      <c r="P87" s="242"/>
      <c r="Q87" s="136"/>
      <c r="R87" s="242"/>
      <c r="S87" s="242"/>
      <c r="T87" s="137"/>
      <c r="U87" s="242"/>
      <c r="V87" s="138"/>
      <c r="W87" s="242"/>
      <c r="X87" s="134"/>
      <c r="Y87" s="242"/>
      <c r="Z87" s="242"/>
      <c r="AA87" s="242"/>
      <c r="AB87" s="134"/>
      <c r="AC87" s="242"/>
    </row>
    <row r="88" spans="1:29" x14ac:dyDescent="0.15">
      <c r="A88" s="134"/>
      <c r="B88" s="134"/>
      <c r="C88" s="134"/>
      <c r="D88" s="135"/>
      <c r="E88" s="242"/>
      <c r="F88" s="242"/>
      <c r="G88" s="134"/>
      <c r="H88" s="242"/>
      <c r="I88" s="242"/>
      <c r="J88" s="134"/>
      <c r="K88" s="242"/>
      <c r="L88" s="242"/>
      <c r="M88" s="242"/>
      <c r="N88" s="242"/>
      <c r="O88" s="242"/>
      <c r="P88" s="242"/>
      <c r="Q88" s="136"/>
      <c r="R88" s="242"/>
      <c r="S88" s="242"/>
      <c r="T88" s="137"/>
      <c r="U88" s="242"/>
      <c r="V88" s="138"/>
      <c r="W88" s="242"/>
      <c r="X88" s="134"/>
      <c r="Y88" s="242"/>
      <c r="Z88" s="242"/>
      <c r="AA88" s="242"/>
      <c r="AB88" s="134"/>
      <c r="AC88" s="242"/>
    </row>
    <row r="89" spans="1:29" x14ac:dyDescent="0.15">
      <c r="K89" s="242"/>
      <c r="AC89" s="242"/>
    </row>
    <row r="90" spans="1:29" x14ac:dyDescent="0.15">
      <c r="A90" s="134"/>
      <c r="B90" s="134"/>
      <c r="C90" s="134"/>
      <c r="D90" s="135"/>
      <c r="E90" s="242"/>
      <c r="F90" s="242"/>
      <c r="G90" s="134"/>
      <c r="H90" s="242"/>
      <c r="I90" s="242"/>
      <c r="J90" s="134"/>
      <c r="K90" s="242"/>
      <c r="L90" s="242"/>
      <c r="M90" s="242"/>
      <c r="N90" s="242"/>
      <c r="O90" s="242"/>
      <c r="P90" s="242"/>
      <c r="Q90" s="136"/>
      <c r="R90" s="242"/>
      <c r="S90" s="242"/>
      <c r="T90" s="137"/>
      <c r="U90" s="242"/>
      <c r="V90" s="138"/>
      <c r="W90" s="242"/>
      <c r="X90" s="134"/>
      <c r="Y90" s="242"/>
      <c r="Z90" s="242"/>
      <c r="AA90" s="242"/>
      <c r="AB90" s="134"/>
      <c r="AC90" s="242"/>
    </row>
    <row r="91" spans="1:29" x14ac:dyDescent="0.15">
      <c r="A91" s="134"/>
      <c r="B91" s="134"/>
      <c r="C91" s="134"/>
      <c r="D91" s="135"/>
      <c r="E91" s="242"/>
      <c r="F91" s="242"/>
      <c r="G91" s="134"/>
      <c r="H91" s="242"/>
      <c r="I91" s="242"/>
      <c r="J91" s="134"/>
      <c r="K91" s="242"/>
      <c r="L91" s="242"/>
      <c r="M91" s="242"/>
      <c r="N91" s="242"/>
      <c r="O91" s="242"/>
      <c r="P91" s="242"/>
      <c r="Q91" s="136"/>
      <c r="R91" s="242"/>
      <c r="S91" s="242"/>
      <c r="T91" s="137"/>
      <c r="U91" s="242"/>
      <c r="V91" s="138"/>
      <c r="W91" s="242"/>
      <c r="X91" s="134"/>
      <c r="Y91" s="242"/>
      <c r="Z91" s="242"/>
      <c r="AA91" s="242"/>
      <c r="AB91" s="134"/>
      <c r="AC91" s="242"/>
    </row>
    <row r="92" spans="1:29" x14ac:dyDescent="0.15">
      <c r="A92" s="134"/>
      <c r="B92" s="134"/>
      <c r="C92" s="134"/>
      <c r="D92" s="135"/>
      <c r="E92" s="242"/>
      <c r="F92" s="242"/>
      <c r="G92" s="134"/>
      <c r="H92" s="242"/>
      <c r="I92" s="242"/>
      <c r="J92" s="134"/>
      <c r="K92" s="242"/>
      <c r="L92" s="242"/>
      <c r="M92" s="242"/>
      <c r="N92" s="242"/>
      <c r="O92" s="242"/>
      <c r="P92" s="242"/>
      <c r="Q92" s="136"/>
      <c r="R92" s="242"/>
      <c r="S92" s="242"/>
      <c r="T92" s="137"/>
      <c r="U92" s="242"/>
      <c r="V92" s="138"/>
      <c r="W92" s="242"/>
      <c r="X92" s="134"/>
      <c r="Y92" s="242"/>
      <c r="Z92" s="242"/>
      <c r="AA92" s="242"/>
      <c r="AB92" s="134"/>
      <c r="AC92" s="242"/>
    </row>
    <row r="93" spans="1:29" x14ac:dyDescent="0.15">
      <c r="A93" s="134"/>
      <c r="B93" s="134"/>
      <c r="C93" s="134"/>
      <c r="D93" s="135"/>
      <c r="E93" s="242"/>
      <c r="F93" s="242"/>
      <c r="G93" s="134"/>
      <c r="H93" s="242"/>
      <c r="I93" s="242"/>
      <c r="J93" s="134"/>
      <c r="K93" s="242"/>
      <c r="L93" s="242"/>
      <c r="M93" s="242"/>
      <c r="N93" s="242"/>
      <c r="O93" s="242"/>
      <c r="P93" s="242"/>
      <c r="Q93" s="136"/>
      <c r="R93" s="242"/>
      <c r="S93" s="242"/>
      <c r="T93" s="137"/>
      <c r="U93" s="242"/>
      <c r="V93" s="138"/>
      <c r="W93" s="242"/>
      <c r="X93" s="134"/>
      <c r="Y93" s="242"/>
      <c r="Z93" s="242"/>
      <c r="AA93" s="242"/>
      <c r="AB93" s="134"/>
      <c r="AC93" s="242"/>
    </row>
    <row r="94" spans="1:29" x14ac:dyDescent="0.15">
      <c r="A94" s="134"/>
      <c r="B94" s="134"/>
      <c r="C94" s="134"/>
      <c r="D94" s="135"/>
      <c r="E94" s="242"/>
      <c r="F94" s="242"/>
      <c r="G94" s="134"/>
      <c r="H94" s="242"/>
      <c r="I94" s="242"/>
      <c r="J94" s="134"/>
      <c r="K94" s="242"/>
      <c r="L94" s="242"/>
      <c r="M94" s="242"/>
      <c r="N94" s="242"/>
      <c r="O94" s="242"/>
      <c r="P94" s="242"/>
      <c r="Q94" s="136"/>
      <c r="R94" s="242"/>
      <c r="S94" s="242"/>
      <c r="T94" s="137"/>
      <c r="U94" s="242"/>
      <c r="V94" s="138"/>
      <c r="W94" s="242"/>
      <c r="X94" s="134"/>
      <c r="Y94" s="242"/>
      <c r="Z94" s="242"/>
      <c r="AA94" s="242"/>
      <c r="AB94" s="134"/>
      <c r="AC94" s="242"/>
    </row>
    <row r="95" spans="1:29" x14ac:dyDescent="0.15">
      <c r="A95" s="134"/>
      <c r="B95" s="134"/>
      <c r="C95" s="134"/>
      <c r="D95" s="135"/>
      <c r="E95" s="242"/>
      <c r="F95" s="242"/>
      <c r="G95" s="134"/>
      <c r="H95" s="242"/>
      <c r="I95" s="242"/>
      <c r="J95" s="134"/>
      <c r="K95" s="242"/>
      <c r="L95" s="242"/>
      <c r="M95" s="242"/>
      <c r="N95" s="242"/>
      <c r="O95" s="242"/>
      <c r="P95" s="242"/>
      <c r="Q95" s="136"/>
      <c r="R95" s="242"/>
      <c r="S95" s="242"/>
      <c r="T95" s="137"/>
      <c r="U95" s="242"/>
      <c r="V95" s="138"/>
      <c r="W95" s="242"/>
      <c r="X95" s="134"/>
      <c r="Y95" s="242"/>
      <c r="Z95" s="242"/>
      <c r="AA95" s="242"/>
      <c r="AB95" s="134"/>
      <c r="AC95" s="242"/>
    </row>
    <row r="96" spans="1:29" x14ac:dyDescent="0.15">
      <c r="A96" s="134"/>
      <c r="B96" s="134"/>
      <c r="C96" s="134"/>
      <c r="D96" s="135"/>
      <c r="E96" s="242"/>
      <c r="F96" s="242"/>
      <c r="G96" s="134"/>
      <c r="H96" s="242"/>
      <c r="I96" s="242"/>
      <c r="J96" s="134"/>
      <c r="K96" s="242"/>
      <c r="L96" s="242"/>
      <c r="M96" s="242"/>
      <c r="N96" s="242"/>
      <c r="O96" s="242"/>
      <c r="P96" s="242"/>
      <c r="Q96" s="136"/>
      <c r="R96" s="242"/>
      <c r="S96" s="242"/>
      <c r="T96" s="137"/>
      <c r="U96" s="242"/>
      <c r="V96" s="138"/>
      <c r="W96" s="242"/>
      <c r="X96" s="134"/>
      <c r="Y96" s="242"/>
      <c r="Z96" s="242"/>
      <c r="AA96" s="242"/>
      <c r="AB96" s="134"/>
      <c r="AC96" s="242"/>
    </row>
    <row r="97" spans="1:29" x14ac:dyDescent="0.15">
      <c r="A97" s="134"/>
      <c r="B97" s="134"/>
      <c r="C97" s="134"/>
      <c r="D97" s="135"/>
      <c r="E97" s="242"/>
      <c r="F97" s="242"/>
      <c r="G97" s="134"/>
      <c r="H97" s="242"/>
      <c r="I97" s="242"/>
      <c r="J97" s="134"/>
      <c r="K97" s="242"/>
      <c r="L97" s="242"/>
      <c r="M97" s="242"/>
      <c r="N97" s="242"/>
      <c r="O97" s="242"/>
      <c r="P97" s="242"/>
      <c r="Q97" s="136"/>
      <c r="R97" s="242"/>
      <c r="S97" s="242"/>
      <c r="T97" s="137"/>
      <c r="U97" s="242"/>
      <c r="V97" s="138"/>
      <c r="W97" s="242"/>
      <c r="X97" s="134"/>
      <c r="Y97" s="242"/>
      <c r="Z97" s="242"/>
      <c r="AA97" s="242"/>
      <c r="AB97" s="134"/>
      <c r="AC97" s="242"/>
    </row>
    <row r="98" spans="1:29" x14ac:dyDescent="0.15">
      <c r="A98" s="134"/>
      <c r="B98" s="134"/>
      <c r="C98" s="134"/>
      <c r="D98" s="135"/>
      <c r="E98" s="242"/>
      <c r="F98" s="242"/>
      <c r="G98" s="134"/>
      <c r="H98" s="242"/>
      <c r="I98" s="242"/>
      <c r="J98" s="134"/>
      <c r="K98" s="242"/>
      <c r="L98" s="242"/>
      <c r="M98" s="242"/>
      <c r="N98" s="242"/>
      <c r="O98" s="242"/>
      <c r="P98" s="242"/>
      <c r="Q98" s="136"/>
      <c r="R98" s="242"/>
      <c r="S98" s="242"/>
      <c r="T98" s="137"/>
      <c r="U98" s="242"/>
      <c r="V98" s="138"/>
      <c r="W98" s="242"/>
      <c r="X98" s="134"/>
      <c r="Y98" s="242"/>
      <c r="Z98" s="242"/>
      <c r="AA98" s="242"/>
      <c r="AB98" s="134"/>
      <c r="AC98" s="242"/>
    </row>
    <row r="99" spans="1:29" x14ac:dyDescent="0.15">
      <c r="A99" s="134"/>
      <c r="B99" s="134"/>
      <c r="C99" s="134"/>
      <c r="D99" s="135"/>
      <c r="E99" s="242"/>
      <c r="F99" s="242"/>
      <c r="G99" s="134"/>
      <c r="H99" s="242"/>
      <c r="I99" s="242"/>
      <c r="J99" s="134"/>
      <c r="K99" s="242"/>
      <c r="L99" s="242"/>
      <c r="M99" s="242"/>
      <c r="N99" s="242"/>
      <c r="O99" s="242"/>
      <c r="P99" s="242"/>
      <c r="Q99" s="136"/>
      <c r="R99" s="242"/>
      <c r="S99" s="242"/>
      <c r="T99" s="137"/>
      <c r="U99" s="242"/>
      <c r="V99" s="138"/>
      <c r="W99" s="242"/>
      <c r="X99" s="134"/>
      <c r="Y99" s="242"/>
      <c r="Z99" s="242"/>
      <c r="AA99" s="242"/>
      <c r="AB99" s="134"/>
      <c r="AC99" s="242"/>
    </row>
    <row r="100" spans="1:29" x14ac:dyDescent="0.15">
      <c r="A100" s="134"/>
      <c r="B100" s="134"/>
      <c r="C100" s="134"/>
      <c r="D100" s="135"/>
      <c r="E100" s="242"/>
      <c r="F100" s="242"/>
      <c r="G100" s="134"/>
      <c r="H100" s="242"/>
      <c r="I100" s="242"/>
      <c r="J100" s="134"/>
      <c r="K100" s="242"/>
      <c r="L100" s="242"/>
      <c r="M100" s="242"/>
      <c r="N100" s="242"/>
      <c r="O100" s="242"/>
      <c r="P100" s="242"/>
      <c r="Q100" s="136"/>
      <c r="R100" s="242"/>
      <c r="S100" s="242"/>
      <c r="T100" s="137"/>
      <c r="U100" s="242"/>
      <c r="V100" s="138"/>
      <c r="W100" s="242"/>
      <c r="X100" s="134"/>
      <c r="Y100" s="242"/>
      <c r="Z100" s="242"/>
      <c r="AA100" s="242"/>
      <c r="AB100" s="134"/>
      <c r="AC100" s="242"/>
    </row>
    <row r="101" spans="1:29" x14ac:dyDescent="0.15">
      <c r="A101" s="134"/>
      <c r="B101" s="134"/>
      <c r="C101" s="134"/>
      <c r="D101" s="135"/>
      <c r="E101" s="242"/>
      <c r="F101" s="242"/>
      <c r="G101" s="134"/>
      <c r="H101" s="242"/>
      <c r="I101" s="242"/>
      <c r="J101" s="134"/>
      <c r="K101" s="242"/>
      <c r="L101" s="242"/>
      <c r="M101" s="242"/>
      <c r="N101" s="242"/>
      <c r="O101" s="242"/>
      <c r="P101" s="242"/>
      <c r="Q101" s="136"/>
      <c r="R101" s="242"/>
      <c r="S101" s="242"/>
      <c r="T101" s="137"/>
      <c r="U101" s="242"/>
      <c r="V101" s="138"/>
      <c r="W101" s="242"/>
      <c r="X101" s="134"/>
      <c r="Y101" s="242"/>
      <c r="Z101" s="242"/>
      <c r="AA101" s="242"/>
      <c r="AB101" s="134"/>
      <c r="AC101" s="242"/>
    </row>
    <row r="102" spans="1:29" x14ac:dyDescent="0.15">
      <c r="A102" s="134"/>
      <c r="B102" s="134"/>
      <c r="C102" s="134"/>
      <c r="D102" s="135"/>
      <c r="E102" s="242"/>
      <c r="F102" s="242"/>
      <c r="G102" s="134"/>
      <c r="H102" s="242"/>
      <c r="I102" s="242"/>
      <c r="J102" s="134"/>
      <c r="K102" s="242"/>
      <c r="L102" s="242"/>
      <c r="M102" s="242"/>
      <c r="N102" s="242"/>
      <c r="O102" s="242"/>
      <c r="P102" s="242"/>
      <c r="Q102" s="136"/>
      <c r="R102" s="242"/>
      <c r="S102" s="242"/>
      <c r="T102" s="137"/>
      <c r="U102" s="242"/>
      <c r="V102" s="138"/>
      <c r="W102" s="242"/>
      <c r="X102" s="134"/>
      <c r="Y102" s="242"/>
      <c r="Z102" s="242"/>
      <c r="AA102" s="242"/>
      <c r="AB102" s="134"/>
      <c r="AC102" s="242"/>
    </row>
    <row r="103" spans="1:29" x14ac:dyDescent="0.15">
      <c r="A103" s="134"/>
      <c r="B103" s="134"/>
      <c r="C103" s="134"/>
      <c r="D103" s="135"/>
      <c r="E103" s="242"/>
      <c r="F103" s="242"/>
      <c r="G103" s="134"/>
      <c r="H103" s="242"/>
      <c r="I103" s="242"/>
      <c r="J103" s="134"/>
      <c r="K103" s="242"/>
      <c r="L103" s="242"/>
      <c r="M103" s="242"/>
      <c r="N103" s="242"/>
      <c r="O103" s="242"/>
      <c r="P103" s="242"/>
      <c r="Q103" s="136"/>
      <c r="R103" s="242"/>
      <c r="S103" s="242"/>
      <c r="T103" s="137"/>
      <c r="U103" s="242"/>
      <c r="V103" s="138"/>
      <c r="W103" s="242"/>
      <c r="X103" s="134"/>
      <c r="Y103" s="242"/>
      <c r="Z103" s="242"/>
      <c r="AA103" s="242"/>
      <c r="AB103" s="134"/>
      <c r="AC103" s="242"/>
    </row>
    <row r="104" spans="1:29" x14ac:dyDescent="0.15">
      <c r="A104" s="134"/>
      <c r="B104" s="134"/>
      <c r="C104" s="134"/>
      <c r="D104" s="135"/>
      <c r="E104" s="242"/>
      <c r="F104" s="242"/>
      <c r="G104" s="134"/>
      <c r="H104" s="242"/>
      <c r="I104" s="242"/>
      <c r="J104" s="134"/>
      <c r="K104" s="242"/>
      <c r="L104" s="242"/>
      <c r="M104" s="242"/>
      <c r="N104" s="242"/>
      <c r="O104" s="242"/>
      <c r="P104" s="242"/>
      <c r="Q104" s="136"/>
      <c r="R104" s="242"/>
      <c r="S104" s="242"/>
      <c r="T104" s="137"/>
      <c r="U104" s="242"/>
      <c r="V104" s="138"/>
      <c r="W104" s="242"/>
      <c r="X104" s="134"/>
      <c r="Y104" s="242"/>
      <c r="Z104" s="242"/>
      <c r="AA104" s="242"/>
      <c r="AB104" s="134"/>
      <c r="AC104" s="242"/>
    </row>
    <row r="105" spans="1:29" x14ac:dyDescent="0.15">
      <c r="A105" s="134"/>
      <c r="B105" s="134"/>
      <c r="C105" s="134"/>
      <c r="D105" s="135"/>
      <c r="E105" s="242"/>
      <c r="F105" s="242"/>
      <c r="G105" s="134"/>
      <c r="H105" s="242"/>
      <c r="I105" s="242"/>
      <c r="J105" s="134"/>
      <c r="K105" s="242"/>
      <c r="L105" s="242"/>
      <c r="M105" s="242"/>
      <c r="N105" s="242"/>
      <c r="O105" s="242"/>
      <c r="P105" s="242"/>
      <c r="Q105" s="136"/>
      <c r="R105" s="242"/>
      <c r="S105" s="242"/>
      <c r="T105" s="137"/>
      <c r="U105" s="242"/>
      <c r="V105" s="138"/>
      <c r="W105" s="242"/>
      <c r="X105" s="134"/>
      <c r="Y105" s="242"/>
      <c r="Z105" s="242"/>
      <c r="AA105" s="242"/>
      <c r="AB105" s="134"/>
      <c r="AC105" s="242"/>
    </row>
    <row r="106" spans="1:29" x14ac:dyDescent="0.15">
      <c r="A106" s="134"/>
      <c r="B106" s="134"/>
      <c r="C106" s="134"/>
      <c r="D106" s="135"/>
      <c r="E106" s="242"/>
      <c r="F106" s="242"/>
      <c r="G106" s="134"/>
      <c r="H106" s="242"/>
      <c r="I106" s="242"/>
      <c r="J106" s="134"/>
      <c r="K106" s="242"/>
      <c r="L106" s="242"/>
      <c r="M106" s="242"/>
      <c r="N106" s="242"/>
      <c r="O106" s="242"/>
      <c r="P106" s="242"/>
      <c r="Q106" s="136"/>
      <c r="R106" s="242"/>
      <c r="S106" s="242"/>
      <c r="T106" s="137"/>
      <c r="U106" s="242"/>
      <c r="V106" s="138"/>
      <c r="W106" s="242"/>
      <c r="X106" s="134"/>
      <c r="Y106" s="242"/>
      <c r="Z106" s="242"/>
      <c r="AA106" s="242"/>
      <c r="AB106" s="134"/>
      <c r="AC106" s="242"/>
    </row>
    <row r="107" spans="1:29" x14ac:dyDescent="0.15">
      <c r="A107" s="242"/>
      <c r="B107" s="242"/>
      <c r="C107" s="242"/>
      <c r="D107" s="242"/>
      <c r="E107" s="242"/>
      <c r="F107" s="242"/>
      <c r="G107" s="242"/>
      <c r="H107" s="242"/>
      <c r="I107" s="242"/>
      <c r="J107" s="242"/>
      <c r="K107" s="242"/>
      <c r="L107" s="242"/>
      <c r="M107" s="242"/>
      <c r="N107" s="242"/>
      <c r="O107" s="242"/>
      <c r="P107" s="242"/>
      <c r="Q107" s="137"/>
      <c r="R107" s="242"/>
      <c r="S107" s="242"/>
      <c r="T107" s="137"/>
      <c r="U107" s="242"/>
      <c r="V107" s="137"/>
      <c r="W107" s="242"/>
      <c r="X107" s="242"/>
      <c r="Y107" s="242"/>
      <c r="Z107" s="242"/>
      <c r="AA107" s="242"/>
      <c r="AB107" s="242"/>
      <c r="AC107" s="242"/>
    </row>
    <row r="108" spans="1:29" x14ac:dyDescent="0.15">
      <c r="A108" s="242"/>
      <c r="B108" s="242"/>
      <c r="C108" s="242"/>
      <c r="D108" s="242"/>
      <c r="E108" s="242"/>
      <c r="F108" s="242"/>
      <c r="G108" s="242"/>
      <c r="H108" s="242"/>
      <c r="I108" s="242"/>
      <c r="J108" s="242"/>
      <c r="K108" s="242"/>
      <c r="L108" s="242" t="s">
        <v>409</v>
      </c>
      <c r="M108" s="242"/>
      <c r="N108" s="242"/>
      <c r="O108" s="242"/>
      <c r="P108" s="242"/>
      <c r="Q108" s="137"/>
      <c r="R108" s="242"/>
      <c r="S108" s="242"/>
      <c r="T108" s="137"/>
      <c r="U108" s="242"/>
      <c r="V108" s="137"/>
      <c r="W108" s="242"/>
      <c r="X108" s="242"/>
      <c r="Y108" s="242"/>
      <c r="Z108" s="242"/>
      <c r="AA108" s="242"/>
      <c r="AB108" s="242"/>
      <c r="AC108" s="242"/>
    </row>
    <row r="109" spans="1:29" x14ac:dyDescent="0.15">
      <c r="K109" s="242"/>
    </row>
    <row r="110" spans="1:29" x14ac:dyDescent="0.15">
      <c r="K110" s="242"/>
    </row>
    <row r="111" spans="1:29" x14ac:dyDescent="0.15">
      <c r="K111" s="242"/>
    </row>
    <row r="112" spans="1:29" x14ac:dyDescent="0.15">
      <c r="K112" s="242"/>
    </row>
    <row r="113" spans="11:11" x14ac:dyDescent="0.15">
      <c r="K113" s="242"/>
    </row>
    <row r="114" spans="11:11" x14ac:dyDescent="0.15">
      <c r="K114" s="242"/>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O14:O22 N68:N72 N11:N13 N17:N22 P5:P37 O38:P8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zoomScale="85" zoomScaleNormal="85" workbookViewId="0">
      <selection activeCell="G43" sqref="G43"/>
    </sheetView>
  </sheetViews>
  <sheetFormatPr defaultColWidth="8.875" defaultRowHeight="13.5" x14ac:dyDescent="0.15"/>
  <cols>
    <col min="1" max="3" width="8.875" style="203"/>
    <col min="4" max="4" width="13.5" style="203" bestFit="1" customWidth="1"/>
    <col min="5" max="5" width="9.625" style="203" bestFit="1" customWidth="1"/>
    <col min="6" max="16" width="8.875" style="203"/>
    <col min="17" max="17" width="8.875" style="212"/>
    <col min="18" max="19" width="8.875" style="203"/>
    <col min="20" max="20" width="8.875" style="212"/>
    <col min="21" max="21" width="8.875" style="203"/>
    <col min="22" max="22" width="8.875" style="212"/>
    <col min="23" max="32" width="8.875" style="203"/>
    <col min="33" max="33" width="19.625" style="203" bestFit="1" customWidth="1"/>
    <col min="34" max="259" width="8.875" style="203"/>
    <col min="260" max="260" width="10.5" style="203" bestFit="1" customWidth="1"/>
    <col min="261" max="261" width="9.625" style="203" bestFit="1" customWidth="1"/>
    <col min="262" max="515" width="8.875" style="203"/>
    <col min="516" max="516" width="10.5" style="203" bestFit="1" customWidth="1"/>
    <col min="517" max="517" width="9.625" style="203" bestFit="1" customWidth="1"/>
    <col min="518" max="771" width="8.875" style="203"/>
    <col min="772" max="772" width="10.5" style="203" bestFit="1" customWidth="1"/>
    <col min="773" max="773" width="9.625" style="203" bestFit="1" customWidth="1"/>
    <col min="774" max="1027" width="8.875" style="203"/>
    <col min="1028" max="1028" width="10.5" style="203" bestFit="1" customWidth="1"/>
    <col min="1029" max="1029" width="9.625" style="203" bestFit="1" customWidth="1"/>
    <col min="1030" max="1283" width="8.875" style="203"/>
    <col min="1284" max="1284" width="10.5" style="203" bestFit="1" customWidth="1"/>
    <col min="1285" max="1285" width="9.625" style="203" bestFit="1" customWidth="1"/>
    <col min="1286" max="1539" width="8.875" style="203"/>
    <col min="1540" max="1540" width="10.5" style="203" bestFit="1" customWidth="1"/>
    <col min="1541" max="1541" width="9.625" style="203" bestFit="1" customWidth="1"/>
    <col min="1542" max="1795" width="8.875" style="203"/>
    <col min="1796" max="1796" width="10.5" style="203" bestFit="1" customWidth="1"/>
    <col min="1797" max="1797" width="9.625" style="203" bestFit="1" customWidth="1"/>
    <col min="1798" max="2051" width="8.875" style="203"/>
    <col min="2052" max="2052" width="10.5" style="203" bestFit="1" customWidth="1"/>
    <col min="2053" max="2053" width="9.625" style="203" bestFit="1" customWidth="1"/>
    <col min="2054" max="2307" width="8.875" style="203"/>
    <col min="2308" max="2308" width="10.5" style="203" bestFit="1" customWidth="1"/>
    <col min="2309" max="2309" width="9.625" style="203" bestFit="1" customWidth="1"/>
    <col min="2310" max="2563" width="8.875" style="203"/>
    <col min="2564" max="2564" width="10.5" style="203" bestFit="1" customWidth="1"/>
    <col min="2565" max="2565" width="9.625" style="203" bestFit="1" customWidth="1"/>
    <col min="2566" max="2819" width="8.875" style="203"/>
    <col min="2820" max="2820" width="10.5" style="203" bestFit="1" customWidth="1"/>
    <col min="2821" max="2821" width="9.625" style="203" bestFit="1" customWidth="1"/>
    <col min="2822" max="3075" width="8.875" style="203"/>
    <col min="3076" max="3076" width="10.5" style="203" bestFit="1" customWidth="1"/>
    <col min="3077" max="3077" width="9.625" style="203" bestFit="1" customWidth="1"/>
    <col min="3078" max="3331" width="8.875" style="203"/>
    <col min="3332" max="3332" width="10.5" style="203" bestFit="1" customWidth="1"/>
    <col min="3333" max="3333" width="9.625" style="203" bestFit="1" customWidth="1"/>
    <col min="3334" max="3587" width="8.875" style="203"/>
    <col min="3588" max="3588" width="10.5" style="203" bestFit="1" customWidth="1"/>
    <col min="3589" max="3589" width="9.625" style="203" bestFit="1" customWidth="1"/>
    <col min="3590" max="3843" width="8.875" style="203"/>
    <col min="3844" max="3844" width="10.5" style="203" bestFit="1" customWidth="1"/>
    <col min="3845" max="3845" width="9.625" style="203" bestFit="1" customWidth="1"/>
    <col min="3846" max="4099" width="8.875" style="203"/>
    <col min="4100" max="4100" width="10.5" style="203" bestFit="1" customWidth="1"/>
    <col min="4101" max="4101" width="9.625" style="203" bestFit="1" customWidth="1"/>
    <col min="4102" max="4355" width="8.875" style="203"/>
    <col min="4356" max="4356" width="10.5" style="203" bestFit="1" customWidth="1"/>
    <col min="4357" max="4357" width="9.625" style="203" bestFit="1" customWidth="1"/>
    <col min="4358" max="4611" width="8.875" style="203"/>
    <col min="4612" max="4612" width="10.5" style="203" bestFit="1" customWidth="1"/>
    <col min="4613" max="4613" width="9.625" style="203" bestFit="1" customWidth="1"/>
    <col min="4614" max="4867" width="8.875" style="203"/>
    <col min="4868" max="4868" width="10.5" style="203" bestFit="1" customWidth="1"/>
    <col min="4869" max="4869" width="9.625" style="203" bestFit="1" customWidth="1"/>
    <col min="4870" max="5123" width="8.875" style="203"/>
    <col min="5124" max="5124" width="10.5" style="203" bestFit="1" customWidth="1"/>
    <col min="5125" max="5125" width="9.625" style="203" bestFit="1" customWidth="1"/>
    <col min="5126" max="5379" width="8.875" style="203"/>
    <col min="5380" max="5380" width="10.5" style="203" bestFit="1" customWidth="1"/>
    <col min="5381" max="5381" width="9.625" style="203" bestFit="1" customWidth="1"/>
    <col min="5382" max="5635" width="8.875" style="203"/>
    <col min="5636" max="5636" width="10.5" style="203" bestFit="1" customWidth="1"/>
    <col min="5637" max="5637" width="9.625" style="203" bestFit="1" customWidth="1"/>
    <col min="5638" max="5891" width="8.875" style="203"/>
    <col min="5892" max="5892" width="10.5" style="203" bestFit="1" customWidth="1"/>
    <col min="5893" max="5893" width="9.625" style="203" bestFit="1" customWidth="1"/>
    <col min="5894" max="6147" width="8.875" style="203"/>
    <col min="6148" max="6148" width="10.5" style="203" bestFit="1" customWidth="1"/>
    <col min="6149" max="6149" width="9.625" style="203" bestFit="1" customWidth="1"/>
    <col min="6150" max="6403" width="8.875" style="203"/>
    <col min="6404" max="6404" width="10.5" style="203" bestFit="1" customWidth="1"/>
    <col min="6405" max="6405" width="9.625" style="203" bestFit="1" customWidth="1"/>
    <col min="6406" max="6659" width="8.875" style="203"/>
    <col min="6660" max="6660" width="10.5" style="203" bestFit="1" customWidth="1"/>
    <col min="6661" max="6661" width="9.625" style="203" bestFit="1" customWidth="1"/>
    <col min="6662" max="6915" width="8.875" style="203"/>
    <col min="6916" max="6916" width="10.5" style="203" bestFit="1" customWidth="1"/>
    <col min="6917" max="6917" width="9.625" style="203" bestFit="1" customWidth="1"/>
    <col min="6918" max="7171" width="8.875" style="203"/>
    <col min="7172" max="7172" width="10.5" style="203" bestFit="1" customWidth="1"/>
    <col min="7173" max="7173" width="9.625" style="203" bestFit="1" customWidth="1"/>
    <col min="7174" max="7427" width="8.875" style="203"/>
    <col min="7428" max="7428" width="10.5" style="203" bestFit="1" customWidth="1"/>
    <col min="7429" max="7429" width="9.625" style="203" bestFit="1" customWidth="1"/>
    <col min="7430" max="7683" width="8.875" style="203"/>
    <col min="7684" max="7684" width="10.5" style="203" bestFit="1" customWidth="1"/>
    <col min="7685" max="7685" width="9.625" style="203" bestFit="1" customWidth="1"/>
    <col min="7686" max="7939" width="8.875" style="203"/>
    <col min="7940" max="7940" width="10.5" style="203" bestFit="1" customWidth="1"/>
    <col min="7941" max="7941" width="9.625" style="203" bestFit="1" customWidth="1"/>
    <col min="7942" max="8195" width="8.875" style="203"/>
    <col min="8196" max="8196" width="10.5" style="203" bestFit="1" customWidth="1"/>
    <col min="8197" max="8197" width="9.625" style="203" bestFit="1" customWidth="1"/>
    <col min="8198" max="8451" width="8.875" style="203"/>
    <col min="8452" max="8452" width="10.5" style="203" bestFit="1" customWidth="1"/>
    <col min="8453" max="8453" width="9.625" style="203" bestFit="1" customWidth="1"/>
    <col min="8454" max="8707" width="8.875" style="203"/>
    <col min="8708" max="8708" width="10.5" style="203" bestFit="1" customWidth="1"/>
    <col min="8709" max="8709" width="9.625" style="203" bestFit="1" customWidth="1"/>
    <col min="8710" max="8963" width="8.875" style="203"/>
    <col min="8964" max="8964" width="10.5" style="203" bestFit="1" customWidth="1"/>
    <col min="8965" max="8965" width="9.625" style="203" bestFit="1" customWidth="1"/>
    <col min="8966" max="9219" width="8.875" style="203"/>
    <col min="9220" max="9220" width="10.5" style="203" bestFit="1" customWidth="1"/>
    <col min="9221" max="9221" width="9.625" style="203" bestFit="1" customWidth="1"/>
    <col min="9222" max="9475" width="8.875" style="203"/>
    <col min="9476" max="9476" width="10.5" style="203" bestFit="1" customWidth="1"/>
    <col min="9477" max="9477" width="9.625" style="203" bestFit="1" customWidth="1"/>
    <col min="9478" max="9731" width="8.875" style="203"/>
    <col min="9732" max="9732" width="10.5" style="203" bestFit="1" customWidth="1"/>
    <col min="9733" max="9733" width="9.625" style="203" bestFit="1" customWidth="1"/>
    <col min="9734" max="9987" width="8.875" style="203"/>
    <col min="9988" max="9988" width="10.5" style="203" bestFit="1" customWidth="1"/>
    <col min="9989" max="9989" width="9.625" style="203" bestFit="1" customWidth="1"/>
    <col min="9990" max="10243" width="8.875" style="203"/>
    <col min="10244" max="10244" width="10.5" style="203" bestFit="1" customWidth="1"/>
    <col min="10245" max="10245" width="9.625" style="203" bestFit="1" customWidth="1"/>
    <col min="10246" max="10499" width="8.875" style="203"/>
    <col min="10500" max="10500" width="10.5" style="203" bestFit="1" customWidth="1"/>
    <col min="10501" max="10501" width="9.625" style="203" bestFit="1" customWidth="1"/>
    <col min="10502" max="10755" width="8.875" style="203"/>
    <col min="10756" max="10756" width="10.5" style="203" bestFit="1" customWidth="1"/>
    <col min="10757" max="10757" width="9.625" style="203" bestFit="1" customWidth="1"/>
    <col min="10758" max="11011" width="8.875" style="203"/>
    <col min="11012" max="11012" width="10.5" style="203" bestFit="1" customWidth="1"/>
    <col min="11013" max="11013" width="9.625" style="203" bestFit="1" customWidth="1"/>
    <col min="11014" max="11267" width="8.875" style="203"/>
    <col min="11268" max="11268" width="10.5" style="203" bestFit="1" customWidth="1"/>
    <col min="11269" max="11269" width="9.625" style="203" bestFit="1" customWidth="1"/>
    <col min="11270" max="11523" width="8.875" style="203"/>
    <col min="11524" max="11524" width="10.5" style="203" bestFit="1" customWidth="1"/>
    <col min="11525" max="11525" width="9.625" style="203" bestFit="1" customWidth="1"/>
    <col min="11526" max="11779" width="8.875" style="203"/>
    <col min="11780" max="11780" width="10.5" style="203" bestFit="1" customWidth="1"/>
    <col min="11781" max="11781" width="9.625" style="203" bestFit="1" customWidth="1"/>
    <col min="11782" max="12035" width="8.875" style="203"/>
    <col min="12036" max="12036" width="10.5" style="203" bestFit="1" customWidth="1"/>
    <col min="12037" max="12037" width="9.625" style="203" bestFit="1" customWidth="1"/>
    <col min="12038" max="12291" width="8.875" style="203"/>
    <col min="12292" max="12292" width="10.5" style="203" bestFit="1" customWidth="1"/>
    <col min="12293" max="12293" width="9.625" style="203" bestFit="1" customWidth="1"/>
    <col min="12294" max="12547" width="8.875" style="203"/>
    <col min="12548" max="12548" width="10.5" style="203" bestFit="1" customWidth="1"/>
    <col min="12549" max="12549" width="9.625" style="203" bestFit="1" customWidth="1"/>
    <col min="12550" max="12803" width="8.875" style="203"/>
    <col min="12804" max="12804" width="10.5" style="203" bestFit="1" customWidth="1"/>
    <col min="12805" max="12805" width="9.625" style="203" bestFit="1" customWidth="1"/>
    <col min="12806" max="13059" width="8.875" style="203"/>
    <col min="13060" max="13060" width="10.5" style="203" bestFit="1" customWidth="1"/>
    <col min="13061" max="13061" width="9.625" style="203" bestFit="1" customWidth="1"/>
    <col min="13062" max="13315" width="8.875" style="203"/>
    <col min="13316" max="13316" width="10.5" style="203" bestFit="1" customWidth="1"/>
    <col min="13317" max="13317" width="9.625" style="203" bestFit="1" customWidth="1"/>
    <col min="13318" max="13571" width="8.875" style="203"/>
    <col min="13572" max="13572" width="10.5" style="203" bestFit="1" customWidth="1"/>
    <col min="13573" max="13573" width="9.625" style="203" bestFit="1" customWidth="1"/>
    <col min="13574" max="13827" width="8.875" style="203"/>
    <col min="13828" max="13828" width="10.5" style="203" bestFit="1" customWidth="1"/>
    <col min="13829" max="13829" width="9.625" style="203" bestFit="1" customWidth="1"/>
    <col min="13830" max="14083" width="8.875" style="203"/>
    <col min="14084" max="14084" width="10.5" style="203" bestFit="1" customWidth="1"/>
    <col min="14085" max="14085" width="9.625" style="203" bestFit="1" customWidth="1"/>
    <col min="14086" max="14339" width="8.875" style="203"/>
    <col min="14340" max="14340" width="10.5" style="203" bestFit="1" customWidth="1"/>
    <col min="14341" max="14341" width="9.625" style="203" bestFit="1" customWidth="1"/>
    <col min="14342" max="14595" width="8.875" style="203"/>
    <col min="14596" max="14596" width="10.5" style="203" bestFit="1" customWidth="1"/>
    <col min="14597" max="14597" width="9.625" style="203" bestFit="1" customWidth="1"/>
    <col min="14598" max="14851" width="8.875" style="203"/>
    <col min="14852" max="14852" width="10.5" style="203" bestFit="1" customWidth="1"/>
    <col min="14853" max="14853" width="9.625" style="203" bestFit="1" customWidth="1"/>
    <col min="14854" max="15107" width="8.875" style="203"/>
    <col min="15108" max="15108" width="10.5" style="203" bestFit="1" customWidth="1"/>
    <col min="15109" max="15109" width="9.625" style="203" bestFit="1" customWidth="1"/>
    <col min="15110" max="15363" width="8.875" style="203"/>
    <col min="15364" max="15364" width="10.5" style="203" bestFit="1" customWidth="1"/>
    <col min="15365" max="15365" width="9.625" style="203" bestFit="1" customWidth="1"/>
    <col min="15366" max="15619" width="8.875" style="203"/>
    <col min="15620" max="15620" width="10.5" style="203" bestFit="1" customWidth="1"/>
    <col min="15621" max="15621" width="9.625" style="203" bestFit="1" customWidth="1"/>
    <col min="15622" max="15875" width="8.875" style="203"/>
    <col min="15876" max="15876" width="10.5" style="203" bestFit="1" customWidth="1"/>
    <col min="15877" max="15877" width="9.625" style="203" bestFit="1" customWidth="1"/>
    <col min="15878" max="16131" width="8.875" style="203"/>
    <col min="16132" max="16132" width="10.5" style="203" bestFit="1" customWidth="1"/>
    <col min="16133" max="16133" width="9.625" style="203" bestFit="1" customWidth="1"/>
    <col min="16134" max="16384" width="8.875" style="203"/>
  </cols>
  <sheetData>
    <row r="1" spans="1:53" ht="45" x14ac:dyDescent="0.15">
      <c r="A1" s="235" t="s">
        <v>0</v>
      </c>
      <c r="B1" s="197" t="s">
        <v>1</v>
      </c>
      <c r="C1" s="197" t="s">
        <v>157</v>
      </c>
      <c r="D1" s="198" t="s">
        <v>3</v>
      </c>
      <c r="E1" s="236" t="s">
        <v>4</v>
      </c>
      <c r="F1" s="236" t="s">
        <v>5</v>
      </c>
      <c r="G1" s="236" t="s">
        <v>6</v>
      </c>
      <c r="H1" s="236" t="s">
        <v>7</v>
      </c>
      <c r="I1" s="236" t="s">
        <v>8</v>
      </c>
      <c r="J1" s="236" t="s">
        <v>9</v>
      </c>
      <c r="K1" s="236" t="s">
        <v>10</v>
      </c>
      <c r="L1" s="198" t="s">
        <v>158</v>
      </c>
      <c r="M1" s="198" t="s">
        <v>12</v>
      </c>
      <c r="N1" s="198" t="s">
        <v>260</v>
      </c>
      <c r="O1" s="198" t="s">
        <v>159</v>
      </c>
      <c r="P1" s="198" t="s">
        <v>15</v>
      </c>
      <c r="Q1" s="199" t="s">
        <v>16</v>
      </c>
      <c r="R1" s="198" t="s">
        <v>17</v>
      </c>
      <c r="S1" s="198" t="s">
        <v>18</v>
      </c>
      <c r="T1" s="199" t="s">
        <v>19</v>
      </c>
      <c r="U1" s="200" t="s">
        <v>261</v>
      </c>
      <c r="V1" s="201" t="s">
        <v>20</v>
      </c>
      <c r="W1" s="198" t="s">
        <v>21</v>
      </c>
      <c r="X1" s="236" t="s">
        <v>22</v>
      </c>
      <c r="Y1" s="236" t="s">
        <v>23</v>
      </c>
      <c r="Z1" s="236" t="s">
        <v>24</v>
      </c>
      <c r="AA1" s="237" t="s">
        <v>25</v>
      </c>
      <c r="AB1" s="202" t="s">
        <v>160</v>
      </c>
      <c r="AE1" s="204" t="s">
        <v>0</v>
      </c>
      <c r="AF1" s="205"/>
      <c r="AG1" s="204" t="s">
        <v>4</v>
      </c>
      <c r="AH1" s="204" t="s">
        <v>5</v>
      </c>
      <c r="AI1" s="205"/>
      <c r="AJ1" s="204" t="s">
        <v>6</v>
      </c>
      <c r="AK1" s="205"/>
      <c r="AL1" s="206" t="s">
        <v>7</v>
      </c>
      <c r="AM1" s="205"/>
      <c r="AN1" s="206" t="s">
        <v>8</v>
      </c>
      <c r="AO1" s="205"/>
      <c r="AP1" s="206" t="s">
        <v>27</v>
      </c>
      <c r="AQ1" s="205"/>
      <c r="AR1" s="206" t="s">
        <v>10</v>
      </c>
      <c r="AS1" s="205"/>
      <c r="AT1" s="207" t="s">
        <v>28</v>
      </c>
      <c r="AU1" s="205"/>
      <c r="AV1" s="206" t="s">
        <v>29</v>
      </c>
      <c r="AX1" s="208" t="s">
        <v>161</v>
      </c>
      <c r="AY1" s="209" t="s">
        <v>162</v>
      </c>
      <c r="AZ1" s="209" t="s">
        <v>163</v>
      </c>
      <c r="BA1" s="210" t="s">
        <v>164</v>
      </c>
    </row>
    <row r="2" spans="1:53" x14ac:dyDescent="0.15">
      <c r="A2" s="203" t="s">
        <v>59</v>
      </c>
      <c r="B2" s="232" t="s">
        <v>335</v>
      </c>
      <c r="C2" s="149">
        <v>2018</v>
      </c>
      <c r="D2" s="150" t="s">
        <v>410</v>
      </c>
      <c r="E2" s="203" t="s">
        <v>411</v>
      </c>
      <c r="F2" s="203" t="s">
        <v>300</v>
      </c>
      <c r="G2" s="203" t="s">
        <v>36</v>
      </c>
      <c r="H2" s="203" t="s">
        <v>155</v>
      </c>
      <c r="I2" s="203" t="s">
        <v>153</v>
      </c>
      <c r="J2" s="203" t="s">
        <v>38</v>
      </c>
      <c r="K2" s="203" t="s">
        <v>154</v>
      </c>
      <c r="L2" s="203">
        <v>1</v>
      </c>
      <c r="N2" s="203">
        <v>5</v>
      </c>
      <c r="O2" s="203">
        <v>0.35</v>
      </c>
      <c r="P2" s="203">
        <v>0.34</v>
      </c>
      <c r="Q2" s="240">
        <f>IF(OR(O2="",P2=""),"",AVERAGE(O2,P2))</f>
        <v>0.34499999999999997</v>
      </c>
      <c r="R2" s="203">
        <v>13.8</v>
      </c>
      <c r="S2" s="203">
        <v>92</v>
      </c>
      <c r="T2" s="212">
        <f t="shared" ref="T2:T67" si="0">IF(H2="","",IF(OR(H2="GREEN",H2="GK"),IF(S2&gt;=$AX$2,VLOOKUP(S2,$AX$2:$AY$12,2,1),""),IF(S2&gt;=$AZ$2,VLOOKUP(S2,$AZ$2:$BA$12,2,1),"")))</f>
        <v>36</v>
      </c>
      <c r="U2" s="203">
        <v>298</v>
      </c>
      <c r="V2" s="212">
        <f t="shared" ref="V2:V65" si="1">IF(J2="","",IF(OR(J2="GREEN",J2="GK"),IF(U2&gt;=$AX$2,VLOOKUP(U2,$AX$2:$AY$12,2,1),""),IF(U2&gt;=$AZ$2,VLOOKUP(U2,$AZ$2:$BA$12,2,1),"")))</f>
        <v>16</v>
      </c>
      <c r="W2" s="203">
        <v>4</v>
      </c>
      <c r="X2" s="203" t="s">
        <v>39</v>
      </c>
      <c r="Y2" s="203" t="s">
        <v>90</v>
      </c>
      <c r="Z2" s="203" t="s">
        <v>271</v>
      </c>
      <c r="AA2" s="203" t="s">
        <v>84</v>
      </c>
      <c r="AB2" s="232" t="s">
        <v>412</v>
      </c>
      <c r="AE2" s="213" t="s">
        <v>35</v>
      </c>
      <c r="AG2" s="151" t="s">
        <v>307</v>
      </c>
      <c r="AH2" s="152" t="s">
        <v>299</v>
      </c>
      <c r="AJ2" s="243" t="s">
        <v>36</v>
      </c>
      <c r="AL2" s="214" t="s">
        <v>127</v>
      </c>
      <c r="AN2" s="153" t="s">
        <v>413</v>
      </c>
      <c r="AP2" s="214" t="s">
        <v>38</v>
      </c>
      <c r="AR2" s="214" t="s">
        <v>414</v>
      </c>
      <c r="AT2" s="243" t="s">
        <v>39</v>
      </c>
      <c r="AV2" s="219" t="s">
        <v>55</v>
      </c>
      <c r="AX2" s="154">
        <v>1</v>
      </c>
      <c r="AY2" s="155">
        <v>50</v>
      </c>
      <c r="AZ2" s="155">
        <v>1</v>
      </c>
      <c r="BA2" s="156">
        <v>50</v>
      </c>
    </row>
    <row r="3" spans="1:53" x14ac:dyDescent="0.15">
      <c r="A3" s="203" t="s">
        <v>59</v>
      </c>
      <c r="B3" s="232" t="s">
        <v>415</v>
      </c>
      <c r="C3" s="149">
        <v>2018</v>
      </c>
      <c r="D3" s="150" t="s">
        <v>416</v>
      </c>
      <c r="E3" s="203" t="s">
        <v>417</v>
      </c>
      <c r="F3" s="203" t="s">
        <v>300</v>
      </c>
      <c r="G3" s="203" t="s">
        <v>36</v>
      </c>
      <c r="H3" s="203" t="s">
        <v>155</v>
      </c>
      <c r="I3" s="203" t="s">
        <v>153</v>
      </c>
      <c r="J3" s="203" t="s">
        <v>38</v>
      </c>
      <c r="K3" s="203" t="s">
        <v>154</v>
      </c>
      <c r="L3" s="203">
        <v>2</v>
      </c>
      <c r="N3" s="203">
        <v>5</v>
      </c>
      <c r="O3" s="203">
        <v>0.56000000000000005</v>
      </c>
      <c r="P3" s="203">
        <v>0.68</v>
      </c>
      <c r="Q3" s="240">
        <f t="shared" ref="Q3:Q67" si="2">IF(OR(O3="",P3=""),"",AVERAGE(O3,P3))</f>
        <v>0.62000000000000011</v>
      </c>
      <c r="R3" s="203">
        <v>12.7</v>
      </c>
      <c r="S3" s="203">
        <v>93</v>
      </c>
      <c r="T3" s="212">
        <f t="shared" si="0"/>
        <v>36</v>
      </c>
      <c r="U3" s="203">
        <v>298</v>
      </c>
      <c r="V3" s="212">
        <f t="shared" si="1"/>
        <v>16</v>
      </c>
      <c r="W3" s="203">
        <v>4</v>
      </c>
      <c r="X3" s="203" t="s">
        <v>39</v>
      </c>
      <c r="Y3" s="203" t="s">
        <v>90</v>
      </c>
      <c r="Z3" s="203" t="s">
        <v>271</v>
      </c>
      <c r="AA3" s="203" t="s">
        <v>84</v>
      </c>
      <c r="AB3" s="232" t="s">
        <v>412</v>
      </c>
      <c r="AE3" s="218" t="s">
        <v>41</v>
      </c>
      <c r="AG3" s="151" t="s">
        <v>308</v>
      </c>
      <c r="AH3" s="152" t="s">
        <v>300</v>
      </c>
      <c r="AJ3" s="219" t="s">
        <v>42</v>
      </c>
      <c r="AL3" s="219" t="s">
        <v>128</v>
      </c>
      <c r="AN3" s="219" t="s">
        <v>43</v>
      </c>
      <c r="AP3" s="219" t="s">
        <v>44</v>
      </c>
      <c r="AR3" s="233" t="s">
        <v>45</v>
      </c>
      <c r="AT3" s="219" t="s">
        <v>46</v>
      </c>
      <c r="AV3" s="219" t="s">
        <v>418</v>
      </c>
      <c r="AX3" s="220">
        <v>72</v>
      </c>
      <c r="AY3" s="221">
        <v>46</v>
      </c>
      <c r="AZ3" s="221">
        <v>71</v>
      </c>
      <c r="BA3" s="222">
        <v>42</v>
      </c>
    </row>
    <row r="4" spans="1:53" x14ac:dyDescent="0.15">
      <c r="A4" s="203" t="s">
        <v>59</v>
      </c>
      <c r="B4" s="232" t="s">
        <v>419</v>
      </c>
      <c r="C4" s="149">
        <v>2018</v>
      </c>
      <c r="D4" s="150" t="s">
        <v>420</v>
      </c>
      <c r="E4" s="203" t="s">
        <v>421</v>
      </c>
      <c r="F4" s="203" t="s">
        <v>300</v>
      </c>
      <c r="G4" s="203" t="s">
        <v>36</v>
      </c>
      <c r="H4" s="203" t="s">
        <v>422</v>
      </c>
      <c r="I4" s="203" t="s">
        <v>423</v>
      </c>
      <c r="J4" s="203" t="s">
        <v>38</v>
      </c>
      <c r="K4" s="203" t="s">
        <v>154</v>
      </c>
      <c r="L4" s="203">
        <v>3</v>
      </c>
      <c r="N4" s="203">
        <v>5</v>
      </c>
      <c r="O4" s="203">
        <v>0.44</v>
      </c>
      <c r="P4" s="203">
        <v>0.51</v>
      </c>
      <c r="Q4" s="240">
        <f t="shared" si="2"/>
        <v>0.47499999999999998</v>
      </c>
      <c r="R4" s="203">
        <v>13.1</v>
      </c>
      <c r="S4" s="203">
        <v>89</v>
      </c>
      <c r="T4" s="212">
        <f t="shared" si="0"/>
        <v>36</v>
      </c>
      <c r="U4" s="203">
        <v>298</v>
      </c>
      <c r="V4" s="212">
        <f t="shared" si="1"/>
        <v>16</v>
      </c>
      <c r="W4" s="203">
        <v>4</v>
      </c>
      <c r="X4" s="203" t="s">
        <v>39</v>
      </c>
      <c r="Y4" s="203" t="s">
        <v>90</v>
      </c>
      <c r="Z4" s="203" t="s">
        <v>271</v>
      </c>
      <c r="AA4" s="203" t="s">
        <v>84</v>
      </c>
      <c r="AB4" s="232" t="s">
        <v>412</v>
      </c>
      <c r="AE4" s="218" t="s">
        <v>34</v>
      </c>
      <c r="AG4" s="151" t="s">
        <v>309</v>
      </c>
      <c r="AH4" s="152" t="s">
        <v>301</v>
      </c>
      <c r="AJ4" s="223" t="s">
        <v>48</v>
      </c>
      <c r="AL4" s="223" t="s">
        <v>129</v>
      </c>
      <c r="AN4" s="224" t="s">
        <v>49</v>
      </c>
      <c r="AP4" s="219" t="s">
        <v>424</v>
      </c>
      <c r="AR4" s="233" t="s">
        <v>262</v>
      </c>
      <c r="AT4" s="224"/>
      <c r="AV4" s="219" t="s">
        <v>425</v>
      </c>
      <c r="AX4" s="220">
        <v>75</v>
      </c>
      <c r="AY4" s="221">
        <v>42</v>
      </c>
      <c r="AZ4" s="221">
        <v>76</v>
      </c>
      <c r="BA4" s="222">
        <v>39</v>
      </c>
    </row>
    <row r="5" spans="1:53" x14ac:dyDescent="0.15">
      <c r="A5" s="203" t="s">
        <v>59</v>
      </c>
      <c r="B5" s="232" t="s">
        <v>419</v>
      </c>
      <c r="C5" s="149">
        <v>2018</v>
      </c>
      <c r="D5" s="150" t="s">
        <v>420</v>
      </c>
      <c r="E5" s="203" t="s">
        <v>421</v>
      </c>
      <c r="F5" s="203" t="s">
        <v>300</v>
      </c>
      <c r="G5" s="203" t="s">
        <v>36</v>
      </c>
      <c r="H5" s="203" t="s">
        <v>128</v>
      </c>
      <c r="I5" s="203" t="s">
        <v>153</v>
      </c>
      <c r="J5" s="203" t="s">
        <v>265</v>
      </c>
      <c r="K5" s="203" t="s">
        <v>262</v>
      </c>
      <c r="L5" s="203">
        <v>1</v>
      </c>
      <c r="N5" s="203">
        <v>4</v>
      </c>
      <c r="O5" s="203">
        <v>0.38</v>
      </c>
      <c r="P5" s="203">
        <v>0.49</v>
      </c>
      <c r="Q5" s="240">
        <f t="shared" si="2"/>
        <v>0.435</v>
      </c>
      <c r="R5" s="203">
        <v>17</v>
      </c>
      <c r="S5" s="203">
        <v>135</v>
      </c>
      <c r="T5" s="212">
        <f t="shared" si="0"/>
        <v>30</v>
      </c>
      <c r="U5" s="203">
        <v>480</v>
      </c>
      <c r="V5" s="212">
        <f t="shared" si="1"/>
        <v>16</v>
      </c>
      <c r="W5" s="203">
        <v>8</v>
      </c>
      <c r="X5" s="203" t="s">
        <v>39</v>
      </c>
      <c r="Y5" s="203" t="s">
        <v>90</v>
      </c>
      <c r="Z5" s="203" t="s">
        <v>271</v>
      </c>
      <c r="AA5" s="203" t="s">
        <v>84</v>
      </c>
      <c r="AB5" s="232" t="s">
        <v>412</v>
      </c>
      <c r="AE5" s="218" t="s">
        <v>51</v>
      </c>
      <c r="AG5" s="151" t="s">
        <v>263</v>
      </c>
      <c r="AH5" s="152" t="s">
        <v>302</v>
      </c>
      <c r="AJ5" s="224"/>
      <c r="AL5" s="225" t="s">
        <v>426</v>
      </c>
      <c r="AN5" s="72" t="s">
        <v>427</v>
      </c>
      <c r="AP5" s="219" t="s">
        <v>428</v>
      </c>
      <c r="AR5" s="233" t="s">
        <v>54</v>
      </c>
      <c r="AV5" s="219" t="s">
        <v>429</v>
      </c>
      <c r="AX5" s="220">
        <v>84</v>
      </c>
      <c r="AY5" s="221">
        <v>39</v>
      </c>
      <c r="AZ5" s="221">
        <v>84</v>
      </c>
      <c r="BA5" s="222">
        <v>36</v>
      </c>
    </row>
    <row r="6" spans="1:53" x14ac:dyDescent="0.15">
      <c r="A6" s="203" t="s">
        <v>59</v>
      </c>
      <c r="B6" s="232" t="s">
        <v>419</v>
      </c>
      <c r="C6" s="149">
        <v>2018</v>
      </c>
      <c r="D6" s="150" t="s">
        <v>420</v>
      </c>
      <c r="E6" s="203" t="s">
        <v>421</v>
      </c>
      <c r="F6" s="203" t="s">
        <v>300</v>
      </c>
      <c r="G6" s="203" t="s">
        <v>36</v>
      </c>
      <c r="H6" s="203" t="s">
        <v>128</v>
      </c>
      <c r="I6" s="203" t="s">
        <v>153</v>
      </c>
      <c r="J6" s="203" t="s">
        <v>265</v>
      </c>
      <c r="K6" s="203" t="s">
        <v>262</v>
      </c>
      <c r="L6" s="203">
        <v>2</v>
      </c>
      <c r="N6" s="203">
        <v>4</v>
      </c>
      <c r="O6" s="203">
        <v>0.57999999999999996</v>
      </c>
      <c r="P6" s="203">
        <v>0.57999999999999996</v>
      </c>
      <c r="Q6" s="240">
        <f t="shared" si="2"/>
        <v>0.57999999999999996</v>
      </c>
      <c r="R6" s="203">
        <v>17.399999999999999</v>
      </c>
      <c r="S6" s="203">
        <v>132</v>
      </c>
      <c r="T6" s="212">
        <f t="shared" si="0"/>
        <v>30</v>
      </c>
      <c r="U6" s="203">
        <v>480</v>
      </c>
      <c r="V6" s="212">
        <f t="shared" si="1"/>
        <v>16</v>
      </c>
      <c r="W6" s="203">
        <v>8</v>
      </c>
      <c r="X6" s="203" t="s">
        <v>39</v>
      </c>
      <c r="Y6" s="203" t="s">
        <v>90</v>
      </c>
      <c r="Z6" s="203" t="s">
        <v>271</v>
      </c>
      <c r="AA6" s="203" t="s">
        <v>84</v>
      </c>
      <c r="AB6" s="232" t="s">
        <v>412</v>
      </c>
      <c r="AE6" s="218" t="s">
        <v>56</v>
      </c>
      <c r="AG6" s="151" t="s">
        <v>310</v>
      </c>
      <c r="AH6" s="152" t="s">
        <v>303</v>
      </c>
      <c r="AL6" s="225" t="s">
        <v>430</v>
      </c>
      <c r="AN6" s="225" t="s">
        <v>431</v>
      </c>
      <c r="AP6" s="219" t="s">
        <v>53</v>
      </c>
      <c r="AR6" s="233" t="s">
        <v>171</v>
      </c>
      <c r="AV6" s="219" t="s">
        <v>60</v>
      </c>
      <c r="AX6" s="220">
        <v>97</v>
      </c>
      <c r="AY6" s="221">
        <v>36</v>
      </c>
      <c r="AZ6" s="221">
        <v>99</v>
      </c>
      <c r="BA6" s="222">
        <v>33</v>
      </c>
    </row>
    <row r="7" spans="1:53" x14ac:dyDescent="0.15">
      <c r="A7" s="203" t="s">
        <v>59</v>
      </c>
      <c r="B7" s="232" t="s">
        <v>385</v>
      </c>
      <c r="C7" s="149">
        <v>2018</v>
      </c>
      <c r="D7" s="150" t="s">
        <v>432</v>
      </c>
      <c r="E7" s="203" t="s">
        <v>433</v>
      </c>
      <c r="F7" s="203" t="s">
        <v>300</v>
      </c>
      <c r="G7" s="203" t="s">
        <v>36</v>
      </c>
      <c r="H7" s="203" t="s">
        <v>128</v>
      </c>
      <c r="I7" s="203" t="s">
        <v>153</v>
      </c>
      <c r="J7" s="203" t="s">
        <v>265</v>
      </c>
      <c r="K7" s="203" t="s">
        <v>262</v>
      </c>
      <c r="L7" s="203">
        <v>3</v>
      </c>
      <c r="N7" s="203">
        <v>4</v>
      </c>
      <c r="O7" s="203">
        <v>0.48</v>
      </c>
      <c r="P7" s="203">
        <v>0.35</v>
      </c>
      <c r="Q7" s="240">
        <f t="shared" si="2"/>
        <v>0.41499999999999998</v>
      </c>
      <c r="R7" s="203">
        <v>17.3</v>
      </c>
      <c r="S7" s="203">
        <v>139</v>
      </c>
      <c r="T7" s="212">
        <f t="shared" si="0"/>
        <v>30</v>
      </c>
      <c r="U7" s="203">
        <v>480</v>
      </c>
      <c r="V7" s="212">
        <f t="shared" si="1"/>
        <v>16</v>
      </c>
      <c r="W7" s="203">
        <v>8</v>
      </c>
      <c r="X7" s="203" t="s">
        <v>39</v>
      </c>
      <c r="Y7" s="203" t="s">
        <v>90</v>
      </c>
      <c r="Z7" s="203" t="s">
        <v>271</v>
      </c>
      <c r="AA7" s="203" t="s">
        <v>84</v>
      </c>
      <c r="AB7" s="232" t="s">
        <v>412</v>
      </c>
      <c r="AE7" s="218" t="s">
        <v>61</v>
      </c>
      <c r="AG7" s="151" t="s">
        <v>311</v>
      </c>
      <c r="AH7" s="152" t="s">
        <v>304</v>
      </c>
      <c r="AL7" s="230" t="s">
        <v>434</v>
      </c>
      <c r="AP7" s="219" t="s">
        <v>58</v>
      </c>
      <c r="AR7" s="226" t="s">
        <v>264</v>
      </c>
      <c r="AV7" s="219" t="s">
        <v>64</v>
      </c>
      <c r="AX7" s="220">
        <v>109</v>
      </c>
      <c r="AY7" s="221">
        <v>33</v>
      </c>
      <c r="AZ7" s="221">
        <v>113</v>
      </c>
      <c r="BA7" s="222">
        <v>30</v>
      </c>
    </row>
    <row r="8" spans="1:53" x14ac:dyDescent="0.15">
      <c r="A8" s="203" t="s">
        <v>59</v>
      </c>
      <c r="B8" s="232" t="s">
        <v>435</v>
      </c>
      <c r="C8" s="149">
        <v>2018</v>
      </c>
      <c r="D8" s="150" t="s">
        <v>436</v>
      </c>
      <c r="E8" s="203" t="s">
        <v>307</v>
      </c>
      <c r="F8" s="203" t="s">
        <v>299</v>
      </c>
      <c r="G8" s="203" t="s">
        <v>36</v>
      </c>
      <c r="H8" s="203" t="s">
        <v>166</v>
      </c>
      <c r="I8" s="203" t="s">
        <v>153</v>
      </c>
      <c r="J8" s="203" t="s">
        <v>38</v>
      </c>
      <c r="K8" s="203" t="s">
        <v>171</v>
      </c>
      <c r="L8" s="203">
        <v>1</v>
      </c>
      <c r="N8" s="203">
        <v>4</v>
      </c>
      <c r="O8" s="203">
        <v>0.62</v>
      </c>
      <c r="P8" s="203">
        <v>0.5</v>
      </c>
      <c r="Q8" s="240">
        <f t="shared" si="2"/>
        <v>0.56000000000000005</v>
      </c>
      <c r="R8" s="203">
        <v>15.7</v>
      </c>
      <c r="S8" s="203">
        <v>80</v>
      </c>
      <c r="T8" s="212">
        <f t="shared" si="0"/>
        <v>39</v>
      </c>
      <c r="U8" s="203">
        <v>457</v>
      </c>
      <c r="V8" s="212">
        <f t="shared" si="1"/>
        <v>16</v>
      </c>
      <c r="W8" s="203">
        <v>4</v>
      </c>
      <c r="X8" s="203" t="s">
        <v>39</v>
      </c>
      <c r="Y8" s="203" t="s">
        <v>84</v>
      </c>
      <c r="Z8" s="203" t="s">
        <v>90</v>
      </c>
      <c r="AA8" s="203" t="s">
        <v>69</v>
      </c>
      <c r="AB8" s="232" t="s">
        <v>437</v>
      </c>
      <c r="AE8" s="218" t="s">
        <v>51</v>
      </c>
      <c r="AG8" s="151" t="s">
        <v>263</v>
      </c>
      <c r="AH8" s="152" t="s">
        <v>302</v>
      </c>
      <c r="AJ8" s="224"/>
      <c r="AL8" s="225" t="s">
        <v>438</v>
      </c>
      <c r="AN8" s="72" t="s">
        <v>439</v>
      </c>
      <c r="AP8" s="219" t="s">
        <v>440</v>
      </c>
      <c r="AR8" s="233" t="s">
        <v>54</v>
      </c>
      <c r="AV8" s="219" t="s">
        <v>441</v>
      </c>
      <c r="AX8" s="220">
        <v>84</v>
      </c>
      <c r="AY8" s="221">
        <v>39</v>
      </c>
      <c r="AZ8" s="221">
        <v>84</v>
      </c>
      <c r="BA8" s="222">
        <v>36</v>
      </c>
    </row>
    <row r="9" spans="1:53" x14ac:dyDescent="0.15">
      <c r="A9" s="203" t="s">
        <v>59</v>
      </c>
      <c r="B9" s="232" t="s">
        <v>385</v>
      </c>
      <c r="C9" s="149">
        <v>2018</v>
      </c>
      <c r="D9" s="150" t="s">
        <v>432</v>
      </c>
      <c r="E9" s="203" t="s">
        <v>307</v>
      </c>
      <c r="F9" s="203" t="s">
        <v>299</v>
      </c>
      <c r="G9" s="203" t="s">
        <v>36</v>
      </c>
      <c r="H9" s="203" t="s">
        <v>166</v>
      </c>
      <c r="I9" s="203" t="s">
        <v>153</v>
      </c>
      <c r="J9" s="203" t="s">
        <v>38</v>
      </c>
      <c r="K9" s="203" t="s">
        <v>171</v>
      </c>
      <c r="L9" s="203">
        <v>2</v>
      </c>
      <c r="N9" s="203">
        <v>4</v>
      </c>
      <c r="O9" s="203">
        <v>0.5</v>
      </c>
      <c r="P9" s="203">
        <v>0.5</v>
      </c>
      <c r="Q9" s="240">
        <f t="shared" si="2"/>
        <v>0.5</v>
      </c>
      <c r="R9" s="203">
        <v>15.7</v>
      </c>
      <c r="S9" s="203">
        <v>82</v>
      </c>
      <c r="T9" s="212">
        <f t="shared" si="0"/>
        <v>39</v>
      </c>
      <c r="U9" s="203">
        <v>457</v>
      </c>
      <c r="V9" s="212">
        <f t="shared" si="1"/>
        <v>16</v>
      </c>
      <c r="W9" s="203">
        <v>4</v>
      </c>
      <c r="X9" s="203" t="s">
        <v>39</v>
      </c>
      <c r="Y9" s="203" t="s">
        <v>84</v>
      </c>
      <c r="Z9" s="203" t="s">
        <v>90</v>
      </c>
      <c r="AA9" s="203" t="s">
        <v>69</v>
      </c>
      <c r="AB9" s="232" t="s">
        <v>437</v>
      </c>
      <c r="AE9" s="218" t="s">
        <v>56</v>
      </c>
      <c r="AG9" s="151" t="s">
        <v>310</v>
      </c>
      <c r="AH9" s="152" t="s">
        <v>303</v>
      </c>
      <c r="AL9" s="225" t="s">
        <v>442</v>
      </c>
      <c r="AN9" s="225" t="s">
        <v>443</v>
      </c>
      <c r="AP9" s="219" t="s">
        <v>53</v>
      </c>
      <c r="AR9" s="233" t="s">
        <v>171</v>
      </c>
      <c r="AV9" s="219" t="s">
        <v>60</v>
      </c>
      <c r="AX9" s="220">
        <v>97</v>
      </c>
      <c r="AY9" s="221">
        <v>36</v>
      </c>
      <c r="AZ9" s="221">
        <v>99</v>
      </c>
      <c r="BA9" s="222">
        <v>33</v>
      </c>
    </row>
    <row r="10" spans="1:53" x14ac:dyDescent="0.15">
      <c r="A10" s="203" t="s">
        <v>59</v>
      </c>
      <c r="B10" s="232" t="s">
        <v>385</v>
      </c>
      <c r="C10" s="149">
        <v>2018</v>
      </c>
      <c r="D10" s="150" t="s">
        <v>432</v>
      </c>
      <c r="E10" s="203" t="s">
        <v>307</v>
      </c>
      <c r="F10" s="203" t="s">
        <v>299</v>
      </c>
      <c r="G10" s="203" t="s">
        <v>36</v>
      </c>
      <c r="H10" s="203" t="s">
        <v>166</v>
      </c>
      <c r="I10" s="203" t="s">
        <v>153</v>
      </c>
      <c r="J10" s="203" t="s">
        <v>38</v>
      </c>
      <c r="K10" s="203" t="s">
        <v>171</v>
      </c>
      <c r="L10" s="203">
        <v>3</v>
      </c>
      <c r="N10" s="203">
        <v>4</v>
      </c>
      <c r="O10" s="203">
        <v>0.61</v>
      </c>
      <c r="P10" s="203">
        <v>0.5</v>
      </c>
      <c r="Q10" s="240">
        <f t="shared" si="2"/>
        <v>0.55499999999999994</v>
      </c>
      <c r="R10" s="203">
        <v>13.8</v>
      </c>
      <c r="S10" s="203">
        <v>90</v>
      </c>
      <c r="T10" s="212">
        <f t="shared" si="0"/>
        <v>36</v>
      </c>
      <c r="U10" s="203">
        <v>457</v>
      </c>
      <c r="V10" s="212">
        <f t="shared" si="1"/>
        <v>16</v>
      </c>
      <c r="W10" s="203">
        <v>4</v>
      </c>
      <c r="X10" s="203" t="s">
        <v>39</v>
      </c>
      <c r="Y10" s="203" t="s">
        <v>84</v>
      </c>
      <c r="Z10" s="203" t="s">
        <v>90</v>
      </c>
      <c r="AA10" s="203" t="s">
        <v>69</v>
      </c>
      <c r="AB10" s="232" t="s">
        <v>437</v>
      </c>
      <c r="AE10" s="218" t="s">
        <v>61</v>
      </c>
      <c r="AG10" s="151" t="s">
        <v>311</v>
      </c>
      <c r="AH10" s="152" t="s">
        <v>304</v>
      </c>
      <c r="AL10" s="230" t="s">
        <v>434</v>
      </c>
      <c r="AP10" s="219" t="s">
        <v>58</v>
      </c>
      <c r="AR10" s="226" t="s">
        <v>264</v>
      </c>
      <c r="AV10" s="219" t="s">
        <v>64</v>
      </c>
      <c r="AX10" s="220">
        <v>109</v>
      </c>
      <c r="AY10" s="221">
        <v>33</v>
      </c>
      <c r="AZ10" s="221">
        <v>113</v>
      </c>
      <c r="BA10" s="222">
        <v>30</v>
      </c>
    </row>
    <row r="11" spans="1:53" x14ac:dyDescent="0.15">
      <c r="A11" s="203" t="s">
        <v>59</v>
      </c>
      <c r="B11" s="232" t="s">
        <v>435</v>
      </c>
      <c r="C11" s="149">
        <v>2018</v>
      </c>
      <c r="D11" s="150" t="s">
        <v>436</v>
      </c>
      <c r="E11" s="203" t="s">
        <v>307</v>
      </c>
      <c r="F11" s="203" t="s">
        <v>299</v>
      </c>
      <c r="G11" s="203" t="s">
        <v>36</v>
      </c>
      <c r="H11" s="203" t="s">
        <v>155</v>
      </c>
      <c r="I11" s="203" t="s">
        <v>153</v>
      </c>
      <c r="J11" s="203" t="s">
        <v>38</v>
      </c>
      <c r="K11" s="203" t="s">
        <v>154</v>
      </c>
      <c r="L11" s="203">
        <v>1</v>
      </c>
      <c r="N11" s="203">
        <v>2</v>
      </c>
      <c r="O11" s="203">
        <v>0.67</v>
      </c>
      <c r="P11" s="203">
        <v>0.8</v>
      </c>
      <c r="Q11" s="240">
        <f t="shared" si="2"/>
        <v>0.7350000000000001</v>
      </c>
      <c r="R11" s="203">
        <v>14.6</v>
      </c>
      <c r="S11" s="203">
        <v>143</v>
      </c>
      <c r="T11" s="212">
        <f t="shared" si="0"/>
        <v>30</v>
      </c>
      <c r="U11" s="203">
        <v>277</v>
      </c>
      <c r="V11" s="212">
        <f t="shared" si="1"/>
        <v>16</v>
      </c>
      <c r="W11" s="203">
        <v>7</v>
      </c>
      <c r="X11" s="203" t="s">
        <v>39</v>
      </c>
      <c r="Y11" s="203" t="s">
        <v>84</v>
      </c>
      <c r="Z11" s="203" t="s">
        <v>90</v>
      </c>
      <c r="AA11" s="203" t="s">
        <v>69</v>
      </c>
      <c r="AB11" s="232" t="s">
        <v>444</v>
      </c>
      <c r="AE11" s="218" t="s">
        <v>65</v>
      </c>
      <c r="AG11" s="157" t="s">
        <v>315</v>
      </c>
      <c r="AH11" s="152" t="s">
        <v>306</v>
      </c>
      <c r="AL11" s="88"/>
      <c r="AP11" s="219" t="s">
        <v>265</v>
      </c>
      <c r="AR11" s="226" t="s">
        <v>266</v>
      </c>
      <c r="AV11" s="219" t="s">
        <v>445</v>
      </c>
      <c r="AX11" s="220">
        <v>151</v>
      </c>
      <c r="AY11" s="221">
        <v>22</v>
      </c>
      <c r="AZ11" s="221">
        <v>152</v>
      </c>
      <c r="BA11" s="222">
        <v>18</v>
      </c>
    </row>
    <row r="12" spans="1:53" x14ac:dyDescent="0.15">
      <c r="A12" s="203" t="s">
        <v>59</v>
      </c>
      <c r="B12" s="232" t="s">
        <v>446</v>
      </c>
      <c r="C12" s="149">
        <v>2018</v>
      </c>
      <c r="D12" s="150" t="s">
        <v>447</v>
      </c>
      <c r="E12" s="203" t="s">
        <v>307</v>
      </c>
      <c r="F12" s="203" t="s">
        <v>299</v>
      </c>
      <c r="G12" s="203" t="s">
        <v>36</v>
      </c>
      <c r="H12" s="203" t="s">
        <v>155</v>
      </c>
      <c r="I12" s="203" t="s">
        <v>153</v>
      </c>
      <c r="J12" s="203" t="s">
        <v>38</v>
      </c>
      <c r="K12" s="203" t="s">
        <v>154</v>
      </c>
      <c r="L12" s="203">
        <v>2</v>
      </c>
      <c r="N12" s="203">
        <v>2</v>
      </c>
      <c r="O12" s="203">
        <v>0.59</v>
      </c>
      <c r="P12" s="203">
        <v>0.61</v>
      </c>
      <c r="Q12" s="240">
        <f t="shared" si="2"/>
        <v>0.6</v>
      </c>
      <c r="R12" s="203">
        <v>13.6</v>
      </c>
      <c r="S12" s="203">
        <v>148</v>
      </c>
      <c r="T12" s="212">
        <f t="shared" si="0"/>
        <v>30</v>
      </c>
      <c r="U12" s="203">
        <v>277</v>
      </c>
      <c r="V12" s="212">
        <f t="shared" si="1"/>
        <v>16</v>
      </c>
      <c r="W12" s="203">
        <v>7</v>
      </c>
      <c r="X12" s="203" t="s">
        <v>39</v>
      </c>
      <c r="Y12" s="203" t="s">
        <v>84</v>
      </c>
      <c r="Z12" s="203" t="s">
        <v>90</v>
      </c>
      <c r="AA12" s="203" t="s">
        <v>69</v>
      </c>
      <c r="AB12" s="232" t="s">
        <v>444</v>
      </c>
      <c r="AE12" s="218" t="s">
        <v>70</v>
      </c>
      <c r="AG12" s="226"/>
      <c r="AH12" s="158"/>
      <c r="AL12" s="88"/>
      <c r="AP12" s="219" t="s">
        <v>67</v>
      </c>
      <c r="AR12" s="226" t="s">
        <v>124</v>
      </c>
      <c r="AV12" s="219" t="s">
        <v>72</v>
      </c>
      <c r="AX12" s="227">
        <v>180</v>
      </c>
      <c r="AY12" s="228">
        <v>18</v>
      </c>
      <c r="AZ12" s="228">
        <v>181</v>
      </c>
      <c r="BA12" s="229">
        <v>16</v>
      </c>
    </row>
    <row r="13" spans="1:53" x14ac:dyDescent="0.15">
      <c r="A13" s="203" t="s">
        <v>59</v>
      </c>
      <c r="B13" s="232" t="s">
        <v>389</v>
      </c>
      <c r="C13" s="149">
        <v>2018</v>
      </c>
      <c r="D13" s="150" t="s">
        <v>448</v>
      </c>
      <c r="E13" s="203" t="s">
        <v>307</v>
      </c>
      <c r="F13" s="203" t="s">
        <v>299</v>
      </c>
      <c r="G13" s="203" t="s">
        <v>36</v>
      </c>
      <c r="H13" s="203" t="s">
        <v>155</v>
      </c>
      <c r="I13" s="203" t="s">
        <v>153</v>
      </c>
      <c r="J13" s="203" t="s">
        <v>38</v>
      </c>
      <c r="K13" s="203" t="s">
        <v>154</v>
      </c>
      <c r="L13" s="203">
        <v>3</v>
      </c>
      <c r="N13" s="203">
        <v>2</v>
      </c>
      <c r="O13" s="203">
        <v>0.6</v>
      </c>
      <c r="P13" s="203">
        <v>0.65</v>
      </c>
      <c r="Q13" s="240">
        <f t="shared" si="2"/>
        <v>0.625</v>
      </c>
      <c r="R13" s="203">
        <v>15.2</v>
      </c>
      <c r="S13" s="203">
        <v>146</v>
      </c>
      <c r="T13" s="212">
        <f t="shared" si="0"/>
        <v>30</v>
      </c>
      <c r="U13" s="203">
        <v>277</v>
      </c>
      <c r="V13" s="212">
        <f t="shared" si="1"/>
        <v>16</v>
      </c>
      <c r="W13" s="203">
        <v>7</v>
      </c>
      <c r="X13" s="203" t="s">
        <v>39</v>
      </c>
      <c r="Y13" s="203" t="s">
        <v>84</v>
      </c>
      <c r="Z13" s="203" t="s">
        <v>90</v>
      </c>
      <c r="AA13" s="203" t="s">
        <v>69</v>
      </c>
      <c r="AB13" s="232" t="s">
        <v>444</v>
      </c>
      <c r="AE13" s="218" t="s">
        <v>73</v>
      </c>
      <c r="AG13" s="219"/>
      <c r="AH13" s="219"/>
      <c r="AP13" s="219" t="s">
        <v>71</v>
      </c>
      <c r="AR13" s="226" t="s">
        <v>103</v>
      </c>
      <c r="AV13" s="219" t="s">
        <v>75</v>
      </c>
    </row>
    <row r="14" spans="1:53" x14ac:dyDescent="0.15">
      <c r="A14" s="203" t="s">
        <v>59</v>
      </c>
      <c r="B14" s="232" t="s">
        <v>393</v>
      </c>
      <c r="C14" s="149">
        <v>2018</v>
      </c>
      <c r="D14" s="150" t="s">
        <v>449</v>
      </c>
      <c r="E14" s="203" t="s">
        <v>307</v>
      </c>
      <c r="F14" s="203" t="s">
        <v>299</v>
      </c>
      <c r="G14" s="203" t="s">
        <v>36</v>
      </c>
      <c r="H14" s="203" t="s">
        <v>128</v>
      </c>
      <c r="I14" s="203" t="s">
        <v>153</v>
      </c>
      <c r="J14" s="203" t="s">
        <v>80</v>
      </c>
      <c r="K14" s="203" t="s">
        <v>126</v>
      </c>
      <c r="L14" s="203">
        <v>1</v>
      </c>
      <c r="N14" s="203">
        <v>5</v>
      </c>
      <c r="O14" s="203">
        <v>0.45</v>
      </c>
      <c r="P14" s="203">
        <v>0.57999999999999996</v>
      </c>
      <c r="Q14" s="240">
        <f t="shared" si="2"/>
        <v>0.51500000000000001</v>
      </c>
      <c r="R14" s="203">
        <v>16.100000000000001</v>
      </c>
      <c r="S14" s="203">
        <v>94</v>
      </c>
      <c r="T14" s="212">
        <f t="shared" si="0"/>
        <v>36</v>
      </c>
      <c r="U14" s="203">
        <v>397</v>
      </c>
      <c r="V14" s="212">
        <f t="shared" si="1"/>
        <v>16</v>
      </c>
      <c r="W14" s="203">
        <v>2</v>
      </c>
      <c r="X14" s="203" t="s">
        <v>39</v>
      </c>
      <c r="Y14" s="203" t="s">
        <v>84</v>
      </c>
      <c r="Z14" s="203" t="s">
        <v>90</v>
      </c>
      <c r="AA14" s="203" t="s">
        <v>69</v>
      </c>
      <c r="AB14" s="232" t="s">
        <v>444</v>
      </c>
      <c r="AE14" s="218" t="s">
        <v>76</v>
      </c>
      <c r="AG14" s="219"/>
      <c r="AH14" s="219"/>
      <c r="AP14" s="219" t="s">
        <v>267</v>
      </c>
      <c r="AR14" s="226" t="s">
        <v>125</v>
      </c>
      <c r="AV14" s="219" t="s">
        <v>78</v>
      </c>
    </row>
    <row r="15" spans="1:53" x14ac:dyDescent="0.15">
      <c r="A15" s="203" t="s">
        <v>59</v>
      </c>
      <c r="B15" s="232" t="s">
        <v>415</v>
      </c>
      <c r="C15" s="149">
        <v>2018</v>
      </c>
      <c r="D15" s="150" t="s">
        <v>416</v>
      </c>
      <c r="E15" s="203" t="s">
        <v>307</v>
      </c>
      <c r="F15" s="203" t="s">
        <v>299</v>
      </c>
      <c r="G15" s="203" t="s">
        <v>36</v>
      </c>
      <c r="H15" s="203" t="s">
        <v>128</v>
      </c>
      <c r="I15" s="203" t="s">
        <v>153</v>
      </c>
      <c r="J15" s="203" t="s">
        <v>80</v>
      </c>
      <c r="K15" s="203" t="s">
        <v>126</v>
      </c>
      <c r="L15" s="203">
        <v>2</v>
      </c>
      <c r="N15" s="203">
        <v>5</v>
      </c>
      <c r="O15" s="203">
        <v>0.42</v>
      </c>
      <c r="P15" s="203">
        <v>0.65</v>
      </c>
      <c r="Q15" s="240">
        <f t="shared" si="2"/>
        <v>0.53500000000000003</v>
      </c>
      <c r="R15" s="203">
        <v>16.5</v>
      </c>
      <c r="S15" s="203">
        <v>106</v>
      </c>
      <c r="T15" s="212">
        <f t="shared" si="0"/>
        <v>33</v>
      </c>
      <c r="U15" s="203">
        <v>397</v>
      </c>
      <c r="V15" s="212">
        <f t="shared" si="1"/>
        <v>16</v>
      </c>
      <c r="W15" s="203">
        <v>2</v>
      </c>
      <c r="X15" s="203" t="s">
        <v>39</v>
      </c>
      <c r="Y15" s="203" t="s">
        <v>84</v>
      </c>
      <c r="Z15" s="203" t="s">
        <v>90</v>
      </c>
      <c r="AA15" s="203" t="s">
        <v>69</v>
      </c>
      <c r="AB15" s="232" t="s">
        <v>444</v>
      </c>
      <c r="AE15" s="218" t="s">
        <v>79</v>
      </c>
      <c r="AG15" s="219"/>
      <c r="AH15" s="219"/>
      <c r="AP15" s="219" t="s">
        <v>268</v>
      </c>
      <c r="AR15" s="226" t="s">
        <v>94</v>
      </c>
      <c r="AV15" s="219" t="s">
        <v>107</v>
      </c>
    </row>
    <row r="16" spans="1:53" x14ac:dyDescent="0.15">
      <c r="A16" s="203" t="s">
        <v>59</v>
      </c>
      <c r="B16" s="232" t="s">
        <v>398</v>
      </c>
      <c r="C16" s="149">
        <v>2018</v>
      </c>
      <c r="D16" s="150" t="s">
        <v>450</v>
      </c>
      <c r="E16" s="203" t="s">
        <v>307</v>
      </c>
      <c r="F16" s="203" t="s">
        <v>299</v>
      </c>
      <c r="G16" s="203" t="s">
        <v>36</v>
      </c>
      <c r="H16" s="203" t="s">
        <v>128</v>
      </c>
      <c r="I16" s="203" t="s">
        <v>153</v>
      </c>
      <c r="J16" s="203" t="s">
        <v>80</v>
      </c>
      <c r="K16" s="203" t="s">
        <v>126</v>
      </c>
      <c r="L16" s="203">
        <v>3</v>
      </c>
      <c r="N16" s="203">
        <v>5</v>
      </c>
      <c r="O16" s="203">
        <v>0.91</v>
      </c>
      <c r="P16" s="203">
        <v>0.95</v>
      </c>
      <c r="Q16" s="240">
        <f t="shared" si="2"/>
        <v>0.92999999999999994</v>
      </c>
      <c r="R16" s="203">
        <v>14</v>
      </c>
      <c r="S16" s="203">
        <v>116</v>
      </c>
      <c r="T16" s="212">
        <f t="shared" si="0"/>
        <v>30</v>
      </c>
      <c r="U16" s="203">
        <v>397</v>
      </c>
      <c r="V16" s="212">
        <f t="shared" si="1"/>
        <v>16</v>
      </c>
      <c r="W16" s="203">
        <v>2</v>
      </c>
      <c r="X16" s="203" t="s">
        <v>39</v>
      </c>
      <c r="Y16" s="203" t="s">
        <v>84</v>
      </c>
      <c r="Z16" s="203" t="s">
        <v>90</v>
      </c>
      <c r="AA16" s="203" t="s">
        <v>69</v>
      </c>
      <c r="AB16" s="232" t="s">
        <v>444</v>
      </c>
      <c r="AE16" s="218" t="s">
        <v>82</v>
      </c>
      <c r="AG16" s="224"/>
      <c r="AH16" s="224"/>
      <c r="AP16" s="219" t="s">
        <v>80</v>
      </c>
      <c r="AR16" s="233" t="s">
        <v>63</v>
      </c>
      <c r="AV16" s="219" t="s">
        <v>84</v>
      </c>
    </row>
    <row r="17" spans="1:48" x14ac:dyDescent="0.15">
      <c r="A17" s="203" t="s">
        <v>59</v>
      </c>
      <c r="B17" s="232" t="s">
        <v>415</v>
      </c>
      <c r="C17" s="149">
        <v>2018</v>
      </c>
      <c r="D17" s="150" t="s">
        <v>416</v>
      </c>
      <c r="E17" s="203" t="s">
        <v>263</v>
      </c>
      <c r="F17" s="203" t="s">
        <v>302</v>
      </c>
      <c r="G17" s="203" t="s">
        <v>36</v>
      </c>
      <c r="H17" s="203" t="s">
        <v>166</v>
      </c>
      <c r="I17" s="203" t="s">
        <v>153</v>
      </c>
      <c r="J17" s="203" t="s">
        <v>38</v>
      </c>
      <c r="K17" s="203" t="s">
        <v>154</v>
      </c>
      <c r="L17" s="203">
        <v>1</v>
      </c>
      <c r="N17" s="203">
        <v>3</v>
      </c>
      <c r="O17" s="203">
        <v>0.3</v>
      </c>
      <c r="P17" s="203">
        <v>0.34</v>
      </c>
      <c r="Q17" s="240">
        <f t="shared" si="2"/>
        <v>0.32</v>
      </c>
      <c r="R17" s="203">
        <v>15.8</v>
      </c>
      <c r="S17" s="203">
        <v>124</v>
      </c>
      <c r="T17" s="212">
        <f t="shared" si="0"/>
        <v>30</v>
      </c>
      <c r="U17" s="203">
        <v>399</v>
      </c>
      <c r="V17" s="212">
        <f t="shared" si="1"/>
        <v>16</v>
      </c>
      <c r="W17" s="203">
        <v>3</v>
      </c>
      <c r="X17" s="203" t="s">
        <v>39</v>
      </c>
      <c r="Y17" s="203" t="s">
        <v>84</v>
      </c>
      <c r="Z17" s="203" t="s">
        <v>90</v>
      </c>
      <c r="AA17" s="203" t="s">
        <v>271</v>
      </c>
      <c r="AB17" s="232" t="s">
        <v>412</v>
      </c>
      <c r="AE17" s="218" t="s">
        <v>85</v>
      </c>
      <c r="AP17" s="234" t="s">
        <v>110</v>
      </c>
      <c r="AR17" s="233" t="s">
        <v>96</v>
      </c>
      <c r="AV17" s="219" t="s">
        <v>86</v>
      </c>
    </row>
    <row r="18" spans="1:48" x14ac:dyDescent="0.15">
      <c r="A18" s="203" t="s">
        <v>59</v>
      </c>
      <c r="B18" s="232" t="s">
        <v>419</v>
      </c>
      <c r="C18" s="149">
        <v>2018</v>
      </c>
      <c r="D18" s="150" t="s">
        <v>420</v>
      </c>
      <c r="E18" s="203" t="s">
        <v>263</v>
      </c>
      <c r="F18" s="203" t="s">
        <v>302</v>
      </c>
      <c r="G18" s="203" t="s">
        <v>36</v>
      </c>
      <c r="H18" s="203" t="s">
        <v>166</v>
      </c>
      <c r="I18" s="203" t="s">
        <v>153</v>
      </c>
      <c r="J18" s="203" t="s">
        <v>38</v>
      </c>
      <c r="K18" s="203" t="s">
        <v>154</v>
      </c>
      <c r="L18" s="203">
        <v>2</v>
      </c>
      <c r="N18" s="203">
        <v>3</v>
      </c>
      <c r="O18" s="203">
        <v>0.28000000000000003</v>
      </c>
      <c r="P18" s="203">
        <v>0.32</v>
      </c>
      <c r="Q18" s="240">
        <f t="shared" si="2"/>
        <v>0.30000000000000004</v>
      </c>
      <c r="R18" s="203">
        <v>15</v>
      </c>
      <c r="S18" s="203">
        <v>125</v>
      </c>
      <c r="T18" s="212">
        <f t="shared" si="0"/>
        <v>30</v>
      </c>
      <c r="U18" s="203">
        <v>399</v>
      </c>
      <c r="V18" s="212">
        <f t="shared" si="1"/>
        <v>16</v>
      </c>
      <c r="W18" s="203">
        <v>3</v>
      </c>
      <c r="X18" s="203" t="s">
        <v>39</v>
      </c>
      <c r="Y18" s="203" t="s">
        <v>84</v>
      </c>
      <c r="Z18" s="203" t="s">
        <v>90</v>
      </c>
      <c r="AA18" s="203" t="s">
        <v>271</v>
      </c>
      <c r="AB18" s="232" t="s">
        <v>412</v>
      </c>
      <c r="AE18" s="218" t="s">
        <v>87</v>
      </c>
      <c r="AP18" s="234" t="s">
        <v>270</v>
      </c>
      <c r="AR18" s="233" t="s">
        <v>101</v>
      </c>
      <c r="AV18" s="219" t="s">
        <v>88</v>
      </c>
    </row>
    <row r="19" spans="1:48" x14ac:dyDescent="0.15">
      <c r="A19" s="203" t="s">
        <v>59</v>
      </c>
      <c r="B19" s="232" t="s">
        <v>385</v>
      </c>
      <c r="C19" s="149">
        <v>2018</v>
      </c>
      <c r="D19" s="150" t="s">
        <v>432</v>
      </c>
      <c r="E19" s="203" t="s">
        <v>263</v>
      </c>
      <c r="F19" s="203" t="s">
        <v>302</v>
      </c>
      <c r="G19" s="203" t="s">
        <v>36</v>
      </c>
      <c r="H19" s="203" t="s">
        <v>166</v>
      </c>
      <c r="I19" s="203" t="s">
        <v>153</v>
      </c>
      <c r="J19" s="203" t="s">
        <v>38</v>
      </c>
      <c r="K19" s="203" t="s">
        <v>154</v>
      </c>
      <c r="L19" s="203">
        <v>3</v>
      </c>
      <c r="N19" s="203">
        <v>3</v>
      </c>
      <c r="O19" s="203">
        <v>0.27</v>
      </c>
      <c r="P19" s="203">
        <v>0.3</v>
      </c>
      <c r="Q19" s="240">
        <f t="shared" si="2"/>
        <v>0.28500000000000003</v>
      </c>
      <c r="R19" s="203">
        <v>15.7</v>
      </c>
      <c r="S19" s="203">
        <v>125</v>
      </c>
      <c r="T19" s="212">
        <f t="shared" si="0"/>
        <v>30</v>
      </c>
      <c r="U19" s="203">
        <v>399</v>
      </c>
      <c r="V19" s="212">
        <f t="shared" si="1"/>
        <v>16</v>
      </c>
      <c r="W19" s="203">
        <v>3</v>
      </c>
      <c r="X19" s="203" t="s">
        <v>39</v>
      </c>
      <c r="Y19" s="203" t="s">
        <v>84</v>
      </c>
      <c r="Z19" s="203" t="s">
        <v>90</v>
      </c>
      <c r="AA19" s="203" t="s">
        <v>271</v>
      </c>
      <c r="AB19" s="232" t="s">
        <v>412</v>
      </c>
      <c r="AD19" s="232"/>
      <c r="AE19" s="231" t="s">
        <v>89</v>
      </c>
      <c r="AP19" s="234" t="s">
        <v>112</v>
      </c>
      <c r="AR19" s="226" t="s">
        <v>126</v>
      </c>
      <c r="AV19" s="219" t="s">
        <v>271</v>
      </c>
    </row>
    <row r="20" spans="1:48" x14ac:dyDescent="0.15">
      <c r="A20" s="203" t="s">
        <v>59</v>
      </c>
      <c r="B20" s="232" t="s">
        <v>419</v>
      </c>
      <c r="C20" s="149">
        <v>2018</v>
      </c>
      <c r="D20" s="150" t="s">
        <v>420</v>
      </c>
      <c r="E20" s="203" t="s">
        <v>263</v>
      </c>
      <c r="F20" s="203" t="s">
        <v>302</v>
      </c>
      <c r="G20" s="203" t="s">
        <v>36</v>
      </c>
      <c r="H20" s="203" t="s">
        <v>155</v>
      </c>
      <c r="I20" s="203" t="s">
        <v>153</v>
      </c>
      <c r="J20" s="203" t="s">
        <v>38</v>
      </c>
      <c r="K20" s="203" t="s">
        <v>154</v>
      </c>
      <c r="L20" s="203">
        <v>1</v>
      </c>
      <c r="N20" s="203">
        <v>4</v>
      </c>
      <c r="O20" s="203">
        <v>0.4</v>
      </c>
      <c r="P20" s="203">
        <v>0.45</v>
      </c>
      <c r="Q20" s="240">
        <f t="shared" si="2"/>
        <v>0.42500000000000004</v>
      </c>
      <c r="R20" s="203">
        <v>14.2</v>
      </c>
      <c r="S20" s="203">
        <v>102</v>
      </c>
      <c r="T20" s="212">
        <f t="shared" si="0"/>
        <v>33</v>
      </c>
      <c r="U20" s="203">
        <v>399</v>
      </c>
      <c r="V20" s="212">
        <f t="shared" si="1"/>
        <v>16</v>
      </c>
      <c r="W20" s="203">
        <v>4</v>
      </c>
      <c r="X20" s="203" t="s">
        <v>39</v>
      </c>
      <c r="Y20" s="203" t="s">
        <v>84</v>
      </c>
      <c r="Z20" s="203" t="s">
        <v>90</v>
      </c>
      <c r="AA20" s="203" t="s">
        <v>271</v>
      </c>
      <c r="AB20" s="232" t="s">
        <v>412</v>
      </c>
      <c r="AD20" s="232"/>
      <c r="AE20" s="231"/>
      <c r="AP20" s="234" t="s">
        <v>113</v>
      </c>
      <c r="AR20" s="233" t="s">
        <v>105</v>
      </c>
      <c r="AV20" s="223" t="s">
        <v>451</v>
      </c>
    </row>
    <row r="21" spans="1:48" x14ac:dyDescent="0.15">
      <c r="A21" s="203" t="s">
        <v>59</v>
      </c>
      <c r="B21" s="232" t="s">
        <v>419</v>
      </c>
      <c r="C21" s="149">
        <v>2018</v>
      </c>
      <c r="D21" s="150" t="s">
        <v>420</v>
      </c>
      <c r="E21" s="203" t="s">
        <v>263</v>
      </c>
      <c r="F21" s="203" t="s">
        <v>302</v>
      </c>
      <c r="G21" s="203" t="s">
        <v>36</v>
      </c>
      <c r="H21" s="203" t="s">
        <v>155</v>
      </c>
      <c r="I21" s="203" t="s">
        <v>153</v>
      </c>
      <c r="J21" s="203" t="s">
        <v>38</v>
      </c>
      <c r="K21" s="203" t="s">
        <v>154</v>
      </c>
      <c r="L21" s="203">
        <v>2</v>
      </c>
      <c r="N21" s="203">
        <v>4</v>
      </c>
      <c r="O21" s="203">
        <v>0.72</v>
      </c>
      <c r="P21" s="203">
        <v>0.73</v>
      </c>
      <c r="Q21" s="240">
        <f t="shared" si="2"/>
        <v>0.72499999999999998</v>
      </c>
      <c r="R21" s="203">
        <v>12.8</v>
      </c>
      <c r="S21" s="203">
        <v>103</v>
      </c>
      <c r="T21" s="212">
        <f t="shared" si="0"/>
        <v>33</v>
      </c>
      <c r="U21" s="203">
        <v>399</v>
      </c>
      <c r="V21" s="212">
        <f t="shared" si="1"/>
        <v>16</v>
      </c>
      <c r="W21" s="203">
        <v>4</v>
      </c>
      <c r="X21" s="203" t="s">
        <v>39</v>
      </c>
      <c r="Y21" s="203" t="s">
        <v>84</v>
      </c>
      <c r="Z21" s="203" t="s">
        <v>90</v>
      </c>
      <c r="AA21" s="203" t="s">
        <v>271</v>
      </c>
      <c r="AB21" s="232" t="s">
        <v>412</v>
      </c>
      <c r="AD21" s="232"/>
      <c r="AE21" s="224"/>
      <c r="AP21" s="234" t="s">
        <v>272</v>
      </c>
      <c r="AR21" s="233" t="s">
        <v>68</v>
      </c>
      <c r="AV21" s="223" t="s">
        <v>452</v>
      </c>
    </row>
    <row r="22" spans="1:48" x14ac:dyDescent="0.15">
      <c r="A22" s="203" t="s">
        <v>59</v>
      </c>
      <c r="B22" s="232" t="s">
        <v>419</v>
      </c>
      <c r="C22" s="149">
        <v>2018</v>
      </c>
      <c r="D22" s="150" t="s">
        <v>420</v>
      </c>
      <c r="E22" s="203" t="s">
        <v>263</v>
      </c>
      <c r="F22" s="203" t="s">
        <v>302</v>
      </c>
      <c r="G22" s="203" t="s">
        <v>36</v>
      </c>
      <c r="H22" s="203" t="s">
        <v>155</v>
      </c>
      <c r="I22" s="203" t="s">
        <v>153</v>
      </c>
      <c r="J22" s="203" t="s">
        <v>38</v>
      </c>
      <c r="K22" s="203" t="s">
        <v>154</v>
      </c>
      <c r="L22" s="203">
        <v>3</v>
      </c>
      <c r="N22" s="203">
        <v>4</v>
      </c>
      <c r="O22" s="203">
        <v>0.55000000000000004</v>
      </c>
      <c r="P22" s="203">
        <v>0.48</v>
      </c>
      <c r="Q22" s="240">
        <f t="shared" si="2"/>
        <v>0.51500000000000001</v>
      </c>
      <c r="R22" s="203">
        <v>14.4</v>
      </c>
      <c r="S22" s="203">
        <v>100</v>
      </c>
      <c r="T22" s="212">
        <f t="shared" si="0"/>
        <v>33</v>
      </c>
      <c r="U22" s="203">
        <v>399</v>
      </c>
      <c r="V22" s="212">
        <f t="shared" si="1"/>
        <v>16</v>
      </c>
      <c r="W22" s="203">
        <v>4</v>
      </c>
      <c r="X22" s="203" t="s">
        <v>39</v>
      </c>
      <c r="Y22" s="203" t="s">
        <v>84</v>
      </c>
      <c r="Z22" s="203" t="s">
        <v>90</v>
      </c>
      <c r="AA22" s="203" t="s">
        <v>271</v>
      </c>
      <c r="AB22" s="232" t="s">
        <v>412</v>
      </c>
      <c r="AD22" s="232"/>
      <c r="AP22" s="234" t="s">
        <v>269</v>
      </c>
      <c r="AR22" s="233" t="s">
        <v>83</v>
      </c>
      <c r="AV22" s="223" t="s">
        <v>273</v>
      </c>
    </row>
    <row r="23" spans="1:48" x14ac:dyDescent="0.15">
      <c r="A23" s="203" t="s">
        <v>59</v>
      </c>
      <c r="B23" s="232" t="s">
        <v>419</v>
      </c>
      <c r="C23" s="149">
        <v>2018</v>
      </c>
      <c r="D23" s="150" t="s">
        <v>420</v>
      </c>
      <c r="E23" s="203" t="s">
        <v>263</v>
      </c>
      <c r="F23" s="203" t="s">
        <v>302</v>
      </c>
      <c r="G23" s="203" t="s">
        <v>36</v>
      </c>
      <c r="H23" s="203" t="s">
        <v>127</v>
      </c>
      <c r="I23" s="203" t="s">
        <v>153</v>
      </c>
      <c r="J23" s="203" t="s">
        <v>80</v>
      </c>
      <c r="K23" s="203" t="s">
        <v>63</v>
      </c>
      <c r="L23" s="203">
        <v>1</v>
      </c>
      <c r="N23" s="203">
        <v>5</v>
      </c>
      <c r="O23" s="203">
        <v>0.43</v>
      </c>
      <c r="P23" s="203">
        <v>0.52</v>
      </c>
      <c r="Q23" s="240">
        <f t="shared" si="2"/>
        <v>0.47499999999999998</v>
      </c>
      <c r="R23" s="203">
        <v>17.399999999999999</v>
      </c>
      <c r="S23" s="203">
        <v>79</v>
      </c>
      <c r="T23" s="212">
        <f t="shared" si="0"/>
        <v>39</v>
      </c>
      <c r="U23" s="203">
        <v>499</v>
      </c>
      <c r="V23" s="212">
        <f t="shared" si="1"/>
        <v>16</v>
      </c>
      <c r="W23" s="203">
        <v>1</v>
      </c>
      <c r="X23" s="203" t="s">
        <v>39</v>
      </c>
      <c r="Y23" s="203" t="s">
        <v>84</v>
      </c>
      <c r="Z23" s="203" t="s">
        <v>90</v>
      </c>
      <c r="AA23" s="203" t="s">
        <v>271</v>
      </c>
      <c r="AB23" s="232" t="s">
        <v>412</v>
      </c>
      <c r="AP23" s="234" t="s">
        <v>453</v>
      </c>
      <c r="AR23" s="233" t="s">
        <v>61</v>
      </c>
      <c r="AV23" s="223" t="s">
        <v>454</v>
      </c>
    </row>
    <row r="24" spans="1:48" x14ac:dyDescent="0.15">
      <c r="A24" s="203" t="s">
        <v>59</v>
      </c>
      <c r="B24" s="232" t="s">
        <v>419</v>
      </c>
      <c r="C24" s="149">
        <v>2018</v>
      </c>
      <c r="D24" s="150" t="s">
        <v>420</v>
      </c>
      <c r="E24" s="203" t="s">
        <v>263</v>
      </c>
      <c r="F24" s="203" t="s">
        <v>302</v>
      </c>
      <c r="G24" s="203" t="s">
        <v>36</v>
      </c>
      <c r="H24" s="203" t="s">
        <v>127</v>
      </c>
      <c r="I24" s="203" t="s">
        <v>153</v>
      </c>
      <c r="J24" s="203" t="s">
        <v>80</v>
      </c>
      <c r="K24" s="203" t="s">
        <v>63</v>
      </c>
      <c r="L24" s="203">
        <v>2</v>
      </c>
      <c r="N24" s="203">
        <v>5</v>
      </c>
      <c r="O24" s="203">
        <v>1.01</v>
      </c>
      <c r="P24" s="203">
        <v>0.86</v>
      </c>
      <c r="Q24" s="240">
        <f t="shared" si="2"/>
        <v>0.93500000000000005</v>
      </c>
      <c r="R24" s="203">
        <v>15.4</v>
      </c>
      <c r="S24" s="203">
        <v>80</v>
      </c>
      <c r="T24" s="212">
        <f t="shared" si="0"/>
        <v>39</v>
      </c>
      <c r="U24" s="203">
        <v>499</v>
      </c>
      <c r="V24" s="212">
        <f t="shared" si="1"/>
        <v>16</v>
      </c>
      <c r="W24" s="203">
        <v>1</v>
      </c>
      <c r="X24" s="203" t="s">
        <v>39</v>
      </c>
      <c r="Y24" s="203" t="s">
        <v>84</v>
      </c>
      <c r="Z24" s="203" t="s">
        <v>90</v>
      </c>
      <c r="AA24" s="203" t="s">
        <v>271</v>
      </c>
      <c r="AB24" s="232" t="s">
        <v>412</v>
      </c>
      <c r="AP24" s="234" t="s">
        <v>455</v>
      </c>
      <c r="AR24" s="233" t="s">
        <v>91</v>
      </c>
      <c r="AV24" s="223" t="s">
        <v>456</v>
      </c>
    </row>
    <row r="25" spans="1:48" x14ac:dyDescent="0.15">
      <c r="A25" s="203" t="s">
        <v>59</v>
      </c>
      <c r="B25" s="232" t="s">
        <v>419</v>
      </c>
      <c r="C25" s="149">
        <v>2018</v>
      </c>
      <c r="D25" s="150" t="s">
        <v>420</v>
      </c>
      <c r="E25" s="203" t="s">
        <v>263</v>
      </c>
      <c r="F25" s="203" t="s">
        <v>302</v>
      </c>
      <c r="G25" s="203" t="s">
        <v>36</v>
      </c>
      <c r="H25" s="203" t="s">
        <v>127</v>
      </c>
      <c r="I25" s="203" t="s">
        <v>153</v>
      </c>
      <c r="J25" s="203" t="s">
        <v>80</v>
      </c>
      <c r="K25" s="203" t="s">
        <v>63</v>
      </c>
      <c r="L25" s="203">
        <v>3</v>
      </c>
      <c r="N25" s="203">
        <v>5</v>
      </c>
      <c r="O25" s="203">
        <v>0.92</v>
      </c>
      <c r="P25" s="203">
        <v>0.84</v>
      </c>
      <c r="Q25" s="240">
        <f t="shared" si="2"/>
        <v>0.88</v>
      </c>
      <c r="R25" s="203">
        <v>15.2</v>
      </c>
      <c r="S25" s="203">
        <v>80</v>
      </c>
      <c r="T25" s="212">
        <f t="shared" si="0"/>
        <v>39</v>
      </c>
      <c r="U25" s="203">
        <v>499</v>
      </c>
      <c r="V25" s="212">
        <f t="shared" si="1"/>
        <v>16</v>
      </c>
      <c r="W25" s="203">
        <v>1</v>
      </c>
      <c r="X25" s="203" t="s">
        <v>39</v>
      </c>
      <c r="Y25" s="203" t="s">
        <v>84</v>
      </c>
      <c r="Z25" s="203" t="s">
        <v>90</v>
      </c>
      <c r="AA25" s="203" t="s">
        <v>271</v>
      </c>
      <c r="AB25" s="232" t="s">
        <v>412</v>
      </c>
      <c r="AP25" s="234" t="s">
        <v>453</v>
      </c>
      <c r="AR25" s="233" t="s">
        <v>61</v>
      </c>
      <c r="AV25" s="223" t="s">
        <v>454</v>
      </c>
    </row>
    <row r="26" spans="1:48" x14ac:dyDescent="0.15">
      <c r="A26" s="203" t="s">
        <v>59</v>
      </c>
      <c r="B26" s="232" t="s">
        <v>419</v>
      </c>
      <c r="C26" s="149">
        <v>2018</v>
      </c>
      <c r="D26" s="150" t="s">
        <v>420</v>
      </c>
      <c r="E26" s="203" t="s">
        <v>314</v>
      </c>
      <c r="F26" s="203" t="s">
        <v>302</v>
      </c>
      <c r="G26" s="203" t="s">
        <v>36</v>
      </c>
      <c r="H26" s="203" t="s">
        <v>155</v>
      </c>
      <c r="I26" s="203" t="s">
        <v>153</v>
      </c>
      <c r="J26" s="203" t="s">
        <v>38</v>
      </c>
      <c r="K26" s="203" t="s">
        <v>154</v>
      </c>
      <c r="L26" s="203">
        <v>1</v>
      </c>
      <c r="N26" s="203">
        <v>4</v>
      </c>
      <c r="O26" s="203">
        <v>0.34</v>
      </c>
      <c r="P26" s="203">
        <v>0.43</v>
      </c>
      <c r="Q26" s="240">
        <f t="shared" si="2"/>
        <v>0.38500000000000001</v>
      </c>
      <c r="R26" s="203">
        <v>13.6</v>
      </c>
      <c r="S26" s="203">
        <v>100</v>
      </c>
      <c r="T26" s="212">
        <f t="shared" si="0"/>
        <v>33</v>
      </c>
      <c r="U26" s="203">
        <v>429</v>
      </c>
      <c r="V26" s="212">
        <f t="shared" si="1"/>
        <v>16</v>
      </c>
      <c r="W26" s="203">
        <v>4</v>
      </c>
      <c r="X26" s="203" t="s">
        <v>46</v>
      </c>
      <c r="Y26" s="203" t="s">
        <v>84</v>
      </c>
      <c r="Z26" s="203" t="s">
        <v>90</v>
      </c>
      <c r="AA26" s="203" t="s">
        <v>172</v>
      </c>
      <c r="AB26" s="232" t="s">
        <v>412</v>
      </c>
      <c r="AP26" s="234" t="s">
        <v>455</v>
      </c>
      <c r="AR26" s="233" t="s">
        <v>91</v>
      </c>
      <c r="AV26" s="223" t="s">
        <v>456</v>
      </c>
    </row>
    <row r="27" spans="1:48" x14ac:dyDescent="0.15">
      <c r="A27" s="203" t="s">
        <v>59</v>
      </c>
      <c r="B27" s="232" t="s">
        <v>419</v>
      </c>
      <c r="C27" s="149">
        <v>2018</v>
      </c>
      <c r="D27" s="150" t="s">
        <v>420</v>
      </c>
      <c r="E27" s="203" t="s">
        <v>314</v>
      </c>
      <c r="F27" s="203" t="s">
        <v>302</v>
      </c>
      <c r="G27" s="203" t="s">
        <v>36</v>
      </c>
      <c r="H27" s="203" t="s">
        <v>155</v>
      </c>
      <c r="I27" s="203" t="s">
        <v>153</v>
      </c>
      <c r="J27" s="203" t="s">
        <v>38</v>
      </c>
      <c r="K27" s="203" t="s">
        <v>154</v>
      </c>
      <c r="L27" s="203">
        <v>2</v>
      </c>
      <c r="N27" s="203">
        <v>4</v>
      </c>
      <c r="O27" s="203">
        <v>0.26</v>
      </c>
      <c r="P27" s="203">
        <v>0.25</v>
      </c>
      <c r="Q27" s="240">
        <f t="shared" si="2"/>
        <v>0.255</v>
      </c>
      <c r="R27" s="203">
        <v>14.9</v>
      </c>
      <c r="S27" s="203">
        <v>104</v>
      </c>
      <c r="T27" s="212">
        <f t="shared" si="0"/>
        <v>33</v>
      </c>
      <c r="U27" s="203">
        <v>429</v>
      </c>
      <c r="V27" s="212">
        <f t="shared" si="1"/>
        <v>16</v>
      </c>
      <c r="W27" s="203">
        <v>4</v>
      </c>
      <c r="X27" s="203" t="s">
        <v>46</v>
      </c>
      <c r="Y27" s="203" t="s">
        <v>84</v>
      </c>
      <c r="Z27" s="203" t="s">
        <v>90</v>
      </c>
      <c r="AA27" s="203" t="s">
        <v>172</v>
      </c>
      <c r="AB27" s="232" t="s">
        <v>412</v>
      </c>
      <c r="AD27" s="232"/>
      <c r="AP27" s="234" t="s">
        <v>116</v>
      </c>
      <c r="AR27" s="42" t="s">
        <v>92</v>
      </c>
      <c r="AV27" s="223" t="s">
        <v>457</v>
      </c>
    </row>
    <row r="28" spans="1:48" x14ac:dyDescent="0.15">
      <c r="A28" s="203" t="s">
        <v>59</v>
      </c>
      <c r="B28" s="232" t="s">
        <v>419</v>
      </c>
      <c r="C28" s="149">
        <v>2018</v>
      </c>
      <c r="D28" s="150" t="s">
        <v>420</v>
      </c>
      <c r="E28" s="203" t="s">
        <v>314</v>
      </c>
      <c r="F28" s="203" t="s">
        <v>302</v>
      </c>
      <c r="G28" s="203" t="s">
        <v>36</v>
      </c>
      <c r="H28" s="203" t="s">
        <v>155</v>
      </c>
      <c r="I28" s="203" t="s">
        <v>153</v>
      </c>
      <c r="J28" s="203" t="s">
        <v>38</v>
      </c>
      <c r="K28" s="203" t="s">
        <v>154</v>
      </c>
      <c r="L28" s="203">
        <v>3</v>
      </c>
      <c r="N28" s="203">
        <v>4</v>
      </c>
      <c r="O28" s="203">
        <v>0.35</v>
      </c>
      <c r="P28" s="203">
        <v>0.41</v>
      </c>
      <c r="Q28" s="240">
        <f t="shared" si="2"/>
        <v>0.38</v>
      </c>
      <c r="R28" s="203">
        <v>13.8</v>
      </c>
      <c r="S28" s="203">
        <v>110</v>
      </c>
      <c r="T28" s="212">
        <f t="shared" si="0"/>
        <v>33</v>
      </c>
      <c r="U28" s="203">
        <v>429</v>
      </c>
      <c r="V28" s="212">
        <f t="shared" si="1"/>
        <v>16</v>
      </c>
      <c r="W28" s="203">
        <v>4</v>
      </c>
      <c r="X28" s="203" t="s">
        <v>46</v>
      </c>
      <c r="Y28" s="203" t="s">
        <v>84</v>
      </c>
      <c r="Z28" s="203" t="s">
        <v>90</v>
      </c>
      <c r="AA28" s="203" t="s">
        <v>172</v>
      </c>
      <c r="AB28" s="232" t="s">
        <v>412</v>
      </c>
      <c r="AD28" s="232"/>
      <c r="AV28" s="223"/>
    </row>
    <row r="29" spans="1:48" x14ac:dyDescent="0.15">
      <c r="A29" s="203" t="s">
        <v>59</v>
      </c>
      <c r="B29" s="232" t="s">
        <v>419</v>
      </c>
      <c r="C29" s="149">
        <v>2018</v>
      </c>
      <c r="D29" s="150" t="s">
        <v>420</v>
      </c>
      <c r="E29" s="203" t="s">
        <v>314</v>
      </c>
      <c r="F29" s="203" t="s">
        <v>302</v>
      </c>
      <c r="G29" s="203" t="s">
        <v>36</v>
      </c>
      <c r="H29" s="203" t="s">
        <v>128</v>
      </c>
      <c r="I29" s="203" t="s">
        <v>153</v>
      </c>
      <c r="J29" s="203" t="s">
        <v>67</v>
      </c>
      <c r="K29" s="203" t="s">
        <v>171</v>
      </c>
      <c r="L29" s="203">
        <v>1</v>
      </c>
      <c r="N29" s="203">
        <v>4</v>
      </c>
      <c r="O29" s="203">
        <v>0.2</v>
      </c>
      <c r="P29" s="203">
        <v>0.21</v>
      </c>
      <c r="Q29" s="240">
        <f t="shared" si="2"/>
        <v>0.20500000000000002</v>
      </c>
      <c r="R29" s="203">
        <v>15.3</v>
      </c>
      <c r="S29" s="203">
        <v>86</v>
      </c>
      <c r="T29" s="212">
        <f t="shared" si="0"/>
        <v>36</v>
      </c>
      <c r="U29" s="203">
        <v>321</v>
      </c>
      <c r="V29" s="212">
        <f t="shared" si="1"/>
        <v>16</v>
      </c>
      <c r="W29" s="203">
        <v>1</v>
      </c>
      <c r="X29" s="203" t="s">
        <v>46</v>
      </c>
      <c r="Y29" s="203" t="s">
        <v>84</v>
      </c>
      <c r="Z29" s="203" t="s">
        <v>90</v>
      </c>
      <c r="AA29" s="203" t="s">
        <v>172</v>
      </c>
      <c r="AB29" s="232" t="s">
        <v>437</v>
      </c>
      <c r="AV29" s="223"/>
    </row>
    <row r="30" spans="1:48" x14ac:dyDescent="0.15">
      <c r="A30" s="203" t="s">
        <v>59</v>
      </c>
      <c r="B30" s="232" t="s">
        <v>385</v>
      </c>
      <c r="C30" s="149">
        <v>2018</v>
      </c>
      <c r="D30" s="150" t="s">
        <v>432</v>
      </c>
      <c r="E30" s="203" t="s">
        <v>314</v>
      </c>
      <c r="F30" s="203" t="s">
        <v>302</v>
      </c>
      <c r="G30" s="203" t="s">
        <v>36</v>
      </c>
      <c r="H30" s="203" t="s">
        <v>128</v>
      </c>
      <c r="I30" s="203" t="s">
        <v>153</v>
      </c>
      <c r="J30" s="203" t="s">
        <v>67</v>
      </c>
      <c r="K30" s="203" t="s">
        <v>171</v>
      </c>
      <c r="L30" s="203">
        <v>2</v>
      </c>
      <c r="N30" s="203">
        <v>4</v>
      </c>
      <c r="O30" s="203">
        <v>0.24</v>
      </c>
      <c r="P30" s="203">
        <v>0.21</v>
      </c>
      <c r="Q30" s="240">
        <f t="shared" si="2"/>
        <v>0.22499999999999998</v>
      </c>
      <c r="R30" s="203">
        <v>15</v>
      </c>
      <c r="S30" s="203">
        <v>81</v>
      </c>
      <c r="T30" s="212">
        <f t="shared" si="0"/>
        <v>39</v>
      </c>
      <c r="U30" s="203">
        <v>321</v>
      </c>
      <c r="V30" s="212">
        <f t="shared" si="1"/>
        <v>16</v>
      </c>
      <c r="W30" s="203">
        <v>1</v>
      </c>
      <c r="X30" s="203" t="s">
        <v>46</v>
      </c>
      <c r="Y30" s="203" t="s">
        <v>84</v>
      </c>
      <c r="Z30" s="203" t="s">
        <v>90</v>
      </c>
      <c r="AA30" s="203" t="s">
        <v>172</v>
      </c>
      <c r="AB30" s="232" t="s">
        <v>437</v>
      </c>
      <c r="AV30" s="223"/>
    </row>
    <row r="31" spans="1:48" x14ac:dyDescent="0.15">
      <c r="A31" s="203" t="s">
        <v>59</v>
      </c>
      <c r="B31" s="232" t="s">
        <v>385</v>
      </c>
      <c r="C31" s="149">
        <v>2018</v>
      </c>
      <c r="D31" s="150" t="s">
        <v>432</v>
      </c>
      <c r="E31" s="203" t="s">
        <v>314</v>
      </c>
      <c r="F31" s="203" t="s">
        <v>302</v>
      </c>
      <c r="G31" s="203" t="s">
        <v>36</v>
      </c>
      <c r="H31" s="203" t="s">
        <v>128</v>
      </c>
      <c r="I31" s="203" t="s">
        <v>153</v>
      </c>
      <c r="J31" s="203" t="s">
        <v>67</v>
      </c>
      <c r="K31" s="203" t="s">
        <v>171</v>
      </c>
      <c r="L31" s="203">
        <v>3</v>
      </c>
      <c r="N31" s="203">
        <v>4</v>
      </c>
      <c r="O31" s="203">
        <v>0.24</v>
      </c>
      <c r="P31" s="203">
        <v>0.22</v>
      </c>
      <c r="Q31" s="240">
        <f t="shared" si="2"/>
        <v>0.22999999999999998</v>
      </c>
      <c r="R31" s="203">
        <v>17</v>
      </c>
      <c r="S31" s="203">
        <v>68</v>
      </c>
      <c r="T31" s="212">
        <f t="shared" si="0"/>
        <v>50</v>
      </c>
      <c r="U31" s="203">
        <v>321</v>
      </c>
      <c r="V31" s="212">
        <f t="shared" si="1"/>
        <v>16</v>
      </c>
      <c r="W31" s="203">
        <v>1</v>
      </c>
      <c r="X31" s="203" t="s">
        <v>46</v>
      </c>
      <c r="Y31" s="203" t="s">
        <v>84</v>
      </c>
      <c r="Z31" s="203" t="s">
        <v>90</v>
      </c>
      <c r="AA31" s="203" t="s">
        <v>172</v>
      </c>
      <c r="AB31" s="232" t="s">
        <v>437</v>
      </c>
      <c r="AV31" s="223"/>
    </row>
    <row r="32" spans="1:48" x14ac:dyDescent="0.15">
      <c r="A32" s="203" t="s">
        <v>59</v>
      </c>
      <c r="B32" s="232" t="s">
        <v>385</v>
      </c>
      <c r="C32" s="149">
        <v>2018</v>
      </c>
      <c r="D32" s="150" t="s">
        <v>432</v>
      </c>
      <c r="E32" s="203" t="s">
        <v>313</v>
      </c>
      <c r="F32" s="203" t="s">
        <v>305</v>
      </c>
      <c r="G32" s="203" t="s">
        <v>36</v>
      </c>
      <c r="H32" s="203" t="s">
        <v>166</v>
      </c>
      <c r="I32" s="203" t="s">
        <v>153</v>
      </c>
      <c r="J32" s="203" t="s">
        <v>38</v>
      </c>
      <c r="K32" s="203" t="s">
        <v>154</v>
      </c>
      <c r="L32" s="203">
        <v>1</v>
      </c>
      <c r="N32" s="203">
        <v>1</v>
      </c>
      <c r="O32" s="203">
        <v>0.41</v>
      </c>
      <c r="P32" s="203">
        <v>0.25</v>
      </c>
      <c r="Q32" s="240">
        <f t="shared" si="2"/>
        <v>0.32999999999999996</v>
      </c>
      <c r="R32" s="203">
        <v>14.3</v>
      </c>
      <c r="S32" s="203">
        <v>131</v>
      </c>
      <c r="T32" s="212">
        <f t="shared" si="0"/>
        <v>30</v>
      </c>
      <c r="U32" s="203">
        <v>138</v>
      </c>
      <c r="V32" s="212">
        <f t="shared" si="1"/>
        <v>30</v>
      </c>
      <c r="W32" s="203">
        <v>2</v>
      </c>
      <c r="X32" s="203" t="s">
        <v>39</v>
      </c>
      <c r="Y32" s="203" t="s">
        <v>84</v>
      </c>
      <c r="Z32" s="203" t="s">
        <v>90</v>
      </c>
      <c r="AA32" s="203" t="s">
        <v>69</v>
      </c>
      <c r="AB32" s="232" t="s">
        <v>437</v>
      </c>
      <c r="AV32" s="223"/>
    </row>
    <row r="33" spans="1:48" x14ac:dyDescent="0.15">
      <c r="A33" s="203" t="s">
        <v>59</v>
      </c>
      <c r="B33" s="232" t="s">
        <v>385</v>
      </c>
      <c r="C33" s="149">
        <v>2018</v>
      </c>
      <c r="D33" s="150" t="s">
        <v>432</v>
      </c>
      <c r="E33" s="203" t="s">
        <v>313</v>
      </c>
      <c r="F33" s="203" t="s">
        <v>305</v>
      </c>
      <c r="G33" s="203" t="s">
        <v>36</v>
      </c>
      <c r="H33" s="203" t="s">
        <v>166</v>
      </c>
      <c r="I33" s="203" t="s">
        <v>153</v>
      </c>
      <c r="J33" s="203" t="s">
        <v>38</v>
      </c>
      <c r="K33" s="203" t="s">
        <v>154</v>
      </c>
      <c r="L33" s="203">
        <v>2</v>
      </c>
      <c r="N33" s="203">
        <v>1</v>
      </c>
      <c r="O33" s="203">
        <v>0.26</v>
      </c>
      <c r="P33" s="203">
        <v>0.28999999999999998</v>
      </c>
      <c r="Q33" s="240">
        <f t="shared" si="2"/>
        <v>0.27500000000000002</v>
      </c>
      <c r="R33" s="203">
        <v>14.9</v>
      </c>
      <c r="S33" s="203">
        <v>136</v>
      </c>
      <c r="T33" s="212">
        <f t="shared" si="0"/>
        <v>30</v>
      </c>
      <c r="U33" s="203">
        <v>138</v>
      </c>
      <c r="V33" s="212">
        <f t="shared" si="1"/>
        <v>30</v>
      </c>
      <c r="W33" s="203">
        <v>2</v>
      </c>
      <c r="X33" s="203" t="s">
        <v>39</v>
      </c>
      <c r="Y33" s="203" t="s">
        <v>84</v>
      </c>
      <c r="Z33" s="203" t="s">
        <v>90</v>
      </c>
      <c r="AA33" s="203" t="s">
        <v>69</v>
      </c>
      <c r="AB33" s="232" t="s">
        <v>437</v>
      </c>
      <c r="AV33" s="223"/>
    </row>
    <row r="34" spans="1:48" x14ac:dyDescent="0.15">
      <c r="A34" s="203" t="s">
        <v>59</v>
      </c>
      <c r="B34" s="232" t="s">
        <v>385</v>
      </c>
      <c r="C34" s="149">
        <v>2018</v>
      </c>
      <c r="D34" s="150" t="s">
        <v>432</v>
      </c>
      <c r="E34" s="203" t="s">
        <v>313</v>
      </c>
      <c r="F34" s="203" t="s">
        <v>305</v>
      </c>
      <c r="G34" s="203" t="s">
        <v>36</v>
      </c>
      <c r="H34" s="203" t="s">
        <v>166</v>
      </c>
      <c r="I34" s="203" t="s">
        <v>153</v>
      </c>
      <c r="J34" s="203" t="s">
        <v>38</v>
      </c>
      <c r="K34" s="203" t="s">
        <v>154</v>
      </c>
      <c r="L34" s="203">
        <v>3</v>
      </c>
      <c r="N34" s="203">
        <v>1</v>
      </c>
      <c r="O34" s="203">
        <v>0.28000000000000003</v>
      </c>
      <c r="P34" s="203">
        <v>0.33</v>
      </c>
      <c r="Q34" s="240">
        <f t="shared" si="2"/>
        <v>0.30500000000000005</v>
      </c>
      <c r="R34" s="203">
        <v>14.3</v>
      </c>
      <c r="S34" s="203">
        <v>135</v>
      </c>
      <c r="T34" s="212">
        <f t="shared" si="0"/>
        <v>30</v>
      </c>
      <c r="U34" s="203">
        <v>138</v>
      </c>
      <c r="V34" s="212">
        <f t="shared" si="1"/>
        <v>30</v>
      </c>
      <c r="W34" s="203">
        <v>2</v>
      </c>
      <c r="X34" s="203" t="s">
        <v>39</v>
      </c>
      <c r="Y34" s="203" t="s">
        <v>84</v>
      </c>
      <c r="Z34" s="203" t="s">
        <v>90</v>
      </c>
      <c r="AA34" s="203" t="s">
        <v>69</v>
      </c>
      <c r="AB34" s="232" t="s">
        <v>437</v>
      </c>
      <c r="AV34" s="223"/>
    </row>
    <row r="35" spans="1:48" x14ac:dyDescent="0.15">
      <c r="A35" s="203" t="s">
        <v>59</v>
      </c>
      <c r="B35" s="232" t="s">
        <v>385</v>
      </c>
      <c r="C35" s="149">
        <v>2018</v>
      </c>
      <c r="D35" s="150" t="s">
        <v>432</v>
      </c>
      <c r="E35" s="203" t="s">
        <v>313</v>
      </c>
      <c r="F35" s="203" t="s">
        <v>305</v>
      </c>
      <c r="G35" s="203" t="s">
        <v>36</v>
      </c>
      <c r="H35" s="203" t="s">
        <v>155</v>
      </c>
      <c r="I35" s="203" t="s">
        <v>153</v>
      </c>
      <c r="J35" s="203" t="s">
        <v>38</v>
      </c>
      <c r="K35" s="203" t="s">
        <v>154</v>
      </c>
      <c r="L35" s="203">
        <v>1</v>
      </c>
      <c r="N35" s="203">
        <v>1</v>
      </c>
      <c r="O35" s="203">
        <v>0.56000000000000005</v>
      </c>
      <c r="P35" s="203">
        <v>0.55000000000000004</v>
      </c>
      <c r="Q35" s="240">
        <f t="shared" si="2"/>
        <v>0.55500000000000005</v>
      </c>
      <c r="R35" s="203">
        <v>15.2</v>
      </c>
      <c r="S35" s="203">
        <v>145</v>
      </c>
      <c r="T35" s="212">
        <f t="shared" si="0"/>
        <v>30</v>
      </c>
      <c r="U35" s="203">
        <v>138</v>
      </c>
      <c r="V35" s="212">
        <f t="shared" si="1"/>
        <v>30</v>
      </c>
      <c r="W35" s="203">
        <v>2</v>
      </c>
      <c r="X35" s="203" t="s">
        <v>39</v>
      </c>
      <c r="Y35" s="203" t="s">
        <v>84</v>
      </c>
      <c r="Z35" s="203" t="s">
        <v>90</v>
      </c>
      <c r="AA35" s="203" t="s">
        <v>69</v>
      </c>
      <c r="AB35" s="232" t="s">
        <v>437</v>
      </c>
      <c r="AV35" s="223"/>
    </row>
    <row r="36" spans="1:48" x14ac:dyDescent="0.15">
      <c r="A36" s="203" t="s">
        <v>59</v>
      </c>
      <c r="B36" s="232" t="s">
        <v>385</v>
      </c>
      <c r="C36" s="149">
        <v>2018</v>
      </c>
      <c r="D36" s="150" t="s">
        <v>432</v>
      </c>
      <c r="E36" s="203" t="s">
        <v>313</v>
      </c>
      <c r="F36" s="203" t="s">
        <v>305</v>
      </c>
      <c r="G36" s="203" t="s">
        <v>36</v>
      </c>
      <c r="H36" s="203" t="s">
        <v>155</v>
      </c>
      <c r="I36" s="203" t="s">
        <v>153</v>
      </c>
      <c r="J36" s="203" t="s">
        <v>38</v>
      </c>
      <c r="K36" s="203" t="s">
        <v>154</v>
      </c>
      <c r="L36" s="203">
        <v>2</v>
      </c>
      <c r="N36" s="203">
        <v>1</v>
      </c>
      <c r="O36" s="203">
        <v>0.35</v>
      </c>
      <c r="P36" s="203">
        <v>0.4</v>
      </c>
      <c r="Q36" s="240">
        <f t="shared" si="2"/>
        <v>0.375</v>
      </c>
      <c r="R36" s="203">
        <v>16</v>
      </c>
      <c r="S36" s="203">
        <v>150</v>
      </c>
      <c r="T36" s="212">
        <f t="shared" si="0"/>
        <v>30</v>
      </c>
      <c r="U36" s="203">
        <v>138</v>
      </c>
      <c r="V36" s="212">
        <f t="shared" si="1"/>
        <v>30</v>
      </c>
      <c r="W36" s="203">
        <v>2</v>
      </c>
      <c r="X36" s="203" t="s">
        <v>39</v>
      </c>
      <c r="Y36" s="203" t="s">
        <v>84</v>
      </c>
      <c r="Z36" s="203" t="s">
        <v>90</v>
      </c>
      <c r="AA36" s="203" t="s">
        <v>69</v>
      </c>
      <c r="AB36" s="232" t="s">
        <v>437</v>
      </c>
      <c r="AV36" s="223"/>
    </row>
    <row r="37" spans="1:48" x14ac:dyDescent="0.15">
      <c r="A37" s="203" t="s">
        <v>59</v>
      </c>
      <c r="B37" s="232" t="s">
        <v>385</v>
      </c>
      <c r="C37" s="149">
        <v>2018</v>
      </c>
      <c r="D37" s="150" t="s">
        <v>432</v>
      </c>
      <c r="E37" s="203" t="s">
        <v>313</v>
      </c>
      <c r="F37" s="203" t="s">
        <v>305</v>
      </c>
      <c r="G37" s="203" t="s">
        <v>36</v>
      </c>
      <c r="H37" s="203" t="s">
        <v>155</v>
      </c>
      <c r="I37" s="203" t="s">
        <v>153</v>
      </c>
      <c r="J37" s="203" t="s">
        <v>38</v>
      </c>
      <c r="K37" s="203" t="s">
        <v>154</v>
      </c>
      <c r="L37" s="203">
        <v>3</v>
      </c>
      <c r="N37" s="203">
        <v>1</v>
      </c>
      <c r="O37" s="203">
        <v>0.52</v>
      </c>
      <c r="P37" s="203">
        <v>0.56000000000000005</v>
      </c>
      <c r="Q37" s="240">
        <f t="shared" si="2"/>
        <v>0.54</v>
      </c>
      <c r="R37" s="203">
        <v>15</v>
      </c>
      <c r="S37" s="203">
        <v>152</v>
      </c>
      <c r="T37" s="212">
        <f t="shared" si="0"/>
        <v>18</v>
      </c>
      <c r="U37" s="203">
        <v>138</v>
      </c>
      <c r="V37" s="212">
        <f t="shared" si="1"/>
        <v>30</v>
      </c>
      <c r="W37" s="203">
        <v>2</v>
      </c>
      <c r="X37" s="203" t="s">
        <v>39</v>
      </c>
      <c r="Y37" s="203" t="s">
        <v>84</v>
      </c>
      <c r="Z37" s="203" t="s">
        <v>90</v>
      </c>
      <c r="AA37" s="203" t="s">
        <v>69</v>
      </c>
      <c r="AB37" s="232" t="s">
        <v>437</v>
      </c>
      <c r="AV37" s="223"/>
    </row>
    <row r="38" spans="1:48" x14ac:dyDescent="0.15">
      <c r="A38" s="203" t="s">
        <v>59</v>
      </c>
      <c r="B38" s="232" t="s">
        <v>385</v>
      </c>
      <c r="C38" s="149">
        <v>2018</v>
      </c>
      <c r="D38" s="150" t="s">
        <v>432</v>
      </c>
      <c r="E38" s="203" t="s">
        <v>312</v>
      </c>
      <c r="F38" s="203" t="s">
        <v>305</v>
      </c>
      <c r="G38" s="203" t="s">
        <v>36</v>
      </c>
      <c r="H38" s="203" t="s">
        <v>155</v>
      </c>
      <c r="I38" s="203" t="s">
        <v>153</v>
      </c>
      <c r="J38" s="203" t="s">
        <v>38</v>
      </c>
      <c r="K38" s="203" t="s">
        <v>154</v>
      </c>
      <c r="L38" s="203">
        <v>1</v>
      </c>
      <c r="N38" s="203">
        <v>5</v>
      </c>
      <c r="O38" s="203">
        <v>0.45</v>
      </c>
      <c r="P38" s="203">
        <v>0.5</v>
      </c>
      <c r="Q38" s="240">
        <f t="shared" si="2"/>
        <v>0.47499999999999998</v>
      </c>
      <c r="R38" s="203">
        <v>14.1</v>
      </c>
      <c r="S38" s="203">
        <v>99</v>
      </c>
      <c r="T38" s="212">
        <f t="shared" si="0"/>
        <v>33</v>
      </c>
      <c r="U38" s="203">
        <v>429</v>
      </c>
      <c r="V38" s="212">
        <f t="shared" si="1"/>
        <v>16</v>
      </c>
      <c r="W38" s="203">
        <v>6</v>
      </c>
      <c r="X38" s="203" t="s">
        <v>39</v>
      </c>
      <c r="Y38" s="203" t="s">
        <v>84</v>
      </c>
      <c r="Z38" s="203" t="s">
        <v>90</v>
      </c>
      <c r="AA38" s="203" t="s">
        <v>69</v>
      </c>
      <c r="AB38" s="232" t="s">
        <v>437</v>
      </c>
      <c r="AV38" s="223"/>
    </row>
    <row r="39" spans="1:48" x14ac:dyDescent="0.15">
      <c r="A39" s="203" t="s">
        <v>59</v>
      </c>
      <c r="B39" s="232" t="s">
        <v>385</v>
      </c>
      <c r="C39" s="149">
        <v>2018</v>
      </c>
      <c r="D39" s="150" t="s">
        <v>432</v>
      </c>
      <c r="E39" s="203" t="s">
        <v>312</v>
      </c>
      <c r="F39" s="203" t="s">
        <v>305</v>
      </c>
      <c r="G39" s="203" t="s">
        <v>36</v>
      </c>
      <c r="H39" s="203" t="s">
        <v>155</v>
      </c>
      <c r="I39" s="203" t="s">
        <v>153</v>
      </c>
      <c r="J39" s="203" t="s">
        <v>38</v>
      </c>
      <c r="K39" s="203" t="s">
        <v>154</v>
      </c>
      <c r="L39" s="203">
        <v>2</v>
      </c>
      <c r="N39" s="203">
        <v>5</v>
      </c>
      <c r="O39" s="203">
        <v>0.51</v>
      </c>
      <c r="P39" s="203">
        <v>0.3</v>
      </c>
      <c r="Q39" s="240">
        <f t="shared" si="2"/>
        <v>0.40500000000000003</v>
      </c>
      <c r="R39" s="203">
        <v>13.5</v>
      </c>
      <c r="S39" s="203">
        <v>89</v>
      </c>
      <c r="T39" s="212">
        <f t="shared" si="0"/>
        <v>36</v>
      </c>
      <c r="U39" s="203">
        <v>429</v>
      </c>
      <c r="V39" s="212">
        <f t="shared" si="1"/>
        <v>16</v>
      </c>
      <c r="W39" s="203">
        <v>6</v>
      </c>
      <c r="X39" s="203" t="s">
        <v>39</v>
      </c>
      <c r="Y39" s="203" t="s">
        <v>84</v>
      </c>
      <c r="Z39" s="203" t="s">
        <v>90</v>
      </c>
      <c r="AA39" s="203" t="s">
        <v>69</v>
      </c>
      <c r="AB39" s="232" t="s">
        <v>437</v>
      </c>
      <c r="AV39" s="223"/>
    </row>
    <row r="40" spans="1:48" x14ac:dyDescent="0.15">
      <c r="A40" s="203" t="s">
        <v>59</v>
      </c>
      <c r="B40" s="232" t="s">
        <v>385</v>
      </c>
      <c r="C40" s="149">
        <v>2018</v>
      </c>
      <c r="D40" s="150" t="s">
        <v>432</v>
      </c>
      <c r="E40" s="203" t="s">
        <v>312</v>
      </c>
      <c r="F40" s="203" t="s">
        <v>305</v>
      </c>
      <c r="G40" s="203" t="s">
        <v>36</v>
      </c>
      <c r="H40" s="203" t="s">
        <v>155</v>
      </c>
      <c r="I40" s="203" t="s">
        <v>153</v>
      </c>
      <c r="J40" s="203" t="s">
        <v>38</v>
      </c>
      <c r="K40" s="203" t="s">
        <v>154</v>
      </c>
      <c r="L40" s="203">
        <v>3</v>
      </c>
      <c r="N40" s="203">
        <v>5</v>
      </c>
      <c r="O40" s="203">
        <v>0.52</v>
      </c>
      <c r="P40" s="203">
        <v>0.52</v>
      </c>
      <c r="Q40" s="240">
        <f t="shared" si="2"/>
        <v>0.52</v>
      </c>
      <c r="R40" s="203">
        <v>12.8</v>
      </c>
      <c r="S40" s="203">
        <v>95</v>
      </c>
      <c r="T40" s="212">
        <f t="shared" si="0"/>
        <v>36</v>
      </c>
      <c r="U40" s="203">
        <v>429</v>
      </c>
      <c r="V40" s="212">
        <f t="shared" si="1"/>
        <v>16</v>
      </c>
      <c r="W40" s="203">
        <v>6</v>
      </c>
      <c r="X40" s="203" t="s">
        <v>39</v>
      </c>
      <c r="Y40" s="203" t="s">
        <v>84</v>
      </c>
      <c r="Z40" s="203" t="s">
        <v>90</v>
      </c>
      <c r="AA40" s="203" t="s">
        <v>69</v>
      </c>
      <c r="AB40" s="232" t="s">
        <v>437</v>
      </c>
    </row>
    <row r="41" spans="1:48" x14ac:dyDescent="0.15">
      <c r="A41" s="203" t="s">
        <v>59</v>
      </c>
      <c r="B41" s="232" t="s">
        <v>385</v>
      </c>
      <c r="C41" s="149">
        <v>2018</v>
      </c>
      <c r="D41" s="150" t="s">
        <v>432</v>
      </c>
      <c r="E41" s="203" t="s">
        <v>311</v>
      </c>
      <c r="F41" s="203" t="s">
        <v>304</v>
      </c>
      <c r="G41" s="203" t="s">
        <v>36</v>
      </c>
      <c r="H41" s="203" t="s">
        <v>155</v>
      </c>
      <c r="I41" s="203" t="s">
        <v>153</v>
      </c>
      <c r="J41" s="203" t="s">
        <v>38</v>
      </c>
      <c r="K41" s="203" t="s">
        <v>154</v>
      </c>
      <c r="L41" s="203">
        <v>1</v>
      </c>
      <c r="N41" s="203">
        <v>3</v>
      </c>
      <c r="O41" s="203">
        <v>0.59</v>
      </c>
      <c r="P41" s="203">
        <v>0.62</v>
      </c>
      <c r="Q41" s="240">
        <f t="shared" si="2"/>
        <v>0.60499999999999998</v>
      </c>
      <c r="R41" s="203">
        <v>13.3</v>
      </c>
      <c r="S41" s="203">
        <v>133</v>
      </c>
      <c r="T41" s="212">
        <f t="shared" si="0"/>
        <v>30</v>
      </c>
      <c r="U41" s="203">
        <v>350</v>
      </c>
      <c r="V41" s="212">
        <f t="shared" si="1"/>
        <v>16</v>
      </c>
      <c r="W41" s="203">
        <v>6</v>
      </c>
      <c r="X41" s="203" t="s">
        <v>46</v>
      </c>
      <c r="Y41" s="203" t="s">
        <v>90</v>
      </c>
      <c r="Z41" s="203" t="s">
        <v>84</v>
      </c>
      <c r="AA41" s="203" t="s">
        <v>69</v>
      </c>
      <c r="AB41" s="232" t="s">
        <v>458</v>
      </c>
    </row>
    <row r="42" spans="1:48" x14ac:dyDescent="0.15">
      <c r="A42" s="203" t="s">
        <v>59</v>
      </c>
      <c r="B42" s="232" t="s">
        <v>435</v>
      </c>
      <c r="C42" s="149">
        <v>2018</v>
      </c>
      <c r="D42" s="150" t="s">
        <v>436</v>
      </c>
      <c r="E42" s="203" t="s">
        <v>311</v>
      </c>
      <c r="F42" s="203" t="s">
        <v>304</v>
      </c>
      <c r="G42" s="203" t="s">
        <v>36</v>
      </c>
      <c r="H42" s="203" t="s">
        <v>155</v>
      </c>
      <c r="I42" s="203" t="s">
        <v>153</v>
      </c>
      <c r="J42" s="203" t="s">
        <v>38</v>
      </c>
      <c r="K42" s="203" t="s">
        <v>154</v>
      </c>
      <c r="L42" s="203">
        <v>2</v>
      </c>
      <c r="N42" s="203">
        <v>3</v>
      </c>
      <c r="O42" s="203">
        <v>0.2</v>
      </c>
      <c r="P42" s="203">
        <v>0.28999999999999998</v>
      </c>
      <c r="Q42" s="240">
        <f t="shared" si="2"/>
        <v>0.245</v>
      </c>
      <c r="R42" s="203">
        <v>14.5</v>
      </c>
      <c r="S42" s="203">
        <v>125</v>
      </c>
      <c r="T42" s="212">
        <f t="shared" si="0"/>
        <v>30</v>
      </c>
      <c r="U42" s="203">
        <v>350</v>
      </c>
      <c r="V42" s="212">
        <f t="shared" si="1"/>
        <v>16</v>
      </c>
      <c r="W42" s="203">
        <v>6</v>
      </c>
      <c r="X42" s="203" t="s">
        <v>46</v>
      </c>
      <c r="Y42" s="203" t="s">
        <v>90</v>
      </c>
      <c r="Z42" s="203" t="s">
        <v>84</v>
      </c>
      <c r="AA42" s="203" t="s">
        <v>69</v>
      </c>
      <c r="AB42" s="232" t="s">
        <v>458</v>
      </c>
    </row>
    <row r="43" spans="1:48" x14ac:dyDescent="0.15">
      <c r="A43" s="203" t="s">
        <v>59</v>
      </c>
      <c r="B43" s="232" t="s">
        <v>435</v>
      </c>
      <c r="C43" s="149">
        <v>2018</v>
      </c>
      <c r="D43" s="150" t="s">
        <v>436</v>
      </c>
      <c r="E43" s="203" t="s">
        <v>311</v>
      </c>
      <c r="F43" s="203" t="s">
        <v>304</v>
      </c>
      <c r="G43" s="203" t="s">
        <v>36</v>
      </c>
      <c r="H43" s="203" t="s">
        <v>155</v>
      </c>
      <c r="I43" s="203" t="s">
        <v>153</v>
      </c>
      <c r="J43" s="203" t="s">
        <v>38</v>
      </c>
      <c r="K43" s="203" t="s">
        <v>154</v>
      </c>
      <c r="L43" s="203">
        <v>3</v>
      </c>
      <c r="N43" s="203">
        <v>3</v>
      </c>
      <c r="O43" s="203">
        <v>0.4</v>
      </c>
      <c r="P43" s="203">
        <v>0.5</v>
      </c>
      <c r="Q43" s="240">
        <f t="shared" si="2"/>
        <v>0.45</v>
      </c>
      <c r="R43" s="203">
        <v>13.2</v>
      </c>
      <c r="S43" s="203">
        <v>131</v>
      </c>
      <c r="T43" s="212">
        <f t="shared" si="0"/>
        <v>30</v>
      </c>
      <c r="U43" s="203">
        <v>350</v>
      </c>
      <c r="V43" s="212">
        <f t="shared" si="1"/>
        <v>16</v>
      </c>
      <c r="W43" s="203">
        <v>6</v>
      </c>
      <c r="X43" s="203" t="s">
        <v>46</v>
      </c>
      <c r="Y43" s="203" t="s">
        <v>90</v>
      </c>
      <c r="Z43" s="203" t="s">
        <v>84</v>
      </c>
      <c r="AA43" s="203" t="s">
        <v>69</v>
      </c>
      <c r="AB43" s="232" t="s">
        <v>458</v>
      </c>
    </row>
    <row r="44" spans="1:48" x14ac:dyDescent="0.15">
      <c r="A44" s="203" t="s">
        <v>59</v>
      </c>
      <c r="B44" s="232" t="s">
        <v>435</v>
      </c>
      <c r="C44" s="149">
        <v>2018</v>
      </c>
      <c r="D44" s="150" t="s">
        <v>436</v>
      </c>
      <c r="E44" s="203" t="s">
        <v>311</v>
      </c>
      <c r="F44" s="203" t="s">
        <v>304</v>
      </c>
      <c r="G44" s="203" t="s">
        <v>36</v>
      </c>
      <c r="H44" s="203" t="s">
        <v>166</v>
      </c>
      <c r="I44" s="203" t="s">
        <v>153</v>
      </c>
      <c r="J44" s="203" t="s">
        <v>38</v>
      </c>
      <c r="K44" s="203" t="s">
        <v>94</v>
      </c>
      <c r="L44" s="203">
        <v>1</v>
      </c>
      <c r="N44" s="203">
        <v>4</v>
      </c>
      <c r="O44" s="203">
        <v>0.55000000000000004</v>
      </c>
      <c r="P44" s="203">
        <v>0.62</v>
      </c>
      <c r="Q44" s="240">
        <f t="shared" si="2"/>
        <v>0.58499999999999996</v>
      </c>
      <c r="R44" s="203">
        <v>15.6</v>
      </c>
      <c r="S44" s="203">
        <v>77</v>
      </c>
      <c r="T44" s="212">
        <f t="shared" si="0"/>
        <v>39</v>
      </c>
      <c r="U44" s="203">
        <v>499</v>
      </c>
      <c r="V44" s="212">
        <f t="shared" si="1"/>
        <v>16</v>
      </c>
      <c r="W44" s="203">
        <v>1</v>
      </c>
      <c r="X44" s="203" t="s">
        <v>39</v>
      </c>
      <c r="Y44" s="203" t="s">
        <v>90</v>
      </c>
      <c r="Z44" s="203" t="s">
        <v>84</v>
      </c>
      <c r="AA44" s="203" t="s">
        <v>69</v>
      </c>
      <c r="AB44" s="232" t="s">
        <v>458</v>
      </c>
    </row>
    <row r="45" spans="1:48" x14ac:dyDescent="0.15">
      <c r="A45" s="203" t="s">
        <v>59</v>
      </c>
      <c r="B45" s="232" t="s">
        <v>435</v>
      </c>
      <c r="C45" s="149">
        <v>2018</v>
      </c>
      <c r="D45" s="150" t="s">
        <v>436</v>
      </c>
      <c r="E45" s="203" t="s">
        <v>311</v>
      </c>
      <c r="F45" s="203" t="s">
        <v>304</v>
      </c>
      <c r="G45" s="203" t="s">
        <v>36</v>
      </c>
      <c r="H45" s="203" t="s">
        <v>166</v>
      </c>
      <c r="I45" s="203" t="s">
        <v>153</v>
      </c>
      <c r="J45" s="203" t="s">
        <v>38</v>
      </c>
      <c r="K45" s="203" t="s">
        <v>94</v>
      </c>
      <c r="L45" s="203">
        <v>2</v>
      </c>
      <c r="N45" s="203">
        <v>4</v>
      </c>
      <c r="O45" s="203">
        <v>0.56999999999999995</v>
      </c>
      <c r="P45" s="203">
        <v>0.65</v>
      </c>
      <c r="Q45" s="240">
        <f t="shared" si="2"/>
        <v>0.61</v>
      </c>
      <c r="R45" s="203">
        <v>13.9</v>
      </c>
      <c r="S45" s="203">
        <v>84</v>
      </c>
      <c r="T45" s="212">
        <f t="shared" si="0"/>
        <v>36</v>
      </c>
      <c r="U45" s="203">
        <v>499</v>
      </c>
      <c r="V45" s="212">
        <f t="shared" si="1"/>
        <v>16</v>
      </c>
      <c r="W45" s="203">
        <v>1</v>
      </c>
      <c r="X45" s="203" t="s">
        <v>39</v>
      </c>
      <c r="Y45" s="203" t="s">
        <v>90</v>
      </c>
      <c r="Z45" s="203" t="s">
        <v>84</v>
      </c>
      <c r="AA45" s="203" t="s">
        <v>69</v>
      </c>
      <c r="AB45" s="232" t="s">
        <v>458</v>
      </c>
    </row>
    <row r="46" spans="1:48" x14ac:dyDescent="0.15">
      <c r="A46" s="203" t="s">
        <v>59</v>
      </c>
      <c r="B46" s="232" t="s">
        <v>435</v>
      </c>
      <c r="C46" s="149">
        <v>2018</v>
      </c>
      <c r="D46" s="150" t="s">
        <v>436</v>
      </c>
      <c r="E46" s="203" t="s">
        <v>311</v>
      </c>
      <c r="F46" s="203" t="s">
        <v>304</v>
      </c>
      <c r="G46" s="203" t="s">
        <v>36</v>
      </c>
      <c r="H46" s="203" t="s">
        <v>166</v>
      </c>
      <c r="I46" s="203" t="s">
        <v>153</v>
      </c>
      <c r="J46" s="203" t="s">
        <v>38</v>
      </c>
      <c r="K46" s="203" t="s">
        <v>94</v>
      </c>
      <c r="L46" s="203">
        <v>3</v>
      </c>
      <c r="N46" s="203">
        <v>4</v>
      </c>
      <c r="O46" s="203">
        <v>0.54</v>
      </c>
      <c r="P46" s="203">
        <v>0.57999999999999996</v>
      </c>
      <c r="Q46" s="240">
        <f t="shared" si="2"/>
        <v>0.56000000000000005</v>
      </c>
      <c r="R46" s="203">
        <v>15.2</v>
      </c>
      <c r="S46" s="203">
        <v>89</v>
      </c>
      <c r="T46" s="212">
        <f t="shared" si="0"/>
        <v>36</v>
      </c>
      <c r="U46" s="203">
        <v>499</v>
      </c>
      <c r="V46" s="212">
        <f t="shared" si="1"/>
        <v>16</v>
      </c>
      <c r="W46" s="203">
        <v>1</v>
      </c>
      <c r="X46" s="203" t="s">
        <v>39</v>
      </c>
      <c r="Y46" s="203" t="s">
        <v>90</v>
      </c>
      <c r="Z46" s="203" t="s">
        <v>84</v>
      </c>
      <c r="AA46" s="203" t="s">
        <v>69</v>
      </c>
      <c r="AB46" s="232" t="s">
        <v>458</v>
      </c>
    </row>
    <row r="47" spans="1:48" x14ac:dyDescent="0.15">
      <c r="A47" s="203" t="s">
        <v>59</v>
      </c>
      <c r="B47" s="232" t="s">
        <v>435</v>
      </c>
      <c r="C47" s="149">
        <v>2018</v>
      </c>
      <c r="D47" s="150" t="s">
        <v>436</v>
      </c>
      <c r="E47" s="203" t="s">
        <v>311</v>
      </c>
      <c r="F47" s="203" t="s">
        <v>304</v>
      </c>
      <c r="G47" s="203" t="s">
        <v>36</v>
      </c>
      <c r="H47" s="203" t="s">
        <v>127</v>
      </c>
      <c r="I47" s="203" t="s">
        <v>153</v>
      </c>
      <c r="J47" s="203" t="s">
        <v>80</v>
      </c>
      <c r="K47" s="203" t="s">
        <v>171</v>
      </c>
      <c r="L47" s="203">
        <v>1</v>
      </c>
      <c r="N47" s="203">
        <v>4</v>
      </c>
      <c r="O47" s="203">
        <v>0.22</v>
      </c>
      <c r="P47" s="203">
        <v>0.22</v>
      </c>
      <c r="Q47" s="240">
        <f t="shared" si="2"/>
        <v>0.22</v>
      </c>
      <c r="R47" s="203">
        <v>14.3</v>
      </c>
      <c r="S47" s="203">
        <v>96</v>
      </c>
      <c r="T47" s="212">
        <f t="shared" si="0"/>
        <v>36</v>
      </c>
      <c r="U47" s="203">
        <v>259</v>
      </c>
      <c r="V47" s="212">
        <f t="shared" si="1"/>
        <v>16</v>
      </c>
      <c r="W47" s="203">
        <v>1</v>
      </c>
      <c r="X47" s="203" t="s">
        <v>39</v>
      </c>
      <c r="Y47" s="203" t="s">
        <v>90</v>
      </c>
      <c r="Z47" s="203" t="s">
        <v>84</v>
      </c>
      <c r="AA47" s="203" t="s">
        <v>69</v>
      </c>
      <c r="AB47" s="232" t="s">
        <v>437</v>
      </c>
    </row>
    <row r="48" spans="1:48" x14ac:dyDescent="0.15">
      <c r="A48" s="203" t="s">
        <v>59</v>
      </c>
      <c r="B48" s="232" t="s">
        <v>385</v>
      </c>
      <c r="C48" s="149">
        <v>2018</v>
      </c>
      <c r="D48" s="150" t="s">
        <v>432</v>
      </c>
      <c r="E48" s="203" t="s">
        <v>311</v>
      </c>
      <c r="F48" s="203" t="s">
        <v>304</v>
      </c>
      <c r="G48" s="203" t="s">
        <v>36</v>
      </c>
      <c r="H48" s="203" t="s">
        <v>127</v>
      </c>
      <c r="I48" s="203" t="s">
        <v>153</v>
      </c>
      <c r="J48" s="203" t="s">
        <v>80</v>
      </c>
      <c r="K48" s="203" t="s">
        <v>171</v>
      </c>
      <c r="L48" s="203">
        <v>2</v>
      </c>
      <c r="N48" s="203">
        <v>4</v>
      </c>
      <c r="O48" s="203">
        <v>0.25</v>
      </c>
      <c r="P48" s="203">
        <v>0.21</v>
      </c>
      <c r="Q48" s="240">
        <f t="shared" si="2"/>
        <v>0.22999999999999998</v>
      </c>
      <c r="R48" s="203">
        <v>14.8</v>
      </c>
      <c r="S48" s="203">
        <v>95</v>
      </c>
      <c r="T48" s="212">
        <f t="shared" si="0"/>
        <v>36</v>
      </c>
      <c r="U48" s="203">
        <v>259</v>
      </c>
      <c r="V48" s="212">
        <f t="shared" si="1"/>
        <v>16</v>
      </c>
      <c r="W48" s="203">
        <v>1</v>
      </c>
      <c r="X48" s="203" t="s">
        <v>39</v>
      </c>
      <c r="Y48" s="203" t="s">
        <v>90</v>
      </c>
      <c r="Z48" s="203" t="s">
        <v>84</v>
      </c>
      <c r="AA48" s="203" t="s">
        <v>69</v>
      </c>
      <c r="AB48" s="232" t="s">
        <v>437</v>
      </c>
    </row>
    <row r="49" spans="1:28" x14ac:dyDescent="0.15">
      <c r="A49" s="203" t="s">
        <v>59</v>
      </c>
      <c r="B49" s="232" t="s">
        <v>385</v>
      </c>
      <c r="C49" s="149">
        <v>2018</v>
      </c>
      <c r="D49" s="150" t="s">
        <v>432</v>
      </c>
      <c r="E49" s="203" t="s">
        <v>311</v>
      </c>
      <c r="F49" s="203" t="s">
        <v>304</v>
      </c>
      <c r="G49" s="203" t="s">
        <v>36</v>
      </c>
      <c r="H49" s="203" t="s">
        <v>127</v>
      </c>
      <c r="I49" s="203" t="s">
        <v>153</v>
      </c>
      <c r="J49" s="203" t="s">
        <v>80</v>
      </c>
      <c r="K49" s="203" t="s">
        <v>171</v>
      </c>
      <c r="L49" s="203">
        <v>3</v>
      </c>
      <c r="N49" s="203">
        <v>4</v>
      </c>
      <c r="O49" s="203">
        <v>0.23</v>
      </c>
      <c r="P49" s="203">
        <v>0.22</v>
      </c>
      <c r="Q49" s="240">
        <f t="shared" si="2"/>
        <v>0.22500000000000001</v>
      </c>
      <c r="R49" s="203">
        <v>12</v>
      </c>
      <c r="S49" s="203">
        <v>100</v>
      </c>
      <c r="T49" s="212">
        <f t="shared" si="0"/>
        <v>33</v>
      </c>
      <c r="U49" s="203">
        <v>259</v>
      </c>
      <c r="V49" s="212">
        <f t="shared" si="1"/>
        <v>16</v>
      </c>
      <c r="W49" s="203">
        <v>1</v>
      </c>
      <c r="X49" s="203" t="s">
        <v>39</v>
      </c>
      <c r="Y49" s="203" t="s">
        <v>90</v>
      </c>
      <c r="Z49" s="203" t="s">
        <v>84</v>
      </c>
      <c r="AA49" s="203" t="s">
        <v>69</v>
      </c>
      <c r="AB49" s="232" t="s">
        <v>437</v>
      </c>
    </row>
    <row r="50" spans="1:28" x14ac:dyDescent="0.15">
      <c r="A50" s="203" t="s">
        <v>59</v>
      </c>
      <c r="B50" s="232" t="s">
        <v>385</v>
      </c>
      <c r="C50" s="149">
        <v>2018</v>
      </c>
      <c r="D50" s="150" t="s">
        <v>432</v>
      </c>
      <c r="E50" s="203" t="s">
        <v>309</v>
      </c>
      <c r="F50" s="203" t="s">
        <v>301</v>
      </c>
      <c r="G50" s="203" t="s">
        <v>36</v>
      </c>
      <c r="H50" s="203" t="s">
        <v>166</v>
      </c>
      <c r="I50" s="203" t="s">
        <v>153</v>
      </c>
      <c r="J50" s="203" t="s">
        <v>38</v>
      </c>
      <c r="K50" s="203" t="s">
        <v>154</v>
      </c>
      <c r="L50" s="203">
        <v>1</v>
      </c>
      <c r="N50" s="203">
        <v>4</v>
      </c>
      <c r="O50" s="203">
        <v>0.22</v>
      </c>
      <c r="P50" s="203">
        <v>0.25</v>
      </c>
      <c r="Q50" s="240">
        <f t="shared" si="2"/>
        <v>0.23499999999999999</v>
      </c>
      <c r="R50" s="203">
        <v>15.9</v>
      </c>
      <c r="S50" s="203">
        <v>104</v>
      </c>
      <c r="T50" s="212">
        <f t="shared" si="0"/>
        <v>33</v>
      </c>
      <c r="U50" s="203">
        <v>518</v>
      </c>
      <c r="V50" s="212">
        <f t="shared" si="1"/>
        <v>16</v>
      </c>
      <c r="W50" s="203">
        <v>1</v>
      </c>
      <c r="X50" s="203" t="s">
        <v>46</v>
      </c>
      <c r="Y50" s="203" t="s">
        <v>90</v>
      </c>
      <c r="Z50" s="203" t="s">
        <v>84</v>
      </c>
      <c r="AA50" s="203" t="s">
        <v>69</v>
      </c>
      <c r="AB50" s="232" t="s">
        <v>437</v>
      </c>
    </row>
    <row r="51" spans="1:28" x14ac:dyDescent="0.15">
      <c r="A51" s="203" t="s">
        <v>59</v>
      </c>
      <c r="B51" s="232" t="s">
        <v>385</v>
      </c>
      <c r="C51" s="149">
        <v>2018</v>
      </c>
      <c r="D51" s="150" t="s">
        <v>432</v>
      </c>
      <c r="E51" s="203" t="s">
        <v>309</v>
      </c>
      <c r="F51" s="203" t="s">
        <v>301</v>
      </c>
      <c r="G51" s="203" t="s">
        <v>36</v>
      </c>
      <c r="H51" s="203" t="s">
        <v>166</v>
      </c>
      <c r="I51" s="203" t="s">
        <v>153</v>
      </c>
      <c r="J51" s="203" t="s">
        <v>38</v>
      </c>
      <c r="K51" s="203" t="s">
        <v>154</v>
      </c>
      <c r="L51" s="203">
        <v>2</v>
      </c>
      <c r="N51" s="203">
        <v>4</v>
      </c>
      <c r="O51" s="203">
        <v>0.26</v>
      </c>
      <c r="P51" s="203">
        <v>0.3</v>
      </c>
      <c r="Q51" s="240">
        <f t="shared" si="2"/>
        <v>0.28000000000000003</v>
      </c>
      <c r="R51" s="203">
        <v>14.9</v>
      </c>
      <c r="S51" s="203">
        <v>107</v>
      </c>
      <c r="T51" s="212">
        <f t="shared" si="0"/>
        <v>33</v>
      </c>
      <c r="U51" s="203">
        <v>518</v>
      </c>
      <c r="V51" s="212">
        <f t="shared" si="1"/>
        <v>16</v>
      </c>
      <c r="W51" s="203">
        <v>1</v>
      </c>
      <c r="X51" s="203" t="s">
        <v>46</v>
      </c>
      <c r="Y51" s="203" t="s">
        <v>90</v>
      </c>
      <c r="Z51" s="203" t="s">
        <v>84</v>
      </c>
      <c r="AA51" s="203" t="s">
        <v>69</v>
      </c>
      <c r="AB51" s="232" t="s">
        <v>437</v>
      </c>
    </row>
    <row r="52" spans="1:28" x14ac:dyDescent="0.15">
      <c r="A52" s="203" t="s">
        <v>59</v>
      </c>
      <c r="B52" s="232" t="s">
        <v>385</v>
      </c>
      <c r="C52" s="149">
        <v>2018</v>
      </c>
      <c r="D52" s="150" t="s">
        <v>432</v>
      </c>
      <c r="E52" s="203" t="s">
        <v>309</v>
      </c>
      <c r="F52" s="203" t="s">
        <v>301</v>
      </c>
      <c r="G52" s="203" t="s">
        <v>36</v>
      </c>
      <c r="H52" s="203" t="s">
        <v>166</v>
      </c>
      <c r="I52" s="203" t="s">
        <v>153</v>
      </c>
      <c r="J52" s="203" t="s">
        <v>38</v>
      </c>
      <c r="K52" s="203" t="s">
        <v>154</v>
      </c>
      <c r="L52" s="203">
        <v>3</v>
      </c>
      <c r="N52" s="203">
        <v>4</v>
      </c>
      <c r="O52" s="203">
        <v>0.32</v>
      </c>
      <c r="P52" s="203">
        <v>0.36</v>
      </c>
      <c r="Q52" s="240">
        <f t="shared" si="2"/>
        <v>0.33999999999999997</v>
      </c>
      <c r="R52" s="203">
        <v>14.5</v>
      </c>
      <c r="S52" s="203">
        <v>107</v>
      </c>
      <c r="T52" s="212">
        <f t="shared" si="0"/>
        <v>33</v>
      </c>
      <c r="U52" s="203">
        <v>518</v>
      </c>
      <c r="V52" s="212">
        <f t="shared" si="1"/>
        <v>16</v>
      </c>
      <c r="W52" s="203">
        <v>1</v>
      </c>
      <c r="X52" s="203" t="s">
        <v>46</v>
      </c>
      <c r="Y52" s="203" t="s">
        <v>90</v>
      </c>
      <c r="Z52" s="203" t="s">
        <v>84</v>
      </c>
      <c r="AA52" s="203" t="s">
        <v>69</v>
      </c>
      <c r="AB52" s="232" t="s">
        <v>437</v>
      </c>
    </row>
    <row r="53" spans="1:28" x14ac:dyDescent="0.15">
      <c r="A53" s="203" t="s">
        <v>59</v>
      </c>
      <c r="B53" s="232" t="s">
        <v>385</v>
      </c>
      <c r="C53" s="149">
        <v>2018</v>
      </c>
      <c r="D53" s="150" t="s">
        <v>432</v>
      </c>
      <c r="E53" s="203" t="s">
        <v>309</v>
      </c>
      <c r="F53" s="203" t="s">
        <v>301</v>
      </c>
      <c r="G53" s="203" t="s">
        <v>36</v>
      </c>
      <c r="H53" s="203" t="s">
        <v>155</v>
      </c>
      <c r="I53" s="203" t="s">
        <v>153</v>
      </c>
      <c r="J53" s="203" t="s">
        <v>38</v>
      </c>
      <c r="K53" s="203" t="s">
        <v>154</v>
      </c>
      <c r="L53" s="203">
        <v>1</v>
      </c>
      <c r="N53" s="203">
        <v>1</v>
      </c>
      <c r="O53" s="203">
        <v>0.51</v>
      </c>
      <c r="P53" s="203">
        <v>0.62</v>
      </c>
      <c r="Q53" s="240">
        <f t="shared" si="2"/>
        <v>0.56499999999999995</v>
      </c>
      <c r="R53" s="203">
        <v>13.1</v>
      </c>
      <c r="S53" s="203">
        <v>137</v>
      </c>
      <c r="T53" s="212">
        <f t="shared" si="0"/>
        <v>30</v>
      </c>
      <c r="U53" s="203">
        <v>138</v>
      </c>
      <c r="V53" s="212">
        <f t="shared" si="1"/>
        <v>30</v>
      </c>
      <c r="W53" s="203">
        <v>1</v>
      </c>
      <c r="X53" s="203" t="s">
        <v>46</v>
      </c>
      <c r="Y53" s="203" t="s">
        <v>90</v>
      </c>
      <c r="Z53" s="203" t="s">
        <v>84</v>
      </c>
      <c r="AA53" s="203" t="s">
        <v>69</v>
      </c>
      <c r="AB53" s="232" t="s">
        <v>437</v>
      </c>
    </row>
    <row r="54" spans="1:28" x14ac:dyDescent="0.15">
      <c r="A54" s="203" t="s">
        <v>59</v>
      </c>
      <c r="B54" s="232" t="s">
        <v>385</v>
      </c>
      <c r="C54" s="149">
        <v>2018</v>
      </c>
      <c r="D54" s="150" t="s">
        <v>432</v>
      </c>
      <c r="E54" s="203" t="s">
        <v>309</v>
      </c>
      <c r="F54" s="203" t="s">
        <v>301</v>
      </c>
      <c r="G54" s="203" t="s">
        <v>36</v>
      </c>
      <c r="H54" s="203" t="s">
        <v>155</v>
      </c>
      <c r="I54" s="203" t="s">
        <v>153</v>
      </c>
      <c r="J54" s="203" t="s">
        <v>38</v>
      </c>
      <c r="K54" s="203" t="s">
        <v>154</v>
      </c>
      <c r="L54" s="203">
        <v>2</v>
      </c>
      <c r="N54" s="203">
        <v>1</v>
      </c>
      <c r="O54" s="203">
        <v>0.55000000000000004</v>
      </c>
      <c r="P54" s="203">
        <v>0.55000000000000004</v>
      </c>
      <c r="Q54" s="240">
        <f t="shared" si="2"/>
        <v>0.55000000000000004</v>
      </c>
      <c r="R54" s="203">
        <v>15.1</v>
      </c>
      <c r="S54" s="203">
        <v>142</v>
      </c>
      <c r="T54" s="212">
        <f t="shared" si="0"/>
        <v>30</v>
      </c>
      <c r="U54" s="203">
        <v>138</v>
      </c>
      <c r="V54" s="212">
        <f t="shared" si="1"/>
        <v>30</v>
      </c>
      <c r="W54" s="203">
        <v>1</v>
      </c>
      <c r="X54" s="203" t="s">
        <v>46</v>
      </c>
      <c r="Y54" s="203" t="s">
        <v>90</v>
      </c>
      <c r="Z54" s="203" t="s">
        <v>84</v>
      </c>
      <c r="AA54" s="203" t="s">
        <v>69</v>
      </c>
      <c r="AB54" s="232" t="s">
        <v>437</v>
      </c>
    </row>
    <row r="55" spans="1:28" x14ac:dyDescent="0.15">
      <c r="A55" s="203" t="s">
        <v>59</v>
      </c>
      <c r="B55" s="232" t="s">
        <v>385</v>
      </c>
      <c r="C55" s="149">
        <v>2018</v>
      </c>
      <c r="D55" s="150" t="s">
        <v>432</v>
      </c>
      <c r="E55" s="203" t="s">
        <v>309</v>
      </c>
      <c r="F55" s="203" t="s">
        <v>301</v>
      </c>
      <c r="G55" s="203" t="s">
        <v>36</v>
      </c>
      <c r="H55" s="203" t="s">
        <v>155</v>
      </c>
      <c r="I55" s="203" t="s">
        <v>153</v>
      </c>
      <c r="J55" s="203" t="s">
        <v>38</v>
      </c>
      <c r="K55" s="203" t="s">
        <v>154</v>
      </c>
      <c r="L55" s="203">
        <v>3</v>
      </c>
      <c r="N55" s="203">
        <v>1</v>
      </c>
      <c r="O55" s="203">
        <v>0.52</v>
      </c>
      <c r="P55" s="203">
        <v>0.51</v>
      </c>
      <c r="Q55" s="240">
        <f t="shared" si="2"/>
        <v>0.51500000000000001</v>
      </c>
      <c r="R55" s="203">
        <v>14.7</v>
      </c>
      <c r="S55" s="203">
        <v>133</v>
      </c>
      <c r="T55" s="212">
        <f t="shared" si="0"/>
        <v>30</v>
      </c>
      <c r="U55" s="203">
        <v>138</v>
      </c>
      <c r="V55" s="212">
        <f t="shared" si="1"/>
        <v>30</v>
      </c>
      <c r="W55" s="203">
        <v>1</v>
      </c>
      <c r="X55" s="203" t="s">
        <v>46</v>
      </c>
      <c r="Y55" s="203" t="s">
        <v>90</v>
      </c>
      <c r="Z55" s="203" t="s">
        <v>84</v>
      </c>
      <c r="AA55" s="203" t="s">
        <v>69</v>
      </c>
      <c r="AB55" s="232" t="s">
        <v>437</v>
      </c>
    </row>
    <row r="56" spans="1:28" x14ac:dyDescent="0.15">
      <c r="A56" s="203" t="s">
        <v>59</v>
      </c>
      <c r="B56" s="232" t="s">
        <v>385</v>
      </c>
      <c r="C56" s="149">
        <v>2018</v>
      </c>
      <c r="D56" s="150" t="s">
        <v>432</v>
      </c>
      <c r="E56" s="203" t="s">
        <v>315</v>
      </c>
      <c r="F56" s="203" t="s">
        <v>306</v>
      </c>
      <c r="G56" s="203" t="s">
        <v>36</v>
      </c>
      <c r="H56" s="203" t="s">
        <v>155</v>
      </c>
      <c r="I56" s="203" t="s">
        <v>153</v>
      </c>
      <c r="J56" s="203" t="s">
        <v>38</v>
      </c>
      <c r="K56" s="203" t="s">
        <v>154</v>
      </c>
      <c r="L56" s="203">
        <v>1</v>
      </c>
      <c r="N56" s="203">
        <v>4</v>
      </c>
      <c r="O56" s="203">
        <v>0.56000000000000005</v>
      </c>
      <c r="P56" s="203">
        <v>0.54</v>
      </c>
      <c r="Q56" s="240">
        <f t="shared" si="2"/>
        <v>0.55000000000000004</v>
      </c>
      <c r="R56" s="203">
        <v>15</v>
      </c>
      <c r="S56" s="203">
        <v>135</v>
      </c>
      <c r="T56" s="212">
        <f t="shared" si="0"/>
        <v>30</v>
      </c>
      <c r="U56" s="203">
        <v>348</v>
      </c>
      <c r="V56" s="212">
        <f t="shared" si="1"/>
        <v>16</v>
      </c>
      <c r="W56" s="203">
        <v>4</v>
      </c>
      <c r="X56" s="203" t="s">
        <v>46</v>
      </c>
      <c r="Y56" s="203" t="s">
        <v>84</v>
      </c>
      <c r="Z56" s="203" t="s">
        <v>90</v>
      </c>
      <c r="AA56" s="203" t="s">
        <v>69</v>
      </c>
      <c r="AB56" s="232" t="s">
        <v>437</v>
      </c>
    </row>
    <row r="57" spans="1:28" x14ac:dyDescent="0.15">
      <c r="A57" s="203" t="s">
        <v>59</v>
      </c>
      <c r="B57" s="232" t="s">
        <v>385</v>
      </c>
      <c r="C57" s="149">
        <v>2018</v>
      </c>
      <c r="D57" s="150" t="s">
        <v>432</v>
      </c>
      <c r="E57" s="203" t="s">
        <v>315</v>
      </c>
      <c r="F57" s="203" t="s">
        <v>306</v>
      </c>
      <c r="G57" s="203" t="s">
        <v>36</v>
      </c>
      <c r="H57" s="203" t="s">
        <v>155</v>
      </c>
      <c r="I57" s="203" t="s">
        <v>153</v>
      </c>
      <c r="J57" s="203" t="s">
        <v>38</v>
      </c>
      <c r="K57" s="203" t="s">
        <v>154</v>
      </c>
      <c r="L57" s="203">
        <v>2</v>
      </c>
      <c r="N57" s="203">
        <v>4</v>
      </c>
      <c r="O57" s="203">
        <v>0.7</v>
      </c>
      <c r="P57" s="203">
        <v>0.86</v>
      </c>
      <c r="Q57" s="240">
        <f t="shared" si="2"/>
        <v>0.78</v>
      </c>
      <c r="R57" s="203">
        <v>13.1</v>
      </c>
      <c r="S57" s="203">
        <v>137</v>
      </c>
      <c r="T57" s="212">
        <f t="shared" si="0"/>
        <v>30</v>
      </c>
      <c r="U57" s="203">
        <v>348</v>
      </c>
      <c r="V57" s="212">
        <f t="shared" si="1"/>
        <v>16</v>
      </c>
      <c r="W57" s="203">
        <v>4</v>
      </c>
      <c r="X57" s="203" t="s">
        <v>46</v>
      </c>
      <c r="Y57" s="203" t="s">
        <v>84</v>
      </c>
      <c r="Z57" s="203" t="s">
        <v>90</v>
      </c>
      <c r="AA57" s="203" t="s">
        <v>69</v>
      </c>
      <c r="AB57" s="232" t="s">
        <v>437</v>
      </c>
    </row>
    <row r="58" spans="1:28" x14ac:dyDescent="0.15">
      <c r="A58" s="203" t="s">
        <v>59</v>
      </c>
      <c r="B58" s="232" t="s">
        <v>385</v>
      </c>
      <c r="C58" s="149">
        <v>2018</v>
      </c>
      <c r="D58" s="150" t="s">
        <v>432</v>
      </c>
      <c r="E58" s="203" t="s">
        <v>315</v>
      </c>
      <c r="F58" s="203" t="s">
        <v>306</v>
      </c>
      <c r="G58" s="203" t="s">
        <v>36</v>
      </c>
      <c r="H58" s="203" t="s">
        <v>155</v>
      </c>
      <c r="I58" s="203" t="s">
        <v>153</v>
      </c>
      <c r="J58" s="203" t="s">
        <v>38</v>
      </c>
      <c r="K58" s="203" t="s">
        <v>154</v>
      </c>
      <c r="L58" s="203">
        <v>3</v>
      </c>
      <c r="N58" s="203">
        <v>4</v>
      </c>
      <c r="O58" s="203">
        <v>0.75</v>
      </c>
      <c r="P58" s="203">
        <v>0.72</v>
      </c>
      <c r="Q58" s="240">
        <f t="shared" si="2"/>
        <v>0.73499999999999999</v>
      </c>
      <c r="R58" s="203">
        <v>15</v>
      </c>
      <c r="S58" s="203">
        <v>140</v>
      </c>
      <c r="T58" s="212">
        <f t="shared" si="0"/>
        <v>30</v>
      </c>
      <c r="U58" s="203">
        <v>348</v>
      </c>
      <c r="V58" s="212">
        <f t="shared" si="1"/>
        <v>16</v>
      </c>
      <c r="W58" s="203">
        <v>4</v>
      </c>
      <c r="X58" s="203" t="s">
        <v>46</v>
      </c>
      <c r="Y58" s="203" t="s">
        <v>84</v>
      </c>
      <c r="Z58" s="203" t="s">
        <v>90</v>
      </c>
      <c r="AA58" s="203" t="s">
        <v>69</v>
      </c>
      <c r="AB58" s="232" t="s">
        <v>437</v>
      </c>
    </row>
    <row r="59" spans="1:28" x14ac:dyDescent="0.15">
      <c r="A59" s="203" t="s">
        <v>59</v>
      </c>
      <c r="B59" s="232" t="s">
        <v>385</v>
      </c>
      <c r="C59" s="149">
        <v>2018</v>
      </c>
      <c r="D59" s="150" t="s">
        <v>432</v>
      </c>
      <c r="E59" s="203" t="s">
        <v>315</v>
      </c>
      <c r="F59" s="203" t="s">
        <v>306</v>
      </c>
      <c r="G59" s="203" t="s">
        <v>36</v>
      </c>
      <c r="H59" s="203" t="s">
        <v>128</v>
      </c>
      <c r="I59" s="203" t="s">
        <v>153</v>
      </c>
      <c r="J59" s="203" t="s">
        <v>80</v>
      </c>
      <c r="K59" s="203" t="s">
        <v>126</v>
      </c>
      <c r="L59" s="203">
        <v>1</v>
      </c>
      <c r="N59" s="203">
        <v>5</v>
      </c>
      <c r="O59" s="203">
        <v>0.5</v>
      </c>
      <c r="P59" s="203">
        <v>0.38</v>
      </c>
      <c r="Q59" s="240">
        <f t="shared" si="2"/>
        <v>0.44</v>
      </c>
      <c r="R59" s="203">
        <v>13.9</v>
      </c>
      <c r="S59" s="203">
        <v>100</v>
      </c>
      <c r="T59" s="212">
        <f t="shared" si="0"/>
        <v>33</v>
      </c>
      <c r="U59" s="203">
        <v>458</v>
      </c>
      <c r="V59" s="212">
        <f t="shared" si="1"/>
        <v>16</v>
      </c>
      <c r="W59" s="203">
        <v>1</v>
      </c>
      <c r="X59" s="203" t="s">
        <v>46</v>
      </c>
      <c r="Y59" s="203" t="s">
        <v>84</v>
      </c>
      <c r="Z59" s="203" t="s">
        <v>90</v>
      </c>
      <c r="AA59" s="203" t="s">
        <v>69</v>
      </c>
      <c r="AB59" s="232" t="s">
        <v>437</v>
      </c>
    </row>
    <row r="60" spans="1:28" x14ac:dyDescent="0.15">
      <c r="A60" s="203" t="s">
        <v>59</v>
      </c>
      <c r="B60" s="232" t="s">
        <v>385</v>
      </c>
      <c r="C60" s="149">
        <v>2018</v>
      </c>
      <c r="D60" s="150" t="s">
        <v>432</v>
      </c>
      <c r="E60" s="203" t="s">
        <v>315</v>
      </c>
      <c r="F60" s="203" t="s">
        <v>306</v>
      </c>
      <c r="G60" s="203" t="s">
        <v>36</v>
      </c>
      <c r="H60" s="203" t="s">
        <v>128</v>
      </c>
      <c r="I60" s="203" t="s">
        <v>153</v>
      </c>
      <c r="J60" s="203" t="s">
        <v>80</v>
      </c>
      <c r="K60" s="203" t="s">
        <v>126</v>
      </c>
      <c r="L60" s="203">
        <v>2</v>
      </c>
      <c r="N60" s="203">
        <v>5</v>
      </c>
      <c r="O60" s="203">
        <v>0.35</v>
      </c>
      <c r="P60" s="203">
        <v>0.4</v>
      </c>
      <c r="Q60" s="240">
        <f t="shared" si="2"/>
        <v>0.375</v>
      </c>
      <c r="R60" s="203">
        <v>14.6</v>
      </c>
      <c r="S60" s="203">
        <v>108</v>
      </c>
      <c r="T60" s="212">
        <f t="shared" si="0"/>
        <v>33</v>
      </c>
      <c r="U60" s="203">
        <v>458</v>
      </c>
      <c r="V60" s="212">
        <f t="shared" si="1"/>
        <v>16</v>
      </c>
      <c r="W60" s="203">
        <v>1</v>
      </c>
      <c r="X60" s="203" t="s">
        <v>46</v>
      </c>
      <c r="Y60" s="203" t="s">
        <v>84</v>
      </c>
      <c r="Z60" s="203" t="s">
        <v>90</v>
      </c>
      <c r="AA60" s="203" t="s">
        <v>69</v>
      </c>
      <c r="AB60" s="232" t="s">
        <v>437</v>
      </c>
    </row>
    <row r="61" spans="1:28" x14ac:dyDescent="0.15">
      <c r="A61" s="203" t="s">
        <v>59</v>
      </c>
      <c r="B61" s="232" t="s">
        <v>385</v>
      </c>
      <c r="C61" s="149">
        <v>2018</v>
      </c>
      <c r="D61" s="150" t="s">
        <v>432</v>
      </c>
      <c r="E61" s="203" t="s">
        <v>315</v>
      </c>
      <c r="F61" s="203" t="s">
        <v>306</v>
      </c>
      <c r="G61" s="203" t="s">
        <v>36</v>
      </c>
      <c r="H61" s="203" t="s">
        <v>128</v>
      </c>
      <c r="I61" s="203" t="s">
        <v>153</v>
      </c>
      <c r="J61" s="203" t="s">
        <v>80</v>
      </c>
      <c r="K61" s="203" t="s">
        <v>126</v>
      </c>
      <c r="L61" s="203">
        <v>3</v>
      </c>
      <c r="N61" s="203">
        <v>5</v>
      </c>
      <c r="O61" s="203">
        <v>0.42</v>
      </c>
      <c r="P61" s="203">
        <v>0.5</v>
      </c>
      <c r="Q61" s="240">
        <f t="shared" si="2"/>
        <v>0.45999999999999996</v>
      </c>
      <c r="R61" s="203">
        <v>13.7</v>
      </c>
      <c r="S61" s="203">
        <v>96</v>
      </c>
      <c r="T61" s="212">
        <f t="shared" si="0"/>
        <v>36</v>
      </c>
      <c r="U61" s="203">
        <v>458</v>
      </c>
      <c r="V61" s="212">
        <f t="shared" si="1"/>
        <v>16</v>
      </c>
      <c r="W61" s="203">
        <v>1</v>
      </c>
      <c r="X61" s="203" t="s">
        <v>46</v>
      </c>
      <c r="Y61" s="203" t="s">
        <v>84</v>
      </c>
      <c r="Z61" s="203" t="s">
        <v>90</v>
      </c>
      <c r="AA61" s="203" t="s">
        <v>69</v>
      </c>
      <c r="AB61" s="232" t="s">
        <v>437</v>
      </c>
    </row>
    <row r="62" spans="1:28" x14ac:dyDescent="0.15">
      <c r="A62" s="203" t="s">
        <v>59</v>
      </c>
      <c r="B62" s="232" t="s">
        <v>385</v>
      </c>
      <c r="C62" s="149">
        <v>2018</v>
      </c>
      <c r="D62" s="150" t="s">
        <v>432</v>
      </c>
      <c r="E62" s="203" t="s">
        <v>310</v>
      </c>
      <c r="F62" s="203" t="s">
        <v>303</v>
      </c>
      <c r="G62" s="203" t="s">
        <v>36</v>
      </c>
      <c r="H62" s="203" t="s">
        <v>166</v>
      </c>
      <c r="I62" s="203" t="s">
        <v>153</v>
      </c>
      <c r="J62" s="203" t="s">
        <v>38</v>
      </c>
      <c r="K62" s="203" t="s">
        <v>154</v>
      </c>
      <c r="L62" s="203">
        <v>1</v>
      </c>
      <c r="N62" s="203">
        <v>3</v>
      </c>
      <c r="O62" s="203">
        <v>0.22</v>
      </c>
      <c r="P62" s="203">
        <v>0.25</v>
      </c>
      <c r="Q62" s="240">
        <f t="shared" si="2"/>
        <v>0.23499999999999999</v>
      </c>
      <c r="R62" s="203">
        <v>17.600000000000001</v>
      </c>
      <c r="S62" s="203">
        <v>160</v>
      </c>
      <c r="T62" s="212">
        <f t="shared" si="0"/>
        <v>18</v>
      </c>
      <c r="U62" s="203">
        <v>494</v>
      </c>
      <c r="V62" s="212">
        <f t="shared" si="1"/>
        <v>16</v>
      </c>
      <c r="W62" s="203">
        <v>2</v>
      </c>
      <c r="X62" s="203" t="s">
        <v>46</v>
      </c>
      <c r="Y62" s="203" t="s">
        <v>84</v>
      </c>
      <c r="Z62" s="203" t="s">
        <v>90</v>
      </c>
      <c r="AA62" s="203" t="s">
        <v>271</v>
      </c>
      <c r="AB62" s="232" t="s">
        <v>412</v>
      </c>
    </row>
    <row r="63" spans="1:28" x14ac:dyDescent="0.15">
      <c r="A63" s="203" t="s">
        <v>59</v>
      </c>
      <c r="B63" s="232" t="s">
        <v>419</v>
      </c>
      <c r="C63" s="149">
        <v>2018</v>
      </c>
      <c r="D63" s="150" t="s">
        <v>420</v>
      </c>
      <c r="E63" s="203" t="s">
        <v>310</v>
      </c>
      <c r="F63" s="203" t="s">
        <v>303</v>
      </c>
      <c r="G63" s="203" t="s">
        <v>36</v>
      </c>
      <c r="H63" s="203" t="s">
        <v>166</v>
      </c>
      <c r="I63" s="203" t="s">
        <v>153</v>
      </c>
      <c r="J63" s="203" t="s">
        <v>38</v>
      </c>
      <c r="K63" s="203" t="s">
        <v>154</v>
      </c>
      <c r="L63" s="203">
        <v>2</v>
      </c>
      <c r="N63" s="203">
        <v>3</v>
      </c>
      <c r="O63" s="203">
        <v>0.32</v>
      </c>
      <c r="P63" s="203">
        <v>0.41</v>
      </c>
      <c r="Q63" s="240">
        <f t="shared" si="2"/>
        <v>0.36499999999999999</v>
      </c>
      <c r="R63" s="203">
        <v>15.1</v>
      </c>
      <c r="S63" s="203">
        <v>165</v>
      </c>
      <c r="T63" s="212">
        <f t="shared" si="0"/>
        <v>18</v>
      </c>
      <c r="U63" s="203">
        <v>494</v>
      </c>
      <c r="V63" s="212">
        <f t="shared" si="1"/>
        <v>16</v>
      </c>
      <c r="W63" s="203">
        <v>2</v>
      </c>
      <c r="X63" s="203" t="s">
        <v>46</v>
      </c>
      <c r="Y63" s="203" t="s">
        <v>84</v>
      </c>
      <c r="Z63" s="203" t="s">
        <v>90</v>
      </c>
      <c r="AA63" s="203" t="s">
        <v>271</v>
      </c>
      <c r="AB63" s="232" t="s">
        <v>412</v>
      </c>
    </row>
    <row r="64" spans="1:28" x14ac:dyDescent="0.15">
      <c r="A64" s="203" t="s">
        <v>59</v>
      </c>
      <c r="B64" s="232" t="s">
        <v>419</v>
      </c>
      <c r="C64" s="149">
        <v>2018</v>
      </c>
      <c r="D64" s="150" t="s">
        <v>420</v>
      </c>
      <c r="E64" s="203" t="s">
        <v>310</v>
      </c>
      <c r="F64" s="203" t="s">
        <v>303</v>
      </c>
      <c r="G64" s="203" t="s">
        <v>36</v>
      </c>
      <c r="H64" s="203" t="s">
        <v>166</v>
      </c>
      <c r="I64" s="203" t="s">
        <v>153</v>
      </c>
      <c r="J64" s="203" t="s">
        <v>38</v>
      </c>
      <c r="K64" s="203" t="s">
        <v>154</v>
      </c>
      <c r="L64" s="203">
        <v>3</v>
      </c>
      <c r="N64" s="203">
        <v>3</v>
      </c>
      <c r="O64" s="203">
        <v>0.4</v>
      </c>
      <c r="P64" s="203">
        <v>0.35</v>
      </c>
      <c r="Q64" s="240">
        <f t="shared" si="2"/>
        <v>0.375</v>
      </c>
      <c r="R64" s="203">
        <v>15.5</v>
      </c>
      <c r="S64" s="203">
        <v>154</v>
      </c>
      <c r="T64" s="212">
        <f t="shared" si="0"/>
        <v>18</v>
      </c>
      <c r="U64" s="203">
        <v>494</v>
      </c>
      <c r="V64" s="212">
        <f t="shared" si="1"/>
        <v>16</v>
      </c>
      <c r="W64" s="203">
        <v>2</v>
      </c>
      <c r="X64" s="203" t="s">
        <v>46</v>
      </c>
      <c r="Y64" s="203" t="s">
        <v>84</v>
      </c>
      <c r="Z64" s="203" t="s">
        <v>90</v>
      </c>
      <c r="AA64" s="203" t="s">
        <v>271</v>
      </c>
      <c r="AB64" s="232" t="s">
        <v>412</v>
      </c>
    </row>
    <row r="65" spans="1:28" x14ac:dyDescent="0.15">
      <c r="A65" s="203" t="s">
        <v>59</v>
      </c>
      <c r="B65" s="232" t="s">
        <v>419</v>
      </c>
      <c r="C65" s="149">
        <v>2018</v>
      </c>
      <c r="D65" s="150" t="s">
        <v>420</v>
      </c>
      <c r="E65" s="203" t="s">
        <v>310</v>
      </c>
      <c r="F65" s="203" t="s">
        <v>303</v>
      </c>
      <c r="G65" s="203" t="s">
        <v>36</v>
      </c>
      <c r="H65" s="203" t="s">
        <v>155</v>
      </c>
      <c r="I65" s="203" t="s">
        <v>153</v>
      </c>
      <c r="J65" s="203" t="s">
        <v>38</v>
      </c>
      <c r="K65" s="203" t="s">
        <v>154</v>
      </c>
      <c r="L65" s="203">
        <v>1</v>
      </c>
      <c r="N65" s="203">
        <v>4</v>
      </c>
      <c r="O65" s="203">
        <v>1.02</v>
      </c>
      <c r="P65" s="203">
        <v>0.98</v>
      </c>
      <c r="Q65" s="240">
        <f t="shared" si="2"/>
        <v>1</v>
      </c>
      <c r="R65" s="203">
        <v>15.1</v>
      </c>
      <c r="S65" s="203">
        <v>92</v>
      </c>
      <c r="T65" s="212">
        <f t="shared" si="0"/>
        <v>36</v>
      </c>
      <c r="U65" s="203">
        <v>386</v>
      </c>
      <c r="V65" s="212">
        <f t="shared" si="1"/>
        <v>16</v>
      </c>
      <c r="W65" s="203">
        <v>2</v>
      </c>
      <c r="X65" s="203" t="s">
        <v>46</v>
      </c>
      <c r="Y65" s="203" t="s">
        <v>84</v>
      </c>
      <c r="Z65" s="203" t="s">
        <v>90</v>
      </c>
      <c r="AA65" s="203" t="s">
        <v>271</v>
      </c>
      <c r="AB65" s="232" t="s">
        <v>412</v>
      </c>
    </row>
    <row r="66" spans="1:28" x14ac:dyDescent="0.15">
      <c r="A66" s="203" t="s">
        <v>59</v>
      </c>
      <c r="B66" s="232" t="s">
        <v>419</v>
      </c>
      <c r="C66" s="149">
        <v>2018</v>
      </c>
      <c r="D66" s="150" t="s">
        <v>420</v>
      </c>
      <c r="E66" s="203" t="s">
        <v>310</v>
      </c>
      <c r="F66" s="203" t="s">
        <v>303</v>
      </c>
      <c r="G66" s="203" t="s">
        <v>36</v>
      </c>
      <c r="H66" s="203" t="s">
        <v>155</v>
      </c>
      <c r="I66" s="203" t="s">
        <v>153</v>
      </c>
      <c r="J66" s="203" t="s">
        <v>38</v>
      </c>
      <c r="K66" s="203" t="s">
        <v>154</v>
      </c>
      <c r="L66" s="203">
        <v>2</v>
      </c>
      <c r="N66" s="203">
        <v>4</v>
      </c>
      <c r="O66" s="203">
        <v>0.42</v>
      </c>
      <c r="P66" s="203">
        <v>0.55000000000000004</v>
      </c>
      <c r="Q66" s="240">
        <f t="shared" si="2"/>
        <v>0.48499999999999999</v>
      </c>
      <c r="R66" s="203">
        <v>13</v>
      </c>
      <c r="S66" s="203">
        <v>90</v>
      </c>
      <c r="T66" s="212">
        <f t="shared" si="0"/>
        <v>36</v>
      </c>
      <c r="U66" s="203">
        <v>386</v>
      </c>
      <c r="V66" s="212">
        <f t="shared" ref="V66:V67" si="3">IF(J66="","",IF(OR(J66="GREEN",J66="GK"),IF(U66&gt;=$AX$2,VLOOKUP(U66,$AX$2:$AY$12,2,1),""),IF(U66&gt;=$AZ$2,VLOOKUP(U66,$AZ$2:$BA$12,2,1),"")))</f>
        <v>16</v>
      </c>
      <c r="W66" s="203">
        <v>2</v>
      </c>
      <c r="X66" s="203" t="s">
        <v>46</v>
      </c>
      <c r="Y66" s="203" t="s">
        <v>84</v>
      </c>
      <c r="Z66" s="203" t="s">
        <v>90</v>
      </c>
      <c r="AA66" s="203" t="s">
        <v>271</v>
      </c>
      <c r="AB66" s="232" t="s">
        <v>412</v>
      </c>
    </row>
    <row r="67" spans="1:28" x14ac:dyDescent="0.15">
      <c r="A67" s="203" t="s">
        <v>59</v>
      </c>
      <c r="B67" s="232" t="s">
        <v>419</v>
      </c>
      <c r="C67" s="149">
        <v>2018</v>
      </c>
      <c r="D67" s="150" t="s">
        <v>420</v>
      </c>
      <c r="E67" s="203" t="s">
        <v>310</v>
      </c>
      <c r="F67" s="203" t="s">
        <v>303</v>
      </c>
      <c r="G67" s="203" t="s">
        <v>36</v>
      </c>
      <c r="H67" s="203" t="s">
        <v>155</v>
      </c>
      <c r="I67" s="203" t="s">
        <v>153</v>
      </c>
      <c r="J67" s="203" t="s">
        <v>38</v>
      </c>
      <c r="K67" s="203" t="s">
        <v>154</v>
      </c>
      <c r="L67" s="203">
        <v>3</v>
      </c>
      <c r="N67" s="203">
        <v>4</v>
      </c>
      <c r="O67" s="203">
        <v>0.5</v>
      </c>
      <c r="P67" s="203">
        <v>0.48</v>
      </c>
      <c r="Q67" s="240">
        <f t="shared" si="2"/>
        <v>0.49</v>
      </c>
      <c r="R67" s="203">
        <v>13.8</v>
      </c>
      <c r="S67" s="203">
        <v>94</v>
      </c>
      <c r="T67" s="212">
        <f t="shared" si="0"/>
        <v>36</v>
      </c>
      <c r="U67" s="203">
        <v>386</v>
      </c>
      <c r="V67" s="212">
        <f t="shared" si="3"/>
        <v>16</v>
      </c>
      <c r="W67" s="203">
        <v>2</v>
      </c>
      <c r="X67" s="203" t="s">
        <v>46</v>
      </c>
      <c r="Y67" s="203" t="s">
        <v>84</v>
      </c>
      <c r="Z67" s="203" t="s">
        <v>90</v>
      </c>
      <c r="AA67" s="203" t="s">
        <v>271</v>
      </c>
      <c r="AB67" s="232" t="s">
        <v>412</v>
      </c>
    </row>
    <row r="68" spans="1:28" x14ac:dyDescent="0.15">
      <c r="B68" s="232"/>
      <c r="C68" s="149"/>
      <c r="D68" s="150"/>
      <c r="Q68" s="240"/>
      <c r="AB68" s="232"/>
    </row>
    <row r="69" spans="1:28" x14ac:dyDescent="0.15">
      <c r="B69" s="232"/>
      <c r="C69" s="149"/>
      <c r="D69" s="150"/>
      <c r="Q69" s="240"/>
      <c r="AB69" s="232"/>
    </row>
    <row r="70" spans="1:28" x14ac:dyDescent="0.15">
      <c r="B70" s="232"/>
      <c r="C70" s="149"/>
      <c r="D70" s="150"/>
      <c r="Q70" s="240"/>
      <c r="AB70" s="232"/>
    </row>
    <row r="71" spans="1:28" x14ac:dyDescent="0.15">
      <c r="B71" s="232"/>
      <c r="C71" s="149"/>
      <c r="D71" s="150"/>
      <c r="Q71" s="240"/>
      <c r="AB71" s="232"/>
    </row>
    <row r="72" spans="1:28" x14ac:dyDescent="0.15">
      <c r="B72" s="232"/>
      <c r="C72" s="149"/>
      <c r="D72" s="150"/>
      <c r="Q72" s="240"/>
      <c r="AB72" s="232"/>
    </row>
    <row r="73" spans="1:28" x14ac:dyDescent="0.15">
      <c r="B73" s="232"/>
      <c r="C73" s="149"/>
      <c r="D73" s="150"/>
      <c r="Q73" s="240"/>
      <c r="AB73" s="232"/>
    </row>
    <row r="74" spans="1:28" x14ac:dyDescent="0.15">
      <c r="B74" s="232"/>
      <c r="C74" s="149"/>
      <c r="D74" s="150"/>
      <c r="Q74" s="240"/>
      <c r="AB74" s="232"/>
    </row>
    <row r="75" spans="1:28" x14ac:dyDescent="0.15">
      <c r="B75" s="232"/>
      <c r="C75" s="149"/>
      <c r="D75" s="150"/>
      <c r="Q75" s="240"/>
      <c r="AB75" s="232"/>
    </row>
    <row r="76" spans="1:28" x14ac:dyDescent="0.15">
      <c r="B76" s="232"/>
      <c r="C76" s="149"/>
      <c r="D76" s="150"/>
      <c r="Q76" s="240"/>
      <c r="AB76" s="232"/>
    </row>
    <row r="77" spans="1:28" x14ac:dyDescent="0.15">
      <c r="B77" s="232"/>
      <c r="C77" s="149"/>
      <c r="Q77" s="240"/>
      <c r="AB77" s="232"/>
    </row>
    <row r="78" spans="1:28" x14ac:dyDescent="0.15">
      <c r="B78" s="232"/>
      <c r="C78" s="149"/>
      <c r="Q78" s="240"/>
      <c r="AB78" s="232"/>
    </row>
    <row r="79" spans="1:28" x14ac:dyDescent="0.15">
      <c r="B79" s="232"/>
      <c r="C79" s="149"/>
      <c r="Q79" s="240"/>
      <c r="AB79" s="232"/>
    </row>
    <row r="80" spans="1:28" x14ac:dyDescent="0.15">
      <c r="B80" s="232"/>
      <c r="C80" s="149"/>
      <c r="Q80" s="240"/>
      <c r="AB80" s="232"/>
    </row>
    <row r="81" spans="2:28" x14ac:dyDescent="0.15">
      <c r="B81" s="232"/>
      <c r="C81" s="149"/>
      <c r="Q81" s="240"/>
      <c r="AB81" s="232"/>
    </row>
    <row r="82" spans="2:28" x14ac:dyDescent="0.15">
      <c r="B82" s="232"/>
      <c r="C82" s="149"/>
      <c r="Q82" s="240"/>
      <c r="AB82" s="232"/>
    </row>
    <row r="83" spans="2:28" x14ac:dyDescent="0.15">
      <c r="B83" s="232"/>
      <c r="C83" s="149"/>
      <c r="Q83" s="240"/>
      <c r="AB83" s="232"/>
    </row>
    <row r="84" spans="2:28" x14ac:dyDescent="0.15">
      <c r="B84" s="232"/>
      <c r="C84" s="149"/>
      <c r="Q84" s="240"/>
      <c r="AB84" s="232"/>
    </row>
    <row r="85" spans="2:28" x14ac:dyDescent="0.15">
      <c r="B85" s="232"/>
      <c r="C85" s="149"/>
      <c r="Q85" s="240"/>
      <c r="AB85" s="232"/>
    </row>
    <row r="86" spans="2:28" x14ac:dyDescent="0.15">
      <c r="B86" s="232"/>
      <c r="C86" s="149"/>
      <c r="Q86" s="240"/>
      <c r="AB86" s="232"/>
    </row>
    <row r="87" spans="2:28" x14ac:dyDescent="0.15">
      <c r="B87" s="232"/>
      <c r="C87" s="149"/>
      <c r="Q87" s="240"/>
      <c r="AB87" s="232"/>
    </row>
    <row r="88" spans="2:28" x14ac:dyDescent="0.15">
      <c r="B88" s="232"/>
      <c r="C88" s="149"/>
      <c r="Q88" s="240"/>
      <c r="AB88" s="232"/>
    </row>
    <row r="89" spans="2:28" x14ac:dyDescent="0.15">
      <c r="B89" s="232"/>
      <c r="C89" s="149"/>
      <c r="Q89" s="240"/>
      <c r="AB89" s="232"/>
    </row>
    <row r="90" spans="2:28" x14ac:dyDescent="0.15">
      <c r="B90" s="232"/>
      <c r="C90" s="149"/>
      <c r="Q90" s="240"/>
      <c r="AB90" s="232"/>
    </row>
    <row r="91" spans="2:28" x14ac:dyDescent="0.15">
      <c r="B91" s="232"/>
      <c r="C91" s="149"/>
      <c r="Q91" s="240"/>
      <c r="AB91" s="232"/>
    </row>
    <row r="92" spans="2:28" x14ac:dyDescent="0.15">
      <c r="B92" s="232"/>
      <c r="C92" s="149"/>
      <c r="Q92" s="240"/>
      <c r="AB92" s="232"/>
    </row>
    <row r="93" spans="2:28" x14ac:dyDescent="0.15">
      <c r="B93" s="232"/>
      <c r="C93" s="149"/>
      <c r="AB93" s="232"/>
    </row>
    <row r="94" spans="2:28" x14ac:dyDescent="0.15">
      <c r="B94" s="232"/>
      <c r="C94" s="149"/>
      <c r="AB94" s="232"/>
    </row>
    <row r="95" spans="2:28" x14ac:dyDescent="0.15">
      <c r="Q95" s="212" t="str">
        <f t="shared" ref="Q95:Q146" si="4">IF(OR(O95="",P95=""),"",AVERAGE(O95,P95))</f>
        <v/>
      </c>
      <c r="T95" s="212" t="str">
        <f t="shared" ref="T95:T146" si="5">IF(H95="","",IF(OR(H95="GREEN",H95="GK"),IF(S95&gt;=$AX$2,VLOOKUP(S95,$AX$2:$AY$12,2,1),""),IF(S95&gt;=$AZ$2,VLOOKUP(S95,$AZ$2:$BA$12,2,1),"")))</f>
        <v/>
      </c>
      <c r="V95" s="212" t="str">
        <f t="shared" ref="V95:V146" si="6">IF(J95="","",IF(OR(J95="GREEN",J95="GK"),IF(U95&gt;=$AX$2,VLOOKUP(U95,$AX$2:$AY$12,2,1),""),IF(U95&gt;=$AZ$2,VLOOKUP(U95,$AZ$2:$BA$12,2,1),"")))</f>
        <v/>
      </c>
      <c r="AB95" s="232"/>
    </row>
    <row r="96" spans="2:28" x14ac:dyDescent="0.15">
      <c r="Q96" s="212" t="str">
        <f t="shared" si="4"/>
        <v/>
      </c>
      <c r="T96" s="212" t="str">
        <f t="shared" si="5"/>
        <v/>
      </c>
      <c r="V96" s="212" t="str">
        <f t="shared" si="6"/>
        <v/>
      </c>
    </row>
    <row r="97" spans="17:22" x14ac:dyDescent="0.15">
      <c r="Q97" s="212" t="str">
        <f t="shared" si="4"/>
        <v/>
      </c>
      <c r="T97" s="212" t="str">
        <f t="shared" si="5"/>
        <v/>
      </c>
      <c r="V97" s="212" t="str">
        <f t="shared" si="6"/>
        <v/>
      </c>
    </row>
    <row r="98" spans="17:22" x14ac:dyDescent="0.15">
      <c r="Q98" s="212" t="str">
        <f t="shared" si="4"/>
        <v/>
      </c>
      <c r="T98" s="212" t="str">
        <f t="shared" si="5"/>
        <v/>
      </c>
      <c r="V98" s="212" t="str">
        <f t="shared" si="6"/>
        <v/>
      </c>
    </row>
    <row r="99" spans="17:22" x14ac:dyDescent="0.15">
      <c r="Q99" s="212" t="str">
        <f t="shared" si="4"/>
        <v/>
      </c>
      <c r="T99" s="212" t="str">
        <f t="shared" si="5"/>
        <v/>
      </c>
      <c r="V99" s="212" t="str">
        <f t="shared" si="6"/>
        <v/>
      </c>
    </row>
    <row r="100" spans="17:22" x14ac:dyDescent="0.15">
      <c r="Q100" s="212" t="str">
        <f t="shared" si="4"/>
        <v/>
      </c>
      <c r="T100" s="212" t="str">
        <f t="shared" si="5"/>
        <v/>
      </c>
      <c r="V100" s="212" t="str">
        <f t="shared" si="6"/>
        <v/>
      </c>
    </row>
    <row r="101" spans="17:22" x14ac:dyDescent="0.15">
      <c r="Q101" s="212" t="str">
        <f t="shared" si="4"/>
        <v/>
      </c>
      <c r="T101" s="212" t="str">
        <f t="shared" si="5"/>
        <v/>
      </c>
      <c r="V101" s="212" t="str">
        <f t="shared" si="6"/>
        <v/>
      </c>
    </row>
    <row r="102" spans="17:22" x14ac:dyDescent="0.15">
      <c r="Q102" s="212" t="str">
        <f t="shared" si="4"/>
        <v/>
      </c>
      <c r="T102" s="212" t="str">
        <f t="shared" si="5"/>
        <v/>
      </c>
      <c r="V102" s="212" t="str">
        <f t="shared" si="6"/>
        <v/>
      </c>
    </row>
    <row r="103" spans="17:22" x14ac:dyDescent="0.15">
      <c r="Q103" s="212" t="str">
        <f t="shared" si="4"/>
        <v/>
      </c>
      <c r="T103" s="212" t="str">
        <f t="shared" si="5"/>
        <v/>
      </c>
      <c r="V103" s="212" t="str">
        <f t="shared" si="6"/>
        <v/>
      </c>
    </row>
    <row r="104" spans="17:22" x14ac:dyDescent="0.15">
      <c r="Q104" s="212" t="str">
        <f t="shared" si="4"/>
        <v/>
      </c>
      <c r="T104" s="212" t="str">
        <f t="shared" si="5"/>
        <v/>
      </c>
      <c r="V104" s="212" t="str">
        <f t="shared" si="6"/>
        <v/>
      </c>
    </row>
    <row r="105" spans="17:22" x14ac:dyDescent="0.15">
      <c r="Q105" s="212" t="str">
        <f t="shared" si="4"/>
        <v/>
      </c>
      <c r="T105" s="212" t="str">
        <f t="shared" si="5"/>
        <v/>
      </c>
      <c r="V105" s="212" t="str">
        <f t="shared" si="6"/>
        <v/>
      </c>
    </row>
    <row r="106" spans="17:22" x14ac:dyDescent="0.15">
      <c r="Q106" s="212" t="str">
        <f t="shared" si="4"/>
        <v/>
      </c>
      <c r="T106" s="212" t="str">
        <f t="shared" si="5"/>
        <v/>
      </c>
      <c r="V106" s="212" t="str">
        <f t="shared" si="6"/>
        <v/>
      </c>
    </row>
    <row r="107" spans="17:22" x14ac:dyDescent="0.15">
      <c r="Q107" s="212" t="str">
        <f t="shared" si="4"/>
        <v/>
      </c>
      <c r="T107" s="212" t="str">
        <f t="shared" si="5"/>
        <v/>
      </c>
      <c r="V107" s="212" t="str">
        <f t="shared" si="6"/>
        <v/>
      </c>
    </row>
    <row r="108" spans="17:22" x14ac:dyDescent="0.15">
      <c r="Q108" s="212" t="str">
        <f t="shared" si="4"/>
        <v/>
      </c>
      <c r="T108" s="212" t="str">
        <f t="shared" si="5"/>
        <v/>
      </c>
      <c r="V108" s="212" t="str">
        <f t="shared" si="6"/>
        <v/>
      </c>
    </row>
    <row r="109" spans="17:22" x14ac:dyDescent="0.15">
      <c r="Q109" s="212" t="str">
        <f t="shared" si="4"/>
        <v/>
      </c>
      <c r="T109" s="212" t="str">
        <f t="shared" si="5"/>
        <v/>
      </c>
      <c r="V109" s="212" t="str">
        <f t="shared" si="6"/>
        <v/>
      </c>
    </row>
    <row r="110" spans="17:22" x14ac:dyDescent="0.15">
      <c r="Q110" s="212" t="str">
        <f t="shared" si="4"/>
        <v/>
      </c>
      <c r="T110" s="212" t="str">
        <f t="shared" si="5"/>
        <v/>
      </c>
      <c r="V110" s="212" t="str">
        <f t="shared" si="6"/>
        <v/>
      </c>
    </row>
    <row r="111" spans="17:22" x14ac:dyDescent="0.15">
      <c r="Q111" s="212" t="str">
        <f t="shared" si="4"/>
        <v/>
      </c>
      <c r="T111" s="212" t="str">
        <f t="shared" si="5"/>
        <v/>
      </c>
      <c r="V111" s="212" t="str">
        <f t="shared" si="6"/>
        <v/>
      </c>
    </row>
    <row r="112" spans="17:22" x14ac:dyDescent="0.15">
      <c r="Q112" s="212" t="str">
        <f t="shared" si="4"/>
        <v/>
      </c>
      <c r="T112" s="212" t="str">
        <f t="shared" si="5"/>
        <v/>
      </c>
      <c r="V112" s="212" t="str">
        <f t="shared" si="6"/>
        <v/>
      </c>
    </row>
    <row r="113" spans="17:22" x14ac:dyDescent="0.15">
      <c r="Q113" s="212" t="str">
        <f t="shared" si="4"/>
        <v/>
      </c>
      <c r="T113" s="212" t="str">
        <f t="shared" si="5"/>
        <v/>
      </c>
      <c r="V113" s="212" t="str">
        <f t="shared" si="6"/>
        <v/>
      </c>
    </row>
    <row r="114" spans="17:22" x14ac:dyDescent="0.15">
      <c r="Q114" s="212" t="str">
        <f t="shared" si="4"/>
        <v/>
      </c>
      <c r="T114" s="212" t="str">
        <f t="shared" si="5"/>
        <v/>
      </c>
      <c r="V114" s="212" t="str">
        <f t="shared" si="6"/>
        <v/>
      </c>
    </row>
    <row r="115" spans="17:22" x14ac:dyDescent="0.15">
      <c r="Q115" s="212" t="str">
        <f t="shared" si="4"/>
        <v/>
      </c>
      <c r="T115" s="212" t="str">
        <f t="shared" si="5"/>
        <v/>
      </c>
      <c r="V115" s="212" t="str">
        <f t="shared" si="6"/>
        <v/>
      </c>
    </row>
    <row r="116" spans="17:22" x14ac:dyDescent="0.15">
      <c r="Q116" s="212" t="str">
        <f t="shared" si="4"/>
        <v/>
      </c>
      <c r="T116" s="212" t="str">
        <f t="shared" si="5"/>
        <v/>
      </c>
      <c r="V116" s="212" t="str">
        <f t="shared" si="6"/>
        <v/>
      </c>
    </row>
    <row r="117" spans="17:22" x14ac:dyDescent="0.15">
      <c r="Q117" s="212" t="str">
        <f t="shared" si="4"/>
        <v/>
      </c>
      <c r="T117" s="212" t="str">
        <f t="shared" si="5"/>
        <v/>
      </c>
      <c r="V117" s="212" t="str">
        <f t="shared" si="6"/>
        <v/>
      </c>
    </row>
    <row r="118" spans="17:22" x14ac:dyDescent="0.15">
      <c r="Q118" s="212" t="str">
        <f t="shared" si="4"/>
        <v/>
      </c>
      <c r="T118" s="212" t="str">
        <f t="shared" si="5"/>
        <v/>
      </c>
      <c r="V118" s="212" t="str">
        <f t="shared" si="6"/>
        <v/>
      </c>
    </row>
    <row r="119" spans="17:22" x14ac:dyDescent="0.15">
      <c r="Q119" s="212" t="str">
        <f t="shared" si="4"/>
        <v/>
      </c>
      <c r="T119" s="212" t="str">
        <f t="shared" si="5"/>
        <v/>
      </c>
      <c r="V119" s="212" t="str">
        <f t="shared" si="6"/>
        <v/>
      </c>
    </row>
    <row r="120" spans="17:22" x14ac:dyDescent="0.15">
      <c r="Q120" s="212" t="str">
        <f t="shared" si="4"/>
        <v/>
      </c>
      <c r="T120" s="212" t="str">
        <f t="shared" si="5"/>
        <v/>
      </c>
      <c r="V120" s="212" t="str">
        <f t="shared" si="6"/>
        <v/>
      </c>
    </row>
    <row r="121" spans="17:22" x14ac:dyDescent="0.15">
      <c r="Q121" s="212" t="str">
        <f t="shared" si="4"/>
        <v/>
      </c>
      <c r="T121" s="212" t="str">
        <f t="shared" si="5"/>
        <v/>
      </c>
      <c r="V121" s="212" t="str">
        <f t="shared" si="6"/>
        <v/>
      </c>
    </row>
    <row r="122" spans="17:22" x14ac:dyDescent="0.15">
      <c r="Q122" s="212" t="str">
        <f t="shared" si="4"/>
        <v/>
      </c>
      <c r="T122" s="212" t="str">
        <f t="shared" si="5"/>
        <v/>
      </c>
      <c r="V122" s="212" t="str">
        <f t="shared" si="6"/>
        <v/>
      </c>
    </row>
    <row r="123" spans="17:22" x14ac:dyDescent="0.15">
      <c r="Q123" s="212" t="str">
        <f t="shared" si="4"/>
        <v/>
      </c>
      <c r="T123" s="212" t="str">
        <f t="shared" si="5"/>
        <v/>
      </c>
      <c r="V123" s="212" t="str">
        <f t="shared" si="6"/>
        <v/>
      </c>
    </row>
    <row r="124" spans="17:22" x14ac:dyDescent="0.15">
      <c r="Q124" s="212" t="str">
        <f t="shared" si="4"/>
        <v/>
      </c>
      <c r="T124" s="212" t="str">
        <f t="shared" si="5"/>
        <v/>
      </c>
      <c r="V124" s="212" t="str">
        <f t="shared" si="6"/>
        <v/>
      </c>
    </row>
    <row r="125" spans="17:22" x14ac:dyDescent="0.15">
      <c r="Q125" s="212" t="str">
        <f t="shared" si="4"/>
        <v/>
      </c>
      <c r="T125" s="212" t="str">
        <f t="shared" si="5"/>
        <v/>
      </c>
      <c r="V125" s="212" t="str">
        <f t="shared" si="6"/>
        <v/>
      </c>
    </row>
    <row r="126" spans="17:22" x14ac:dyDescent="0.15">
      <c r="Q126" s="212" t="str">
        <f t="shared" si="4"/>
        <v/>
      </c>
      <c r="T126" s="212" t="str">
        <f t="shared" si="5"/>
        <v/>
      </c>
      <c r="V126" s="212" t="str">
        <f t="shared" si="6"/>
        <v/>
      </c>
    </row>
    <row r="127" spans="17:22" x14ac:dyDescent="0.15">
      <c r="Q127" s="212" t="str">
        <f t="shared" si="4"/>
        <v/>
      </c>
      <c r="T127" s="212" t="str">
        <f t="shared" si="5"/>
        <v/>
      </c>
      <c r="V127" s="212" t="str">
        <f t="shared" si="6"/>
        <v/>
      </c>
    </row>
    <row r="128" spans="17:22" x14ac:dyDescent="0.15">
      <c r="Q128" s="212" t="str">
        <f t="shared" si="4"/>
        <v/>
      </c>
      <c r="T128" s="212" t="str">
        <f t="shared" si="5"/>
        <v/>
      </c>
      <c r="V128" s="212" t="str">
        <f t="shared" si="6"/>
        <v/>
      </c>
    </row>
    <row r="129" spans="17:22" x14ac:dyDescent="0.15">
      <c r="Q129" s="212" t="str">
        <f t="shared" si="4"/>
        <v/>
      </c>
      <c r="T129" s="212" t="str">
        <f t="shared" si="5"/>
        <v/>
      </c>
      <c r="V129" s="212" t="str">
        <f t="shared" si="6"/>
        <v/>
      </c>
    </row>
    <row r="130" spans="17:22" x14ac:dyDescent="0.15">
      <c r="Q130" s="212" t="str">
        <f t="shared" si="4"/>
        <v/>
      </c>
      <c r="T130" s="212" t="str">
        <f t="shared" si="5"/>
        <v/>
      </c>
      <c r="V130" s="212" t="str">
        <f t="shared" si="6"/>
        <v/>
      </c>
    </row>
    <row r="131" spans="17:22" x14ac:dyDescent="0.15">
      <c r="Q131" s="212" t="str">
        <f t="shared" si="4"/>
        <v/>
      </c>
      <c r="T131" s="212" t="str">
        <f t="shared" si="5"/>
        <v/>
      </c>
      <c r="V131" s="212" t="str">
        <f t="shared" si="6"/>
        <v/>
      </c>
    </row>
    <row r="132" spans="17:22" x14ac:dyDescent="0.15">
      <c r="Q132" s="212" t="str">
        <f t="shared" si="4"/>
        <v/>
      </c>
      <c r="T132" s="212" t="str">
        <f t="shared" si="5"/>
        <v/>
      </c>
      <c r="V132" s="212" t="str">
        <f t="shared" si="6"/>
        <v/>
      </c>
    </row>
    <row r="133" spans="17:22" x14ac:dyDescent="0.15">
      <c r="Q133" s="212" t="str">
        <f t="shared" si="4"/>
        <v/>
      </c>
      <c r="T133" s="212" t="str">
        <f t="shared" si="5"/>
        <v/>
      </c>
      <c r="V133" s="212" t="str">
        <f t="shared" si="6"/>
        <v/>
      </c>
    </row>
    <row r="134" spans="17:22" x14ac:dyDescent="0.15">
      <c r="Q134" s="212" t="str">
        <f t="shared" si="4"/>
        <v/>
      </c>
      <c r="T134" s="212" t="str">
        <f t="shared" si="5"/>
        <v/>
      </c>
      <c r="V134" s="212" t="str">
        <f t="shared" si="6"/>
        <v/>
      </c>
    </row>
    <row r="135" spans="17:22" x14ac:dyDescent="0.15">
      <c r="Q135" s="212" t="str">
        <f t="shared" si="4"/>
        <v/>
      </c>
      <c r="T135" s="212" t="str">
        <f t="shared" si="5"/>
        <v/>
      </c>
      <c r="V135" s="212" t="str">
        <f t="shared" si="6"/>
        <v/>
      </c>
    </row>
    <row r="136" spans="17:22" x14ac:dyDescent="0.15">
      <c r="Q136" s="212" t="str">
        <f t="shared" si="4"/>
        <v/>
      </c>
      <c r="T136" s="212" t="str">
        <f t="shared" si="5"/>
        <v/>
      </c>
      <c r="V136" s="212" t="str">
        <f t="shared" si="6"/>
        <v/>
      </c>
    </row>
    <row r="137" spans="17:22" x14ac:dyDescent="0.15">
      <c r="Q137" s="212" t="str">
        <f t="shared" si="4"/>
        <v/>
      </c>
      <c r="T137" s="212" t="str">
        <f t="shared" si="5"/>
        <v/>
      </c>
      <c r="V137" s="212" t="str">
        <f t="shared" si="6"/>
        <v/>
      </c>
    </row>
    <row r="138" spans="17:22" x14ac:dyDescent="0.15">
      <c r="Q138" s="212" t="str">
        <f t="shared" si="4"/>
        <v/>
      </c>
      <c r="T138" s="212" t="str">
        <f t="shared" si="5"/>
        <v/>
      </c>
      <c r="V138" s="212" t="str">
        <f t="shared" si="6"/>
        <v/>
      </c>
    </row>
    <row r="139" spans="17:22" x14ac:dyDescent="0.15">
      <c r="Q139" s="212" t="str">
        <f t="shared" si="4"/>
        <v/>
      </c>
      <c r="T139" s="212" t="str">
        <f t="shared" si="5"/>
        <v/>
      </c>
      <c r="V139" s="212" t="str">
        <f t="shared" si="6"/>
        <v/>
      </c>
    </row>
    <row r="140" spans="17:22" x14ac:dyDescent="0.15">
      <c r="Q140" s="212" t="str">
        <f t="shared" si="4"/>
        <v/>
      </c>
      <c r="T140" s="212" t="str">
        <f t="shared" si="5"/>
        <v/>
      </c>
      <c r="V140" s="212" t="str">
        <f t="shared" si="6"/>
        <v/>
      </c>
    </row>
    <row r="141" spans="17:22" x14ac:dyDescent="0.15">
      <c r="Q141" s="212" t="str">
        <f t="shared" si="4"/>
        <v/>
      </c>
      <c r="T141" s="212" t="str">
        <f t="shared" si="5"/>
        <v/>
      </c>
      <c r="V141" s="212" t="str">
        <f t="shared" si="6"/>
        <v/>
      </c>
    </row>
    <row r="142" spans="17:22" x14ac:dyDescent="0.15">
      <c r="Q142" s="212" t="str">
        <f t="shared" si="4"/>
        <v/>
      </c>
      <c r="T142" s="212" t="str">
        <f t="shared" si="5"/>
        <v/>
      </c>
      <c r="V142" s="212" t="str">
        <f t="shared" si="6"/>
        <v/>
      </c>
    </row>
    <row r="143" spans="17:22" x14ac:dyDescent="0.15">
      <c r="Q143" s="212" t="str">
        <f t="shared" si="4"/>
        <v/>
      </c>
      <c r="T143" s="212" t="str">
        <f t="shared" si="5"/>
        <v/>
      </c>
      <c r="V143" s="212" t="str">
        <f t="shared" si="6"/>
        <v/>
      </c>
    </row>
    <row r="144" spans="17:22" x14ac:dyDescent="0.15">
      <c r="Q144" s="212" t="str">
        <f t="shared" si="4"/>
        <v/>
      </c>
      <c r="T144" s="212" t="str">
        <f t="shared" si="5"/>
        <v/>
      </c>
      <c r="V144" s="212" t="str">
        <f t="shared" si="6"/>
        <v/>
      </c>
    </row>
    <row r="145" spans="17:22" x14ac:dyDescent="0.15">
      <c r="Q145" s="212" t="str">
        <f t="shared" si="4"/>
        <v/>
      </c>
      <c r="T145" s="212" t="str">
        <f t="shared" si="5"/>
        <v/>
      </c>
      <c r="V145" s="212" t="str">
        <f t="shared" si="6"/>
        <v/>
      </c>
    </row>
    <row r="146" spans="17:22" x14ac:dyDescent="0.15">
      <c r="Q146" s="212" t="str">
        <f t="shared" si="4"/>
        <v/>
      </c>
      <c r="T146" s="212" t="str">
        <f t="shared" si="5"/>
        <v/>
      </c>
      <c r="V146" s="212" t="str">
        <f t="shared" si="6"/>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49">
      <formula1>$AP$2:$AP$38</formula1>
    </dataValidation>
    <dataValidation type="list" allowBlank="1" showInputMessage="1" showErrorMessage="1" sqref="WVS983028:WVS983093 TC2:TC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JG2:JG70 ACY2:ACY70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K429:K486">
      <formula1>$AR$2:$AR$25</formula1>
    </dataValidation>
    <dataValidation type="list" allowBlank="1" showInputMessage="1" showErrorMessage="1" sqref="WVR983028:WVR983093 J65524:J65589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JF2:JF70 ACX2:ACX70 AMT2:AMT70 TB2:TB70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J50:J486">
      <formula1>$AP$2:$AP$27</formula1>
    </dataValidation>
    <dataValidation type="list" allowBlank="1" showInputMessage="1" showErrorMessage="1" sqref="WVP983028:WVP983093 JD2:JD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SZ2:SZ70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H65524:H65589">
      <formula1>$AL$4:$AL$12</formula1>
    </dataValidation>
    <dataValidation type="list" allowBlank="1" showInputMessage="1" showErrorMessage="1" sqref="A64349:A64414 A2:A486 SS2:SS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IW2:IW70 WVI2:WVI70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IW64349:IW64414">
      <formula1>$AE$2:$AE$19</formula1>
    </dataValidation>
    <dataValidation type="list" allowBlank="1" showInputMessage="1" showErrorMessage="1" sqref="X64349:X64414 JT64349:JT64414 ADL2:ADL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JT2:JT70 TP2:TP70 ANH2:ANH70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X2:X486">
      <formula1>$AT$2:$AT$3</formula1>
    </dataValidation>
    <dataValidation type="list" allowBlank="1" showInputMessage="1" showErrorMessage="1" sqref="G64349:G64416 G2:G486 SY2:SY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JC2:JC70 WVO2:WVO70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JC64349:JC64416">
      <formula1>$AJ$2:$AJ$4</formula1>
    </dataValidation>
    <dataValidation type="list" allowBlank="1" showInputMessage="1" showErrorMessage="1" sqref="I64349:I64414 I2:I486 ACW2:ACW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JE2:JE70 TA2:TA70 AMS2:AMS70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JE64349:JE64414">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2:JW70 ADM2:ADO70 ANI2:ANK70 AXE2:AXG70 BHA2:BHC70 BQW2:BQY70 CAS2:CAU70 CKO2:CKQ70 CUK2:CUM70 DEG2:DEI70 DOC2:DOE70 DXY2:DYA70 EHU2:EHW70 ERQ2:ERS70 FBM2:FBO70 FLI2:FLK70 FVE2:FVG70 GFA2:GFC70 GOW2:GOY70 GYS2:GYU70 HIO2:HIQ70 HSK2:HSM70 ICG2:ICI70 IMC2:IME70 IVY2:IWA70 JFU2:JFW70 JPQ2:JPS70 JZM2:JZO70 KJI2:KJK70 KTE2:KTG70 LDA2:LDC70 LMW2:LMY70 LWS2:LWU70 MGO2:MGQ70 MQK2:MQM70 NAG2:NAI70 NKC2:NKE70 NTY2:NUA70 ODU2:ODW70 ONQ2:ONS70 OXM2:OXO70 PHI2:PHK70 PRE2:PRG70 QBA2:QBC70 QKW2:QKY70 QUS2:QUU70 REO2:REQ70 ROK2:ROM70 RYG2:RYI70 SIC2:SIE70 SRY2:SSA70 TBU2:TBW70 TLQ2:TLS70 TVM2:TVO70 UFI2:UFK70 UPE2:UPG70 UZA2:UZC70 VIW2:VIY70 VSS2:VSU70 WCO2:WCQ70 WMK2:WMM70 WWG2:WWI70 TQ2:TS70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JU64349:JW64414">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JA2:JB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SW2:SX70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WVM983028:WVN983099">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F48" sqref="F48"/>
    </sheetView>
  </sheetViews>
  <sheetFormatPr defaultRowHeight="13.5" x14ac:dyDescent="0.15"/>
  <cols>
    <col min="1" max="3" width="9" style="203"/>
    <col min="4" max="4" width="10.5" style="203" bestFit="1" customWidth="1"/>
    <col min="5" max="16" width="9" style="203"/>
    <col min="17" max="17" width="9" style="212"/>
    <col min="18" max="19" width="9" style="203"/>
    <col min="20" max="20" width="9" style="212"/>
    <col min="21" max="21" width="9" style="203"/>
    <col min="22" max="22" width="9" style="212"/>
    <col min="23" max="32" width="9" style="203"/>
    <col min="33" max="33" width="16.875" style="203" bestFit="1" customWidth="1"/>
    <col min="34" max="34" width="15.625" style="203" customWidth="1"/>
    <col min="35" max="39" width="9" style="140"/>
    <col min="40" max="16384" width="9" style="203"/>
  </cols>
  <sheetData>
    <row r="1" spans="1:53" ht="45" x14ac:dyDescent="0.15">
      <c r="A1" s="235" t="s">
        <v>0</v>
      </c>
      <c r="B1" s="197" t="s">
        <v>1</v>
      </c>
      <c r="C1" s="197" t="s">
        <v>459</v>
      </c>
      <c r="D1" s="198" t="s">
        <v>3</v>
      </c>
      <c r="E1" s="236" t="s">
        <v>4</v>
      </c>
      <c r="F1" s="236" t="s">
        <v>5</v>
      </c>
      <c r="G1" s="236" t="s">
        <v>6</v>
      </c>
      <c r="H1" s="236" t="s">
        <v>7</v>
      </c>
      <c r="I1" s="236" t="s">
        <v>8</v>
      </c>
      <c r="J1" s="236" t="s">
        <v>9</v>
      </c>
      <c r="K1" s="196" t="s">
        <v>10</v>
      </c>
      <c r="L1" s="198" t="s">
        <v>460</v>
      </c>
      <c r="M1" s="198" t="s">
        <v>12</v>
      </c>
      <c r="N1" s="198" t="s">
        <v>13</v>
      </c>
      <c r="O1" s="198" t="s">
        <v>461</v>
      </c>
      <c r="P1" s="198" t="s">
        <v>462</v>
      </c>
      <c r="Q1" s="199" t="s">
        <v>16</v>
      </c>
      <c r="R1" s="198" t="s">
        <v>463</v>
      </c>
      <c r="S1" s="198" t="s">
        <v>464</v>
      </c>
      <c r="T1" s="199" t="s">
        <v>19</v>
      </c>
      <c r="U1" s="200" t="s">
        <v>108</v>
      </c>
      <c r="V1" s="201" t="s">
        <v>20</v>
      </c>
      <c r="W1" s="198" t="s">
        <v>21</v>
      </c>
      <c r="X1" s="236" t="s">
        <v>22</v>
      </c>
      <c r="Y1" s="236" t="s">
        <v>23</v>
      </c>
      <c r="Z1" s="236" t="s">
        <v>24</v>
      </c>
      <c r="AA1" s="237" t="s">
        <v>25</v>
      </c>
      <c r="AB1" s="202" t="s">
        <v>465</v>
      </c>
      <c r="AE1" s="204" t="s">
        <v>0</v>
      </c>
      <c r="AF1" s="205"/>
      <c r="AG1" s="204" t="s">
        <v>4</v>
      </c>
      <c r="AH1" s="204" t="s">
        <v>5</v>
      </c>
      <c r="AI1" s="159"/>
      <c r="AJ1" s="160" t="s">
        <v>6</v>
      </c>
      <c r="AK1" s="159"/>
      <c r="AL1" s="161" t="s">
        <v>7</v>
      </c>
      <c r="AM1" s="159"/>
      <c r="AN1" s="206" t="s">
        <v>8</v>
      </c>
      <c r="AO1" s="205"/>
      <c r="AP1" s="206" t="s">
        <v>27</v>
      </c>
      <c r="AQ1" s="205"/>
      <c r="AR1" s="206" t="s">
        <v>10</v>
      </c>
      <c r="AS1" s="205"/>
      <c r="AT1" s="207" t="s">
        <v>28</v>
      </c>
      <c r="AU1" s="205"/>
      <c r="AV1" s="206" t="s">
        <v>29</v>
      </c>
      <c r="AX1" s="208" t="s">
        <v>466</v>
      </c>
      <c r="AY1" s="209" t="s">
        <v>467</v>
      </c>
      <c r="AZ1" s="209" t="s">
        <v>468</v>
      </c>
      <c r="BA1" s="210" t="s">
        <v>469</v>
      </c>
    </row>
    <row r="2" spans="1:53" x14ac:dyDescent="0.15">
      <c r="A2" s="162" t="s">
        <v>34</v>
      </c>
      <c r="B2" s="162" t="s">
        <v>470</v>
      </c>
      <c r="C2" s="162">
        <v>2018</v>
      </c>
      <c r="D2" s="163" t="s">
        <v>471</v>
      </c>
      <c r="E2" s="162" t="s">
        <v>472</v>
      </c>
      <c r="F2" s="162" t="s">
        <v>274</v>
      </c>
      <c r="G2" s="164" t="s">
        <v>36</v>
      </c>
      <c r="H2" s="165" t="s">
        <v>155</v>
      </c>
      <c r="I2" s="134" t="s">
        <v>153</v>
      </c>
      <c r="J2" s="195" t="s">
        <v>38</v>
      </c>
      <c r="K2" s="134" t="s">
        <v>154</v>
      </c>
      <c r="L2" s="166">
        <v>1</v>
      </c>
      <c r="M2" s="167"/>
      <c r="N2" s="167">
        <v>5</v>
      </c>
      <c r="O2" s="167">
        <v>0.55000000000000004</v>
      </c>
      <c r="P2" s="167">
        <v>0.6</v>
      </c>
      <c r="Q2" s="168">
        <f t="shared" ref="Q2:Q65" si="0">IF(OR(O2="",P2=""),"",AVERAGE(O2,P2))</f>
        <v>0.57499999999999996</v>
      </c>
      <c r="R2" s="169">
        <v>14.1</v>
      </c>
      <c r="S2" s="165">
        <v>105</v>
      </c>
      <c r="T2" s="170">
        <f t="shared" ref="T2:T65" si="1">IF(H2="","",IF(OR(H2="GREEN",H2="GK"),IF(S2&gt;=$AX$2,VLOOKUP(S2,$AX$2:$AY$7,2,1),""),IF(S2&gt;=$AZ$2,VLOOKUP(S2,$AZ$2:$BA$7,2,1),"")))</f>
        <v>33</v>
      </c>
      <c r="U2" s="134">
        <v>298</v>
      </c>
      <c r="V2" s="170">
        <f t="shared" ref="V2:V65" si="2">IF(OR(N2="",U2="",T2=""),"",U2/N2*T2)</f>
        <v>1966.8</v>
      </c>
      <c r="W2" s="171">
        <v>2</v>
      </c>
      <c r="X2" s="172" t="s">
        <v>39</v>
      </c>
      <c r="Y2" s="172" t="s">
        <v>90</v>
      </c>
      <c r="Z2" s="172" t="s">
        <v>50</v>
      </c>
      <c r="AA2" s="173" t="s">
        <v>84</v>
      </c>
      <c r="AB2" s="55" t="s">
        <v>473</v>
      </c>
      <c r="AE2" s="213" t="s">
        <v>35</v>
      </c>
      <c r="AG2" s="238" t="s">
        <v>474</v>
      </c>
      <c r="AH2" s="238" t="s">
        <v>275</v>
      </c>
      <c r="AJ2" s="141" t="s">
        <v>36</v>
      </c>
      <c r="AL2" s="214" t="s">
        <v>127</v>
      </c>
      <c r="AN2" s="214" t="s">
        <v>37</v>
      </c>
      <c r="AO2" s="211"/>
      <c r="AP2" s="214" t="s">
        <v>38</v>
      </c>
      <c r="AQ2" s="211"/>
      <c r="AR2" s="214" t="s">
        <v>475</v>
      </c>
      <c r="AS2" s="211"/>
      <c r="AT2" s="214" t="s">
        <v>39</v>
      </c>
      <c r="AU2" s="211"/>
      <c r="AV2" s="243" t="s">
        <v>40</v>
      </c>
      <c r="AW2" s="211"/>
      <c r="AX2" s="215">
        <v>1</v>
      </c>
      <c r="AY2" s="216">
        <v>50</v>
      </c>
      <c r="AZ2" s="216">
        <v>1</v>
      </c>
      <c r="BA2" s="217">
        <v>50</v>
      </c>
    </row>
    <row r="3" spans="1:53" x14ac:dyDescent="0.15">
      <c r="A3" s="174" t="s">
        <v>34</v>
      </c>
      <c r="B3" s="174" t="s">
        <v>334</v>
      </c>
      <c r="C3" s="175">
        <v>2018</v>
      </c>
      <c r="D3" s="254" t="s">
        <v>476</v>
      </c>
      <c r="E3" s="174" t="s">
        <v>472</v>
      </c>
      <c r="F3" s="174" t="s">
        <v>274</v>
      </c>
      <c r="G3" s="176" t="s">
        <v>36</v>
      </c>
      <c r="H3" s="134" t="s">
        <v>155</v>
      </c>
      <c r="I3" s="134" t="s">
        <v>153</v>
      </c>
      <c r="J3" s="134" t="s">
        <v>38</v>
      </c>
      <c r="K3" s="134" t="s">
        <v>154</v>
      </c>
      <c r="L3" s="203">
        <v>2</v>
      </c>
      <c r="N3" s="203">
        <v>5</v>
      </c>
      <c r="O3" s="203">
        <v>0.5</v>
      </c>
      <c r="P3" s="230">
        <v>0.45</v>
      </c>
      <c r="Q3" s="177">
        <f t="shared" si="0"/>
        <v>0.47499999999999998</v>
      </c>
      <c r="R3" s="178">
        <v>14.8</v>
      </c>
      <c r="S3" s="178">
        <v>95</v>
      </c>
      <c r="T3" s="212">
        <f t="shared" si="1"/>
        <v>36</v>
      </c>
      <c r="U3" s="179">
        <v>298</v>
      </c>
      <c r="V3" s="180">
        <f t="shared" si="2"/>
        <v>2145.6</v>
      </c>
      <c r="W3" s="181">
        <v>2</v>
      </c>
      <c r="X3" s="182" t="s">
        <v>39</v>
      </c>
      <c r="Y3" s="182" t="s">
        <v>90</v>
      </c>
      <c r="Z3" s="182" t="s">
        <v>50</v>
      </c>
      <c r="AA3" s="173" t="s">
        <v>84</v>
      </c>
      <c r="AB3" s="55" t="s">
        <v>336</v>
      </c>
      <c r="AE3" s="218" t="s">
        <v>41</v>
      </c>
      <c r="AG3" s="238" t="s">
        <v>276</v>
      </c>
      <c r="AH3" s="238" t="s">
        <v>277</v>
      </c>
      <c r="AJ3" s="183" t="s">
        <v>42</v>
      </c>
      <c r="AL3" s="219" t="s">
        <v>128</v>
      </c>
      <c r="AN3" s="219" t="s">
        <v>43</v>
      </c>
      <c r="AP3" s="219" t="s">
        <v>44</v>
      </c>
      <c r="AR3" s="233" t="s">
        <v>45</v>
      </c>
      <c r="AT3" s="219" t="s">
        <v>46</v>
      </c>
      <c r="AV3" s="219" t="s">
        <v>47</v>
      </c>
      <c r="AX3" s="220">
        <v>72</v>
      </c>
      <c r="AY3" s="221">
        <v>46</v>
      </c>
      <c r="AZ3" s="221">
        <v>71</v>
      </c>
      <c r="BA3" s="222">
        <v>42</v>
      </c>
    </row>
    <row r="4" spans="1:53" x14ac:dyDescent="0.15">
      <c r="A4" s="174" t="s">
        <v>34</v>
      </c>
      <c r="B4" s="174" t="s">
        <v>334</v>
      </c>
      <c r="C4" s="174">
        <v>2018</v>
      </c>
      <c r="D4" s="255" t="s">
        <v>476</v>
      </c>
      <c r="E4" s="174" t="s">
        <v>472</v>
      </c>
      <c r="F4" s="174" t="s">
        <v>274</v>
      </c>
      <c r="G4" s="176" t="s">
        <v>36</v>
      </c>
      <c r="H4" s="134" t="s">
        <v>155</v>
      </c>
      <c r="I4" s="134" t="s">
        <v>153</v>
      </c>
      <c r="J4" s="134" t="s">
        <v>38</v>
      </c>
      <c r="K4" s="134" t="s">
        <v>154</v>
      </c>
      <c r="L4" s="203">
        <v>3</v>
      </c>
      <c r="N4" s="203">
        <v>5</v>
      </c>
      <c r="O4" s="203">
        <v>0.6</v>
      </c>
      <c r="P4" s="230">
        <v>0.5</v>
      </c>
      <c r="Q4" s="240">
        <f t="shared" si="0"/>
        <v>0.55000000000000004</v>
      </c>
      <c r="R4" s="184">
        <v>14.3</v>
      </c>
      <c r="S4" s="184">
        <v>102</v>
      </c>
      <c r="T4" s="212">
        <f t="shared" si="1"/>
        <v>33</v>
      </c>
      <c r="U4" s="185">
        <v>298</v>
      </c>
      <c r="V4" s="180">
        <f t="shared" si="2"/>
        <v>1966.8</v>
      </c>
      <c r="W4" s="186">
        <v>2</v>
      </c>
      <c r="X4" s="182" t="s">
        <v>39</v>
      </c>
      <c r="Y4" s="182" t="s">
        <v>90</v>
      </c>
      <c r="Z4" s="182" t="s">
        <v>50</v>
      </c>
      <c r="AA4" s="173" t="s">
        <v>84</v>
      </c>
      <c r="AB4" s="55" t="s">
        <v>336</v>
      </c>
      <c r="AE4" s="218" t="s">
        <v>34</v>
      </c>
      <c r="AG4" s="238" t="s">
        <v>477</v>
      </c>
      <c r="AH4" s="238" t="s">
        <v>278</v>
      </c>
      <c r="AJ4" s="187" t="s">
        <v>48</v>
      </c>
      <c r="AL4" s="223" t="s">
        <v>129</v>
      </c>
      <c r="AN4" s="224" t="s">
        <v>49</v>
      </c>
      <c r="AP4" s="219" t="s">
        <v>478</v>
      </c>
      <c r="AR4" s="233" t="s">
        <v>479</v>
      </c>
      <c r="AT4" s="224"/>
      <c r="AV4" s="219" t="s">
        <v>50</v>
      </c>
      <c r="AX4" s="220">
        <v>75</v>
      </c>
      <c r="AY4" s="221">
        <v>42</v>
      </c>
      <c r="AZ4" s="221">
        <v>76</v>
      </c>
      <c r="BA4" s="222">
        <v>39</v>
      </c>
    </row>
    <row r="5" spans="1:53" x14ac:dyDescent="0.15">
      <c r="A5" s="174" t="s">
        <v>34</v>
      </c>
      <c r="B5" s="174" t="s">
        <v>334</v>
      </c>
      <c r="C5" s="175">
        <v>2018</v>
      </c>
      <c r="D5" s="255" t="s">
        <v>476</v>
      </c>
      <c r="E5" s="174" t="s">
        <v>472</v>
      </c>
      <c r="F5" s="174" t="s">
        <v>274</v>
      </c>
      <c r="G5" s="176" t="s">
        <v>36</v>
      </c>
      <c r="H5" s="134" t="s">
        <v>166</v>
      </c>
      <c r="I5" s="134" t="s">
        <v>153</v>
      </c>
      <c r="J5" s="134" t="s">
        <v>38</v>
      </c>
      <c r="K5" s="134" t="s">
        <v>154</v>
      </c>
      <c r="L5" s="203">
        <v>1</v>
      </c>
      <c r="N5" s="203">
        <v>4</v>
      </c>
      <c r="O5" s="203">
        <v>0.8</v>
      </c>
      <c r="P5" s="232">
        <v>0.7</v>
      </c>
      <c r="Q5" s="240">
        <f t="shared" si="0"/>
        <v>0.75</v>
      </c>
      <c r="R5" s="184">
        <v>15.7</v>
      </c>
      <c r="S5" s="184">
        <v>99</v>
      </c>
      <c r="T5" s="212">
        <f t="shared" si="1"/>
        <v>33</v>
      </c>
      <c r="U5" s="185">
        <v>458</v>
      </c>
      <c r="V5" s="180">
        <f t="shared" si="2"/>
        <v>3778.5</v>
      </c>
      <c r="W5" s="186">
        <v>2</v>
      </c>
      <c r="X5" s="182" t="s">
        <v>39</v>
      </c>
      <c r="Y5" s="182" t="s">
        <v>90</v>
      </c>
      <c r="Z5" s="182" t="s">
        <v>50</v>
      </c>
      <c r="AA5" s="173" t="s">
        <v>84</v>
      </c>
      <c r="AB5" s="55" t="s">
        <v>336</v>
      </c>
      <c r="AE5" s="218" t="s">
        <v>51</v>
      </c>
      <c r="AG5" s="238" t="s">
        <v>480</v>
      </c>
      <c r="AH5" s="238" t="s">
        <v>281</v>
      </c>
      <c r="AJ5" s="188"/>
      <c r="AL5" s="225" t="s">
        <v>481</v>
      </c>
      <c r="AN5" s="225" t="s">
        <v>482</v>
      </c>
      <c r="AP5" s="219" t="s">
        <v>483</v>
      </c>
      <c r="AR5" s="233" t="s">
        <v>54</v>
      </c>
      <c r="AT5" s="242"/>
      <c r="AV5" s="219" t="s">
        <v>55</v>
      </c>
      <c r="AX5" s="220">
        <v>84</v>
      </c>
      <c r="AY5" s="221">
        <v>39</v>
      </c>
      <c r="AZ5" s="221">
        <v>84</v>
      </c>
      <c r="BA5" s="222">
        <v>36</v>
      </c>
    </row>
    <row r="6" spans="1:53" x14ac:dyDescent="0.15">
      <c r="A6" s="174" t="s">
        <v>34</v>
      </c>
      <c r="B6" s="174" t="s">
        <v>334</v>
      </c>
      <c r="C6" s="174">
        <v>2018</v>
      </c>
      <c r="D6" s="255" t="s">
        <v>476</v>
      </c>
      <c r="E6" s="174" t="s">
        <v>472</v>
      </c>
      <c r="F6" s="174" t="s">
        <v>274</v>
      </c>
      <c r="G6" s="176" t="s">
        <v>36</v>
      </c>
      <c r="H6" s="134" t="s">
        <v>166</v>
      </c>
      <c r="I6" s="134" t="s">
        <v>153</v>
      </c>
      <c r="J6" s="134" t="s">
        <v>38</v>
      </c>
      <c r="K6" s="134" t="s">
        <v>154</v>
      </c>
      <c r="L6" s="203">
        <v>2</v>
      </c>
      <c r="N6" s="203">
        <v>4</v>
      </c>
      <c r="O6" s="203">
        <v>0.65</v>
      </c>
      <c r="P6" s="232">
        <v>0.65</v>
      </c>
      <c r="Q6" s="240">
        <f t="shared" si="0"/>
        <v>0.65</v>
      </c>
      <c r="R6" s="184">
        <v>16.100000000000001</v>
      </c>
      <c r="S6" s="184">
        <v>99</v>
      </c>
      <c r="T6" s="212">
        <f t="shared" si="1"/>
        <v>33</v>
      </c>
      <c r="U6" s="185">
        <v>458</v>
      </c>
      <c r="V6" s="180">
        <f t="shared" si="2"/>
        <v>3778.5</v>
      </c>
      <c r="W6" s="186">
        <v>2</v>
      </c>
      <c r="X6" s="182" t="s">
        <v>39</v>
      </c>
      <c r="Y6" s="182" t="s">
        <v>90</v>
      </c>
      <c r="Z6" s="182" t="s">
        <v>50</v>
      </c>
      <c r="AA6" s="173" t="s">
        <v>84</v>
      </c>
      <c r="AB6" s="55" t="s">
        <v>336</v>
      </c>
      <c r="AE6" s="218" t="s">
        <v>56</v>
      </c>
      <c r="AG6" s="238" t="s">
        <v>484</v>
      </c>
      <c r="AH6" s="238" t="s">
        <v>280</v>
      </c>
      <c r="AL6" s="225" t="s">
        <v>485</v>
      </c>
      <c r="AN6" s="225" t="s">
        <v>486</v>
      </c>
      <c r="AP6" s="219" t="s">
        <v>53</v>
      </c>
      <c r="AR6" s="233" t="s">
        <v>59</v>
      </c>
      <c r="AV6" s="219" t="s">
        <v>60</v>
      </c>
      <c r="AX6" s="220">
        <v>97</v>
      </c>
      <c r="AY6" s="221">
        <v>36</v>
      </c>
      <c r="AZ6" s="221">
        <v>99</v>
      </c>
      <c r="BA6" s="222">
        <v>33</v>
      </c>
    </row>
    <row r="7" spans="1:53" x14ac:dyDescent="0.15">
      <c r="A7" s="174" t="s">
        <v>34</v>
      </c>
      <c r="B7" s="174" t="s">
        <v>334</v>
      </c>
      <c r="C7" s="175">
        <v>2018</v>
      </c>
      <c r="D7" s="255" t="s">
        <v>476</v>
      </c>
      <c r="E7" s="174" t="s">
        <v>472</v>
      </c>
      <c r="F7" s="174" t="s">
        <v>274</v>
      </c>
      <c r="G7" s="176" t="s">
        <v>36</v>
      </c>
      <c r="H7" s="134" t="s">
        <v>166</v>
      </c>
      <c r="I7" s="134" t="s">
        <v>153</v>
      </c>
      <c r="J7" s="134" t="s">
        <v>38</v>
      </c>
      <c r="K7" s="134" t="s">
        <v>154</v>
      </c>
      <c r="L7" s="203">
        <v>3</v>
      </c>
      <c r="N7" s="203">
        <v>4</v>
      </c>
      <c r="O7" s="203">
        <v>0.7</v>
      </c>
      <c r="P7" s="232">
        <v>0.65</v>
      </c>
      <c r="Q7" s="240">
        <f t="shared" si="0"/>
        <v>0.67500000000000004</v>
      </c>
      <c r="R7" s="184">
        <v>15.6</v>
      </c>
      <c r="S7" s="184">
        <v>101</v>
      </c>
      <c r="T7" s="212">
        <f t="shared" si="1"/>
        <v>33</v>
      </c>
      <c r="U7" s="185">
        <v>458</v>
      </c>
      <c r="V7" s="180">
        <f t="shared" si="2"/>
        <v>3778.5</v>
      </c>
      <c r="W7" s="186">
        <v>2</v>
      </c>
      <c r="X7" s="182" t="s">
        <v>39</v>
      </c>
      <c r="Y7" s="182" t="s">
        <v>90</v>
      </c>
      <c r="Z7" s="182" t="s">
        <v>50</v>
      </c>
      <c r="AA7" s="173" t="s">
        <v>84</v>
      </c>
      <c r="AB7" s="55" t="s">
        <v>336</v>
      </c>
      <c r="AE7" s="218" t="s">
        <v>61</v>
      </c>
      <c r="AG7" s="238" t="s">
        <v>279</v>
      </c>
      <c r="AH7" s="238" t="s">
        <v>274</v>
      </c>
      <c r="AL7" s="230" t="s">
        <v>487</v>
      </c>
      <c r="AP7" s="219" t="s">
        <v>58</v>
      </c>
      <c r="AR7" s="226" t="s">
        <v>122</v>
      </c>
      <c r="AV7" s="219" t="s">
        <v>64</v>
      </c>
      <c r="AX7" s="220">
        <v>109</v>
      </c>
      <c r="AY7" s="221">
        <v>33</v>
      </c>
      <c r="AZ7" s="221">
        <v>113</v>
      </c>
      <c r="BA7" s="222">
        <v>30</v>
      </c>
    </row>
    <row r="8" spans="1:53" x14ac:dyDescent="0.15">
      <c r="A8" s="174" t="s">
        <v>34</v>
      </c>
      <c r="B8" s="174" t="s">
        <v>334</v>
      </c>
      <c r="C8" s="174">
        <v>2018</v>
      </c>
      <c r="D8" s="255" t="s">
        <v>476</v>
      </c>
      <c r="E8" s="175" t="s">
        <v>279</v>
      </c>
      <c r="F8" s="174" t="s">
        <v>280</v>
      </c>
      <c r="G8" s="176" t="s">
        <v>36</v>
      </c>
      <c r="H8" s="134" t="s">
        <v>155</v>
      </c>
      <c r="I8" s="134" t="s">
        <v>153</v>
      </c>
      <c r="J8" s="134" t="s">
        <v>38</v>
      </c>
      <c r="K8" s="134" t="s">
        <v>154</v>
      </c>
      <c r="L8" s="203">
        <v>1</v>
      </c>
      <c r="N8" s="203">
        <v>1</v>
      </c>
      <c r="O8" s="203">
        <v>0.6</v>
      </c>
      <c r="P8" s="203">
        <v>0.55000000000000004</v>
      </c>
      <c r="Q8" s="240">
        <f t="shared" si="0"/>
        <v>0.57499999999999996</v>
      </c>
      <c r="R8" s="184">
        <v>14.5</v>
      </c>
      <c r="S8" s="184">
        <v>146</v>
      </c>
      <c r="T8" s="212">
        <f t="shared" si="1"/>
        <v>30</v>
      </c>
      <c r="U8" s="189">
        <v>138</v>
      </c>
      <c r="V8" s="180">
        <f t="shared" si="2"/>
        <v>4140</v>
      </c>
      <c r="W8" s="186">
        <v>1</v>
      </c>
      <c r="X8" s="182" t="s">
        <v>46</v>
      </c>
      <c r="Y8" s="190" t="s">
        <v>90</v>
      </c>
      <c r="Z8" s="182" t="s">
        <v>40</v>
      </c>
      <c r="AA8" s="173" t="s">
        <v>84</v>
      </c>
      <c r="AB8" s="55" t="s">
        <v>336</v>
      </c>
      <c r="AE8" s="218" t="s">
        <v>59</v>
      </c>
      <c r="AG8" s="238" t="s">
        <v>488</v>
      </c>
      <c r="AH8" s="238" t="s">
        <v>283</v>
      </c>
      <c r="AL8" s="230" t="s">
        <v>366</v>
      </c>
      <c r="AP8" s="219" t="s">
        <v>62</v>
      </c>
      <c r="AR8" s="233" t="s">
        <v>81</v>
      </c>
      <c r="AV8" s="219" t="s">
        <v>97</v>
      </c>
      <c r="AX8" s="220">
        <v>151</v>
      </c>
      <c r="AY8" s="221">
        <v>22</v>
      </c>
      <c r="AZ8" s="221">
        <v>152</v>
      </c>
      <c r="BA8" s="222">
        <v>18</v>
      </c>
    </row>
    <row r="9" spans="1:53" x14ac:dyDescent="0.15">
      <c r="A9" s="174" t="s">
        <v>34</v>
      </c>
      <c r="B9" s="174" t="s">
        <v>334</v>
      </c>
      <c r="C9" s="175">
        <v>2018</v>
      </c>
      <c r="D9" s="255" t="s">
        <v>476</v>
      </c>
      <c r="E9" s="175" t="s">
        <v>279</v>
      </c>
      <c r="F9" s="174" t="s">
        <v>280</v>
      </c>
      <c r="G9" s="176" t="s">
        <v>36</v>
      </c>
      <c r="H9" s="134" t="s">
        <v>155</v>
      </c>
      <c r="I9" s="134" t="s">
        <v>153</v>
      </c>
      <c r="J9" s="134" t="s">
        <v>38</v>
      </c>
      <c r="K9" s="134" t="s">
        <v>154</v>
      </c>
      <c r="L9" s="203">
        <v>2</v>
      </c>
      <c r="N9" s="203">
        <v>1</v>
      </c>
      <c r="O9" s="203">
        <v>0.55000000000000004</v>
      </c>
      <c r="P9" s="203">
        <v>0.6</v>
      </c>
      <c r="Q9" s="240">
        <f t="shared" si="0"/>
        <v>0.57499999999999996</v>
      </c>
      <c r="R9" s="184">
        <v>14.6</v>
      </c>
      <c r="S9" s="184">
        <v>146</v>
      </c>
      <c r="T9" s="212">
        <f t="shared" si="1"/>
        <v>30</v>
      </c>
      <c r="U9" s="189">
        <v>138</v>
      </c>
      <c r="V9" s="180">
        <f t="shared" si="2"/>
        <v>4140</v>
      </c>
      <c r="W9" s="186">
        <v>1</v>
      </c>
      <c r="X9" s="182" t="s">
        <v>46</v>
      </c>
      <c r="Y9" s="190" t="s">
        <v>90</v>
      </c>
      <c r="Z9" s="182" t="s">
        <v>40</v>
      </c>
      <c r="AA9" s="173" t="s">
        <v>84</v>
      </c>
      <c r="AB9" s="55" t="s">
        <v>336</v>
      </c>
      <c r="AE9" s="218" t="s">
        <v>98</v>
      </c>
      <c r="AG9" s="238" t="s">
        <v>489</v>
      </c>
      <c r="AH9" s="238" t="s">
        <v>284</v>
      </c>
      <c r="AL9" s="225"/>
      <c r="AP9" s="219" t="s">
        <v>95</v>
      </c>
      <c r="AR9" s="226" t="s">
        <v>89</v>
      </c>
      <c r="AV9" s="219" t="s">
        <v>102</v>
      </c>
      <c r="AX9" s="227">
        <v>180</v>
      </c>
      <c r="AY9" s="228">
        <v>18</v>
      </c>
      <c r="AZ9" s="228">
        <v>181</v>
      </c>
      <c r="BA9" s="229">
        <v>16</v>
      </c>
    </row>
    <row r="10" spans="1:53" x14ac:dyDescent="0.15">
      <c r="A10" s="174" t="s">
        <v>34</v>
      </c>
      <c r="B10" s="174" t="s">
        <v>334</v>
      </c>
      <c r="C10" s="174">
        <v>2018</v>
      </c>
      <c r="D10" s="255" t="s">
        <v>476</v>
      </c>
      <c r="E10" s="175" t="s">
        <v>279</v>
      </c>
      <c r="F10" s="174" t="s">
        <v>280</v>
      </c>
      <c r="G10" s="176" t="s">
        <v>36</v>
      </c>
      <c r="H10" s="134" t="s">
        <v>155</v>
      </c>
      <c r="I10" s="134" t="s">
        <v>153</v>
      </c>
      <c r="J10" s="134" t="s">
        <v>38</v>
      </c>
      <c r="K10" s="134" t="s">
        <v>154</v>
      </c>
      <c r="L10" s="203">
        <v>3</v>
      </c>
      <c r="N10" s="203">
        <v>1</v>
      </c>
      <c r="O10" s="203">
        <v>0.55000000000000004</v>
      </c>
      <c r="P10" s="203">
        <v>0.6</v>
      </c>
      <c r="Q10" s="240">
        <f t="shared" si="0"/>
        <v>0.57499999999999996</v>
      </c>
      <c r="R10" s="184">
        <v>14.4</v>
      </c>
      <c r="S10" s="184">
        <v>144</v>
      </c>
      <c r="T10" s="212">
        <f t="shared" si="1"/>
        <v>30</v>
      </c>
      <c r="U10" s="189">
        <v>138</v>
      </c>
      <c r="V10" s="180">
        <f t="shared" si="2"/>
        <v>4140</v>
      </c>
      <c r="W10" s="186">
        <v>1</v>
      </c>
      <c r="X10" s="182" t="s">
        <v>46</v>
      </c>
      <c r="Y10" s="190" t="s">
        <v>90</v>
      </c>
      <c r="Z10" s="182" t="s">
        <v>40</v>
      </c>
      <c r="AA10" s="173" t="s">
        <v>84</v>
      </c>
      <c r="AB10" s="55" t="s">
        <v>336</v>
      </c>
      <c r="AE10" s="218" t="s">
        <v>103</v>
      </c>
      <c r="AG10" s="238" t="s">
        <v>490</v>
      </c>
      <c r="AH10" s="238" t="s">
        <v>491</v>
      </c>
      <c r="AL10" s="230"/>
      <c r="AP10" s="219" t="s">
        <v>100</v>
      </c>
      <c r="AR10" s="226" t="s">
        <v>123</v>
      </c>
      <c r="AV10" s="219" t="s">
        <v>106</v>
      </c>
    </row>
    <row r="11" spans="1:53" x14ac:dyDescent="0.15">
      <c r="A11" s="174" t="s">
        <v>34</v>
      </c>
      <c r="B11" s="174" t="s">
        <v>381</v>
      </c>
      <c r="C11" s="175">
        <v>2018</v>
      </c>
      <c r="D11" s="255" t="s">
        <v>476</v>
      </c>
      <c r="E11" s="175" t="s">
        <v>282</v>
      </c>
      <c r="F11" s="174" t="s">
        <v>280</v>
      </c>
      <c r="G11" s="176" t="s">
        <v>36</v>
      </c>
      <c r="H11" s="134" t="s">
        <v>155</v>
      </c>
      <c r="I11" s="134" t="s">
        <v>153</v>
      </c>
      <c r="J11" s="134" t="s">
        <v>38</v>
      </c>
      <c r="K11" s="134" t="s">
        <v>154</v>
      </c>
      <c r="L11" s="203">
        <v>1</v>
      </c>
      <c r="N11" s="203">
        <v>1</v>
      </c>
      <c r="O11" s="203">
        <v>0.7</v>
      </c>
      <c r="P11" s="203">
        <v>0.65</v>
      </c>
      <c r="Q11" s="240">
        <f t="shared" si="0"/>
        <v>0.67500000000000004</v>
      </c>
      <c r="R11" s="184">
        <v>14.8</v>
      </c>
      <c r="S11" s="184">
        <v>132</v>
      </c>
      <c r="T11" s="212">
        <f t="shared" si="1"/>
        <v>30</v>
      </c>
      <c r="U11" s="189">
        <v>59</v>
      </c>
      <c r="V11" s="180">
        <f t="shared" si="2"/>
        <v>1770</v>
      </c>
      <c r="W11" s="186">
        <v>1</v>
      </c>
      <c r="X11" s="182" t="s">
        <v>46</v>
      </c>
      <c r="Y11" s="190" t="s">
        <v>40</v>
      </c>
      <c r="Z11" s="182" t="s">
        <v>50</v>
      </c>
      <c r="AA11" s="191" t="s">
        <v>84</v>
      </c>
      <c r="AB11" s="55" t="s">
        <v>336</v>
      </c>
      <c r="AE11" s="218" t="s">
        <v>65</v>
      </c>
      <c r="AG11" s="233"/>
      <c r="AH11" s="233"/>
      <c r="AL11" s="230"/>
      <c r="AP11" s="219" t="s">
        <v>104</v>
      </c>
      <c r="AR11" s="226" t="s">
        <v>87</v>
      </c>
      <c r="AV11" s="219" t="s">
        <v>69</v>
      </c>
    </row>
    <row r="12" spans="1:53" x14ac:dyDescent="0.15">
      <c r="A12" s="174" t="s">
        <v>34</v>
      </c>
      <c r="B12" s="174" t="s">
        <v>334</v>
      </c>
      <c r="C12" s="174">
        <v>2018</v>
      </c>
      <c r="D12" s="255" t="s">
        <v>476</v>
      </c>
      <c r="E12" s="175" t="s">
        <v>282</v>
      </c>
      <c r="F12" s="174" t="s">
        <v>280</v>
      </c>
      <c r="G12" s="176" t="s">
        <v>36</v>
      </c>
      <c r="H12" s="134" t="s">
        <v>155</v>
      </c>
      <c r="I12" s="134" t="s">
        <v>153</v>
      </c>
      <c r="J12" s="134" t="s">
        <v>38</v>
      </c>
      <c r="K12" s="134" t="s">
        <v>154</v>
      </c>
      <c r="L12" s="203">
        <v>2</v>
      </c>
      <c r="N12" s="203">
        <v>1</v>
      </c>
      <c r="O12" s="203">
        <v>0.6</v>
      </c>
      <c r="P12" s="203">
        <v>0.55000000000000004</v>
      </c>
      <c r="Q12" s="240">
        <f t="shared" si="0"/>
        <v>0.57499999999999996</v>
      </c>
      <c r="R12" s="184">
        <v>15.1</v>
      </c>
      <c r="S12" s="184">
        <v>129</v>
      </c>
      <c r="T12" s="212">
        <f t="shared" si="1"/>
        <v>30</v>
      </c>
      <c r="U12" s="189">
        <v>59</v>
      </c>
      <c r="V12" s="180">
        <f t="shared" si="2"/>
        <v>1770</v>
      </c>
      <c r="W12" s="186">
        <v>1</v>
      </c>
      <c r="X12" s="182" t="s">
        <v>46</v>
      </c>
      <c r="Y12" s="190" t="s">
        <v>40</v>
      </c>
      <c r="Z12" s="182" t="s">
        <v>50</v>
      </c>
      <c r="AA12" s="191" t="s">
        <v>84</v>
      </c>
      <c r="AB12" s="55" t="s">
        <v>336</v>
      </c>
      <c r="AE12" s="218" t="s">
        <v>70</v>
      </c>
      <c r="AG12" s="233"/>
      <c r="AH12" s="233"/>
      <c r="AL12" s="230"/>
      <c r="AP12" s="219" t="s">
        <v>67</v>
      </c>
      <c r="AR12" s="226" t="s">
        <v>124</v>
      </c>
      <c r="AV12" s="219" t="s">
        <v>72</v>
      </c>
    </row>
    <row r="13" spans="1:53" x14ac:dyDescent="0.15">
      <c r="A13" s="174" t="s">
        <v>34</v>
      </c>
      <c r="B13" s="174" t="s">
        <v>334</v>
      </c>
      <c r="C13" s="175">
        <v>2018</v>
      </c>
      <c r="D13" s="255" t="s">
        <v>476</v>
      </c>
      <c r="E13" s="175" t="s">
        <v>282</v>
      </c>
      <c r="F13" s="174" t="s">
        <v>280</v>
      </c>
      <c r="G13" s="176" t="s">
        <v>36</v>
      </c>
      <c r="H13" s="134" t="s">
        <v>155</v>
      </c>
      <c r="I13" s="134" t="s">
        <v>153</v>
      </c>
      <c r="J13" s="134" t="s">
        <v>38</v>
      </c>
      <c r="K13" s="134" t="s">
        <v>154</v>
      </c>
      <c r="L13" s="203">
        <v>3</v>
      </c>
      <c r="N13" s="203">
        <v>1</v>
      </c>
      <c r="O13" s="203">
        <v>0.65</v>
      </c>
      <c r="P13" s="203">
        <v>0.6</v>
      </c>
      <c r="Q13" s="240">
        <f t="shared" si="0"/>
        <v>0.625</v>
      </c>
      <c r="R13" s="184">
        <v>15</v>
      </c>
      <c r="S13" s="184">
        <v>136</v>
      </c>
      <c r="T13" s="212">
        <f t="shared" si="1"/>
        <v>30</v>
      </c>
      <c r="U13" s="189">
        <v>59</v>
      </c>
      <c r="V13" s="180">
        <f t="shared" si="2"/>
        <v>1770</v>
      </c>
      <c r="W13" s="186">
        <v>1</v>
      </c>
      <c r="X13" s="182" t="s">
        <v>46</v>
      </c>
      <c r="Y13" s="190" t="s">
        <v>40</v>
      </c>
      <c r="Z13" s="182" t="s">
        <v>50</v>
      </c>
      <c r="AA13" s="191" t="s">
        <v>84</v>
      </c>
      <c r="AB13" s="55" t="s">
        <v>336</v>
      </c>
      <c r="AE13" s="218" t="s">
        <v>73</v>
      </c>
      <c r="AG13" s="192"/>
      <c r="AH13" s="192"/>
      <c r="AP13" s="219" t="s">
        <v>71</v>
      </c>
      <c r="AR13" s="226" t="s">
        <v>103</v>
      </c>
      <c r="AV13" s="219" t="s">
        <v>75</v>
      </c>
    </row>
    <row r="14" spans="1:53" x14ac:dyDescent="0.15">
      <c r="A14" s="174" t="s">
        <v>34</v>
      </c>
      <c r="B14" s="174" t="s">
        <v>334</v>
      </c>
      <c r="C14" s="174">
        <v>2018</v>
      </c>
      <c r="D14" s="255" t="s">
        <v>476</v>
      </c>
      <c r="E14" s="175" t="s">
        <v>472</v>
      </c>
      <c r="F14" s="174" t="s">
        <v>492</v>
      </c>
      <c r="G14" s="176" t="s">
        <v>36</v>
      </c>
      <c r="H14" s="134" t="s">
        <v>155</v>
      </c>
      <c r="I14" s="134" t="s">
        <v>153</v>
      </c>
      <c r="J14" s="134" t="s">
        <v>38</v>
      </c>
      <c r="K14" s="134" t="s">
        <v>154</v>
      </c>
      <c r="L14" s="203">
        <v>1</v>
      </c>
      <c r="N14" s="203">
        <v>5</v>
      </c>
      <c r="O14" s="203">
        <v>0.55000000000000004</v>
      </c>
      <c r="P14" s="203">
        <v>0.6</v>
      </c>
      <c r="Q14" s="240">
        <f t="shared" si="0"/>
        <v>0.57499999999999996</v>
      </c>
      <c r="R14" s="184">
        <v>14.3</v>
      </c>
      <c r="S14" s="184">
        <v>106</v>
      </c>
      <c r="T14" s="212">
        <f t="shared" si="1"/>
        <v>33</v>
      </c>
      <c r="U14" s="189">
        <v>298</v>
      </c>
      <c r="V14" s="180">
        <f t="shared" si="2"/>
        <v>1966.8</v>
      </c>
      <c r="W14" s="186">
        <v>2</v>
      </c>
      <c r="X14" s="182" t="s">
        <v>46</v>
      </c>
      <c r="Y14" s="190" t="s">
        <v>84</v>
      </c>
      <c r="Z14" s="190" t="s">
        <v>90</v>
      </c>
      <c r="AA14" s="191" t="s">
        <v>40</v>
      </c>
      <c r="AB14" s="55" t="s">
        <v>336</v>
      </c>
      <c r="AC14" s="230"/>
      <c r="AE14" s="218" t="s">
        <v>76</v>
      </c>
      <c r="AG14" s="242"/>
      <c r="AH14" s="242"/>
      <c r="AP14" s="219" t="s">
        <v>74</v>
      </c>
      <c r="AR14" s="226" t="s">
        <v>125</v>
      </c>
      <c r="AV14" s="219" t="s">
        <v>78</v>
      </c>
    </row>
    <row r="15" spans="1:53" x14ac:dyDescent="0.15">
      <c r="A15" s="174" t="s">
        <v>34</v>
      </c>
      <c r="B15" s="174" t="s">
        <v>334</v>
      </c>
      <c r="C15" s="175">
        <v>2018</v>
      </c>
      <c r="D15" s="255" t="s">
        <v>476</v>
      </c>
      <c r="E15" s="175" t="s">
        <v>472</v>
      </c>
      <c r="F15" s="174" t="s">
        <v>492</v>
      </c>
      <c r="G15" s="176" t="s">
        <v>36</v>
      </c>
      <c r="H15" s="134" t="s">
        <v>155</v>
      </c>
      <c r="I15" s="134" t="s">
        <v>153</v>
      </c>
      <c r="J15" s="134" t="s">
        <v>38</v>
      </c>
      <c r="K15" s="134" t="s">
        <v>154</v>
      </c>
      <c r="L15" s="203">
        <v>2</v>
      </c>
      <c r="N15" s="203">
        <v>5</v>
      </c>
      <c r="O15" s="203">
        <v>0.55000000000000004</v>
      </c>
      <c r="P15" s="203">
        <v>0.6</v>
      </c>
      <c r="Q15" s="240">
        <f t="shared" si="0"/>
        <v>0.57499999999999996</v>
      </c>
      <c r="R15" s="184">
        <v>14.6</v>
      </c>
      <c r="S15" s="184">
        <v>97</v>
      </c>
      <c r="T15" s="212">
        <f t="shared" si="1"/>
        <v>36</v>
      </c>
      <c r="U15" s="189">
        <v>298</v>
      </c>
      <c r="V15" s="180">
        <f t="shared" si="2"/>
        <v>2145.6</v>
      </c>
      <c r="W15" s="186">
        <v>2</v>
      </c>
      <c r="X15" s="182" t="s">
        <v>46</v>
      </c>
      <c r="Y15" s="190" t="s">
        <v>84</v>
      </c>
      <c r="Z15" s="190" t="s">
        <v>90</v>
      </c>
      <c r="AA15" s="191" t="s">
        <v>40</v>
      </c>
      <c r="AB15" s="55" t="s">
        <v>336</v>
      </c>
      <c r="AC15" s="230"/>
      <c r="AE15" s="218" t="s">
        <v>79</v>
      </c>
      <c r="AP15" s="219" t="s">
        <v>77</v>
      </c>
      <c r="AR15" s="226" t="s">
        <v>94</v>
      </c>
      <c r="AV15" s="219" t="s">
        <v>107</v>
      </c>
    </row>
    <row r="16" spans="1:53" x14ac:dyDescent="0.15">
      <c r="A16" s="174" t="s">
        <v>34</v>
      </c>
      <c r="B16" s="174" t="s">
        <v>334</v>
      </c>
      <c r="C16" s="174">
        <v>2018</v>
      </c>
      <c r="D16" s="255" t="s">
        <v>476</v>
      </c>
      <c r="E16" s="175" t="s">
        <v>472</v>
      </c>
      <c r="F16" s="174" t="s">
        <v>492</v>
      </c>
      <c r="G16" s="176" t="s">
        <v>36</v>
      </c>
      <c r="H16" s="134" t="s">
        <v>155</v>
      </c>
      <c r="I16" s="134" t="s">
        <v>153</v>
      </c>
      <c r="J16" s="134" t="s">
        <v>38</v>
      </c>
      <c r="K16" s="134" t="s">
        <v>154</v>
      </c>
      <c r="L16" s="203">
        <v>3</v>
      </c>
      <c r="N16" s="203">
        <v>5</v>
      </c>
      <c r="O16" s="203">
        <v>0.6</v>
      </c>
      <c r="P16" s="203">
        <v>0.5</v>
      </c>
      <c r="Q16" s="240">
        <f t="shared" si="0"/>
        <v>0.55000000000000004</v>
      </c>
      <c r="R16" s="184">
        <v>14.4</v>
      </c>
      <c r="S16" s="184">
        <v>92</v>
      </c>
      <c r="T16" s="212">
        <f t="shared" si="1"/>
        <v>36</v>
      </c>
      <c r="U16" s="189">
        <v>298</v>
      </c>
      <c r="V16" s="180">
        <f t="shared" si="2"/>
        <v>2145.6</v>
      </c>
      <c r="W16" s="186">
        <v>2</v>
      </c>
      <c r="X16" s="182" t="s">
        <v>46</v>
      </c>
      <c r="Y16" s="190" t="s">
        <v>84</v>
      </c>
      <c r="Z16" s="190" t="s">
        <v>90</v>
      </c>
      <c r="AA16" s="191" t="s">
        <v>40</v>
      </c>
      <c r="AB16" s="55" t="s">
        <v>336</v>
      </c>
      <c r="AC16" s="230"/>
      <c r="AE16" s="218" t="s">
        <v>82</v>
      </c>
      <c r="AP16" s="219" t="s">
        <v>80</v>
      </c>
      <c r="AR16" s="233" t="s">
        <v>63</v>
      </c>
      <c r="AV16" s="219" t="s">
        <v>84</v>
      </c>
    </row>
    <row r="17" spans="1:48" x14ac:dyDescent="0.15">
      <c r="A17" s="174" t="s">
        <v>34</v>
      </c>
      <c r="B17" s="174" t="s">
        <v>334</v>
      </c>
      <c r="C17" s="175">
        <v>2018</v>
      </c>
      <c r="D17" s="255" t="s">
        <v>476</v>
      </c>
      <c r="E17" s="175" t="s">
        <v>472</v>
      </c>
      <c r="F17" s="174" t="s">
        <v>492</v>
      </c>
      <c r="G17" s="176" t="s">
        <v>36</v>
      </c>
      <c r="H17" s="134" t="s">
        <v>166</v>
      </c>
      <c r="I17" s="134" t="s">
        <v>153</v>
      </c>
      <c r="J17" s="134" t="s">
        <v>38</v>
      </c>
      <c r="K17" s="134" t="s">
        <v>154</v>
      </c>
      <c r="L17" s="203">
        <v>1</v>
      </c>
      <c r="N17" s="203">
        <v>4</v>
      </c>
      <c r="O17" s="203">
        <v>0.65</v>
      </c>
      <c r="P17" s="203">
        <v>0.6</v>
      </c>
      <c r="Q17" s="240">
        <f t="shared" si="0"/>
        <v>0.625</v>
      </c>
      <c r="R17" s="184">
        <v>15.8</v>
      </c>
      <c r="S17" s="184">
        <v>112</v>
      </c>
      <c r="T17" s="212">
        <f t="shared" si="1"/>
        <v>33</v>
      </c>
      <c r="U17" s="189">
        <v>458</v>
      </c>
      <c r="V17" s="180">
        <f t="shared" si="2"/>
        <v>3778.5</v>
      </c>
      <c r="W17" s="186">
        <v>2</v>
      </c>
      <c r="X17" s="182" t="s">
        <v>46</v>
      </c>
      <c r="Y17" s="190" t="s">
        <v>84</v>
      </c>
      <c r="Z17" s="190" t="s">
        <v>90</v>
      </c>
      <c r="AA17" s="191" t="s">
        <v>40</v>
      </c>
      <c r="AB17" s="55" t="s">
        <v>336</v>
      </c>
      <c r="AC17" s="230"/>
      <c r="AE17" s="218" t="s">
        <v>85</v>
      </c>
      <c r="AP17" s="234" t="s">
        <v>110</v>
      </c>
      <c r="AR17" s="233" t="s">
        <v>96</v>
      </c>
      <c r="AV17" s="219" t="s">
        <v>86</v>
      </c>
    </row>
    <row r="18" spans="1:48" x14ac:dyDescent="0.15">
      <c r="A18" s="174" t="s">
        <v>34</v>
      </c>
      <c r="B18" s="174" t="s">
        <v>334</v>
      </c>
      <c r="C18" s="174">
        <v>2018</v>
      </c>
      <c r="D18" s="255" t="s">
        <v>476</v>
      </c>
      <c r="E18" s="175" t="s">
        <v>472</v>
      </c>
      <c r="F18" s="174" t="s">
        <v>492</v>
      </c>
      <c r="G18" s="176" t="s">
        <v>36</v>
      </c>
      <c r="H18" s="134" t="s">
        <v>166</v>
      </c>
      <c r="I18" s="134" t="s">
        <v>153</v>
      </c>
      <c r="J18" s="134" t="s">
        <v>38</v>
      </c>
      <c r="K18" s="134" t="s">
        <v>154</v>
      </c>
      <c r="L18" s="203">
        <v>2</v>
      </c>
      <c r="N18" s="203">
        <v>4</v>
      </c>
      <c r="O18" s="203">
        <v>0.65</v>
      </c>
      <c r="P18" s="203">
        <v>0.7</v>
      </c>
      <c r="Q18" s="240">
        <f t="shared" si="0"/>
        <v>0.67500000000000004</v>
      </c>
      <c r="R18" s="184">
        <v>15.5</v>
      </c>
      <c r="S18" s="184">
        <v>115</v>
      </c>
      <c r="T18" s="212">
        <f t="shared" si="1"/>
        <v>30</v>
      </c>
      <c r="U18" s="189">
        <v>458</v>
      </c>
      <c r="V18" s="180">
        <f t="shared" si="2"/>
        <v>3435</v>
      </c>
      <c r="W18" s="186">
        <v>2</v>
      </c>
      <c r="X18" s="182" t="s">
        <v>46</v>
      </c>
      <c r="Y18" s="190" t="s">
        <v>84</v>
      </c>
      <c r="Z18" s="190" t="s">
        <v>90</v>
      </c>
      <c r="AA18" s="191" t="s">
        <v>40</v>
      </c>
      <c r="AB18" s="55" t="s">
        <v>336</v>
      </c>
      <c r="AC18" s="230"/>
      <c r="AE18" s="218" t="s">
        <v>87</v>
      </c>
      <c r="AP18" s="234" t="s">
        <v>111</v>
      </c>
      <c r="AR18" s="233" t="s">
        <v>101</v>
      </c>
      <c r="AV18" s="219" t="s">
        <v>88</v>
      </c>
    </row>
    <row r="19" spans="1:48" x14ac:dyDescent="0.15">
      <c r="A19" s="174" t="s">
        <v>34</v>
      </c>
      <c r="B19" s="174" t="s">
        <v>334</v>
      </c>
      <c r="C19" s="175">
        <v>2018</v>
      </c>
      <c r="D19" s="255" t="s">
        <v>476</v>
      </c>
      <c r="E19" s="175" t="s">
        <v>472</v>
      </c>
      <c r="F19" s="174" t="s">
        <v>492</v>
      </c>
      <c r="G19" s="176" t="s">
        <v>36</v>
      </c>
      <c r="H19" s="134" t="s">
        <v>166</v>
      </c>
      <c r="I19" s="134" t="s">
        <v>153</v>
      </c>
      <c r="J19" s="134" t="s">
        <v>38</v>
      </c>
      <c r="K19" s="134" t="s">
        <v>154</v>
      </c>
      <c r="L19" s="203">
        <v>3</v>
      </c>
      <c r="N19" s="203">
        <v>4</v>
      </c>
      <c r="O19" s="203">
        <v>0.6</v>
      </c>
      <c r="P19" s="203">
        <v>0.65</v>
      </c>
      <c r="Q19" s="240">
        <f t="shared" si="0"/>
        <v>0.625</v>
      </c>
      <c r="R19" s="184">
        <v>15.8</v>
      </c>
      <c r="S19" s="184">
        <v>111</v>
      </c>
      <c r="T19" s="212">
        <f t="shared" si="1"/>
        <v>33</v>
      </c>
      <c r="U19" s="189">
        <v>458</v>
      </c>
      <c r="V19" s="180">
        <f t="shared" si="2"/>
        <v>3778.5</v>
      </c>
      <c r="W19" s="186">
        <v>2</v>
      </c>
      <c r="X19" s="182" t="s">
        <v>46</v>
      </c>
      <c r="Y19" s="190" t="s">
        <v>84</v>
      </c>
      <c r="Z19" s="190" t="s">
        <v>90</v>
      </c>
      <c r="AA19" s="191" t="s">
        <v>40</v>
      </c>
      <c r="AB19" s="55" t="s">
        <v>336</v>
      </c>
      <c r="AC19" s="230"/>
      <c r="AE19" s="231" t="s">
        <v>89</v>
      </c>
      <c r="AP19" s="234" t="s">
        <v>112</v>
      </c>
      <c r="AR19" s="226" t="s">
        <v>126</v>
      </c>
      <c r="AV19" s="219" t="s">
        <v>90</v>
      </c>
    </row>
    <row r="20" spans="1:48" x14ac:dyDescent="0.15">
      <c r="A20" s="174" t="s">
        <v>34</v>
      </c>
      <c r="B20" s="174" t="s">
        <v>334</v>
      </c>
      <c r="C20" s="174">
        <v>2018</v>
      </c>
      <c r="D20" s="255" t="s">
        <v>476</v>
      </c>
      <c r="E20" s="175" t="s">
        <v>276</v>
      </c>
      <c r="F20" s="174" t="s">
        <v>277</v>
      </c>
      <c r="G20" s="176" t="s">
        <v>42</v>
      </c>
      <c r="H20" s="134" t="s">
        <v>155</v>
      </c>
      <c r="I20" s="134" t="s">
        <v>153</v>
      </c>
      <c r="J20" s="134" t="s">
        <v>38</v>
      </c>
      <c r="K20" s="134" t="s">
        <v>154</v>
      </c>
      <c r="L20" s="203">
        <v>1</v>
      </c>
      <c r="N20" s="203">
        <v>1</v>
      </c>
      <c r="O20" s="203">
        <v>0.6</v>
      </c>
      <c r="P20" s="203">
        <v>0.55000000000000004</v>
      </c>
      <c r="Q20" s="240">
        <f t="shared" si="0"/>
        <v>0.57499999999999996</v>
      </c>
      <c r="R20" s="184">
        <v>13.8</v>
      </c>
      <c r="S20" s="193">
        <v>140</v>
      </c>
      <c r="T20" s="212">
        <f t="shared" si="1"/>
        <v>30</v>
      </c>
      <c r="U20" s="189">
        <v>97</v>
      </c>
      <c r="V20" s="180">
        <f t="shared" si="2"/>
        <v>2910</v>
      </c>
      <c r="W20" s="186">
        <v>2</v>
      </c>
      <c r="X20" s="182" t="s">
        <v>46</v>
      </c>
      <c r="Y20" s="190" t="s">
        <v>84</v>
      </c>
      <c r="Z20" s="190" t="s">
        <v>50</v>
      </c>
      <c r="AA20" s="191" t="s">
        <v>69</v>
      </c>
      <c r="AB20" s="55" t="s">
        <v>336</v>
      </c>
      <c r="AE20" s="231"/>
      <c r="AP20" s="234" t="s">
        <v>113</v>
      </c>
      <c r="AR20" s="233" t="s">
        <v>105</v>
      </c>
      <c r="AV20" s="223" t="s">
        <v>367</v>
      </c>
    </row>
    <row r="21" spans="1:48" x14ac:dyDescent="0.15">
      <c r="A21" s="174" t="s">
        <v>34</v>
      </c>
      <c r="B21" s="174" t="s">
        <v>334</v>
      </c>
      <c r="C21" s="175">
        <v>2018</v>
      </c>
      <c r="D21" s="255" t="s">
        <v>476</v>
      </c>
      <c r="E21" s="175" t="s">
        <v>276</v>
      </c>
      <c r="F21" s="174" t="s">
        <v>277</v>
      </c>
      <c r="G21" s="176" t="s">
        <v>42</v>
      </c>
      <c r="H21" s="134" t="s">
        <v>155</v>
      </c>
      <c r="I21" s="134" t="s">
        <v>153</v>
      </c>
      <c r="J21" s="134" t="s">
        <v>38</v>
      </c>
      <c r="K21" s="134" t="s">
        <v>154</v>
      </c>
      <c r="L21" s="203">
        <v>2</v>
      </c>
      <c r="N21" s="203">
        <v>1</v>
      </c>
      <c r="O21" s="203">
        <v>0.55000000000000004</v>
      </c>
      <c r="P21" s="203">
        <v>0.5</v>
      </c>
      <c r="Q21" s="240">
        <f t="shared" si="0"/>
        <v>0.52500000000000002</v>
      </c>
      <c r="R21" s="193">
        <v>14.5</v>
      </c>
      <c r="S21" s="184">
        <v>139</v>
      </c>
      <c r="T21" s="212">
        <f t="shared" si="1"/>
        <v>30</v>
      </c>
      <c r="U21" s="189">
        <v>97</v>
      </c>
      <c r="V21" s="180">
        <f t="shared" si="2"/>
        <v>2910</v>
      </c>
      <c r="W21" s="186">
        <v>2</v>
      </c>
      <c r="X21" s="182" t="s">
        <v>46</v>
      </c>
      <c r="Y21" s="190" t="s">
        <v>84</v>
      </c>
      <c r="Z21" s="190" t="s">
        <v>50</v>
      </c>
      <c r="AA21" s="191" t="s">
        <v>69</v>
      </c>
      <c r="AB21" s="55" t="s">
        <v>336</v>
      </c>
      <c r="AE21" s="224"/>
      <c r="AP21" s="234" t="s">
        <v>114</v>
      </c>
      <c r="AR21" s="233" t="s">
        <v>68</v>
      </c>
      <c r="AV21" s="223" t="s">
        <v>368</v>
      </c>
    </row>
    <row r="22" spans="1:48" x14ac:dyDescent="0.15">
      <c r="A22" s="174" t="s">
        <v>34</v>
      </c>
      <c r="B22" s="174" t="s">
        <v>334</v>
      </c>
      <c r="C22" s="174">
        <v>2018</v>
      </c>
      <c r="D22" s="255" t="s">
        <v>476</v>
      </c>
      <c r="E22" s="175" t="s">
        <v>276</v>
      </c>
      <c r="F22" s="174" t="s">
        <v>277</v>
      </c>
      <c r="G22" s="176" t="s">
        <v>42</v>
      </c>
      <c r="H22" s="134" t="s">
        <v>155</v>
      </c>
      <c r="I22" s="134" t="s">
        <v>153</v>
      </c>
      <c r="J22" s="134" t="s">
        <v>38</v>
      </c>
      <c r="K22" s="134" t="s">
        <v>154</v>
      </c>
      <c r="L22" s="203">
        <v>3</v>
      </c>
      <c r="N22" s="203">
        <v>1</v>
      </c>
      <c r="O22" s="203">
        <v>0.6</v>
      </c>
      <c r="P22" s="230">
        <v>0.65</v>
      </c>
      <c r="Q22" s="240">
        <f t="shared" si="0"/>
        <v>0.625</v>
      </c>
      <c r="R22" s="184">
        <v>14.1</v>
      </c>
      <c r="S22" s="184">
        <v>137</v>
      </c>
      <c r="T22" s="212">
        <f t="shared" si="1"/>
        <v>30</v>
      </c>
      <c r="U22" s="189">
        <v>97</v>
      </c>
      <c r="V22" s="180">
        <f t="shared" si="2"/>
        <v>2910</v>
      </c>
      <c r="W22" s="186">
        <v>2</v>
      </c>
      <c r="X22" s="182" t="s">
        <v>46</v>
      </c>
      <c r="Y22" s="190" t="s">
        <v>84</v>
      </c>
      <c r="Z22" s="190" t="s">
        <v>50</v>
      </c>
      <c r="AA22" s="191" t="s">
        <v>69</v>
      </c>
      <c r="AB22" s="55" t="s">
        <v>336</v>
      </c>
      <c r="AP22" s="234" t="s">
        <v>115</v>
      </c>
      <c r="AR22" s="233" t="s">
        <v>83</v>
      </c>
      <c r="AV22" s="219"/>
    </row>
    <row r="23" spans="1:48" x14ac:dyDescent="0.15">
      <c r="A23" s="174" t="s">
        <v>34</v>
      </c>
      <c r="B23" s="174" t="s">
        <v>334</v>
      </c>
      <c r="C23" s="175">
        <v>2018</v>
      </c>
      <c r="D23" s="255" t="s">
        <v>476</v>
      </c>
      <c r="E23" s="175" t="s">
        <v>493</v>
      </c>
      <c r="F23" s="174" t="s">
        <v>277</v>
      </c>
      <c r="G23" s="176" t="s">
        <v>42</v>
      </c>
      <c r="H23" s="134" t="s">
        <v>155</v>
      </c>
      <c r="I23" s="134" t="s">
        <v>153</v>
      </c>
      <c r="J23" s="134" t="s">
        <v>38</v>
      </c>
      <c r="K23" s="134" t="s">
        <v>154</v>
      </c>
      <c r="L23" s="203">
        <v>1</v>
      </c>
      <c r="N23" s="203">
        <v>1</v>
      </c>
      <c r="O23" s="203">
        <v>0.85</v>
      </c>
      <c r="P23" s="230">
        <v>0.9</v>
      </c>
      <c r="Q23" s="240">
        <f t="shared" si="0"/>
        <v>0.875</v>
      </c>
      <c r="R23" s="184">
        <v>14.5</v>
      </c>
      <c r="S23" s="184">
        <v>146</v>
      </c>
      <c r="T23" s="212">
        <f t="shared" si="1"/>
        <v>30</v>
      </c>
      <c r="U23" s="189">
        <v>139</v>
      </c>
      <c r="V23" s="180">
        <f t="shared" si="2"/>
        <v>4170</v>
      </c>
      <c r="W23" s="186">
        <v>1</v>
      </c>
      <c r="X23" s="182" t="s">
        <v>46</v>
      </c>
      <c r="Y23" s="190" t="s">
        <v>90</v>
      </c>
      <c r="Z23" s="190" t="s">
        <v>50</v>
      </c>
      <c r="AA23" s="191" t="s">
        <v>78</v>
      </c>
      <c r="AB23" s="55" t="s">
        <v>336</v>
      </c>
      <c r="AP23" s="234" t="s">
        <v>406</v>
      </c>
      <c r="AR23" s="233" t="s">
        <v>61</v>
      </c>
      <c r="AV23" s="219"/>
    </row>
    <row r="24" spans="1:48" x14ac:dyDescent="0.15">
      <c r="A24" s="174" t="s">
        <v>34</v>
      </c>
      <c r="B24" s="174" t="s">
        <v>334</v>
      </c>
      <c r="C24" s="174">
        <v>2018</v>
      </c>
      <c r="D24" s="255" t="s">
        <v>476</v>
      </c>
      <c r="E24" s="175" t="s">
        <v>493</v>
      </c>
      <c r="F24" s="174" t="s">
        <v>277</v>
      </c>
      <c r="G24" s="176" t="s">
        <v>42</v>
      </c>
      <c r="H24" s="134" t="s">
        <v>155</v>
      </c>
      <c r="I24" s="134" t="s">
        <v>153</v>
      </c>
      <c r="J24" s="134" t="s">
        <v>38</v>
      </c>
      <c r="K24" s="134" t="s">
        <v>154</v>
      </c>
      <c r="L24" s="203">
        <v>2</v>
      </c>
      <c r="N24" s="203">
        <v>1</v>
      </c>
      <c r="O24" s="203">
        <v>1</v>
      </c>
      <c r="P24" s="230">
        <v>1.1000000000000001</v>
      </c>
      <c r="Q24" s="240">
        <f t="shared" si="0"/>
        <v>1.05</v>
      </c>
      <c r="R24" s="184">
        <v>13.8</v>
      </c>
      <c r="S24" s="184">
        <v>143</v>
      </c>
      <c r="T24" s="212">
        <f t="shared" si="1"/>
        <v>30</v>
      </c>
      <c r="U24" s="189">
        <v>139</v>
      </c>
      <c r="V24" s="180">
        <f t="shared" si="2"/>
        <v>4170</v>
      </c>
      <c r="W24" s="186">
        <v>1</v>
      </c>
      <c r="X24" s="182" t="s">
        <v>46</v>
      </c>
      <c r="Y24" s="190" t="s">
        <v>90</v>
      </c>
      <c r="Z24" s="190" t="s">
        <v>50</v>
      </c>
      <c r="AA24" s="191" t="s">
        <v>78</v>
      </c>
      <c r="AB24" s="55" t="s">
        <v>336</v>
      </c>
      <c r="AP24" s="234" t="s">
        <v>407</v>
      </c>
      <c r="AR24" s="233" t="s">
        <v>91</v>
      </c>
      <c r="AV24" s="219"/>
    </row>
    <row r="25" spans="1:48" x14ac:dyDescent="0.15">
      <c r="A25" s="174" t="s">
        <v>34</v>
      </c>
      <c r="B25" s="174" t="s">
        <v>334</v>
      </c>
      <c r="C25" s="175">
        <v>2018</v>
      </c>
      <c r="D25" s="255" t="s">
        <v>476</v>
      </c>
      <c r="E25" s="175" t="s">
        <v>493</v>
      </c>
      <c r="F25" s="174" t="s">
        <v>277</v>
      </c>
      <c r="G25" s="176" t="s">
        <v>42</v>
      </c>
      <c r="H25" s="134" t="s">
        <v>155</v>
      </c>
      <c r="I25" s="134" t="s">
        <v>153</v>
      </c>
      <c r="J25" s="134" t="s">
        <v>38</v>
      </c>
      <c r="K25" s="134" t="s">
        <v>154</v>
      </c>
      <c r="L25" s="203">
        <v>3</v>
      </c>
      <c r="N25" s="203">
        <v>1</v>
      </c>
      <c r="O25" s="203">
        <v>0.9</v>
      </c>
      <c r="P25" s="230">
        <v>0.85</v>
      </c>
      <c r="Q25" s="240">
        <f t="shared" si="0"/>
        <v>0.875</v>
      </c>
      <c r="R25" s="184">
        <v>14.4</v>
      </c>
      <c r="S25" s="184">
        <v>135</v>
      </c>
      <c r="T25" s="212">
        <f t="shared" si="1"/>
        <v>30</v>
      </c>
      <c r="U25" s="189">
        <v>139</v>
      </c>
      <c r="V25" s="180">
        <f t="shared" si="2"/>
        <v>4170</v>
      </c>
      <c r="W25" s="186">
        <v>1</v>
      </c>
      <c r="X25" s="182" t="s">
        <v>46</v>
      </c>
      <c r="Y25" s="190" t="s">
        <v>90</v>
      </c>
      <c r="Z25" s="190" t="s">
        <v>50</v>
      </c>
      <c r="AA25" s="191" t="s">
        <v>78</v>
      </c>
      <c r="AB25" s="55" t="s">
        <v>336</v>
      </c>
      <c r="AP25" s="234" t="s">
        <v>116</v>
      </c>
      <c r="AR25" s="42" t="s">
        <v>92</v>
      </c>
      <c r="AV25" s="219"/>
    </row>
    <row r="26" spans="1:48" x14ac:dyDescent="0.15">
      <c r="A26" s="174" t="s">
        <v>34</v>
      </c>
      <c r="B26" s="174" t="s">
        <v>334</v>
      </c>
      <c r="C26" s="174">
        <v>2018</v>
      </c>
      <c r="D26" s="255" t="s">
        <v>476</v>
      </c>
      <c r="E26" s="175" t="s">
        <v>276</v>
      </c>
      <c r="F26" s="174" t="s">
        <v>284</v>
      </c>
      <c r="G26" s="176" t="s">
        <v>42</v>
      </c>
      <c r="H26" s="134" t="s">
        <v>155</v>
      </c>
      <c r="I26" s="134" t="s">
        <v>153</v>
      </c>
      <c r="J26" s="134" t="s">
        <v>38</v>
      </c>
      <c r="K26" s="134" t="s">
        <v>154</v>
      </c>
      <c r="L26" s="203">
        <v>1</v>
      </c>
      <c r="N26" s="203">
        <v>1</v>
      </c>
      <c r="O26" s="203">
        <v>0.55000000000000004</v>
      </c>
      <c r="P26" s="232">
        <v>0.6</v>
      </c>
      <c r="Q26" s="240">
        <f t="shared" si="0"/>
        <v>0.57499999999999996</v>
      </c>
      <c r="R26" s="184">
        <v>14</v>
      </c>
      <c r="S26" s="184">
        <v>147</v>
      </c>
      <c r="T26" s="212">
        <f t="shared" si="1"/>
        <v>30</v>
      </c>
      <c r="U26" s="189">
        <v>97</v>
      </c>
      <c r="V26" s="180">
        <f t="shared" si="2"/>
        <v>2910</v>
      </c>
      <c r="W26" s="186">
        <v>2</v>
      </c>
      <c r="X26" s="182" t="s">
        <v>46</v>
      </c>
      <c r="Y26" s="191" t="s">
        <v>84</v>
      </c>
      <c r="Z26" s="190" t="s">
        <v>90</v>
      </c>
      <c r="AA26" s="191" t="s">
        <v>69</v>
      </c>
      <c r="AB26" s="55" t="s">
        <v>336</v>
      </c>
      <c r="AP26" s="234" t="s">
        <v>117</v>
      </c>
      <c r="AR26" s="219" t="s">
        <v>286</v>
      </c>
      <c r="AV26" s="223"/>
    </row>
    <row r="27" spans="1:48" x14ac:dyDescent="0.15">
      <c r="A27" s="174" t="s">
        <v>34</v>
      </c>
      <c r="B27" s="174" t="s">
        <v>334</v>
      </c>
      <c r="C27" s="175">
        <v>2018</v>
      </c>
      <c r="D27" s="255" t="s">
        <v>476</v>
      </c>
      <c r="E27" s="175" t="s">
        <v>276</v>
      </c>
      <c r="F27" s="174" t="s">
        <v>284</v>
      </c>
      <c r="G27" s="176" t="s">
        <v>42</v>
      </c>
      <c r="H27" s="134" t="s">
        <v>155</v>
      </c>
      <c r="I27" s="134" t="s">
        <v>153</v>
      </c>
      <c r="J27" s="134" t="s">
        <v>38</v>
      </c>
      <c r="K27" s="134" t="s">
        <v>154</v>
      </c>
      <c r="L27" s="203">
        <v>2</v>
      </c>
      <c r="N27" s="203">
        <v>1</v>
      </c>
      <c r="O27" s="230">
        <v>0.6</v>
      </c>
      <c r="P27" s="232">
        <v>0.6</v>
      </c>
      <c r="Q27" s="240">
        <f t="shared" si="0"/>
        <v>0.6</v>
      </c>
      <c r="R27" s="184">
        <v>14.2</v>
      </c>
      <c r="S27" s="184">
        <v>143</v>
      </c>
      <c r="T27" s="212">
        <f t="shared" si="1"/>
        <v>30</v>
      </c>
      <c r="U27" s="189">
        <v>97</v>
      </c>
      <c r="V27" s="180">
        <f t="shared" si="2"/>
        <v>2910</v>
      </c>
      <c r="W27" s="186">
        <v>2</v>
      </c>
      <c r="X27" s="182" t="s">
        <v>46</v>
      </c>
      <c r="Y27" s="191" t="s">
        <v>84</v>
      </c>
      <c r="Z27" s="190" t="s">
        <v>90</v>
      </c>
      <c r="AA27" s="191" t="s">
        <v>69</v>
      </c>
      <c r="AB27" s="55" t="s">
        <v>336</v>
      </c>
      <c r="AP27" s="234" t="s">
        <v>118</v>
      </c>
      <c r="AR27" s="219"/>
    </row>
    <row r="28" spans="1:48" x14ac:dyDescent="0.15">
      <c r="A28" s="174" t="s">
        <v>34</v>
      </c>
      <c r="B28" s="174" t="s">
        <v>334</v>
      </c>
      <c r="C28" s="174">
        <v>2018</v>
      </c>
      <c r="D28" s="255" t="s">
        <v>476</v>
      </c>
      <c r="E28" s="175" t="s">
        <v>276</v>
      </c>
      <c r="F28" s="174" t="s">
        <v>284</v>
      </c>
      <c r="G28" s="176" t="s">
        <v>42</v>
      </c>
      <c r="H28" s="134" t="s">
        <v>155</v>
      </c>
      <c r="I28" s="134" t="s">
        <v>153</v>
      </c>
      <c r="J28" s="134" t="s">
        <v>38</v>
      </c>
      <c r="K28" s="134" t="s">
        <v>154</v>
      </c>
      <c r="L28" s="203">
        <v>3</v>
      </c>
      <c r="N28" s="203">
        <v>1</v>
      </c>
      <c r="O28" s="230">
        <v>0.5</v>
      </c>
      <c r="P28" s="203">
        <v>0.55000000000000004</v>
      </c>
      <c r="Q28" s="240">
        <f t="shared" si="0"/>
        <v>0.52500000000000002</v>
      </c>
      <c r="R28" s="184">
        <v>14.4</v>
      </c>
      <c r="S28" s="184">
        <v>135</v>
      </c>
      <c r="T28" s="212">
        <f t="shared" si="1"/>
        <v>30</v>
      </c>
      <c r="U28" s="189">
        <v>97</v>
      </c>
      <c r="V28" s="180">
        <f t="shared" si="2"/>
        <v>2910</v>
      </c>
      <c r="W28" s="186">
        <v>2</v>
      </c>
      <c r="X28" s="182" t="s">
        <v>46</v>
      </c>
      <c r="Y28" s="191" t="s">
        <v>84</v>
      </c>
      <c r="Z28" s="190" t="s">
        <v>90</v>
      </c>
      <c r="AA28" s="191" t="s">
        <v>69</v>
      </c>
      <c r="AB28" s="55" t="s">
        <v>336</v>
      </c>
      <c r="AR28" s="219"/>
    </row>
    <row r="29" spans="1:48" x14ac:dyDescent="0.15">
      <c r="A29" s="174" t="s">
        <v>34</v>
      </c>
      <c r="B29" s="174" t="s">
        <v>334</v>
      </c>
      <c r="C29" s="174">
        <v>2018</v>
      </c>
      <c r="D29" s="255" t="s">
        <v>476</v>
      </c>
      <c r="E29" s="175" t="s">
        <v>139</v>
      </c>
      <c r="F29" s="174" t="s">
        <v>284</v>
      </c>
      <c r="G29" s="176" t="s">
        <v>36</v>
      </c>
      <c r="H29" s="134" t="s">
        <v>155</v>
      </c>
      <c r="I29" s="134" t="s">
        <v>153</v>
      </c>
      <c r="J29" s="134" t="s">
        <v>38</v>
      </c>
      <c r="K29" s="134" t="s">
        <v>154</v>
      </c>
      <c r="L29" s="203">
        <v>1</v>
      </c>
      <c r="N29" s="203">
        <v>1</v>
      </c>
      <c r="O29" s="203">
        <v>0.95</v>
      </c>
      <c r="P29" s="203">
        <v>0.8</v>
      </c>
      <c r="Q29" s="240">
        <f t="shared" si="0"/>
        <v>0.875</v>
      </c>
      <c r="R29" s="184">
        <v>13.3</v>
      </c>
      <c r="S29" s="184">
        <v>151</v>
      </c>
      <c r="T29" s="212">
        <f t="shared" si="1"/>
        <v>30</v>
      </c>
      <c r="U29" s="189">
        <v>128</v>
      </c>
      <c r="V29" s="180">
        <f t="shared" si="2"/>
        <v>3840</v>
      </c>
      <c r="W29" s="186">
        <v>6</v>
      </c>
      <c r="X29" s="182" t="s">
        <v>46</v>
      </c>
      <c r="Y29" s="191" t="s">
        <v>84</v>
      </c>
      <c r="Z29" s="190" t="s">
        <v>50</v>
      </c>
      <c r="AA29" s="191" t="s">
        <v>40</v>
      </c>
      <c r="AB29" s="55" t="s">
        <v>336</v>
      </c>
      <c r="AR29" s="224"/>
    </row>
    <row r="30" spans="1:48" x14ac:dyDescent="0.15">
      <c r="A30" s="174" t="s">
        <v>34</v>
      </c>
      <c r="B30" s="174" t="s">
        <v>334</v>
      </c>
      <c r="C30" s="175">
        <v>2018</v>
      </c>
      <c r="D30" s="255" t="s">
        <v>476</v>
      </c>
      <c r="E30" s="175" t="s">
        <v>139</v>
      </c>
      <c r="F30" s="174" t="s">
        <v>284</v>
      </c>
      <c r="G30" s="176" t="s">
        <v>36</v>
      </c>
      <c r="H30" s="134" t="s">
        <v>155</v>
      </c>
      <c r="I30" s="134" t="s">
        <v>153</v>
      </c>
      <c r="J30" s="134" t="s">
        <v>38</v>
      </c>
      <c r="K30" s="134" t="s">
        <v>154</v>
      </c>
      <c r="L30" s="203">
        <v>2</v>
      </c>
      <c r="N30" s="203">
        <v>1</v>
      </c>
      <c r="O30" s="203">
        <v>1</v>
      </c>
      <c r="P30" s="203">
        <v>0.85</v>
      </c>
      <c r="Q30" s="240">
        <f t="shared" si="0"/>
        <v>0.92500000000000004</v>
      </c>
      <c r="R30" s="184">
        <v>13.9</v>
      </c>
      <c r="S30" s="184">
        <v>135</v>
      </c>
      <c r="T30" s="212">
        <f t="shared" si="1"/>
        <v>30</v>
      </c>
      <c r="U30" s="189">
        <v>128</v>
      </c>
      <c r="V30" s="180">
        <f t="shared" si="2"/>
        <v>3840</v>
      </c>
      <c r="W30" s="186">
        <v>6</v>
      </c>
      <c r="X30" s="182" t="s">
        <v>46</v>
      </c>
      <c r="Y30" s="191" t="s">
        <v>84</v>
      </c>
      <c r="Z30" s="190" t="s">
        <v>50</v>
      </c>
      <c r="AA30" s="191" t="s">
        <v>40</v>
      </c>
      <c r="AB30" s="55" t="s">
        <v>336</v>
      </c>
    </row>
    <row r="31" spans="1:48" x14ac:dyDescent="0.15">
      <c r="A31" s="174" t="s">
        <v>34</v>
      </c>
      <c r="B31" s="174" t="s">
        <v>334</v>
      </c>
      <c r="C31" s="174">
        <v>2018</v>
      </c>
      <c r="D31" s="255" t="s">
        <v>476</v>
      </c>
      <c r="E31" s="175" t="s">
        <v>139</v>
      </c>
      <c r="F31" s="174" t="s">
        <v>284</v>
      </c>
      <c r="G31" s="176" t="s">
        <v>36</v>
      </c>
      <c r="H31" s="134" t="s">
        <v>155</v>
      </c>
      <c r="I31" s="134" t="s">
        <v>153</v>
      </c>
      <c r="J31" s="134" t="s">
        <v>38</v>
      </c>
      <c r="K31" s="134" t="s">
        <v>154</v>
      </c>
      <c r="L31" s="203">
        <v>3</v>
      </c>
      <c r="N31" s="203">
        <v>1</v>
      </c>
      <c r="O31" s="203">
        <v>0.8</v>
      </c>
      <c r="P31" s="203">
        <v>0.9</v>
      </c>
      <c r="Q31" s="240">
        <f t="shared" si="0"/>
        <v>0.85000000000000009</v>
      </c>
      <c r="R31" s="184">
        <v>14.2</v>
      </c>
      <c r="S31" s="184">
        <v>142</v>
      </c>
      <c r="T31" s="212">
        <f t="shared" si="1"/>
        <v>30</v>
      </c>
      <c r="U31" s="189">
        <v>128</v>
      </c>
      <c r="V31" s="180">
        <f t="shared" si="2"/>
        <v>3840</v>
      </c>
      <c r="W31" s="186">
        <v>6</v>
      </c>
      <c r="X31" s="182" t="s">
        <v>46</v>
      </c>
      <c r="Y31" s="191" t="s">
        <v>84</v>
      </c>
      <c r="Z31" s="190" t="s">
        <v>50</v>
      </c>
      <c r="AA31" s="191" t="s">
        <v>40</v>
      </c>
      <c r="AB31" s="55" t="s">
        <v>336</v>
      </c>
    </row>
    <row r="32" spans="1:48" ht="14.25" customHeight="1" x14ac:dyDescent="0.15">
      <c r="A32" s="174" t="s">
        <v>34</v>
      </c>
      <c r="B32" s="174" t="s">
        <v>334</v>
      </c>
      <c r="C32" s="175">
        <v>2018</v>
      </c>
      <c r="D32" s="255" t="s">
        <v>476</v>
      </c>
      <c r="E32" s="175" t="s">
        <v>133</v>
      </c>
      <c r="F32" s="174" t="s">
        <v>278</v>
      </c>
      <c r="G32" s="176" t="s">
        <v>36</v>
      </c>
      <c r="H32" s="134" t="s">
        <v>155</v>
      </c>
      <c r="I32" s="134" t="s">
        <v>153</v>
      </c>
      <c r="J32" s="134" t="s">
        <v>38</v>
      </c>
      <c r="K32" s="134" t="s">
        <v>154</v>
      </c>
      <c r="L32" s="203">
        <v>1</v>
      </c>
      <c r="N32" s="203">
        <v>1</v>
      </c>
      <c r="O32" s="203">
        <v>0.6</v>
      </c>
      <c r="P32" s="203">
        <v>0.55000000000000004</v>
      </c>
      <c r="Q32" s="240">
        <f t="shared" si="0"/>
        <v>0.57499999999999996</v>
      </c>
      <c r="R32" s="184">
        <v>14.6</v>
      </c>
      <c r="S32" s="184">
        <v>133</v>
      </c>
      <c r="T32" s="212">
        <f t="shared" si="1"/>
        <v>30</v>
      </c>
      <c r="U32" s="189">
        <v>84</v>
      </c>
      <c r="V32" s="180">
        <f t="shared" si="2"/>
        <v>2520</v>
      </c>
      <c r="W32" s="186">
        <v>12</v>
      </c>
      <c r="X32" s="182" t="s">
        <v>46</v>
      </c>
      <c r="Y32" s="191" t="s">
        <v>90</v>
      </c>
      <c r="Z32" s="190" t="s">
        <v>50</v>
      </c>
      <c r="AA32" s="190" t="s">
        <v>78</v>
      </c>
      <c r="AB32" s="55" t="s">
        <v>336</v>
      </c>
    </row>
    <row r="33" spans="1:28" x14ac:dyDescent="0.15">
      <c r="A33" s="174" t="s">
        <v>34</v>
      </c>
      <c r="B33" s="174" t="s">
        <v>334</v>
      </c>
      <c r="C33" s="174">
        <v>2018</v>
      </c>
      <c r="D33" s="255" t="s">
        <v>476</v>
      </c>
      <c r="E33" s="175" t="s">
        <v>133</v>
      </c>
      <c r="F33" s="174" t="s">
        <v>278</v>
      </c>
      <c r="G33" s="176" t="s">
        <v>36</v>
      </c>
      <c r="H33" s="134" t="s">
        <v>155</v>
      </c>
      <c r="I33" s="134" t="s">
        <v>153</v>
      </c>
      <c r="J33" s="134" t="s">
        <v>38</v>
      </c>
      <c r="K33" s="134" t="s">
        <v>154</v>
      </c>
      <c r="L33" s="203">
        <v>2</v>
      </c>
      <c r="N33" s="203">
        <v>1</v>
      </c>
      <c r="O33" s="203">
        <v>0.55000000000000004</v>
      </c>
      <c r="P33" s="203">
        <v>0.6</v>
      </c>
      <c r="Q33" s="240">
        <f t="shared" si="0"/>
        <v>0.57499999999999996</v>
      </c>
      <c r="R33" s="184">
        <v>14.4</v>
      </c>
      <c r="S33" s="184">
        <v>129</v>
      </c>
      <c r="T33" s="212">
        <f t="shared" si="1"/>
        <v>30</v>
      </c>
      <c r="U33" s="189">
        <v>84</v>
      </c>
      <c r="V33" s="180">
        <f t="shared" si="2"/>
        <v>2520</v>
      </c>
      <c r="W33" s="186">
        <v>12</v>
      </c>
      <c r="X33" s="182" t="s">
        <v>46</v>
      </c>
      <c r="Y33" s="191" t="s">
        <v>90</v>
      </c>
      <c r="Z33" s="190" t="s">
        <v>50</v>
      </c>
      <c r="AA33" s="190" t="s">
        <v>78</v>
      </c>
      <c r="AB33" s="55" t="s">
        <v>336</v>
      </c>
    </row>
    <row r="34" spans="1:28" x14ac:dyDescent="0.15">
      <c r="A34" s="174" t="s">
        <v>34</v>
      </c>
      <c r="B34" s="174" t="s">
        <v>334</v>
      </c>
      <c r="C34" s="175">
        <v>2018</v>
      </c>
      <c r="D34" s="255" t="s">
        <v>476</v>
      </c>
      <c r="E34" s="175" t="s">
        <v>133</v>
      </c>
      <c r="F34" s="174" t="s">
        <v>278</v>
      </c>
      <c r="G34" s="176" t="s">
        <v>36</v>
      </c>
      <c r="H34" s="134" t="s">
        <v>155</v>
      </c>
      <c r="I34" s="134" t="s">
        <v>153</v>
      </c>
      <c r="J34" s="134" t="s">
        <v>38</v>
      </c>
      <c r="K34" s="134" t="s">
        <v>154</v>
      </c>
      <c r="L34" s="203">
        <v>3</v>
      </c>
      <c r="N34" s="203">
        <v>1</v>
      </c>
      <c r="O34" s="203">
        <v>0.6</v>
      </c>
      <c r="P34" s="230">
        <v>0.55000000000000004</v>
      </c>
      <c r="Q34" s="240">
        <f t="shared" si="0"/>
        <v>0.57499999999999996</v>
      </c>
      <c r="R34" s="184">
        <v>14.7</v>
      </c>
      <c r="S34" s="184">
        <v>132</v>
      </c>
      <c r="T34" s="212">
        <f t="shared" si="1"/>
        <v>30</v>
      </c>
      <c r="U34" s="189">
        <v>84</v>
      </c>
      <c r="V34" s="180">
        <f t="shared" si="2"/>
        <v>2520</v>
      </c>
      <c r="W34" s="186">
        <v>12</v>
      </c>
      <c r="X34" s="182" t="s">
        <v>46</v>
      </c>
      <c r="Y34" s="191" t="s">
        <v>90</v>
      </c>
      <c r="Z34" s="190" t="s">
        <v>50</v>
      </c>
      <c r="AA34" s="190" t="s">
        <v>78</v>
      </c>
      <c r="AB34" s="55" t="s">
        <v>336</v>
      </c>
    </row>
    <row r="35" spans="1:28" x14ac:dyDescent="0.15">
      <c r="A35" s="174" t="s">
        <v>34</v>
      </c>
      <c r="B35" s="174" t="s">
        <v>334</v>
      </c>
      <c r="C35" s="174">
        <v>2018</v>
      </c>
      <c r="D35" s="255" t="s">
        <v>476</v>
      </c>
      <c r="E35" s="175" t="s">
        <v>133</v>
      </c>
      <c r="F35" s="174" t="s">
        <v>278</v>
      </c>
      <c r="G35" s="176" t="s">
        <v>36</v>
      </c>
      <c r="H35" s="134" t="s">
        <v>166</v>
      </c>
      <c r="I35" s="134" t="s">
        <v>153</v>
      </c>
      <c r="J35" s="134" t="s">
        <v>38</v>
      </c>
      <c r="K35" s="134" t="s">
        <v>154</v>
      </c>
      <c r="L35" s="203">
        <v>1</v>
      </c>
      <c r="N35" s="203">
        <v>1</v>
      </c>
      <c r="O35" s="203">
        <v>0.6</v>
      </c>
      <c r="P35" s="203">
        <v>0.7</v>
      </c>
      <c r="Q35" s="240">
        <f t="shared" si="0"/>
        <v>0.64999999999999991</v>
      </c>
      <c r="R35" s="184">
        <v>14.9</v>
      </c>
      <c r="S35" s="184">
        <v>146</v>
      </c>
      <c r="T35" s="212">
        <f t="shared" si="1"/>
        <v>30</v>
      </c>
      <c r="U35" s="189">
        <v>149</v>
      </c>
      <c r="V35" s="180">
        <f t="shared" si="2"/>
        <v>4470</v>
      </c>
      <c r="W35" s="186">
        <v>12</v>
      </c>
      <c r="X35" s="182" t="s">
        <v>46</v>
      </c>
      <c r="Y35" s="190" t="s">
        <v>90</v>
      </c>
      <c r="Z35" s="190" t="s">
        <v>50</v>
      </c>
      <c r="AA35" s="190" t="s">
        <v>78</v>
      </c>
      <c r="AB35" s="55" t="s">
        <v>336</v>
      </c>
    </row>
    <row r="36" spans="1:28" x14ac:dyDescent="0.15">
      <c r="A36" s="174" t="s">
        <v>34</v>
      </c>
      <c r="B36" s="174" t="s">
        <v>334</v>
      </c>
      <c r="C36" s="175">
        <v>2018</v>
      </c>
      <c r="D36" s="255" t="s">
        <v>476</v>
      </c>
      <c r="E36" s="175" t="s">
        <v>133</v>
      </c>
      <c r="F36" s="174" t="s">
        <v>278</v>
      </c>
      <c r="G36" s="176" t="s">
        <v>36</v>
      </c>
      <c r="H36" s="134" t="s">
        <v>166</v>
      </c>
      <c r="I36" s="134" t="s">
        <v>153</v>
      </c>
      <c r="J36" s="134" t="s">
        <v>38</v>
      </c>
      <c r="K36" s="134" t="s">
        <v>154</v>
      </c>
      <c r="L36" s="203">
        <v>2</v>
      </c>
      <c r="N36" s="203">
        <v>1</v>
      </c>
      <c r="O36" s="203">
        <v>0.5</v>
      </c>
      <c r="P36" s="203">
        <v>0.55000000000000004</v>
      </c>
      <c r="Q36" s="240">
        <f t="shared" si="0"/>
        <v>0.52500000000000002</v>
      </c>
      <c r="R36" s="184">
        <v>15.1</v>
      </c>
      <c r="S36" s="184">
        <v>143</v>
      </c>
      <c r="T36" s="212">
        <f t="shared" si="1"/>
        <v>30</v>
      </c>
      <c r="U36" s="189">
        <v>149</v>
      </c>
      <c r="V36" s="180">
        <f t="shared" si="2"/>
        <v>4470</v>
      </c>
      <c r="W36" s="186">
        <v>12</v>
      </c>
      <c r="X36" s="182" t="s">
        <v>46</v>
      </c>
      <c r="Y36" s="190" t="s">
        <v>90</v>
      </c>
      <c r="Z36" s="190" t="s">
        <v>50</v>
      </c>
      <c r="AA36" s="190" t="s">
        <v>78</v>
      </c>
      <c r="AB36" s="55" t="s">
        <v>336</v>
      </c>
    </row>
    <row r="37" spans="1:28" x14ac:dyDescent="0.15">
      <c r="A37" s="174" t="s">
        <v>34</v>
      </c>
      <c r="B37" s="174" t="s">
        <v>334</v>
      </c>
      <c r="C37" s="174">
        <v>2018</v>
      </c>
      <c r="D37" s="255" t="s">
        <v>476</v>
      </c>
      <c r="E37" s="175" t="s">
        <v>133</v>
      </c>
      <c r="F37" s="174" t="s">
        <v>278</v>
      </c>
      <c r="G37" s="176" t="s">
        <v>36</v>
      </c>
      <c r="H37" s="134" t="s">
        <v>166</v>
      </c>
      <c r="I37" s="134" t="s">
        <v>153</v>
      </c>
      <c r="J37" s="134" t="s">
        <v>38</v>
      </c>
      <c r="K37" s="134" t="s">
        <v>154</v>
      </c>
      <c r="L37" s="203">
        <v>3</v>
      </c>
      <c r="N37" s="203">
        <v>1</v>
      </c>
      <c r="O37" s="203">
        <v>0.5</v>
      </c>
      <c r="P37" s="203">
        <v>0.45</v>
      </c>
      <c r="Q37" s="240">
        <f t="shared" si="0"/>
        <v>0.47499999999999998</v>
      </c>
      <c r="R37" s="184">
        <v>15.5</v>
      </c>
      <c r="S37" s="184">
        <v>146</v>
      </c>
      <c r="T37" s="212">
        <f t="shared" si="1"/>
        <v>30</v>
      </c>
      <c r="U37" s="189">
        <v>149</v>
      </c>
      <c r="V37" s="180">
        <f t="shared" si="2"/>
        <v>4470</v>
      </c>
      <c r="W37" s="186">
        <v>12</v>
      </c>
      <c r="X37" s="182" t="s">
        <v>46</v>
      </c>
      <c r="Y37" s="190" t="s">
        <v>90</v>
      </c>
      <c r="Z37" s="190" t="s">
        <v>50</v>
      </c>
      <c r="AA37" s="190" t="s">
        <v>78</v>
      </c>
      <c r="AB37" s="55" t="s">
        <v>336</v>
      </c>
    </row>
    <row r="38" spans="1:28" x14ac:dyDescent="0.15">
      <c r="A38" s="174" t="s">
        <v>34</v>
      </c>
      <c r="B38" s="174" t="s">
        <v>334</v>
      </c>
      <c r="C38" s="175">
        <v>2018</v>
      </c>
      <c r="D38" s="255" t="s">
        <v>476</v>
      </c>
      <c r="E38" s="175" t="s">
        <v>215</v>
      </c>
      <c r="F38" s="174" t="s">
        <v>281</v>
      </c>
      <c r="G38" s="176" t="s">
        <v>36</v>
      </c>
      <c r="H38" s="134" t="s">
        <v>155</v>
      </c>
      <c r="I38" s="134" t="s">
        <v>153</v>
      </c>
      <c r="J38" s="134" t="s">
        <v>38</v>
      </c>
      <c r="K38" s="134" t="s">
        <v>154</v>
      </c>
      <c r="L38" s="203">
        <v>1</v>
      </c>
      <c r="N38" s="203">
        <v>10</v>
      </c>
      <c r="O38" s="203">
        <v>0.3</v>
      </c>
      <c r="P38" s="203">
        <v>0.3</v>
      </c>
      <c r="Q38" s="240">
        <f t="shared" si="0"/>
        <v>0.3</v>
      </c>
      <c r="R38" s="184">
        <v>11.5</v>
      </c>
      <c r="S38" s="184">
        <v>74</v>
      </c>
      <c r="T38" s="212">
        <f t="shared" si="1"/>
        <v>42</v>
      </c>
      <c r="U38" s="189">
        <v>398</v>
      </c>
      <c r="V38" s="180">
        <f t="shared" si="2"/>
        <v>1671.6</v>
      </c>
      <c r="W38" s="186">
        <v>4</v>
      </c>
      <c r="X38" s="182" t="s">
        <v>46</v>
      </c>
      <c r="Y38" s="190" t="s">
        <v>90</v>
      </c>
      <c r="Z38" s="190" t="s">
        <v>40</v>
      </c>
      <c r="AA38" s="190" t="s">
        <v>84</v>
      </c>
      <c r="AB38" s="55" t="s">
        <v>336</v>
      </c>
    </row>
    <row r="39" spans="1:28" x14ac:dyDescent="0.15">
      <c r="A39" s="174" t="s">
        <v>34</v>
      </c>
      <c r="B39" s="174" t="s">
        <v>334</v>
      </c>
      <c r="C39" s="174">
        <v>2018</v>
      </c>
      <c r="D39" s="255" t="s">
        <v>476</v>
      </c>
      <c r="E39" s="175" t="s">
        <v>215</v>
      </c>
      <c r="F39" s="174" t="s">
        <v>281</v>
      </c>
      <c r="G39" s="176" t="s">
        <v>36</v>
      </c>
      <c r="H39" s="134" t="s">
        <v>155</v>
      </c>
      <c r="I39" s="134" t="s">
        <v>153</v>
      </c>
      <c r="J39" s="134" t="s">
        <v>38</v>
      </c>
      <c r="K39" s="134" t="s">
        <v>154</v>
      </c>
      <c r="L39" s="203">
        <v>2</v>
      </c>
      <c r="N39" s="203">
        <v>10</v>
      </c>
      <c r="O39" s="203">
        <v>0.25</v>
      </c>
      <c r="P39" s="203">
        <v>0.3</v>
      </c>
      <c r="Q39" s="240">
        <f t="shared" si="0"/>
        <v>0.27500000000000002</v>
      </c>
      <c r="R39" s="184">
        <v>12.6</v>
      </c>
      <c r="S39" s="184">
        <v>80</v>
      </c>
      <c r="T39" s="212">
        <f t="shared" si="1"/>
        <v>39</v>
      </c>
      <c r="U39" s="189">
        <v>398</v>
      </c>
      <c r="V39" s="180">
        <f t="shared" si="2"/>
        <v>1552.1999999999998</v>
      </c>
      <c r="W39" s="186">
        <v>4</v>
      </c>
      <c r="X39" s="182" t="s">
        <v>46</v>
      </c>
      <c r="Y39" s="190" t="s">
        <v>90</v>
      </c>
      <c r="Z39" s="190" t="s">
        <v>40</v>
      </c>
      <c r="AA39" s="190" t="s">
        <v>84</v>
      </c>
      <c r="AB39" s="55" t="s">
        <v>336</v>
      </c>
    </row>
    <row r="40" spans="1:28" ht="12.75" customHeight="1" x14ac:dyDescent="0.15">
      <c r="A40" s="174" t="s">
        <v>34</v>
      </c>
      <c r="B40" s="174" t="s">
        <v>334</v>
      </c>
      <c r="C40" s="175">
        <v>2018</v>
      </c>
      <c r="D40" s="255" t="s">
        <v>476</v>
      </c>
      <c r="E40" s="175" t="s">
        <v>215</v>
      </c>
      <c r="F40" s="174" t="s">
        <v>281</v>
      </c>
      <c r="G40" s="176" t="s">
        <v>36</v>
      </c>
      <c r="H40" s="134" t="s">
        <v>155</v>
      </c>
      <c r="I40" s="134" t="s">
        <v>153</v>
      </c>
      <c r="J40" s="134" t="s">
        <v>38</v>
      </c>
      <c r="K40" s="134" t="s">
        <v>154</v>
      </c>
      <c r="L40" s="203">
        <v>3</v>
      </c>
      <c r="N40" s="203">
        <v>10</v>
      </c>
      <c r="O40" s="203">
        <v>0.3</v>
      </c>
      <c r="P40" s="203">
        <v>0.25</v>
      </c>
      <c r="Q40" s="240">
        <f t="shared" si="0"/>
        <v>0.27500000000000002</v>
      </c>
      <c r="R40" s="184">
        <v>12.8</v>
      </c>
      <c r="S40" s="184">
        <v>72</v>
      </c>
      <c r="T40" s="212">
        <f t="shared" si="1"/>
        <v>42</v>
      </c>
      <c r="U40" s="189">
        <v>398</v>
      </c>
      <c r="V40" s="180">
        <f t="shared" si="2"/>
        <v>1671.6</v>
      </c>
      <c r="W40" s="186">
        <v>4</v>
      </c>
      <c r="X40" s="182" t="s">
        <v>46</v>
      </c>
      <c r="Y40" s="190" t="s">
        <v>90</v>
      </c>
      <c r="Z40" s="190" t="s">
        <v>40</v>
      </c>
      <c r="AA40" s="190" t="s">
        <v>84</v>
      </c>
      <c r="AB40" s="55" t="s">
        <v>336</v>
      </c>
    </row>
    <row r="41" spans="1:28" ht="12.75" customHeight="1" x14ac:dyDescent="0.15">
      <c r="A41" s="134"/>
      <c r="B41" s="174"/>
      <c r="C41" s="175"/>
      <c r="D41" s="255"/>
      <c r="E41" s="175"/>
      <c r="F41" s="174"/>
      <c r="G41" s="176"/>
      <c r="H41" s="134"/>
      <c r="I41" s="134"/>
      <c r="J41" s="134"/>
      <c r="K41" s="134"/>
      <c r="Q41" s="240"/>
      <c r="R41" s="184"/>
      <c r="S41" s="184"/>
      <c r="U41" s="189"/>
      <c r="V41" s="180"/>
      <c r="W41" s="242"/>
      <c r="X41" s="182"/>
      <c r="Y41" s="194"/>
      <c r="Z41" s="194"/>
      <c r="AA41" s="194"/>
      <c r="AB41" s="55"/>
    </row>
    <row r="42" spans="1:28" ht="12.75" customHeight="1" x14ac:dyDescent="0.15">
      <c r="A42" s="134"/>
      <c r="B42" s="174"/>
      <c r="C42" s="175"/>
      <c r="D42" s="255"/>
      <c r="E42" s="175"/>
      <c r="F42" s="174"/>
      <c r="G42" s="176"/>
      <c r="H42" s="134"/>
      <c r="I42" s="134"/>
      <c r="J42" s="134"/>
      <c r="K42" s="134"/>
      <c r="Q42" s="240"/>
      <c r="R42" s="184"/>
      <c r="S42" s="184"/>
      <c r="U42" s="189"/>
      <c r="V42" s="180"/>
      <c r="W42" s="242"/>
      <c r="X42" s="182"/>
      <c r="Y42" s="194"/>
      <c r="Z42" s="194"/>
      <c r="AA42" s="194"/>
      <c r="AB42" s="55"/>
    </row>
    <row r="43" spans="1:28" ht="12.75" customHeight="1" x14ac:dyDescent="0.15">
      <c r="A43" s="134"/>
      <c r="B43" s="174"/>
      <c r="C43" s="175"/>
      <c r="D43" s="255"/>
      <c r="E43" s="175"/>
      <c r="F43" s="174"/>
      <c r="G43" s="176"/>
      <c r="H43" s="134"/>
      <c r="I43" s="134"/>
      <c r="J43" s="134"/>
      <c r="K43" s="134"/>
      <c r="Q43" s="240"/>
      <c r="R43" s="184"/>
      <c r="S43" s="184"/>
      <c r="U43" s="189"/>
      <c r="V43" s="180"/>
      <c r="W43" s="242"/>
      <c r="X43" s="182"/>
      <c r="Y43" s="194"/>
      <c r="Z43" s="194"/>
      <c r="AA43" s="194"/>
      <c r="AB43" s="55"/>
    </row>
    <row r="44" spans="1:28" x14ac:dyDescent="0.15">
      <c r="B44" s="174"/>
      <c r="C44" s="175"/>
      <c r="D44" s="255"/>
      <c r="E44" s="175"/>
      <c r="F44" s="174"/>
      <c r="G44" s="176"/>
      <c r="H44" s="134"/>
      <c r="I44" s="134"/>
      <c r="J44" s="242"/>
      <c r="K44" s="134"/>
      <c r="Q44" s="240"/>
      <c r="R44" s="184"/>
      <c r="S44" s="184"/>
      <c r="U44" s="189"/>
      <c r="X44" s="182"/>
      <c r="Y44" s="194"/>
      <c r="Z44" s="194"/>
      <c r="AA44" s="194"/>
      <c r="AB44" s="55"/>
    </row>
    <row r="45" spans="1:28" x14ac:dyDescent="0.15">
      <c r="B45" s="174"/>
      <c r="C45" s="174"/>
      <c r="D45" s="255"/>
      <c r="E45" s="175"/>
      <c r="F45" s="174"/>
      <c r="G45" s="176"/>
      <c r="H45" s="134"/>
      <c r="I45" s="134"/>
      <c r="J45" s="242"/>
      <c r="K45" s="134"/>
      <c r="Q45" s="240"/>
      <c r="R45" s="184"/>
      <c r="S45" s="184"/>
      <c r="U45" s="189"/>
      <c r="X45" s="182"/>
      <c r="Y45" s="194"/>
      <c r="Z45" s="194"/>
      <c r="AA45" s="194"/>
      <c r="AB45" s="55"/>
    </row>
    <row r="46" spans="1:28" x14ac:dyDescent="0.15">
      <c r="B46" s="174"/>
      <c r="C46" s="175"/>
      <c r="D46" s="255"/>
      <c r="E46" s="175"/>
      <c r="F46" s="174"/>
      <c r="G46" s="176"/>
      <c r="H46" s="134"/>
      <c r="I46" s="134"/>
      <c r="J46" s="242"/>
      <c r="K46" s="134"/>
      <c r="Q46" s="240"/>
      <c r="R46" s="184"/>
      <c r="S46" s="184"/>
      <c r="U46" s="189"/>
      <c r="X46" s="182"/>
      <c r="Y46" s="194"/>
      <c r="Z46" s="194"/>
      <c r="AA46" s="194"/>
      <c r="AB46" s="55"/>
    </row>
    <row r="47" spans="1:28" x14ac:dyDescent="0.15">
      <c r="B47" s="230"/>
      <c r="D47" s="255"/>
      <c r="F47" s="174"/>
      <c r="G47" s="176"/>
      <c r="H47" s="134"/>
      <c r="I47" s="134"/>
      <c r="J47" s="242"/>
      <c r="K47" s="134"/>
      <c r="Q47" s="240"/>
      <c r="R47" s="184"/>
      <c r="S47" s="184"/>
      <c r="X47" s="182"/>
      <c r="AB47" s="55"/>
    </row>
    <row r="48" spans="1:28" x14ac:dyDescent="0.15">
      <c r="B48" s="230"/>
      <c r="D48" s="255"/>
      <c r="F48" s="174"/>
      <c r="G48" s="176"/>
      <c r="H48" s="134"/>
      <c r="I48" s="134"/>
      <c r="J48" s="242"/>
      <c r="K48" s="134"/>
      <c r="Q48" s="240"/>
      <c r="R48" s="184"/>
      <c r="S48" s="184"/>
      <c r="X48" s="182"/>
      <c r="AB48" s="55"/>
    </row>
    <row r="49" spans="2:28" x14ac:dyDescent="0.15">
      <c r="B49" s="230"/>
      <c r="D49" s="255"/>
      <c r="F49" s="174"/>
      <c r="G49" s="176"/>
      <c r="H49" s="134"/>
      <c r="I49" s="134"/>
      <c r="J49" s="242"/>
      <c r="K49" s="134"/>
      <c r="Q49" s="240"/>
      <c r="R49" s="184"/>
      <c r="S49" s="184"/>
      <c r="X49" s="182"/>
      <c r="AB49" s="55"/>
    </row>
    <row r="50" spans="2:28" x14ac:dyDescent="0.15">
      <c r="D50" s="255"/>
      <c r="F50" s="174"/>
      <c r="G50" s="176"/>
      <c r="H50" s="242"/>
      <c r="I50" s="242"/>
      <c r="J50" s="242"/>
      <c r="K50" s="134"/>
      <c r="Q50" s="240"/>
      <c r="X50" s="182"/>
    </row>
    <row r="51" spans="2:28" x14ac:dyDescent="0.15">
      <c r="D51" s="255"/>
      <c r="F51" s="174"/>
      <c r="G51" s="176"/>
      <c r="H51" s="242"/>
      <c r="I51" s="242"/>
      <c r="J51" s="242"/>
      <c r="K51" s="134"/>
      <c r="Q51" s="240"/>
      <c r="X51" s="182"/>
    </row>
    <row r="52" spans="2:28" x14ac:dyDescent="0.15">
      <c r="D52" s="255"/>
      <c r="F52" s="174"/>
      <c r="G52" s="176"/>
      <c r="H52" s="242"/>
      <c r="I52" s="242"/>
      <c r="J52" s="242"/>
      <c r="K52" s="134"/>
      <c r="Q52" s="240"/>
      <c r="X52" s="182"/>
    </row>
    <row r="53" spans="2:28" x14ac:dyDescent="0.15">
      <c r="D53" s="255"/>
      <c r="F53" s="174"/>
      <c r="G53" s="176"/>
      <c r="H53" s="242"/>
      <c r="I53" s="242"/>
      <c r="J53" s="242"/>
      <c r="K53" s="134"/>
      <c r="Q53" s="240"/>
      <c r="X53" s="182"/>
    </row>
    <row r="54" spans="2:28" x14ac:dyDescent="0.15">
      <c r="D54" s="255"/>
      <c r="F54" s="174"/>
      <c r="G54" s="176"/>
      <c r="H54" s="242"/>
      <c r="I54" s="242"/>
      <c r="J54" s="242"/>
      <c r="K54" s="134"/>
      <c r="Q54" s="240"/>
      <c r="X54" s="182"/>
    </row>
    <row r="55" spans="2:28" x14ac:dyDescent="0.15">
      <c r="D55" s="255"/>
      <c r="F55" s="174"/>
      <c r="G55" s="176"/>
      <c r="H55" s="242"/>
      <c r="I55" s="242"/>
      <c r="J55" s="242"/>
      <c r="K55" s="134"/>
      <c r="Q55" s="240"/>
      <c r="X55" s="182"/>
    </row>
    <row r="56" spans="2:28" x14ac:dyDescent="0.15">
      <c r="D56" s="255"/>
      <c r="F56" s="174"/>
      <c r="G56" s="176"/>
      <c r="H56" s="242"/>
      <c r="I56" s="242"/>
      <c r="J56" s="242"/>
      <c r="K56" s="134"/>
      <c r="Q56" s="240"/>
      <c r="X56" s="182"/>
    </row>
    <row r="57" spans="2:28" x14ac:dyDescent="0.15">
      <c r="D57" s="255"/>
      <c r="F57" s="174"/>
      <c r="G57" s="176"/>
      <c r="H57" s="242"/>
      <c r="I57" s="242"/>
      <c r="J57" s="242"/>
      <c r="K57" s="134"/>
      <c r="Q57" s="240"/>
      <c r="X57" s="182"/>
    </row>
    <row r="58" spans="2:28" x14ac:dyDescent="0.15">
      <c r="D58" s="255"/>
      <c r="F58" s="174"/>
      <c r="G58" s="176"/>
      <c r="H58" s="242"/>
      <c r="I58" s="242"/>
      <c r="J58" s="242"/>
      <c r="K58" s="134"/>
      <c r="Q58" s="240"/>
      <c r="X58" s="182"/>
    </row>
    <row r="59" spans="2:28" x14ac:dyDescent="0.15">
      <c r="D59" s="255"/>
      <c r="F59" s="174"/>
      <c r="G59" s="176"/>
      <c r="H59" s="242"/>
      <c r="I59" s="242"/>
      <c r="J59" s="242"/>
      <c r="K59" s="134"/>
      <c r="Q59" s="240"/>
      <c r="X59" s="182"/>
    </row>
    <row r="60" spans="2:28" x14ac:dyDescent="0.15">
      <c r="D60" s="255"/>
      <c r="F60" s="174"/>
      <c r="G60" s="176"/>
      <c r="H60" s="242"/>
      <c r="I60" s="242"/>
      <c r="J60" s="242"/>
      <c r="K60" s="134"/>
      <c r="Q60" s="240"/>
      <c r="X60" s="182"/>
    </row>
    <row r="61" spans="2:28" x14ac:dyDescent="0.15">
      <c r="D61" s="255"/>
      <c r="F61" s="174"/>
      <c r="G61" s="176"/>
      <c r="H61" s="242"/>
      <c r="I61" s="242"/>
      <c r="J61" s="242"/>
      <c r="K61" s="134"/>
      <c r="Q61" s="240"/>
      <c r="X61" s="182"/>
    </row>
    <row r="62" spans="2:28" x14ac:dyDescent="0.15">
      <c r="D62" s="256"/>
      <c r="F62" s="174"/>
      <c r="G62" s="176"/>
      <c r="H62" s="242"/>
      <c r="I62" s="242"/>
      <c r="J62" s="242"/>
      <c r="K62" s="134"/>
      <c r="Q62" s="240" t="str">
        <f t="shared" si="0"/>
        <v/>
      </c>
      <c r="T62" s="212" t="str">
        <f t="shared" si="1"/>
        <v/>
      </c>
      <c r="V62" s="212" t="str">
        <f t="shared" si="2"/>
        <v/>
      </c>
      <c r="X62" s="182"/>
    </row>
    <row r="63" spans="2:28" x14ac:dyDescent="0.15">
      <c r="D63" s="256"/>
      <c r="F63" s="174"/>
      <c r="G63" s="176"/>
      <c r="H63" s="242"/>
      <c r="I63" s="242"/>
      <c r="J63" s="242"/>
      <c r="K63" s="134"/>
      <c r="Q63" s="240" t="str">
        <f t="shared" si="0"/>
        <v/>
      </c>
      <c r="T63" s="212" t="str">
        <f t="shared" si="1"/>
        <v/>
      </c>
      <c r="V63" s="212" t="str">
        <f t="shared" si="2"/>
        <v/>
      </c>
      <c r="X63" s="182"/>
    </row>
    <row r="64" spans="2:28" x14ac:dyDescent="0.15">
      <c r="D64" s="256"/>
      <c r="F64" s="174"/>
      <c r="G64" s="176"/>
      <c r="H64" s="242"/>
      <c r="I64" s="242"/>
      <c r="J64" s="242"/>
      <c r="K64" s="134"/>
      <c r="Q64" s="240" t="str">
        <f t="shared" si="0"/>
        <v/>
      </c>
      <c r="T64" s="212" t="str">
        <f t="shared" si="1"/>
        <v/>
      </c>
      <c r="V64" s="212" t="str">
        <f t="shared" si="2"/>
        <v/>
      </c>
      <c r="X64" s="182"/>
    </row>
    <row r="65" spans="4:24" x14ac:dyDescent="0.15">
      <c r="D65" s="256"/>
      <c r="F65" s="174"/>
      <c r="G65" s="176"/>
      <c r="H65" s="242"/>
      <c r="I65" s="242"/>
      <c r="J65" s="242"/>
      <c r="K65" s="134"/>
      <c r="Q65" s="240" t="str">
        <f t="shared" si="0"/>
        <v/>
      </c>
      <c r="T65" s="212" t="str">
        <f t="shared" si="1"/>
        <v/>
      </c>
      <c r="V65" s="212" t="str">
        <f t="shared" si="2"/>
        <v/>
      </c>
      <c r="X65" s="182"/>
    </row>
    <row r="66" spans="4:24" x14ac:dyDescent="0.15">
      <c r="D66" s="256"/>
      <c r="F66" s="174"/>
      <c r="G66" s="176"/>
      <c r="H66" s="242"/>
      <c r="I66" s="242"/>
      <c r="J66" s="242"/>
      <c r="K66" s="134"/>
      <c r="Q66" s="240" t="str">
        <f t="shared" ref="Q66:Q91" si="3">IF(OR(O66="",P66=""),"",AVERAGE(O66,P66))</f>
        <v/>
      </c>
      <c r="T66" s="212" t="str">
        <f t="shared" ref="T66:T91" si="4">IF(H66="","",IF(OR(H66="GREEN",H66="GK"),IF(S66&gt;=$AX$2,VLOOKUP(S66,$AX$2:$AY$7,2,1),""),IF(S66&gt;=$AZ$2,VLOOKUP(S66,$AZ$2:$BA$7,2,1),"")))</f>
        <v/>
      </c>
      <c r="V66" s="212" t="str">
        <f t="shared" ref="V66:V91" si="5">IF(OR(N66="",U66="",T66=""),"",U66/N66*T66)</f>
        <v/>
      </c>
      <c r="X66" s="182"/>
    </row>
    <row r="67" spans="4:24" x14ac:dyDescent="0.15">
      <c r="D67" s="256"/>
      <c r="F67" s="174"/>
      <c r="G67" s="176"/>
      <c r="H67" s="242"/>
      <c r="I67" s="242"/>
      <c r="J67" s="242"/>
      <c r="K67" s="134"/>
      <c r="Q67" s="240" t="str">
        <f t="shared" si="3"/>
        <v/>
      </c>
      <c r="T67" s="212" t="str">
        <f t="shared" si="4"/>
        <v/>
      </c>
      <c r="V67" s="212" t="str">
        <f t="shared" si="5"/>
        <v/>
      </c>
      <c r="X67" s="182"/>
    </row>
    <row r="68" spans="4:24" x14ac:dyDescent="0.15">
      <c r="D68" s="256"/>
      <c r="F68" s="174"/>
      <c r="G68" s="176"/>
      <c r="H68" s="242"/>
      <c r="I68" s="242"/>
      <c r="J68" s="242"/>
      <c r="K68" s="134"/>
      <c r="Q68" s="240" t="str">
        <f t="shared" si="3"/>
        <v/>
      </c>
      <c r="T68" s="212" t="str">
        <f t="shared" si="4"/>
        <v/>
      </c>
      <c r="V68" s="212" t="str">
        <f t="shared" si="5"/>
        <v/>
      </c>
      <c r="X68" s="182"/>
    </row>
    <row r="69" spans="4:24" x14ac:dyDescent="0.15">
      <c r="D69" s="256"/>
      <c r="F69" s="174"/>
      <c r="G69" s="176"/>
      <c r="H69" s="242"/>
      <c r="I69" s="242"/>
      <c r="J69" s="242"/>
      <c r="K69" s="134"/>
      <c r="Q69" s="240" t="str">
        <f t="shared" si="3"/>
        <v/>
      </c>
      <c r="T69" s="212" t="str">
        <f t="shared" si="4"/>
        <v/>
      </c>
      <c r="V69" s="212" t="str">
        <f t="shared" si="5"/>
        <v/>
      </c>
      <c r="X69" s="182"/>
    </row>
    <row r="70" spans="4:24" x14ac:dyDescent="0.15">
      <c r="D70" s="256"/>
      <c r="F70" s="174"/>
      <c r="G70" s="176"/>
      <c r="H70" s="242"/>
      <c r="I70" s="242"/>
      <c r="J70" s="242"/>
      <c r="K70" s="134"/>
      <c r="Q70" s="240" t="str">
        <f t="shared" si="3"/>
        <v/>
      </c>
      <c r="T70" s="212" t="str">
        <f t="shared" si="4"/>
        <v/>
      </c>
      <c r="V70" s="212" t="str">
        <f t="shared" si="5"/>
        <v/>
      </c>
      <c r="X70" s="182"/>
    </row>
    <row r="71" spans="4:24" x14ac:dyDescent="0.15">
      <c r="D71" s="256"/>
      <c r="F71" s="174"/>
      <c r="G71" s="176"/>
      <c r="H71" s="242"/>
      <c r="I71" s="242"/>
      <c r="J71" s="242"/>
      <c r="K71" s="134"/>
      <c r="Q71" s="240" t="str">
        <f t="shared" si="3"/>
        <v/>
      </c>
      <c r="T71" s="212" t="str">
        <f t="shared" si="4"/>
        <v/>
      </c>
      <c r="V71" s="212" t="str">
        <f t="shared" si="5"/>
        <v/>
      </c>
      <c r="X71" s="182"/>
    </row>
    <row r="72" spans="4:24" x14ac:dyDescent="0.15">
      <c r="D72" s="256"/>
      <c r="F72" s="174"/>
      <c r="G72" s="176"/>
      <c r="H72" s="242"/>
      <c r="I72" s="242"/>
      <c r="J72" s="242"/>
      <c r="K72" s="134"/>
      <c r="Q72" s="240" t="str">
        <f t="shared" si="3"/>
        <v/>
      </c>
      <c r="T72" s="212" t="str">
        <f t="shared" si="4"/>
        <v/>
      </c>
      <c r="V72" s="212" t="str">
        <f t="shared" si="5"/>
        <v/>
      </c>
      <c r="X72" s="182"/>
    </row>
    <row r="73" spans="4:24" x14ac:dyDescent="0.15">
      <c r="D73" s="256"/>
      <c r="F73" s="174"/>
      <c r="G73" s="176"/>
      <c r="H73" s="242"/>
      <c r="I73" s="242"/>
      <c r="J73" s="242"/>
      <c r="K73" s="134"/>
      <c r="Q73" s="240" t="str">
        <f t="shared" si="3"/>
        <v/>
      </c>
      <c r="T73" s="212" t="str">
        <f t="shared" si="4"/>
        <v/>
      </c>
      <c r="V73" s="212" t="str">
        <f t="shared" si="5"/>
        <v/>
      </c>
      <c r="X73" s="182"/>
    </row>
    <row r="74" spans="4:24" x14ac:dyDescent="0.15">
      <c r="D74" s="256"/>
      <c r="F74" s="174"/>
      <c r="G74" s="176"/>
      <c r="H74" s="242"/>
      <c r="I74" s="242"/>
      <c r="J74" s="242"/>
      <c r="K74" s="134"/>
      <c r="Q74" s="240" t="str">
        <f t="shared" si="3"/>
        <v/>
      </c>
      <c r="T74" s="212" t="str">
        <f t="shared" si="4"/>
        <v/>
      </c>
      <c r="V74" s="212" t="str">
        <f t="shared" si="5"/>
        <v/>
      </c>
      <c r="X74" s="182"/>
    </row>
    <row r="75" spans="4:24" x14ac:dyDescent="0.15">
      <c r="D75" s="256"/>
      <c r="F75" s="174"/>
      <c r="G75" s="176"/>
      <c r="H75" s="242"/>
      <c r="I75" s="242"/>
      <c r="J75" s="242"/>
      <c r="K75" s="134"/>
      <c r="Q75" s="240" t="str">
        <f t="shared" si="3"/>
        <v/>
      </c>
      <c r="T75" s="212" t="str">
        <f t="shared" si="4"/>
        <v/>
      </c>
      <c r="V75" s="212" t="str">
        <f t="shared" si="5"/>
        <v/>
      </c>
      <c r="X75" s="182"/>
    </row>
    <row r="76" spans="4:24" x14ac:dyDescent="0.15">
      <c r="D76" s="256"/>
      <c r="F76" s="174"/>
      <c r="G76" s="176"/>
      <c r="H76" s="242"/>
      <c r="I76" s="242"/>
      <c r="J76" s="242"/>
      <c r="K76" s="134"/>
      <c r="Q76" s="240" t="str">
        <f t="shared" si="3"/>
        <v/>
      </c>
      <c r="T76" s="212" t="str">
        <f t="shared" si="4"/>
        <v/>
      </c>
      <c r="V76" s="212" t="str">
        <f t="shared" si="5"/>
        <v/>
      </c>
      <c r="X76" s="182"/>
    </row>
    <row r="77" spans="4:24" x14ac:dyDescent="0.15">
      <c r="D77" s="256"/>
      <c r="F77" s="174"/>
      <c r="G77" s="176"/>
      <c r="H77" s="242"/>
      <c r="I77" s="242"/>
      <c r="J77" s="242"/>
      <c r="K77" s="134"/>
      <c r="Q77" s="240" t="str">
        <f t="shared" si="3"/>
        <v/>
      </c>
      <c r="T77" s="212" t="str">
        <f t="shared" si="4"/>
        <v/>
      </c>
      <c r="V77" s="212" t="str">
        <f t="shared" si="5"/>
        <v/>
      </c>
      <c r="X77" s="182"/>
    </row>
    <row r="78" spans="4:24" x14ac:dyDescent="0.15">
      <c r="D78" s="256"/>
      <c r="F78" s="174"/>
      <c r="G78" s="176"/>
      <c r="H78" s="242"/>
      <c r="I78" s="242"/>
      <c r="J78" s="242"/>
      <c r="K78" s="134"/>
      <c r="Q78" s="240" t="str">
        <f t="shared" si="3"/>
        <v/>
      </c>
      <c r="T78" s="212" t="str">
        <f t="shared" si="4"/>
        <v/>
      </c>
      <c r="V78" s="212" t="str">
        <f t="shared" si="5"/>
        <v/>
      </c>
      <c r="X78" s="182"/>
    </row>
    <row r="79" spans="4:24" x14ac:dyDescent="0.15">
      <c r="D79" s="256"/>
      <c r="F79" s="174"/>
      <c r="G79" s="176"/>
      <c r="H79" s="242"/>
      <c r="I79" s="242"/>
      <c r="J79" s="242"/>
      <c r="K79" s="134"/>
      <c r="Q79" s="240" t="str">
        <f t="shared" si="3"/>
        <v/>
      </c>
      <c r="T79" s="212" t="str">
        <f t="shared" si="4"/>
        <v/>
      </c>
      <c r="V79" s="212" t="str">
        <f t="shared" si="5"/>
        <v/>
      </c>
      <c r="X79" s="182"/>
    </row>
    <row r="80" spans="4:24" x14ac:dyDescent="0.15">
      <c r="D80" s="242"/>
      <c r="H80" s="242"/>
      <c r="I80" s="242"/>
      <c r="J80" s="242"/>
      <c r="K80" s="134"/>
      <c r="Q80" s="240" t="str">
        <f t="shared" si="3"/>
        <v/>
      </c>
      <c r="T80" s="212" t="str">
        <f t="shared" si="4"/>
        <v/>
      </c>
      <c r="V80" s="212" t="str">
        <f t="shared" si="5"/>
        <v/>
      </c>
    </row>
    <row r="81" spans="4:22" x14ac:dyDescent="0.15">
      <c r="D81" s="242"/>
      <c r="H81" s="242"/>
      <c r="I81" s="242"/>
      <c r="J81" s="242"/>
      <c r="K81" s="134"/>
      <c r="Q81" s="240" t="str">
        <f t="shared" si="3"/>
        <v/>
      </c>
      <c r="T81" s="212" t="str">
        <f t="shared" si="4"/>
        <v/>
      </c>
      <c r="V81" s="212" t="str">
        <f t="shared" si="5"/>
        <v/>
      </c>
    </row>
    <row r="82" spans="4:22" x14ac:dyDescent="0.15">
      <c r="D82" s="242"/>
      <c r="H82" s="242"/>
      <c r="I82" s="242"/>
      <c r="J82" s="242"/>
      <c r="K82" s="134"/>
      <c r="Q82" s="240" t="str">
        <f t="shared" si="3"/>
        <v/>
      </c>
      <c r="T82" s="212" t="str">
        <f t="shared" si="4"/>
        <v/>
      </c>
      <c r="V82" s="212" t="str">
        <f t="shared" si="5"/>
        <v/>
      </c>
    </row>
    <row r="83" spans="4:22" x14ac:dyDescent="0.15">
      <c r="D83" s="242"/>
      <c r="H83" s="242"/>
      <c r="I83" s="242"/>
      <c r="J83" s="242"/>
      <c r="K83" s="134"/>
      <c r="Q83" s="240" t="str">
        <f t="shared" si="3"/>
        <v/>
      </c>
      <c r="T83" s="212" t="str">
        <f t="shared" si="4"/>
        <v/>
      </c>
      <c r="V83" s="212" t="str">
        <f t="shared" si="5"/>
        <v/>
      </c>
    </row>
    <row r="84" spans="4:22" x14ac:dyDescent="0.15">
      <c r="D84" s="242"/>
      <c r="H84" s="242"/>
      <c r="I84" s="242"/>
      <c r="J84" s="242"/>
      <c r="K84" s="134"/>
      <c r="Q84" s="240" t="str">
        <f t="shared" si="3"/>
        <v/>
      </c>
      <c r="T84" s="212" t="str">
        <f t="shared" si="4"/>
        <v/>
      </c>
      <c r="V84" s="212" t="str">
        <f t="shared" si="5"/>
        <v/>
      </c>
    </row>
    <row r="85" spans="4:22" x14ac:dyDescent="0.15">
      <c r="D85" s="242"/>
      <c r="H85" s="242"/>
      <c r="I85" s="242"/>
      <c r="J85" s="242"/>
      <c r="K85" s="134"/>
      <c r="Q85" s="240" t="str">
        <f t="shared" si="3"/>
        <v/>
      </c>
      <c r="T85" s="212" t="str">
        <f t="shared" si="4"/>
        <v/>
      </c>
      <c r="V85" s="212" t="str">
        <f t="shared" si="5"/>
        <v/>
      </c>
    </row>
    <row r="86" spans="4:22" x14ac:dyDescent="0.15">
      <c r="D86" s="242"/>
      <c r="H86" s="242"/>
      <c r="I86" s="242"/>
      <c r="J86" s="242"/>
      <c r="K86" s="134"/>
      <c r="Q86" s="240" t="str">
        <f t="shared" si="3"/>
        <v/>
      </c>
      <c r="T86" s="212" t="str">
        <f t="shared" si="4"/>
        <v/>
      </c>
      <c r="V86" s="212" t="str">
        <f t="shared" si="5"/>
        <v/>
      </c>
    </row>
    <row r="87" spans="4:22" x14ac:dyDescent="0.15">
      <c r="D87" s="242"/>
      <c r="H87" s="242"/>
      <c r="I87" s="242"/>
      <c r="J87" s="242"/>
      <c r="K87" s="134"/>
      <c r="Q87" s="240" t="str">
        <f t="shared" si="3"/>
        <v/>
      </c>
      <c r="T87" s="212" t="str">
        <f t="shared" si="4"/>
        <v/>
      </c>
      <c r="V87" s="212" t="str">
        <f t="shared" si="5"/>
        <v/>
      </c>
    </row>
    <row r="88" spans="4:22" x14ac:dyDescent="0.15">
      <c r="D88" s="242"/>
      <c r="H88" s="242"/>
      <c r="I88" s="242"/>
      <c r="J88" s="242"/>
      <c r="K88" s="134"/>
      <c r="Q88" s="240" t="str">
        <f t="shared" si="3"/>
        <v/>
      </c>
      <c r="T88" s="212" t="str">
        <f t="shared" si="4"/>
        <v/>
      </c>
      <c r="V88" s="212" t="str">
        <f t="shared" si="5"/>
        <v/>
      </c>
    </row>
    <row r="89" spans="4:22" x14ac:dyDescent="0.15">
      <c r="D89" s="242"/>
      <c r="H89" s="242"/>
      <c r="I89" s="242"/>
      <c r="J89" s="242"/>
      <c r="K89" s="134"/>
      <c r="Q89" s="240" t="str">
        <f t="shared" si="3"/>
        <v/>
      </c>
      <c r="T89" s="212" t="str">
        <f t="shared" si="4"/>
        <v/>
      </c>
      <c r="V89" s="212" t="str">
        <f t="shared" si="5"/>
        <v/>
      </c>
    </row>
    <row r="90" spans="4:22" x14ac:dyDescent="0.15">
      <c r="D90" s="242"/>
      <c r="H90" s="242"/>
      <c r="I90" s="242"/>
      <c r="J90" s="242"/>
      <c r="K90" s="134"/>
      <c r="Q90" s="240" t="str">
        <f t="shared" si="3"/>
        <v/>
      </c>
      <c r="T90" s="212" t="str">
        <f t="shared" si="4"/>
        <v/>
      </c>
      <c r="V90" s="212" t="str">
        <f t="shared" si="5"/>
        <v/>
      </c>
    </row>
    <row r="91" spans="4:22" x14ac:dyDescent="0.15">
      <c r="D91" s="242"/>
      <c r="H91" s="242"/>
      <c r="I91" s="242"/>
      <c r="J91" s="242"/>
      <c r="K91" s="134"/>
      <c r="Q91" s="240" t="str">
        <f t="shared" si="3"/>
        <v/>
      </c>
      <c r="T91" s="212" t="str">
        <f t="shared" si="4"/>
        <v/>
      </c>
      <c r="V91" s="212" t="str">
        <f t="shared" si="5"/>
        <v/>
      </c>
    </row>
    <row r="92" spans="4:22" x14ac:dyDescent="0.15">
      <c r="D92" s="242"/>
      <c r="H92" s="242"/>
      <c r="I92" s="242"/>
      <c r="J92" s="242"/>
      <c r="K92" s="134"/>
      <c r="Q92" s="240"/>
    </row>
    <row r="93" spans="4:22" x14ac:dyDescent="0.15">
      <c r="D93" s="242"/>
      <c r="H93" s="242"/>
      <c r="I93" s="242"/>
      <c r="J93" s="242"/>
      <c r="K93" s="134"/>
      <c r="Q93" s="240"/>
    </row>
    <row r="94" spans="4:22" x14ac:dyDescent="0.15">
      <c r="D94" s="242"/>
      <c r="H94" s="242"/>
      <c r="I94" s="242"/>
      <c r="J94" s="242"/>
      <c r="K94" s="134"/>
      <c r="Q94" s="240"/>
    </row>
    <row r="95" spans="4:22" x14ac:dyDescent="0.15">
      <c r="D95" s="242"/>
      <c r="H95" s="242"/>
      <c r="I95" s="242"/>
      <c r="J95" s="242"/>
      <c r="K95" s="134"/>
      <c r="Q95" s="240"/>
    </row>
    <row r="96" spans="4:22" x14ac:dyDescent="0.15">
      <c r="D96" s="242"/>
      <c r="H96" s="242"/>
      <c r="I96" s="242"/>
      <c r="J96" s="242"/>
      <c r="K96" s="134"/>
      <c r="Q96" s="240"/>
    </row>
    <row r="97" spans="4:17" x14ac:dyDescent="0.15">
      <c r="D97" s="242"/>
      <c r="H97" s="242"/>
      <c r="I97" s="242"/>
      <c r="J97" s="242"/>
      <c r="K97" s="134"/>
      <c r="Q97" s="240"/>
    </row>
    <row r="98" spans="4:17" x14ac:dyDescent="0.15">
      <c r="D98" s="242"/>
      <c r="H98" s="242"/>
      <c r="I98" s="242"/>
      <c r="J98" s="242"/>
      <c r="K98" s="134"/>
      <c r="Q98" s="240"/>
    </row>
    <row r="99" spans="4:17" x14ac:dyDescent="0.15">
      <c r="D99" s="242"/>
      <c r="H99" s="242"/>
      <c r="I99" s="242"/>
      <c r="J99" s="242"/>
      <c r="K99" s="134"/>
      <c r="Q99" s="240"/>
    </row>
    <row r="100" spans="4:17" x14ac:dyDescent="0.15">
      <c r="D100" s="242"/>
      <c r="H100" s="242"/>
      <c r="I100" s="242"/>
      <c r="J100" s="242"/>
      <c r="K100" s="134"/>
      <c r="Q100" s="240"/>
    </row>
    <row r="101" spans="4:17" x14ac:dyDescent="0.15">
      <c r="D101" s="242"/>
      <c r="H101" s="242"/>
      <c r="I101" s="242"/>
      <c r="J101" s="242"/>
      <c r="K101" s="134"/>
      <c r="Q101" s="240"/>
    </row>
    <row r="102" spans="4:17" x14ac:dyDescent="0.15">
      <c r="D102" s="242"/>
      <c r="H102" s="242"/>
      <c r="I102" s="242"/>
      <c r="J102" s="242"/>
      <c r="K102" s="134"/>
      <c r="Q102" s="240"/>
    </row>
    <row r="103" spans="4:17" x14ac:dyDescent="0.15">
      <c r="D103" s="242"/>
      <c r="H103" s="242"/>
      <c r="I103" s="242"/>
      <c r="J103" s="242"/>
      <c r="K103" s="134"/>
      <c r="Q103" s="240"/>
    </row>
    <row r="104" spans="4:17" x14ac:dyDescent="0.15">
      <c r="D104" s="242"/>
      <c r="H104" s="242"/>
      <c r="I104" s="242"/>
      <c r="J104" s="242"/>
      <c r="K104" s="134"/>
      <c r="Q104" s="240"/>
    </row>
    <row r="105" spans="4:17" x14ac:dyDescent="0.15">
      <c r="D105" s="242"/>
      <c r="H105" s="242"/>
      <c r="I105" s="242"/>
      <c r="J105" s="242"/>
      <c r="K105" s="134"/>
      <c r="Q105" s="240"/>
    </row>
    <row r="106" spans="4:17" x14ac:dyDescent="0.15">
      <c r="D106" s="242"/>
      <c r="H106" s="242"/>
      <c r="I106" s="242"/>
      <c r="J106" s="242"/>
      <c r="K106" s="134"/>
      <c r="Q106" s="240"/>
    </row>
    <row r="107" spans="4:17" x14ac:dyDescent="0.15">
      <c r="D107" s="242"/>
      <c r="H107" s="242"/>
      <c r="I107" s="242"/>
      <c r="J107" s="242"/>
      <c r="K107" s="134"/>
      <c r="Q107" s="240"/>
    </row>
    <row r="108" spans="4:17" x14ac:dyDescent="0.15">
      <c r="D108" s="242"/>
      <c r="H108" s="242"/>
      <c r="I108" s="242"/>
      <c r="J108" s="242"/>
      <c r="K108" s="134"/>
      <c r="Q108" s="240"/>
    </row>
    <row r="109" spans="4:17" x14ac:dyDescent="0.15">
      <c r="D109" s="242"/>
      <c r="H109" s="242"/>
      <c r="I109" s="242"/>
      <c r="J109" s="242"/>
      <c r="K109" s="134"/>
      <c r="Q109" s="240"/>
    </row>
    <row r="110" spans="4:17" x14ac:dyDescent="0.15">
      <c r="D110" s="242"/>
      <c r="H110" s="242"/>
      <c r="I110" s="242"/>
      <c r="J110" s="242"/>
      <c r="K110" s="134"/>
      <c r="Q110" s="240"/>
    </row>
    <row r="111" spans="4:17" x14ac:dyDescent="0.15">
      <c r="D111" s="242"/>
      <c r="H111" s="242"/>
      <c r="I111" s="242"/>
      <c r="J111" s="242"/>
      <c r="K111" s="134"/>
      <c r="Q111" s="240"/>
    </row>
    <row r="112" spans="4:17" x14ac:dyDescent="0.15">
      <c r="D112" s="242"/>
      <c r="H112" s="242"/>
      <c r="I112" s="242"/>
      <c r="J112" s="242"/>
      <c r="K112" s="134"/>
      <c r="Q112" s="240"/>
    </row>
    <row r="113" spans="4:17" x14ac:dyDescent="0.15">
      <c r="D113" s="242"/>
      <c r="H113" s="242"/>
      <c r="I113" s="242"/>
      <c r="J113" s="242"/>
      <c r="K113" s="134"/>
      <c r="Q113" s="240"/>
    </row>
    <row r="114" spans="4:17" x14ac:dyDescent="0.15">
      <c r="D114" s="242"/>
      <c r="H114" s="242"/>
      <c r="I114" s="242"/>
      <c r="J114" s="242"/>
      <c r="K114" s="134"/>
      <c r="Q114" s="240"/>
    </row>
    <row r="115" spans="4:17" x14ac:dyDescent="0.15">
      <c r="D115" s="242"/>
      <c r="H115" s="242"/>
      <c r="I115" s="242"/>
      <c r="J115" s="242"/>
      <c r="K115" s="134"/>
      <c r="Q115" s="240"/>
    </row>
    <row r="116" spans="4:17" x14ac:dyDescent="0.15">
      <c r="D116" s="242"/>
      <c r="H116" s="242"/>
      <c r="I116" s="242"/>
      <c r="J116" s="242"/>
      <c r="K116" s="134"/>
      <c r="Q116" s="240"/>
    </row>
    <row r="117" spans="4:17" x14ac:dyDescent="0.15">
      <c r="D117" s="242"/>
      <c r="H117" s="242"/>
      <c r="I117" s="242"/>
      <c r="J117" s="242"/>
      <c r="K117" s="134"/>
      <c r="Q117" s="240"/>
    </row>
    <row r="118" spans="4:17" x14ac:dyDescent="0.15">
      <c r="D118" s="242"/>
      <c r="H118" s="242"/>
      <c r="I118" s="242"/>
      <c r="J118" s="242"/>
      <c r="K118" s="134"/>
      <c r="Q118" s="240"/>
    </row>
    <row r="119" spans="4:17" x14ac:dyDescent="0.15">
      <c r="D119" s="242"/>
      <c r="H119" s="242"/>
      <c r="I119" s="242"/>
      <c r="J119" s="242"/>
      <c r="K119" s="134"/>
      <c r="Q119" s="240"/>
    </row>
    <row r="120" spans="4:17" x14ac:dyDescent="0.15">
      <c r="D120" s="242"/>
      <c r="H120" s="242"/>
      <c r="I120" s="242"/>
      <c r="J120" s="242"/>
      <c r="K120" s="134"/>
      <c r="Q120" s="240"/>
    </row>
    <row r="121" spans="4:17" x14ac:dyDescent="0.15">
      <c r="D121" s="242"/>
      <c r="H121" s="242"/>
      <c r="I121" s="242"/>
      <c r="J121" s="242"/>
      <c r="K121" s="134"/>
      <c r="Q121" s="240"/>
    </row>
    <row r="122" spans="4:17" x14ac:dyDescent="0.15">
      <c r="D122" s="242"/>
      <c r="H122" s="242"/>
      <c r="I122" s="242"/>
      <c r="J122" s="242"/>
      <c r="K122" s="134"/>
      <c r="Q122" s="240"/>
    </row>
    <row r="123" spans="4:17" x14ac:dyDescent="0.15">
      <c r="D123" s="242"/>
      <c r="H123" s="242"/>
      <c r="I123" s="242"/>
      <c r="J123" s="242"/>
      <c r="K123" s="134"/>
      <c r="Q123" s="240"/>
    </row>
    <row r="124" spans="4:17" x14ac:dyDescent="0.15">
      <c r="D124" s="242"/>
      <c r="H124" s="242"/>
      <c r="I124" s="242"/>
      <c r="J124" s="242"/>
      <c r="K124" s="134"/>
      <c r="Q124" s="240"/>
    </row>
    <row r="125" spans="4:17" x14ac:dyDescent="0.15">
      <c r="D125" s="242"/>
      <c r="H125" s="242"/>
      <c r="I125" s="242"/>
      <c r="J125" s="242"/>
      <c r="K125" s="134"/>
      <c r="Q125" s="240"/>
    </row>
    <row r="126" spans="4:17" x14ac:dyDescent="0.15">
      <c r="D126" s="242"/>
      <c r="H126" s="242"/>
      <c r="I126" s="242"/>
      <c r="J126" s="242"/>
      <c r="K126" s="134"/>
      <c r="Q126" s="240"/>
    </row>
    <row r="127" spans="4:17" x14ac:dyDescent="0.15">
      <c r="D127" s="242"/>
      <c r="H127" s="242"/>
      <c r="I127" s="242"/>
      <c r="J127" s="242"/>
      <c r="K127" s="134"/>
      <c r="Q127" s="240"/>
    </row>
    <row r="128" spans="4:17" x14ac:dyDescent="0.15">
      <c r="D128" s="242"/>
      <c r="H128" s="242"/>
      <c r="I128" s="242"/>
      <c r="J128" s="242"/>
      <c r="K128" s="134"/>
      <c r="Q128" s="240"/>
    </row>
    <row r="129" spans="4:17" x14ac:dyDescent="0.15">
      <c r="D129" s="242"/>
      <c r="H129" s="242"/>
      <c r="I129" s="242"/>
      <c r="J129" s="242"/>
      <c r="K129" s="134"/>
      <c r="Q129" s="240"/>
    </row>
    <row r="130" spans="4:17" x14ac:dyDescent="0.15">
      <c r="D130" s="242"/>
      <c r="H130" s="242"/>
      <c r="I130" s="242"/>
      <c r="J130" s="242"/>
      <c r="K130" s="134"/>
      <c r="Q130" s="240"/>
    </row>
    <row r="131" spans="4:17" x14ac:dyDescent="0.15">
      <c r="D131" s="242"/>
      <c r="H131" s="242"/>
      <c r="I131" s="242"/>
      <c r="J131" s="242"/>
      <c r="K131" s="134"/>
      <c r="Q131" s="240"/>
    </row>
    <row r="132" spans="4:17" x14ac:dyDescent="0.15">
      <c r="D132" s="242"/>
      <c r="H132" s="242"/>
      <c r="I132" s="242"/>
      <c r="J132" s="242"/>
      <c r="K132" s="134"/>
      <c r="Q132" s="240"/>
    </row>
    <row r="133" spans="4:17" x14ac:dyDescent="0.15">
      <c r="D133" s="242"/>
      <c r="H133" s="242"/>
      <c r="I133" s="242"/>
      <c r="J133" s="242"/>
      <c r="K133" s="134"/>
      <c r="Q133" s="240"/>
    </row>
    <row r="134" spans="4:17" x14ac:dyDescent="0.15">
      <c r="D134" s="242"/>
      <c r="H134" s="242"/>
      <c r="I134" s="242"/>
      <c r="J134" s="242"/>
      <c r="K134" s="134"/>
      <c r="Q134" s="240"/>
    </row>
    <row r="135" spans="4:17" x14ac:dyDescent="0.15">
      <c r="D135" s="242"/>
      <c r="H135" s="242"/>
      <c r="I135" s="242"/>
      <c r="J135" s="242"/>
      <c r="K135" s="134"/>
      <c r="Q135" s="240"/>
    </row>
    <row r="136" spans="4:17" x14ac:dyDescent="0.15">
      <c r="D136" s="242"/>
      <c r="H136" s="242"/>
      <c r="I136" s="242"/>
      <c r="J136" s="242"/>
      <c r="K136" s="134"/>
      <c r="Q136" s="240"/>
    </row>
    <row r="137" spans="4:17" x14ac:dyDescent="0.15">
      <c r="D137" s="242"/>
      <c r="H137" s="242"/>
      <c r="I137" s="242"/>
      <c r="J137" s="242"/>
      <c r="K137" s="134"/>
      <c r="Q137" s="240"/>
    </row>
    <row r="138" spans="4:17" x14ac:dyDescent="0.15">
      <c r="D138" s="242"/>
      <c r="H138" s="242"/>
      <c r="I138" s="242"/>
      <c r="J138" s="242"/>
      <c r="K138" s="134"/>
      <c r="Q138" s="240"/>
    </row>
    <row r="139" spans="4:17" x14ac:dyDescent="0.15">
      <c r="D139" s="242"/>
      <c r="H139" s="242"/>
      <c r="I139" s="242"/>
      <c r="J139" s="242"/>
      <c r="K139" s="134"/>
      <c r="Q139" s="240"/>
    </row>
    <row r="140" spans="4:17" x14ac:dyDescent="0.15">
      <c r="D140" s="242"/>
      <c r="H140" s="242"/>
      <c r="I140" s="242"/>
      <c r="J140" s="242"/>
      <c r="K140" s="134"/>
      <c r="Q140" s="240"/>
    </row>
    <row r="141" spans="4:17" x14ac:dyDescent="0.15">
      <c r="D141" s="242"/>
      <c r="H141" s="242"/>
      <c r="I141" s="242"/>
      <c r="J141" s="242"/>
      <c r="K141" s="134"/>
      <c r="Q141" s="240"/>
    </row>
    <row r="142" spans="4:17" x14ac:dyDescent="0.15">
      <c r="D142" s="242"/>
      <c r="K142" s="134"/>
      <c r="Q142" s="240"/>
    </row>
    <row r="143" spans="4:17" x14ac:dyDescent="0.15">
      <c r="D143" s="242"/>
      <c r="K143" s="134"/>
      <c r="Q143" s="240"/>
    </row>
    <row r="144" spans="4:17" x14ac:dyDescent="0.15">
      <c r="D144" s="242"/>
      <c r="K144" s="134"/>
      <c r="Q144" s="240"/>
    </row>
    <row r="145" spans="4:17" x14ac:dyDescent="0.15">
      <c r="D145" s="242"/>
      <c r="K145" s="134"/>
      <c r="Q145" s="240"/>
    </row>
    <row r="146" spans="4:17" x14ac:dyDescent="0.15">
      <c r="D146" s="242"/>
      <c r="K146" s="134"/>
      <c r="Q146" s="240"/>
    </row>
    <row r="147" spans="4:17" x14ac:dyDescent="0.15">
      <c r="D147" s="242"/>
      <c r="K147" s="134"/>
      <c r="Q147" s="240"/>
    </row>
    <row r="148" spans="4:17" x14ac:dyDescent="0.15">
      <c r="D148" s="242"/>
      <c r="K148" s="134"/>
      <c r="Q148" s="240"/>
    </row>
    <row r="149" spans="4:17" x14ac:dyDescent="0.15">
      <c r="D149" s="242"/>
      <c r="K149" s="134"/>
      <c r="Q149" s="240"/>
    </row>
    <row r="150" spans="4:17" x14ac:dyDescent="0.15">
      <c r="D150" s="242"/>
      <c r="K150" s="134"/>
      <c r="Q150" s="240"/>
    </row>
    <row r="151" spans="4:17" x14ac:dyDescent="0.15">
      <c r="D151" s="242"/>
      <c r="K151" s="134"/>
      <c r="Q151" s="240"/>
    </row>
    <row r="152" spans="4:17" x14ac:dyDescent="0.15">
      <c r="D152" s="242"/>
      <c r="K152" s="134"/>
      <c r="Q152" s="240"/>
    </row>
    <row r="153" spans="4:17" x14ac:dyDescent="0.15">
      <c r="D153" s="242"/>
      <c r="K153" s="134"/>
      <c r="Q153" s="240"/>
    </row>
    <row r="154" spans="4:17" x14ac:dyDescent="0.15">
      <c r="D154" s="242"/>
      <c r="K154" s="134"/>
      <c r="Q154" s="240"/>
    </row>
    <row r="155" spans="4:17" x14ac:dyDescent="0.15">
      <c r="D155" s="242"/>
      <c r="K155" s="134"/>
      <c r="Q155" s="240"/>
    </row>
    <row r="156" spans="4:17" x14ac:dyDescent="0.15">
      <c r="D156" s="242"/>
      <c r="K156" s="134"/>
      <c r="Q156" s="240"/>
    </row>
    <row r="157" spans="4:17" x14ac:dyDescent="0.15">
      <c r="D157" s="242"/>
      <c r="K157" s="134"/>
      <c r="Q157" s="240"/>
    </row>
    <row r="158" spans="4:17" x14ac:dyDescent="0.15">
      <c r="D158" s="242"/>
      <c r="K158" s="134"/>
      <c r="Q158" s="240"/>
    </row>
    <row r="159" spans="4:17" x14ac:dyDescent="0.15">
      <c r="D159" s="242"/>
      <c r="K159" s="134"/>
      <c r="Q159" s="240"/>
    </row>
    <row r="160" spans="4:17" x14ac:dyDescent="0.15">
      <c r="D160" s="242"/>
      <c r="K160" s="134"/>
      <c r="Q160" s="240"/>
    </row>
    <row r="161" spans="4:17" x14ac:dyDescent="0.15">
      <c r="D161" s="242"/>
      <c r="K161" s="134"/>
      <c r="Q161" s="240"/>
    </row>
    <row r="162" spans="4:17" x14ac:dyDescent="0.15">
      <c r="D162" s="242"/>
      <c r="K162" s="134"/>
      <c r="Q162" s="240"/>
    </row>
    <row r="163" spans="4:17" x14ac:dyDescent="0.15">
      <c r="D163" s="242"/>
      <c r="K163" s="134"/>
      <c r="Q163" s="240"/>
    </row>
    <row r="164" spans="4:17" x14ac:dyDescent="0.15">
      <c r="K164" s="134"/>
      <c r="Q164" s="240"/>
    </row>
    <row r="165" spans="4:17" x14ac:dyDescent="0.15">
      <c r="K165" s="134"/>
      <c r="Q165" s="240"/>
    </row>
    <row r="166" spans="4:17" x14ac:dyDescent="0.15">
      <c r="K166" s="134"/>
      <c r="Q166" s="240"/>
    </row>
    <row r="167" spans="4:17" x14ac:dyDescent="0.15">
      <c r="K167" s="134"/>
      <c r="Q167" s="240"/>
    </row>
    <row r="168" spans="4:17" x14ac:dyDescent="0.15">
      <c r="K168" s="134"/>
      <c r="Q168" s="240"/>
    </row>
    <row r="169" spans="4:17" x14ac:dyDescent="0.15">
      <c r="K169" s="134"/>
      <c r="Q169" s="240"/>
    </row>
    <row r="170" spans="4:17" x14ac:dyDescent="0.15">
      <c r="K170" s="134"/>
      <c r="Q170" s="240"/>
    </row>
    <row r="171" spans="4:17" x14ac:dyDescent="0.15">
      <c r="K171" s="134"/>
      <c r="Q171" s="240"/>
    </row>
    <row r="172" spans="4:17" x14ac:dyDescent="0.15">
      <c r="K172" s="134"/>
      <c r="Q172" s="240"/>
    </row>
    <row r="173" spans="4:17" x14ac:dyDescent="0.15">
      <c r="K173" s="134"/>
      <c r="Q173" s="240"/>
    </row>
    <row r="174" spans="4:17" x14ac:dyDescent="0.15">
      <c r="K174" s="134"/>
      <c r="Q174" s="240"/>
    </row>
    <row r="175" spans="4:17" x14ac:dyDescent="0.15">
      <c r="K175" s="134"/>
      <c r="Q175" s="240"/>
    </row>
    <row r="176" spans="4:17" x14ac:dyDescent="0.15">
      <c r="K176" s="134"/>
      <c r="Q176" s="240"/>
    </row>
    <row r="177" spans="11:17" x14ac:dyDescent="0.15">
      <c r="K177" s="134"/>
      <c r="Q177" s="240"/>
    </row>
    <row r="178" spans="11:17" x14ac:dyDescent="0.15">
      <c r="K178" s="134"/>
      <c r="Q178" s="240"/>
    </row>
    <row r="179" spans="11:17" x14ac:dyDescent="0.15">
      <c r="K179" s="134"/>
      <c r="Q179" s="240"/>
    </row>
    <row r="180" spans="11:17" x14ac:dyDescent="0.15">
      <c r="K180" s="134"/>
      <c r="Q180" s="240"/>
    </row>
    <row r="181" spans="11:17" x14ac:dyDescent="0.15">
      <c r="K181" s="134"/>
      <c r="Q181" s="240"/>
    </row>
    <row r="182" spans="11:17" x14ac:dyDescent="0.15">
      <c r="K182" s="134"/>
      <c r="Q182" s="240"/>
    </row>
    <row r="183" spans="11:17" x14ac:dyDescent="0.15">
      <c r="K183" s="134"/>
      <c r="Q183" s="240"/>
    </row>
    <row r="184" spans="11:17" x14ac:dyDescent="0.15">
      <c r="K184" s="134"/>
      <c r="Q184" s="240"/>
    </row>
    <row r="185" spans="11:17" x14ac:dyDescent="0.15">
      <c r="K185" s="134"/>
      <c r="Q185" s="240"/>
    </row>
    <row r="186" spans="11:17" x14ac:dyDescent="0.15">
      <c r="K186" s="134"/>
      <c r="Q186" s="240"/>
    </row>
    <row r="187" spans="11:17" x14ac:dyDescent="0.15">
      <c r="K187" s="134"/>
      <c r="Q187" s="240"/>
    </row>
    <row r="188" spans="11:17" x14ac:dyDescent="0.15">
      <c r="K188" s="134"/>
      <c r="Q188" s="240"/>
    </row>
    <row r="189" spans="11:17" x14ac:dyDescent="0.15">
      <c r="K189" s="134"/>
      <c r="Q189" s="240"/>
    </row>
    <row r="190" spans="11:17" x14ac:dyDescent="0.15">
      <c r="K190" s="134"/>
      <c r="Q190" s="240"/>
    </row>
    <row r="191" spans="11:17" x14ac:dyDescent="0.15">
      <c r="K191" s="134"/>
      <c r="Q191" s="240"/>
    </row>
    <row r="192" spans="11:17" x14ac:dyDescent="0.15">
      <c r="K192" s="134"/>
      <c r="Q192" s="240"/>
    </row>
    <row r="193" spans="11:17" x14ac:dyDescent="0.15">
      <c r="K193" s="134"/>
      <c r="Q193" s="240"/>
    </row>
    <row r="194" spans="11:17" x14ac:dyDescent="0.15">
      <c r="K194" s="134"/>
      <c r="Q194" s="240"/>
    </row>
    <row r="195" spans="11:17" x14ac:dyDescent="0.15">
      <c r="K195" s="134"/>
      <c r="Q195" s="240"/>
    </row>
    <row r="196" spans="11:17" x14ac:dyDescent="0.15">
      <c r="K196" s="134"/>
      <c r="Q196" s="240"/>
    </row>
    <row r="197" spans="11:17" x14ac:dyDescent="0.15">
      <c r="K197" s="134"/>
      <c r="Q197" s="240"/>
    </row>
    <row r="198" spans="11:17" x14ac:dyDescent="0.15">
      <c r="K198" s="134"/>
      <c r="Q198" s="240"/>
    </row>
    <row r="199" spans="11:17" x14ac:dyDescent="0.15">
      <c r="K199" s="134"/>
      <c r="Q199" s="240"/>
    </row>
    <row r="200" spans="11:17" x14ac:dyDescent="0.15">
      <c r="K200" s="134"/>
      <c r="Q200" s="240"/>
    </row>
    <row r="201" spans="11:17" x14ac:dyDescent="0.15">
      <c r="K201" s="134"/>
      <c r="Q201" s="240"/>
    </row>
    <row r="202" spans="11:17" x14ac:dyDescent="0.15">
      <c r="K202" s="134"/>
      <c r="Q202" s="240"/>
    </row>
    <row r="203" spans="11:17" x14ac:dyDescent="0.15">
      <c r="K203" s="134"/>
      <c r="Q203" s="240"/>
    </row>
    <row r="204" spans="11:17" x14ac:dyDescent="0.15">
      <c r="K204" s="134"/>
      <c r="Q204" s="240"/>
    </row>
    <row r="205" spans="11:17" x14ac:dyDescent="0.15">
      <c r="K205" s="134"/>
      <c r="Q205" s="240"/>
    </row>
    <row r="206" spans="11:17" x14ac:dyDescent="0.15">
      <c r="K206" s="134"/>
      <c r="Q206" s="240"/>
    </row>
    <row r="207" spans="11:17" x14ac:dyDescent="0.15">
      <c r="K207" s="134"/>
      <c r="Q207" s="240"/>
    </row>
    <row r="208" spans="11:17" x14ac:dyDescent="0.15">
      <c r="K208" s="134"/>
      <c r="Q208" s="240"/>
    </row>
    <row r="209" spans="11:17" x14ac:dyDescent="0.15">
      <c r="K209" s="134"/>
      <c r="Q209" s="240"/>
    </row>
    <row r="210" spans="11:17" x14ac:dyDescent="0.15">
      <c r="K210" s="134"/>
      <c r="Q210" s="240"/>
    </row>
    <row r="211" spans="11:17" x14ac:dyDescent="0.15">
      <c r="K211" s="134"/>
      <c r="Q211" s="240"/>
    </row>
    <row r="212" spans="11:17" x14ac:dyDescent="0.15">
      <c r="K212" s="134"/>
      <c r="Q212" s="240"/>
    </row>
    <row r="213" spans="11:17" x14ac:dyDescent="0.15">
      <c r="K213" s="134"/>
      <c r="Q213" s="240"/>
    </row>
    <row r="214" spans="11:17" x14ac:dyDescent="0.15">
      <c r="K214" s="134"/>
      <c r="Q214" s="240"/>
    </row>
    <row r="215" spans="11:17" x14ac:dyDescent="0.15">
      <c r="K215" s="134"/>
      <c r="Q215" s="240"/>
    </row>
    <row r="216" spans="11:17" x14ac:dyDescent="0.15">
      <c r="K216" s="134"/>
      <c r="Q216" s="240"/>
    </row>
    <row r="217" spans="11:17" x14ac:dyDescent="0.15">
      <c r="K217" s="134"/>
      <c r="Q217" s="240"/>
    </row>
    <row r="218" spans="11:17" x14ac:dyDescent="0.15">
      <c r="K218" s="134"/>
      <c r="Q218" s="240"/>
    </row>
    <row r="219" spans="11:17" x14ac:dyDescent="0.15">
      <c r="K219" s="134"/>
      <c r="Q219" s="240"/>
    </row>
    <row r="220" spans="11:17" x14ac:dyDescent="0.15">
      <c r="K220" s="134"/>
      <c r="Q220" s="240"/>
    </row>
    <row r="221" spans="11:17" x14ac:dyDescent="0.15">
      <c r="K221" s="134"/>
      <c r="Q221" s="240"/>
    </row>
    <row r="222" spans="11:17" x14ac:dyDescent="0.15">
      <c r="K222" s="134"/>
      <c r="Q222" s="240"/>
    </row>
    <row r="223" spans="11:17" x14ac:dyDescent="0.15">
      <c r="K223" s="134"/>
      <c r="Q223" s="240"/>
    </row>
    <row r="224" spans="11:17" x14ac:dyDescent="0.15">
      <c r="K224" s="134"/>
      <c r="Q224" s="240"/>
    </row>
    <row r="225" spans="11:17" x14ac:dyDescent="0.15">
      <c r="K225" s="134"/>
      <c r="Q225" s="240"/>
    </row>
    <row r="226" spans="11:17" x14ac:dyDescent="0.15">
      <c r="K226" s="134"/>
      <c r="Q226" s="240"/>
    </row>
    <row r="227" spans="11:17" x14ac:dyDescent="0.15">
      <c r="K227" s="134"/>
      <c r="Q227" s="240"/>
    </row>
    <row r="228" spans="11:17" x14ac:dyDescent="0.15">
      <c r="K228" s="134"/>
      <c r="Q228" s="240"/>
    </row>
    <row r="229" spans="11:17" x14ac:dyDescent="0.15">
      <c r="K229" s="134"/>
      <c r="Q229" s="240"/>
    </row>
    <row r="230" spans="11:17" x14ac:dyDescent="0.15">
      <c r="K230" s="134"/>
      <c r="Q230" s="240"/>
    </row>
    <row r="231" spans="11:17" x14ac:dyDescent="0.15">
      <c r="K231" s="134"/>
      <c r="Q231" s="240"/>
    </row>
    <row r="232" spans="11:17" x14ac:dyDescent="0.15">
      <c r="K232" s="134"/>
      <c r="Q232" s="240"/>
    </row>
    <row r="233" spans="11:17" x14ac:dyDescent="0.15">
      <c r="K233" s="134"/>
      <c r="Q233" s="240"/>
    </row>
    <row r="234" spans="11:17" x14ac:dyDescent="0.15">
      <c r="K234" s="134"/>
      <c r="Q234" s="240"/>
    </row>
    <row r="235" spans="11:17" x14ac:dyDescent="0.15">
      <c r="K235" s="134"/>
      <c r="Q235" s="240"/>
    </row>
    <row r="236" spans="11:17" x14ac:dyDescent="0.15">
      <c r="K236" s="134"/>
      <c r="Q236" s="240"/>
    </row>
    <row r="237" spans="11:17" x14ac:dyDescent="0.15">
      <c r="K237" s="134"/>
      <c r="Q237" s="240"/>
    </row>
    <row r="238" spans="11:17" x14ac:dyDescent="0.15">
      <c r="K238" s="134"/>
      <c r="Q238" s="240"/>
    </row>
    <row r="239" spans="11:17" x14ac:dyDescent="0.15">
      <c r="K239" s="134"/>
      <c r="Q239" s="240"/>
    </row>
    <row r="240" spans="11:17" x14ac:dyDescent="0.15">
      <c r="K240" s="134"/>
      <c r="Q240" s="240"/>
    </row>
    <row r="241" spans="11:17" x14ac:dyDescent="0.15">
      <c r="K241" s="134"/>
      <c r="Q241" s="240"/>
    </row>
    <row r="242" spans="11:17" x14ac:dyDescent="0.15">
      <c r="K242" s="134"/>
      <c r="Q242" s="240"/>
    </row>
    <row r="243" spans="11:17" x14ac:dyDescent="0.15">
      <c r="K243" s="134"/>
      <c r="Q243" s="240"/>
    </row>
    <row r="244" spans="11:17" x14ac:dyDescent="0.15">
      <c r="K244" s="134"/>
      <c r="Q244" s="240"/>
    </row>
    <row r="245" spans="11:17" x14ac:dyDescent="0.15">
      <c r="K245" s="134"/>
      <c r="Q245" s="240"/>
    </row>
    <row r="246" spans="11:17" x14ac:dyDescent="0.15">
      <c r="K246" s="134"/>
      <c r="Q246" s="240"/>
    </row>
    <row r="247" spans="11:17" x14ac:dyDescent="0.15">
      <c r="K247" s="134"/>
      <c r="Q247" s="240"/>
    </row>
    <row r="248" spans="11:17" x14ac:dyDescent="0.15">
      <c r="K248" s="134"/>
      <c r="Q248" s="240"/>
    </row>
    <row r="249" spans="11:17" x14ac:dyDescent="0.15">
      <c r="K249" s="134"/>
      <c r="Q249" s="240"/>
    </row>
    <row r="250" spans="11:17" x14ac:dyDescent="0.15">
      <c r="K250" s="134"/>
      <c r="Q250" s="240"/>
    </row>
    <row r="251" spans="11:17" x14ac:dyDescent="0.15">
      <c r="K251" s="134"/>
      <c r="Q251" s="240"/>
    </row>
    <row r="252" spans="11:17" x14ac:dyDescent="0.15">
      <c r="K252" s="134"/>
      <c r="Q252" s="240"/>
    </row>
    <row r="253" spans="11:17" x14ac:dyDescent="0.15">
      <c r="K253" s="134"/>
      <c r="Q253" s="240"/>
    </row>
    <row r="254" spans="11:17" x14ac:dyDescent="0.15">
      <c r="K254" s="134"/>
      <c r="Q254" s="240"/>
    </row>
    <row r="255" spans="11:17" x14ac:dyDescent="0.15">
      <c r="K255" s="134"/>
      <c r="Q255" s="240"/>
    </row>
    <row r="256" spans="11:17" x14ac:dyDescent="0.15">
      <c r="K256" s="134"/>
      <c r="Q256" s="240"/>
    </row>
    <row r="257" spans="11:17" x14ac:dyDescent="0.15">
      <c r="K257" s="134"/>
      <c r="Q257" s="240"/>
    </row>
    <row r="258" spans="11:17" x14ac:dyDescent="0.15">
      <c r="K258" s="134"/>
      <c r="Q258" s="240"/>
    </row>
    <row r="259" spans="11:17" x14ac:dyDescent="0.15">
      <c r="K259" s="134"/>
      <c r="Q259" s="240"/>
    </row>
    <row r="260" spans="11:17" x14ac:dyDescent="0.15">
      <c r="K260" s="134"/>
      <c r="Q260" s="240"/>
    </row>
    <row r="261" spans="11:17" x14ac:dyDescent="0.15">
      <c r="K261" s="134"/>
      <c r="Q261" s="240"/>
    </row>
    <row r="262" spans="11:17" x14ac:dyDescent="0.15">
      <c r="K262" s="134"/>
      <c r="Q262" s="240"/>
    </row>
    <row r="263" spans="11:17" x14ac:dyDescent="0.15">
      <c r="K263" s="134"/>
      <c r="Q263" s="240"/>
    </row>
    <row r="264" spans="11:17" x14ac:dyDescent="0.15">
      <c r="K264" s="134"/>
      <c r="Q264" s="240"/>
    </row>
    <row r="265" spans="11:17" x14ac:dyDescent="0.15">
      <c r="K265" s="134"/>
      <c r="Q265" s="240"/>
    </row>
    <row r="266" spans="11:17" x14ac:dyDescent="0.15">
      <c r="K266" s="134"/>
      <c r="Q266" s="240"/>
    </row>
    <row r="267" spans="11:17" x14ac:dyDescent="0.15">
      <c r="K267" s="134"/>
      <c r="Q267" s="240"/>
    </row>
    <row r="268" spans="11:17" x14ac:dyDescent="0.15">
      <c r="K268" s="134"/>
      <c r="Q268" s="240"/>
    </row>
    <row r="269" spans="11:17" x14ac:dyDescent="0.15">
      <c r="K269" s="134"/>
      <c r="Q269" s="240"/>
    </row>
    <row r="270" spans="11:17" x14ac:dyDescent="0.15">
      <c r="K270" s="134"/>
      <c r="Q270" s="240"/>
    </row>
    <row r="271" spans="11:17" x14ac:dyDescent="0.15">
      <c r="K271" s="134"/>
      <c r="Q271" s="240"/>
    </row>
    <row r="272" spans="11:17" x14ac:dyDescent="0.15">
      <c r="K272" s="134"/>
      <c r="Q272" s="240"/>
    </row>
    <row r="273" spans="11:17" x14ac:dyDescent="0.15">
      <c r="K273" s="134"/>
      <c r="Q273" s="240"/>
    </row>
    <row r="274" spans="11:17" x14ac:dyDescent="0.15">
      <c r="K274" s="134"/>
      <c r="Q274" s="240"/>
    </row>
    <row r="275" spans="11:17" x14ac:dyDescent="0.15">
      <c r="K275" s="134"/>
      <c r="Q275" s="240"/>
    </row>
    <row r="276" spans="11:17" x14ac:dyDescent="0.15">
      <c r="K276" s="134"/>
      <c r="Q276" s="240"/>
    </row>
    <row r="277" spans="11:17" x14ac:dyDescent="0.15">
      <c r="K277" s="134"/>
      <c r="Q277" s="240"/>
    </row>
    <row r="278" spans="11:17" x14ac:dyDescent="0.15">
      <c r="K278" s="134"/>
      <c r="Q278" s="240"/>
    </row>
    <row r="279" spans="11:17" x14ac:dyDescent="0.15">
      <c r="K279" s="134"/>
      <c r="Q279" s="240"/>
    </row>
    <row r="280" spans="11:17" x14ac:dyDescent="0.15">
      <c r="K280" s="134"/>
      <c r="Q280" s="240"/>
    </row>
    <row r="281" spans="11:17" x14ac:dyDescent="0.15">
      <c r="K281" s="134"/>
      <c r="Q281" s="240"/>
    </row>
    <row r="282" spans="11:17" x14ac:dyDescent="0.15">
      <c r="K282" s="134"/>
      <c r="Q282" s="240"/>
    </row>
    <row r="283" spans="11:17" x14ac:dyDescent="0.15">
      <c r="K283" s="134"/>
      <c r="Q283" s="240"/>
    </row>
    <row r="284" spans="11:17" x14ac:dyDescent="0.15">
      <c r="K284" s="134"/>
      <c r="Q284" s="240"/>
    </row>
    <row r="285" spans="11:17" x14ac:dyDescent="0.15">
      <c r="K285" s="134"/>
      <c r="Q285" s="240"/>
    </row>
    <row r="286" spans="11:17" x14ac:dyDescent="0.15">
      <c r="K286" s="134"/>
      <c r="Q286" s="240"/>
    </row>
    <row r="287" spans="11:17" x14ac:dyDescent="0.15">
      <c r="K287" s="134"/>
      <c r="Q287" s="240"/>
    </row>
    <row r="288" spans="11:17" x14ac:dyDescent="0.15">
      <c r="K288" s="134"/>
      <c r="Q288" s="240"/>
    </row>
    <row r="289" spans="11:17" x14ac:dyDescent="0.15">
      <c r="K289" s="134"/>
      <c r="Q289" s="240"/>
    </row>
    <row r="290" spans="11:17" x14ac:dyDescent="0.15">
      <c r="K290" s="134"/>
      <c r="Q290" s="240"/>
    </row>
    <row r="291" spans="11:17" x14ac:dyDescent="0.15">
      <c r="K291" s="134"/>
      <c r="Q291" s="240"/>
    </row>
    <row r="292" spans="11:17" x14ac:dyDescent="0.15">
      <c r="K292" s="134"/>
    </row>
    <row r="293" spans="11:17" x14ac:dyDescent="0.15">
      <c r="K293" s="134"/>
    </row>
    <row r="294" spans="11:17" x14ac:dyDescent="0.15">
      <c r="K294" s="134"/>
    </row>
    <row r="295" spans="11:17" x14ac:dyDescent="0.15">
      <c r="K295" s="134"/>
    </row>
    <row r="296" spans="11:17" x14ac:dyDescent="0.15">
      <c r="K296" s="134"/>
    </row>
    <row r="297" spans="11:17" x14ac:dyDescent="0.15">
      <c r="K297" s="134"/>
    </row>
    <row r="298" spans="11:17" x14ac:dyDescent="0.15">
      <c r="K298" s="134"/>
    </row>
    <row r="299" spans="11:17" x14ac:dyDescent="0.15">
      <c r="K299" s="134"/>
    </row>
    <row r="300" spans="11:17" x14ac:dyDescent="0.15">
      <c r="K300" s="134"/>
    </row>
    <row r="301" spans="11:17" x14ac:dyDescent="0.15">
      <c r="K301" s="134"/>
    </row>
    <row r="302" spans="11:17" x14ac:dyDescent="0.15">
      <c r="K302" s="134"/>
    </row>
    <row r="303" spans="11:17" x14ac:dyDescent="0.15">
      <c r="K303" s="134"/>
    </row>
    <row r="304" spans="11:17" x14ac:dyDescent="0.15">
      <c r="K304" s="134"/>
    </row>
    <row r="305" spans="11:11" x14ac:dyDescent="0.15">
      <c r="K305" s="134"/>
    </row>
    <row r="306" spans="11:11" x14ac:dyDescent="0.15">
      <c r="K306" s="134"/>
    </row>
    <row r="307" spans="11:11" x14ac:dyDescent="0.15">
      <c r="K307" s="134"/>
    </row>
    <row r="308" spans="11:11" x14ac:dyDescent="0.15">
      <c r="K308" s="134"/>
    </row>
    <row r="309" spans="11:11" x14ac:dyDescent="0.15">
      <c r="K309" s="134"/>
    </row>
    <row r="310" spans="11:11" x14ac:dyDescent="0.15">
      <c r="K310" s="134"/>
    </row>
    <row r="311" spans="11:11" x14ac:dyDescent="0.15">
      <c r="K311" s="134"/>
    </row>
    <row r="312" spans="11:11" x14ac:dyDescent="0.15">
      <c r="K312" s="134"/>
    </row>
    <row r="313" spans="11:11" x14ac:dyDescent="0.15">
      <c r="K313" s="134"/>
    </row>
    <row r="314" spans="11:11" x14ac:dyDescent="0.15">
      <c r="K314" s="134"/>
    </row>
    <row r="315" spans="11:11" x14ac:dyDescent="0.15">
      <c r="K315" s="134"/>
    </row>
    <row r="316" spans="11:11" x14ac:dyDescent="0.15">
      <c r="K316" s="134"/>
    </row>
    <row r="317" spans="11:11" x14ac:dyDescent="0.15">
      <c r="K317" s="134"/>
    </row>
    <row r="318" spans="11:11" x14ac:dyDescent="0.15">
      <c r="K318" s="134"/>
    </row>
    <row r="319" spans="11:11" x14ac:dyDescent="0.15">
      <c r="K319" s="134"/>
    </row>
    <row r="320" spans="11:11" x14ac:dyDescent="0.15">
      <c r="K320" s="134"/>
    </row>
    <row r="321" spans="11:11" x14ac:dyDescent="0.15">
      <c r="K321" s="134"/>
    </row>
    <row r="322" spans="11:11" x14ac:dyDescent="0.15">
      <c r="K322" s="134"/>
    </row>
    <row r="323" spans="11:11" x14ac:dyDescent="0.15">
      <c r="K323" s="134"/>
    </row>
    <row r="324" spans="11:11" x14ac:dyDescent="0.15">
      <c r="K324" s="134"/>
    </row>
    <row r="325" spans="11:11" x14ac:dyDescent="0.15">
      <c r="K325" s="134"/>
    </row>
    <row r="326" spans="11:11" x14ac:dyDescent="0.15">
      <c r="K326" s="134"/>
    </row>
    <row r="327" spans="11:11" x14ac:dyDescent="0.15">
      <c r="K327" s="134"/>
    </row>
    <row r="328" spans="11:11" x14ac:dyDescent="0.15">
      <c r="K328" s="134"/>
    </row>
    <row r="329" spans="11:11" x14ac:dyDescent="0.15">
      <c r="K329" s="134"/>
    </row>
    <row r="330" spans="11:11" x14ac:dyDescent="0.15">
      <c r="K330" s="134"/>
    </row>
    <row r="331" spans="11:11" x14ac:dyDescent="0.15">
      <c r="K331" s="134"/>
    </row>
    <row r="332" spans="11:11" x14ac:dyDescent="0.15">
      <c r="K332" s="134"/>
    </row>
    <row r="333" spans="11:11" x14ac:dyDescent="0.15">
      <c r="K333" s="134"/>
    </row>
    <row r="334" spans="11:11" x14ac:dyDescent="0.15">
      <c r="K334" s="134"/>
    </row>
    <row r="335" spans="11:11" x14ac:dyDescent="0.15">
      <c r="K335" s="134"/>
    </row>
    <row r="336" spans="11:11" x14ac:dyDescent="0.15">
      <c r="K336" s="134"/>
    </row>
    <row r="337" spans="11:11" x14ac:dyDescent="0.15">
      <c r="K337" s="134"/>
    </row>
    <row r="338" spans="11:11" x14ac:dyDescent="0.15">
      <c r="K338" s="134"/>
    </row>
    <row r="339" spans="11:11" x14ac:dyDescent="0.15">
      <c r="K339" s="134"/>
    </row>
    <row r="340" spans="11:11" x14ac:dyDescent="0.15">
      <c r="K340" s="134"/>
    </row>
    <row r="341" spans="11:11" x14ac:dyDescent="0.15">
      <c r="K341" s="134"/>
    </row>
    <row r="342" spans="11:11" x14ac:dyDescent="0.15">
      <c r="K342" s="134"/>
    </row>
    <row r="343" spans="11:11" x14ac:dyDescent="0.15">
      <c r="K343" s="134"/>
    </row>
    <row r="344" spans="11:11" x14ac:dyDescent="0.15">
      <c r="K344" s="134"/>
    </row>
    <row r="345" spans="11:11" x14ac:dyDescent="0.15">
      <c r="K345" s="134"/>
    </row>
    <row r="346" spans="11:11" x14ac:dyDescent="0.15">
      <c r="K346" s="134"/>
    </row>
    <row r="347" spans="11:11" x14ac:dyDescent="0.15">
      <c r="K347" s="134"/>
    </row>
    <row r="348" spans="11:11" x14ac:dyDescent="0.15">
      <c r="K348" s="134"/>
    </row>
    <row r="349" spans="11:11" x14ac:dyDescent="0.15">
      <c r="K349" s="134"/>
    </row>
    <row r="350" spans="11:11" x14ac:dyDescent="0.15">
      <c r="K350" s="134"/>
    </row>
    <row r="351" spans="11:11" x14ac:dyDescent="0.15">
      <c r="K351" s="134"/>
    </row>
    <row r="352" spans="11:11" x14ac:dyDescent="0.15">
      <c r="K352" s="134"/>
    </row>
    <row r="353" spans="11:11" x14ac:dyDescent="0.15">
      <c r="K353" s="134"/>
    </row>
    <row r="354" spans="11:11" x14ac:dyDescent="0.15">
      <c r="K354" s="134"/>
    </row>
    <row r="355" spans="11:11" x14ac:dyDescent="0.15">
      <c r="K355" s="134"/>
    </row>
    <row r="356" spans="11:11" x14ac:dyDescent="0.15">
      <c r="K356" s="134"/>
    </row>
    <row r="357" spans="11:11" x14ac:dyDescent="0.15">
      <c r="K357" s="134"/>
    </row>
    <row r="358" spans="11:11" x14ac:dyDescent="0.15">
      <c r="K358" s="134"/>
    </row>
    <row r="359" spans="11:11" x14ac:dyDescent="0.15">
      <c r="K359" s="134"/>
    </row>
    <row r="360" spans="11:11" x14ac:dyDescent="0.15">
      <c r="K360" s="134"/>
    </row>
    <row r="361" spans="11:11" x14ac:dyDescent="0.15">
      <c r="K361" s="134"/>
    </row>
    <row r="362" spans="11:11" x14ac:dyDescent="0.15">
      <c r="K362" s="134"/>
    </row>
    <row r="363" spans="11:11" x14ac:dyDescent="0.15">
      <c r="K363" s="134"/>
    </row>
    <row r="364" spans="11:11" x14ac:dyDescent="0.15">
      <c r="K364" s="134"/>
    </row>
    <row r="365" spans="11:11" x14ac:dyDescent="0.15">
      <c r="K365" s="134"/>
    </row>
    <row r="366" spans="11:11" x14ac:dyDescent="0.15">
      <c r="K366" s="134"/>
    </row>
    <row r="367" spans="11:11" x14ac:dyDescent="0.15">
      <c r="K367" s="134"/>
    </row>
    <row r="368" spans="11:11" x14ac:dyDescent="0.15">
      <c r="K368" s="134"/>
    </row>
    <row r="369" spans="11:11" x14ac:dyDescent="0.15">
      <c r="K369" s="134"/>
    </row>
    <row r="370" spans="11:11" x14ac:dyDescent="0.15">
      <c r="K370" s="134"/>
    </row>
    <row r="371" spans="11:11" x14ac:dyDescent="0.15">
      <c r="K371" s="134"/>
    </row>
    <row r="372" spans="11:11" x14ac:dyDescent="0.15">
      <c r="K372" s="134"/>
    </row>
    <row r="373" spans="11:11" x14ac:dyDescent="0.15">
      <c r="K373" s="134"/>
    </row>
    <row r="374" spans="11:11" x14ac:dyDescent="0.15">
      <c r="K374" s="134"/>
    </row>
    <row r="375" spans="11:11" x14ac:dyDescent="0.15">
      <c r="K375" s="134"/>
    </row>
    <row r="376" spans="11:11" x14ac:dyDescent="0.15">
      <c r="K376" s="134"/>
    </row>
    <row r="377" spans="11:11" x14ac:dyDescent="0.15">
      <c r="K377" s="134"/>
    </row>
    <row r="378" spans="11:11" x14ac:dyDescent="0.15">
      <c r="K378" s="134"/>
    </row>
    <row r="379" spans="11:11" x14ac:dyDescent="0.15">
      <c r="K379" s="134"/>
    </row>
    <row r="380" spans="11:11" x14ac:dyDescent="0.15">
      <c r="K380" s="134"/>
    </row>
    <row r="381" spans="11:11" x14ac:dyDescent="0.15">
      <c r="K381" s="134"/>
    </row>
    <row r="382" spans="11:11" x14ac:dyDescent="0.15">
      <c r="K382" s="134"/>
    </row>
    <row r="383" spans="11:11" x14ac:dyDescent="0.15">
      <c r="K383" s="134"/>
    </row>
    <row r="384" spans="11:11" x14ac:dyDescent="0.15">
      <c r="K384" s="134"/>
    </row>
    <row r="385" spans="11:11" x14ac:dyDescent="0.15">
      <c r="K385" s="134"/>
    </row>
    <row r="386" spans="11:11" x14ac:dyDescent="0.15">
      <c r="K386" s="134"/>
    </row>
    <row r="387" spans="11:11" x14ac:dyDescent="0.15">
      <c r="K387" s="134"/>
    </row>
    <row r="388" spans="11:11" x14ac:dyDescent="0.15">
      <c r="K388" s="134"/>
    </row>
    <row r="389" spans="11:11" x14ac:dyDescent="0.15">
      <c r="K389" s="134"/>
    </row>
    <row r="390" spans="11:11" x14ac:dyDescent="0.15">
      <c r="K390" s="134"/>
    </row>
    <row r="391" spans="11:11" x14ac:dyDescent="0.15">
      <c r="K391" s="134"/>
    </row>
    <row r="392" spans="11:11" x14ac:dyDescent="0.15">
      <c r="K392" s="134"/>
    </row>
    <row r="393" spans="11:11" x14ac:dyDescent="0.15">
      <c r="K393" s="134"/>
    </row>
    <row r="394" spans="11:11" x14ac:dyDescent="0.15">
      <c r="K394" s="134"/>
    </row>
    <row r="395" spans="11:11" x14ac:dyDescent="0.15">
      <c r="K395" s="134"/>
    </row>
    <row r="396" spans="11:11" x14ac:dyDescent="0.15">
      <c r="K396" s="134"/>
    </row>
    <row r="397" spans="11:11" x14ac:dyDescent="0.15">
      <c r="K397" s="134"/>
    </row>
    <row r="398" spans="11:11" x14ac:dyDescent="0.15">
      <c r="K398" s="134"/>
    </row>
    <row r="399" spans="11:11" x14ac:dyDescent="0.15">
      <c r="K399" s="134"/>
    </row>
    <row r="400" spans="11:11" x14ac:dyDescent="0.15">
      <c r="K400" s="134"/>
    </row>
    <row r="401" spans="11:11" x14ac:dyDescent="0.15">
      <c r="K401" s="134"/>
    </row>
    <row r="402" spans="11:11" x14ac:dyDescent="0.15">
      <c r="K402" s="134"/>
    </row>
    <row r="403" spans="11:11" x14ac:dyDescent="0.15">
      <c r="K403" s="134"/>
    </row>
    <row r="404" spans="11:11" x14ac:dyDescent="0.15">
      <c r="K404" s="134"/>
    </row>
    <row r="405" spans="11:11" x14ac:dyDescent="0.15">
      <c r="K405" s="134"/>
    </row>
    <row r="406" spans="11:11" x14ac:dyDescent="0.15">
      <c r="K406" s="134"/>
    </row>
    <row r="407" spans="11:11" x14ac:dyDescent="0.15">
      <c r="K407" s="134"/>
    </row>
    <row r="408" spans="11:11" x14ac:dyDescent="0.15">
      <c r="K408" s="134"/>
    </row>
    <row r="409" spans="11:11" x14ac:dyDescent="0.15">
      <c r="K409" s="134"/>
    </row>
    <row r="410" spans="11:11" x14ac:dyDescent="0.15">
      <c r="K410" s="134"/>
    </row>
    <row r="411" spans="11:11" x14ac:dyDescent="0.15">
      <c r="K411" s="134"/>
    </row>
    <row r="412" spans="11:11" x14ac:dyDescent="0.15">
      <c r="K412" s="134"/>
    </row>
    <row r="413" spans="11:11" x14ac:dyDescent="0.15">
      <c r="K413" s="134"/>
    </row>
    <row r="414" spans="11:11" x14ac:dyDescent="0.15">
      <c r="K414" s="134"/>
    </row>
    <row r="415" spans="11:11" x14ac:dyDescent="0.15">
      <c r="K415" s="134"/>
    </row>
    <row r="416" spans="11:11" x14ac:dyDescent="0.15">
      <c r="K416" s="134"/>
    </row>
    <row r="417" spans="11:11" x14ac:dyDescent="0.15">
      <c r="K417" s="134"/>
    </row>
    <row r="418" spans="11:11" x14ac:dyDescent="0.15">
      <c r="K418" s="134"/>
    </row>
    <row r="419" spans="11:11" x14ac:dyDescent="0.15">
      <c r="K419" s="134"/>
    </row>
    <row r="420" spans="11:11" x14ac:dyDescent="0.15">
      <c r="K420" s="134"/>
    </row>
    <row r="421" spans="11:11" x14ac:dyDescent="0.15">
      <c r="K421" s="134"/>
    </row>
    <row r="422" spans="11:11" x14ac:dyDescent="0.15">
      <c r="K422" s="134"/>
    </row>
    <row r="423" spans="11:11" x14ac:dyDescent="0.15">
      <c r="K423" s="134"/>
    </row>
    <row r="424" spans="11:11" x14ac:dyDescent="0.15">
      <c r="K424" s="134"/>
    </row>
    <row r="425" spans="11:11" x14ac:dyDescent="0.15">
      <c r="K425" s="134"/>
    </row>
    <row r="426" spans="11:11" x14ac:dyDescent="0.15">
      <c r="K426" s="134"/>
    </row>
    <row r="427" spans="11:11" x14ac:dyDescent="0.15">
      <c r="K427" s="134"/>
    </row>
    <row r="428" spans="11:11" x14ac:dyDescent="0.15">
      <c r="K428" s="134"/>
    </row>
    <row r="429" spans="11:11" x14ac:dyDescent="0.15">
      <c r="K429" s="134"/>
    </row>
    <row r="430" spans="11:11" x14ac:dyDescent="0.15">
      <c r="K430" s="134"/>
    </row>
    <row r="431" spans="11:11" x14ac:dyDescent="0.15">
      <c r="K431" s="134"/>
    </row>
    <row r="432" spans="11:11" x14ac:dyDescent="0.15">
      <c r="K432" s="134"/>
    </row>
    <row r="433" spans="11:11" x14ac:dyDescent="0.15">
      <c r="K433" s="134"/>
    </row>
    <row r="434" spans="11:11" x14ac:dyDescent="0.15">
      <c r="K434" s="134"/>
    </row>
    <row r="435" spans="11:11" x14ac:dyDescent="0.15">
      <c r="K435" s="134"/>
    </row>
    <row r="436" spans="11:11" x14ac:dyDescent="0.15">
      <c r="K436" s="134"/>
    </row>
    <row r="437" spans="11:11" x14ac:dyDescent="0.15">
      <c r="K437" s="134"/>
    </row>
    <row r="438" spans="11:11" x14ac:dyDescent="0.15">
      <c r="K438" s="134"/>
    </row>
    <row r="439" spans="11:11" x14ac:dyDescent="0.15">
      <c r="K439" s="134"/>
    </row>
    <row r="440" spans="11:11" x14ac:dyDescent="0.15">
      <c r="K440" s="134"/>
    </row>
    <row r="441" spans="11:11" x14ac:dyDescent="0.15">
      <c r="K441" s="134"/>
    </row>
    <row r="442" spans="11:11" x14ac:dyDescent="0.15">
      <c r="K442" s="134"/>
    </row>
    <row r="443" spans="11:11" x14ac:dyDescent="0.15">
      <c r="K443" s="134"/>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7"/>
  <sheetViews>
    <sheetView zoomScale="70" zoomScaleNormal="70" workbookViewId="0">
      <selection activeCell="AG39" sqref="AG39"/>
    </sheetView>
  </sheetViews>
  <sheetFormatPr defaultRowHeight="13.5" x14ac:dyDescent="0.15"/>
  <cols>
    <col min="1" max="3" width="9" style="203"/>
    <col min="4" max="4" width="10.5" style="203" bestFit="1" customWidth="1"/>
    <col min="5" max="5" width="10.875" style="203" bestFit="1" customWidth="1"/>
    <col min="6" max="6" width="18.875" style="203" bestFit="1" customWidth="1"/>
    <col min="7" max="9" width="9" style="203"/>
    <col min="10" max="10" width="9.25" style="203" customWidth="1"/>
    <col min="11" max="16" width="9" style="203"/>
    <col min="17" max="17" width="9" style="212"/>
    <col min="18" max="19" width="9" style="203"/>
    <col min="20" max="20" width="9" style="212"/>
    <col min="21" max="21" width="9" style="203"/>
    <col min="22" max="22" width="14.25" style="212" customWidth="1"/>
    <col min="23" max="23" width="9" style="203"/>
    <col min="24" max="24" width="9.625" style="203" customWidth="1"/>
    <col min="25" max="26" width="9" style="203"/>
    <col min="27" max="27" width="12.125" style="203" customWidth="1"/>
    <col min="28" max="32" width="9" style="203"/>
    <col min="33" max="33" width="15.125" style="203" bestFit="1" customWidth="1"/>
    <col min="34" max="34" width="19.625" style="203" bestFit="1" customWidth="1"/>
    <col min="35" max="16384" width="9" style="203"/>
  </cols>
  <sheetData>
    <row r="1" spans="1:53" ht="45" x14ac:dyDescent="0.15">
      <c r="A1" s="235" t="s">
        <v>0</v>
      </c>
      <c r="B1" s="197" t="s">
        <v>1</v>
      </c>
      <c r="C1" s="197" t="s">
        <v>157</v>
      </c>
      <c r="D1" s="198" t="s">
        <v>3</v>
      </c>
      <c r="E1" s="236" t="s">
        <v>4</v>
      </c>
      <c r="F1" s="236" t="s">
        <v>5</v>
      </c>
      <c r="G1" s="236" t="s">
        <v>6</v>
      </c>
      <c r="H1" s="236" t="s">
        <v>7</v>
      </c>
      <c r="I1" s="236" t="s">
        <v>8</v>
      </c>
      <c r="J1" s="236" t="s">
        <v>9</v>
      </c>
      <c r="K1" s="236" t="s">
        <v>10</v>
      </c>
      <c r="L1" s="198" t="s">
        <v>158</v>
      </c>
      <c r="M1" s="198" t="s">
        <v>12</v>
      </c>
      <c r="N1" s="198" t="s">
        <v>13</v>
      </c>
      <c r="O1" s="198" t="s">
        <v>159</v>
      </c>
      <c r="P1" s="198" t="s">
        <v>15</v>
      </c>
      <c r="Q1" s="199" t="s">
        <v>16</v>
      </c>
      <c r="R1" s="198" t="s">
        <v>17</v>
      </c>
      <c r="S1" s="198" t="s">
        <v>18</v>
      </c>
      <c r="T1" s="199" t="s">
        <v>19</v>
      </c>
      <c r="U1" s="200" t="s">
        <v>261</v>
      </c>
      <c r="V1" s="201" t="s">
        <v>20</v>
      </c>
      <c r="W1" s="198" t="s">
        <v>21</v>
      </c>
      <c r="X1" s="236" t="s">
        <v>22</v>
      </c>
      <c r="Y1" s="236" t="s">
        <v>23</v>
      </c>
      <c r="Z1" s="236" t="s">
        <v>316</v>
      </c>
      <c r="AA1" s="237" t="s">
        <v>25</v>
      </c>
      <c r="AB1" s="202" t="s">
        <v>160</v>
      </c>
      <c r="AE1" s="204" t="s">
        <v>0</v>
      </c>
      <c r="AF1" s="205"/>
      <c r="AG1" s="244" t="s">
        <v>4</v>
      </c>
      <c r="AH1" s="204" t="s">
        <v>5</v>
      </c>
      <c r="AI1" s="205"/>
      <c r="AJ1" s="204" t="s">
        <v>6</v>
      </c>
      <c r="AK1" s="205"/>
      <c r="AL1" s="206" t="s">
        <v>7</v>
      </c>
      <c r="AM1" s="205"/>
      <c r="AN1" s="206" t="s">
        <v>8</v>
      </c>
      <c r="AO1" s="205"/>
      <c r="AP1" s="206" t="s">
        <v>27</v>
      </c>
      <c r="AQ1" s="205"/>
      <c r="AR1" s="206" t="s">
        <v>10</v>
      </c>
      <c r="AS1" s="205"/>
      <c r="AT1" s="207" t="s">
        <v>28</v>
      </c>
      <c r="AU1" s="205"/>
      <c r="AV1" s="206" t="s">
        <v>29</v>
      </c>
      <c r="AX1" s="208" t="s">
        <v>161</v>
      </c>
      <c r="AY1" s="209" t="s">
        <v>162</v>
      </c>
      <c r="AZ1" s="209" t="s">
        <v>163</v>
      </c>
      <c r="BA1" s="210" t="s">
        <v>164</v>
      </c>
    </row>
    <row r="2" spans="1:53" s="211" customFormat="1" x14ac:dyDescent="0.15">
      <c r="A2" s="211" t="s">
        <v>34</v>
      </c>
      <c r="B2" s="203" t="s">
        <v>334</v>
      </c>
      <c r="C2" s="203">
        <v>2018</v>
      </c>
      <c r="D2" s="245" t="s">
        <v>353</v>
      </c>
      <c r="E2" s="232" t="s">
        <v>215</v>
      </c>
      <c r="F2" s="232" t="s">
        <v>326</v>
      </c>
      <c r="G2" s="211" t="s">
        <v>36</v>
      </c>
      <c r="H2" s="203" t="s">
        <v>155</v>
      </c>
      <c r="I2" s="211" t="s">
        <v>153</v>
      </c>
      <c r="J2" s="211" t="s">
        <v>38</v>
      </c>
      <c r="K2" s="211" t="s">
        <v>154</v>
      </c>
      <c r="L2" s="211">
        <v>1</v>
      </c>
      <c r="N2" s="211">
        <v>1</v>
      </c>
      <c r="O2" s="211">
        <v>0.75</v>
      </c>
      <c r="P2" s="211">
        <v>0.85</v>
      </c>
      <c r="Q2" s="240">
        <f t="shared" ref="Q2:Q82" si="0">IF(OR(O2="",P2=""),"",AVERAGE(O2,P2))</f>
        <v>0.8</v>
      </c>
      <c r="R2" s="211">
        <v>14.1</v>
      </c>
      <c r="S2" s="211">
        <v>130</v>
      </c>
      <c r="T2" s="212">
        <f t="shared" ref="T2:T82" si="1">IF(H2="","",IF(OR(H2="GREEN",H2="GK"),IF(S2&gt;=$AX$2,VLOOKUP(S2,$AX$2:$AY$9,2,1),""),IF(S2&gt;=$AZ$2,VLOOKUP(S2,$AZ$2:$BA$9,2,1),"")))</f>
        <v>30</v>
      </c>
      <c r="U2" s="211">
        <v>85</v>
      </c>
      <c r="V2" s="212">
        <f t="shared" ref="V2:V82" si="2">IF(OR(N2="",U2="",T2=""),"",U2/N2*T2)</f>
        <v>2550</v>
      </c>
      <c r="W2" s="211">
        <v>3</v>
      </c>
      <c r="X2" s="211" t="s">
        <v>39</v>
      </c>
      <c r="Y2" s="211" t="s">
        <v>84</v>
      </c>
      <c r="Z2" s="211" t="s">
        <v>90</v>
      </c>
      <c r="AA2" s="211" t="s">
        <v>50</v>
      </c>
      <c r="AB2" s="211" t="s">
        <v>336</v>
      </c>
      <c r="AE2" s="213" t="s">
        <v>35</v>
      </c>
      <c r="AG2" s="246" t="s">
        <v>282</v>
      </c>
      <c r="AH2" s="238" t="s">
        <v>317</v>
      </c>
      <c r="AJ2" s="214" t="s">
        <v>36</v>
      </c>
      <c r="AL2" s="214" t="s">
        <v>127</v>
      </c>
      <c r="AN2" s="214" t="s">
        <v>37</v>
      </c>
      <c r="AP2" s="214" t="s">
        <v>38</v>
      </c>
      <c r="AR2" s="214" t="s">
        <v>120</v>
      </c>
      <c r="AT2" s="214" t="s">
        <v>39</v>
      </c>
      <c r="AV2" s="243" t="s">
        <v>40</v>
      </c>
      <c r="AX2" s="215">
        <v>1</v>
      </c>
      <c r="AY2" s="216">
        <v>50</v>
      </c>
      <c r="AZ2" s="216">
        <v>1</v>
      </c>
      <c r="BA2" s="217">
        <v>50</v>
      </c>
    </row>
    <row r="3" spans="1:53" x14ac:dyDescent="0.15">
      <c r="A3" s="211" t="s">
        <v>34</v>
      </c>
      <c r="B3" s="203" t="s">
        <v>334</v>
      </c>
      <c r="C3" s="203">
        <v>2018</v>
      </c>
      <c r="D3" s="245" t="s">
        <v>353</v>
      </c>
      <c r="E3" s="232" t="s">
        <v>215</v>
      </c>
      <c r="F3" s="232" t="s">
        <v>326</v>
      </c>
      <c r="G3" s="211" t="s">
        <v>36</v>
      </c>
      <c r="H3" s="203" t="s">
        <v>155</v>
      </c>
      <c r="I3" s="211" t="s">
        <v>153</v>
      </c>
      <c r="J3" s="211" t="s">
        <v>38</v>
      </c>
      <c r="K3" s="211" t="s">
        <v>154</v>
      </c>
      <c r="L3" s="203">
        <v>2</v>
      </c>
      <c r="N3" s="203">
        <v>1</v>
      </c>
      <c r="O3" s="203">
        <v>1</v>
      </c>
      <c r="P3" s="203">
        <v>0.9</v>
      </c>
      <c r="Q3" s="240">
        <f t="shared" si="0"/>
        <v>0.95</v>
      </c>
      <c r="R3" s="203">
        <v>14.3</v>
      </c>
      <c r="S3" s="203">
        <v>129</v>
      </c>
      <c r="T3" s="212">
        <f t="shared" si="1"/>
        <v>30</v>
      </c>
      <c r="U3" s="203">
        <v>85</v>
      </c>
      <c r="V3" s="212">
        <f t="shared" si="2"/>
        <v>2550</v>
      </c>
      <c r="W3" s="211">
        <v>3</v>
      </c>
      <c r="X3" s="211" t="s">
        <v>39</v>
      </c>
      <c r="Y3" s="211" t="s">
        <v>84</v>
      </c>
      <c r="Z3" s="211" t="s">
        <v>90</v>
      </c>
      <c r="AA3" s="211" t="s">
        <v>50</v>
      </c>
      <c r="AB3" s="211" t="s">
        <v>336</v>
      </c>
      <c r="AC3" s="211"/>
      <c r="AE3" s="218" t="s">
        <v>41</v>
      </c>
      <c r="AG3" s="247" t="s">
        <v>318</v>
      </c>
      <c r="AH3" s="238" t="s">
        <v>319</v>
      </c>
      <c r="AJ3" s="219" t="s">
        <v>42</v>
      </c>
      <c r="AL3" s="219" t="s">
        <v>128</v>
      </c>
      <c r="AN3" s="219" t="s">
        <v>43</v>
      </c>
      <c r="AP3" s="219" t="s">
        <v>44</v>
      </c>
      <c r="AR3" s="233" t="s">
        <v>45</v>
      </c>
      <c r="AT3" s="219" t="s">
        <v>46</v>
      </c>
      <c r="AV3" s="219" t="s">
        <v>47</v>
      </c>
      <c r="AX3" s="220">
        <v>72</v>
      </c>
      <c r="AY3" s="221">
        <v>46</v>
      </c>
      <c r="AZ3" s="221">
        <v>71</v>
      </c>
      <c r="BA3" s="222">
        <v>42</v>
      </c>
    </row>
    <row r="4" spans="1:53" x14ac:dyDescent="0.15">
      <c r="A4" s="211" t="s">
        <v>34</v>
      </c>
      <c r="B4" s="203" t="s">
        <v>334</v>
      </c>
      <c r="C4" s="203">
        <v>2018</v>
      </c>
      <c r="D4" s="245" t="s">
        <v>353</v>
      </c>
      <c r="E4" s="232" t="s">
        <v>215</v>
      </c>
      <c r="F4" s="232" t="s">
        <v>326</v>
      </c>
      <c r="G4" s="211" t="s">
        <v>36</v>
      </c>
      <c r="H4" s="203" t="s">
        <v>155</v>
      </c>
      <c r="I4" s="211" t="s">
        <v>153</v>
      </c>
      <c r="J4" s="211" t="s">
        <v>38</v>
      </c>
      <c r="K4" s="211" t="s">
        <v>154</v>
      </c>
      <c r="L4" s="203">
        <v>3</v>
      </c>
      <c r="N4" s="203">
        <v>1</v>
      </c>
      <c r="O4" s="203">
        <v>0.6</v>
      </c>
      <c r="P4" s="203">
        <v>0.55000000000000004</v>
      </c>
      <c r="Q4" s="240">
        <f t="shared" si="0"/>
        <v>0.57499999999999996</v>
      </c>
      <c r="R4" s="203">
        <v>13.9</v>
      </c>
      <c r="S4" s="203">
        <v>129</v>
      </c>
      <c r="T4" s="212">
        <f t="shared" si="1"/>
        <v>30</v>
      </c>
      <c r="U4" s="203">
        <v>85</v>
      </c>
      <c r="V4" s="212">
        <f t="shared" si="2"/>
        <v>2550</v>
      </c>
      <c r="W4" s="203">
        <v>3</v>
      </c>
      <c r="X4" s="211" t="s">
        <v>39</v>
      </c>
      <c r="Y4" s="211" t="s">
        <v>84</v>
      </c>
      <c r="Z4" s="211" t="s">
        <v>90</v>
      </c>
      <c r="AA4" s="211" t="s">
        <v>50</v>
      </c>
      <c r="AB4" s="211" t="s">
        <v>336</v>
      </c>
      <c r="AC4" s="211"/>
      <c r="AE4" s="218" t="s">
        <v>34</v>
      </c>
      <c r="AG4" s="247" t="s">
        <v>320</v>
      </c>
      <c r="AH4" s="238" t="s">
        <v>321</v>
      </c>
      <c r="AJ4" s="223" t="s">
        <v>48</v>
      </c>
      <c r="AL4" s="223" t="s">
        <v>129</v>
      </c>
      <c r="AN4" s="224" t="s">
        <v>49</v>
      </c>
      <c r="AP4" s="219" t="s">
        <v>165</v>
      </c>
      <c r="AR4" s="233" t="s">
        <v>121</v>
      </c>
      <c r="AT4" s="224"/>
      <c r="AV4" s="219" t="s">
        <v>50</v>
      </c>
      <c r="AX4" s="220">
        <v>75</v>
      </c>
      <c r="AY4" s="221">
        <v>42</v>
      </c>
      <c r="AZ4" s="221">
        <v>76</v>
      </c>
      <c r="BA4" s="222">
        <v>39</v>
      </c>
    </row>
    <row r="5" spans="1:53" x14ac:dyDescent="0.15">
      <c r="A5" s="211" t="s">
        <v>34</v>
      </c>
      <c r="B5" s="203" t="s">
        <v>334</v>
      </c>
      <c r="C5" s="203">
        <v>2018</v>
      </c>
      <c r="D5" s="245" t="s">
        <v>353</v>
      </c>
      <c r="E5" s="232" t="s">
        <v>215</v>
      </c>
      <c r="F5" s="232" t="s">
        <v>326</v>
      </c>
      <c r="G5" s="211" t="s">
        <v>36</v>
      </c>
      <c r="H5" s="203" t="s">
        <v>155</v>
      </c>
      <c r="I5" s="211" t="s">
        <v>153</v>
      </c>
      <c r="J5" s="211" t="s">
        <v>38</v>
      </c>
      <c r="K5" s="211" t="s">
        <v>154</v>
      </c>
      <c r="L5" s="211">
        <v>1</v>
      </c>
      <c r="N5" s="203">
        <v>10</v>
      </c>
      <c r="O5" s="203">
        <v>1.05</v>
      </c>
      <c r="P5" s="203">
        <v>1.05</v>
      </c>
      <c r="Q5" s="240">
        <f t="shared" si="0"/>
        <v>1.05</v>
      </c>
      <c r="R5" s="203">
        <v>13.9</v>
      </c>
      <c r="S5" s="203">
        <v>89</v>
      </c>
      <c r="T5" s="212">
        <f t="shared" si="1"/>
        <v>36</v>
      </c>
      <c r="U5" s="203">
        <v>429</v>
      </c>
      <c r="V5" s="212">
        <f t="shared" si="2"/>
        <v>1544.3999999999999</v>
      </c>
      <c r="W5" s="203">
        <v>3</v>
      </c>
      <c r="X5" s="211" t="s">
        <v>39</v>
      </c>
      <c r="Y5" s="211" t="s">
        <v>84</v>
      </c>
      <c r="Z5" s="211" t="s">
        <v>90</v>
      </c>
      <c r="AA5" s="211" t="s">
        <v>50</v>
      </c>
      <c r="AB5" s="211" t="s">
        <v>336</v>
      </c>
      <c r="AE5" s="218" t="s">
        <v>51</v>
      </c>
      <c r="AG5" s="247" t="s">
        <v>322</v>
      </c>
      <c r="AH5" s="238" t="s">
        <v>323</v>
      </c>
      <c r="AJ5" s="224"/>
      <c r="AL5" s="225" t="s">
        <v>167</v>
      </c>
      <c r="AN5" s="225" t="s">
        <v>168</v>
      </c>
      <c r="AP5" s="219" t="s">
        <v>119</v>
      </c>
      <c r="AR5" s="233" t="s">
        <v>54</v>
      </c>
      <c r="AV5" s="219" t="s">
        <v>55</v>
      </c>
      <c r="AX5" s="220">
        <v>84</v>
      </c>
      <c r="AY5" s="221">
        <v>39</v>
      </c>
      <c r="AZ5" s="221">
        <v>84</v>
      </c>
      <c r="BA5" s="222">
        <v>36</v>
      </c>
    </row>
    <row r="6" spans="1:53" x14ac:dyDescent="0.15">
      <c r="A6" s="211" t="s">
        <v>34</v>
      </c>
      <c r="B6" s="203" t="s">
        <v>334</v>
      </c>
      <c r="C6" s="203">
        <v>2018</v>
      </c>
      <c r="D6" s="245" t="s">
        <v>353</v>
      </c>
      <c r="E6" s="232" t="s">
        <v>215</v>
      </c>
      <c r="F6" s="232" t="s">
        <v>326</v>
      </c>
      <c r="G6" s="211" t="s">
        <v>36</v>
      </c>
      <c r="H6" s="203" t="s">
        <v>155</v>
      </c>
      <c r="I6" s="211" t="s">
        <v>153</v>
      </c>
      <c r="J6" s="211" t="s">
        <v>38</v>
      </c>
      <c r="K6" s="211" t="s">
        <v>154</v>
      </c>
      <c r="L6" s="203">
        <v>2</v>
      </c>
      <c r="N6" s="203">
        <v>10</v>
      </c>
      <c r="O6" s="203">
        <v>0.95</v>
      </c>
      <c r="P6" s="203">
        <v>0.9</v>
      </c>
      <c r="Q6" s="240">
        <f t="shared" si="0"/>
        <v>0.92500000000000004</v>
      </c>
      <c r="R6" s="203">
        <v>13.2</v>
      </c>
      <c r="S6" s="203">
        <v>88</v>
      </c>
      <c r="T6" s="212">
        <f t="shared" si="1"/>
        <v>36</v>
      </c>
      <c r="U6" s="203">
        <v>429</v>
      </c>
      <c r="V6" s="212">
        <f t="shared" si="2"/>
        <v>1544.3999999999999</v>
      </c>
      <c r="W6" s="203">
        <v>3</v>
      </c>
      <c r="X6" s="211" t="s">
        <v>39</v>
      </c>
      <c r="Y6" s="211" t="s">
        <v>84</v>
      </c>
      <c r="Z6" s="211" t="s">
        <v>90</v>
      </c>
      <c r="AA6" s="211" t="s">
        <v>50</v>
      </c>
      <c r="AB6" s="211" t="s">
        <v>336</v>
      </c>
      <c r="AE6" s="218" t="s">
        <v>56</v>
      </c>
      <c r="AG6" s="247" t="s">
        <v>324</v>
      </c>
      <c r="AH6" s="238" t="s">
        <v>325</v>
      </c>
      <c r="AL6" s="225" t="s">
        <v>169</v>
      </c>
      <c r="AN6" s="225" t="s">
        <v>170</v>
      </c>
      <c r="AP6" s="219" t="s">
        <v>53</v>
      </c>
      <c r="AR6" s="233" t="s">
        <v>59</v>
      </c>
      <c r="AV6" s="219" t="s">
        <v>60</v>
      </c>
      <c r="AX6" s="220">
        <v>97</v>
      </c>
      <c r="AY6" s="221">
        <v>36</v>
      </c>
      <c r="AZ6" s="221">
        <v>99</v>
      </c>
      <c r="BA6" s="222">
        <v>33</v>
      </c>
    </row>
    <row r="7" spans="1:53" x14ac:dyDescent="0.15">
      <c r="A7" s="211" t="s">
        <v>34</v>
      </c>
      <c r="B7" s="203" t="s">
        <v>334</v>
      </c>
      <c r="C7" s="203">
        <v>2018</v>
      </c>
      <c r="D7" s="245" t="s">
        <v>353</v>
      </c>
      <c r="E7" s="232" t="s">
        <v>215</v>
      </c>
      <c r="F7" s="232" t="s">
        <v>326</v>
      </c>
      <c r="G7" s="211" t="s">
        <v>36</v>
      </c>
      <c r="H7" s="203" t="s">
        <v>155</v>
      </c>
      <c r="I7" s="211" t="s">
        <v>153</v>
      </c>
      <c r="J7" s="211" t="s">
        <v>38</v>
      </c>
      <c r="K7" s="211" t="s">
        <v>154</v>
      </c>
      <c r="L7" s="203">
        <v>3</v>
      </c>
      <c r="N7" s="203">
        <v>10</v>
      </c>
      <c r="O7" s="203">
        <v>0.95</v>
      </c>
      <c r="P7" s="203">
        <v>0.9</v>
      </c>
      <c r="Q7" s="240">
        <f t="shared" si="0"/>
        <v>0.92500000000000004</v>
      </c>
      <c r="R7" s="203">
        <v>9.8000000000000007</v>
      </c>
      <c r="S7" s="203">
        <v>88</v>
      </c>
      <c r="T7" s="212">
        <f t="shared" si="1"/>
        <v>36</v>
      </c>
      <c r="U7" s="203">
        <v>429</v>
      </c>
      <c r="V7" s="212">
        <f t="shared" si="2"/>
        <v>1544.3999999999999</v>
      </c>
      <c r="W7" s="203">
        <v>3</v>
      </c>
      <c r="X7" s="211" t="s">
        <v>39</v>
      </c>
      <c r="Y7" s="211" t="s">
        <v>84</v>
      </c>
      <c r="Z7" s="211" t="s">
        <v>90</v>
      </c>
      <c r="AA7" s="211" t="s">
        <v>50</v>
      </c>
      <c r="AB7" s="211" t="s">
        <v>336</v>
      </c>
      <c r="AE7" s="218" t="s">
        <v>61</v>
      </c>
      <c r="AG7" s="247" t="s">
        <v>215</v>
      </c>
      <c r="AH7" s="238" t="s">
        <v>326</v>
      </c>
      <c r="AL7" s="230" t="s">
        <v>109</v>
      </c>
      <c r="AP7" s="219" t="s">
        <v>58</v>
      </c>
      <c r="AR7" s="226" t="s">
        <v>122</v>
      </c>
      <c r="AV7" s="219" t="s">
        <v>64</v>
      </c>
      <c r="AX7" s="220">
        <v>109</v>
      </c>
      <c r="AY7" s="221">
        <v>33</v>
      </c>
      <c r="AZ7" s="221">
        <v>113</v>
      </c>
      <c r="BA7" s="222">
        <v>30</v>
      </c>
    </row>
    <row r="8" spans="1:53" x14ac:dyDescent="0.15">
      <c r="A8" s="211" t="s">
        <v>34</v>
      </c>
      <c r="B8" s="203" t="s">
        <v>334</v>
      </c>
      <c r="C8" s="203">
        <v>2018</v>
      </c>
      <c r="D8" s="245" t="s">
        <v>378</v>
      </c>
      <c r="E8" s="232" t="s">
        <v>215</v>
      </c>
      <c r="F8" s="232" t="s">
        <v>326</v>
      </c>
      <c r="G8" s="211" t="s">
        <v>36</v>
      </c>
      <c r="H8" s="203" t="s">
        <v>166</v>
      </c>
      <c r="I8" s="211" t="s">
        <v>153</v>
      </c>
      <c r="J8" s="211" t="s">
        <v>38</v>
      </c>
      <c r="K8" s="211" t="s">
        <v>286</v>
      </c>
      <c r="L8" s="211">
        <v>1</v>
      </c>
      <c r="N8" s="203">
        <v>2</v>
      </c>
      <c r="O8" s="203">
        <v>0.85</v>
      </c>
      <c r="P8" s="203">
        <v>0.8</v>
      </c>
      <c r="Q8" s="240">
        <f t="shared" si="0"/>
        <v>0.82499999999999996</v>
      </c>
      <c r="R8" s="203">
        <v>16.899999999999999</v>
      </c>
      <c r="S8" s="203">
        <v>111</v>
      </c>
      <c r="T8" s="212">
        <f t="shared" si="1"/>
        <v>33</v>
      </c>
      <c r="U8" s="203">
        <v>429</v>
      </c>
      <c r="V8" s="212">
        <f t="shared" si="2"/>
        <v>7078.5</v>
      </c>
      <c r="W8" s="203">
        <v>1</v>
      </c>
      <c r="X8" s="211" t="s">
        <v>39</v>
      </c>
      <c r="Y8" s="211" t="s">
        <v>84</v>
      </c>
      <c r="Z8" s="211" t="s">
        <v>90</v>
      </c>
      <c r="AA8" s="211" t="s">
        <v>50</v>
      </c>
      <c r="AB8" s="211" t="s">
        <v>336</v>
      </c>
      <c r="AE8" s="218" t="s">
        <v>59</v>
      </c>
      <c r="AG8" s="247" t="s">
        <v>327</v>
      </c>
      <c r="AH8" s="238" t="s">
        <v>328</v>
      </c>
      <c r="AL8" s="230" t="s">
        <v>366</v>
      </c>
      <c r="AP8" s="219" t="s">
        <v>62</v>
      </c>
      <c r="AR8" s="233" t="s">
        <v>81</v>
      </c>
      <c r="AV8" s="219" t="s">
        <v>97</v>
      </c>
      <c r="AX8" s="220">
        <v>151</v>
      </c>
      <c r="AY8" s="221">
        <v>22</v>
      </c>
      <c r="AZ8" s="221">
        <v>152</v>
      </c>
      <c r="BA8" s="222">
        <v>18</v>
      </c>
    </row>
    <row r="9" spans="1:53" x14ac:dyDescent="0.15">
      <c r="A9" s="211" t="s">
        <v>34</v>
      </c>
      <c r="B9" s="203" t="s">
        <v>334</v>
      </c>
      <c r="C9" s="203">
        <v>2018</v>
      </c>
      <c r="D9" s="245" t="s">
        <v>378</v>
      </c>
      <c r="E9" s="232" t="s">
        <v>215</v>
      </c>
      <c r="F9" s="232" t="s">
        <v>326</v>
      </c>
      <c r="G9" s="211" t="s">
        <v>36</v>
      </c>
      <c r="H9" s="203" t="s">
        <v>166</v>
      </c>
      <c r="I9" s="211" t="s">
        <v>153</v>
      </c>
      <c r="J9" s="211" t="s">
        <v>38</v>
      </c>
      <c r="K9" s="211" t="s">
        <v>286</v>
      </c>
      <c r="L9" s="203">
        <v>2</v>
      </c>
      <c r="N9" s="203">
        <v>2</v>
      </c>
      <c r="O9" s="203">
        <v>0.85</v>
      </c>
      <c r="P9" s="203">
        <v>0.75</v>
      </c>
      <c r="Q9" s="240">
        <f t="shared" si="0"/>
        <v>0.8</v>
      </c>
      <c r="R9" s="203">
        <v>14.7</v>
      </c>
      <c r="S9" s="203">
        <v>108</v>
      </c>
      <c r="T9" s="212">
        <f t="shared" si="1"/>
        <v>33</v>
      </c>
      <c r="U9" s="203">
        <v>429</v>
      </c>
      <c r="V9" s="212">
        <f t="shared" si="2"/>
        <v>7078.5</v>
      </c>
      <c r="W9" s="203">
        <v>1</v>
      </c>
      <c r="X9" s="211" t="s">
        <v>39</v>
      </c>
      <c r="Y9" s="211" t="s">
        <v>84</v>
      </c>
      <c r="Z9" s="211" t="s">
        <v>90</v>
      </c>
      <c r="AA9" s="211" t="s">
        <v>50</v>
      </c>
      <c r="AB9" s="211" t="s">
        <v>336</v>
      </c>
      <c r="AE9" s="218" t="s">
        <v>98</v>
      </c>
      <c r="AG9" s="247" t="s">
        <v>285</v>
      </c>
      <c r="AH9" s="238" t="s">
        <v>329</v>
      </c>
      <c r="AL9" s="225"/>
      <c r="AP9" s="219" t="s">
        <v>95</v>
      </c>
      <c r="AR9" s="226" t="s">
        <v>89</v>
      </c>
      <c r="AV9" s="219" t="s">
        <v>102</v>
      </c>
      <c r="AX9" s="227">
        <v>180</v>
      </c>
      <c r="AY9" s="228">
        <v>18</v>
      </c>
      <c r="AZ9" s="228">
        <v>181</v>
      </c>
      <c r="BA9" s="229">
        <v>16</v>
      </c>
    </row>
    <row r="10" spans="1:53" x14ac:dyDescent="0.15">
      <c r="A10" s="211" t="s">
        <v>34</v>
      </c>
      <c r="B10" s="203" t="s">
        <v>334</v>
      </c>
      <c r="C10" s="203">
        <v>2018</v>
      </c>
      <c r="D10" s="245" t="s">
        <v>382</v>
      </c>
      <c r="E10" s="232" t="s">
        <v>215</v>
      </c>
      <c r="F10" s="232" t="s">
        <v>326</v>
      </c>
      <c r="G10" s="211" t="s">
        <v>36</v>
      </c>
      <c r="H10" s="203" t="s">
        <v>166</v>
      </c>
      <c r="I10" s="211" t="s">
        <v>153</v>
      </c>
      <c r="J10" s="211" t="s">
        <v>38</v>
      </c>
      <c r="K10" s="211" t="s">
        <v>286</v>
      </c>
      <c r="L10" s="203">
        <v>3</v>
      </c>
      <c r="N10" s="203">
        <v>2</v>
      </c>
      <c r="O10" s="203">
        <v>0.75</v>
      </c>
      <c r="P10" s="203">
        <v>0.75</v>
      </c>
      <c r="Q10" s="240">
        <f t="shared" si="0"/>
        <v>0.75</v>
      </c>
      <c r="R10" s="203">
        <v>14.6</v>
      </c>
      <c r="S10" s="203">
        <v>110</v>
      </c>
      <c r="T10" s="212">
        <f t="shared" si="1"/>
        <v>33</v>
      </c>
      <c r="U10" s="203">
        <v>429</v>
      </c>
      <c r="V10" s="212">
        <f t="shared" si="2"/>
        <v>7078.5</v>
      </c>
      <c r="W10" s="203">
        <v>1</v>
      </c>
      <c r="X10" s="211" t="s">
        <v>39</v>
      </c>
      <c r="Y10" s="211" t="s">
        <v>84</v>
      </c>
      <c r="Z10" s="211" t="s">
        <v>90</v>
      </c>
      <c r="AA10" s="211" t="s">
        <v>50</v>
      </c>
      <c r="AB10" s="211" t="s">
        <v>336</v>
      </c>
      <c r="AE10" s="218" t="s">
        <v>103</v>
      </c>
      <c r="AG10" s="247" t="s">
        <v>330</v>
      </c>
      <c r="AH10" s="238" t="s">
        <v>331</v>
      </c>
      <c r="AL10" s="230"/>
      <c r="AP10" s="219" t="s">
        <v>100</v>
      </c>
      <c r="AR10" s="226" t="s">
        <v>123</v>
      </c>
      <c r="AV10" s="219" t="s">
        <v>106</v>
      </c>
    </row>
    <row r="11" spans="1:53" x14ac:dyDescent="0.15">
      <c r="A11" s="211" t="s">
        <v>34</v>
      </c>
      <c r="B11" s="203" t="s">
        <v>334</v>
      </c>
      <c r="C11" s="203">
        <v>2018</v>
      </c>
      <c r="D11" s="245" t="s">
        <v>382</v>
      </c>
      <c r="E11" s="232" t="s">
        <v>215</v>
      </c>
      <c r="F11" s="232" t="s">
        <v>326</v>
      </c>
      <c r="G11" s="211" t="s">
        <v>36</v>
      </c>
      <c r="H11" s="203" t="s">
        <v>127</v>
      </c>
      <c r="I11" s="211" t="s">
        <v>153</v>
      </c>
      <c r="J11" s="211" t="s">
        <v>38</v>
      </c>
      <c r="K11" s="211" t="s">
        <v>94</v>
      </c>
      <c r="L11" s="211">
        <v>1</v>
      </c>
      <c r="N11" s="203">
        <v>5</v>
      </c>
      <c r="O11" s="203">
        <v>0.2</v>
      </c>
      <c r="P11" s="203">
        <v>0.2</v>
      </c>
      <c r="Q11" s="240">
        <f t="shared" si="0"/>
        <v>0.2</v>
      </c>
      <c r="R11" s="203">
        <v>15.4</v>
      </c>
      <c r="S11" s="203">
        <v>75</v>
      </c>
      <c r="T11" s="212">
        <f t="shared" si="1"/>
        <v>42</v>
      </c>
      <c r="U11" s="203">
        <v>537</v>
      </c>
      <c r="V11" s="212">
        <f t="shared" si="2"/>
        <v>4510.8</v>
      </c>
      <c r="W11" s="203">
        <v>1</v>
      </c>
      <c r="X11" s="211" t="s">
        <v>39</v>
      </c>
      <c r="Y11" s="211" t="s">
        <v>84</v>
      </c>
      <c r="Z11" s="211" t="s">
        <v>90</v>
      </c>
      <c r="AA11" s="211" t="s">
        <v>50</v>
      </c>
      <c r="AB11" s="211" t="s">
        <v>336</v>
      </c>
      <c r="AE11" s="218" t="s">
        <v>65</v>
      </c>
      <c r="AG11" s="247" t="s">
        <v>173</v>
      </c>
      <c r="AH11" s="238" t="s">
        <v>332</v>
      </c>
      <c r="AL11" s="230"/>
      <c r="AP11" s="219" t="s">
        <v>104</v>
      </c>
      <c r="AR11" s="226" t="s">
        <v>87</v>
      </c>
      <c r="AV11" s="219" t="s">
        <v>69</v>
      </c>
    </row>
    <row r="12" spans="1:53" x14ac:dyDescent="0.15">
      <c r="A12" s="211" t="s">
        <v>34</v>
      </c>
      <c r="B12" s="203" t="s">
        <v>334</v>
      </c>
      <c r="C12" s="203">
        <v>2018</v>
      </c>
      <c r="D12" s="245" t="s">
        <v>386</v>
      </c>
      <c r="E12" s="232" t="s">
        <v>215</v>
      </c>
      <c r="F12" s="232" t="s">
        <v>326</v>
      </c>
      <c r="G12" s="211" t="s">
        <v>36</v>
      </c>
      <c r="H12" s="203" t="s">
        <v>127</v>
      </c>
      <c r="I12" s="211" t="s">
        <v>153</v>
      </c>
      <c r="J12" s="211" t="s">
        <v>38</v>
      </c>
      <c r="K12" s="211" t="s">
        <v>94</v>
      </c>
      <c r="L12" s="203">
        <v>2</v>
      </c>
      <c r="N12" s="203">
        <v>5</v>
      </c>
      <c r="O12" s="203">
        <v>0.55000000000000004</v>
      </c>
      <c r="P12" s="203">
        <v>0.45</v>
      </c>
      <c r="Q12" s="240">
        <f t="shared" si="0"/>
        <v>0.5</v>
      </c>
      <c r="R12" s="203">
        <v>13.9</v>
      </c>
      <c r="S12" s="203">
        <v>77</v>
      </c>
      <c r="T12" s="212">
        <f t="shared" si="1"/>
        <v>39</v>
      </c>
      <c r="U12" s="203">
        <v>537</v>
      </c>
      <c r="V12" s="212">
        <f t="shared" si="2"/>
        <v>4188.6000000000004</v>
      </c>
      <c r="W12" s="203">
        <v>1</v>
      </c>
      <c r="X12" s="211" t="s">
        <v>39</v>
      </c>
      <c r="Y12" s="211" t="s">
        <v>84</v>
      </c>
      <c r="Z12" s="211" t="s">
        <v>90</v>
      </c>
      <c r="AA12" s="211" t="s">
        <v>50</v>
      </c>
      <c r="AB12" s="211" t="s">
        <v>336</v>
      </c>
      <c r="AE12" s="218" t="s">
        <v>70</v>
      </c>
      <c r="AG12" s="239"/>
      <c r="AH12" s="219"/>
      <c r="AL12" s="230"/>
      <c r="AP12" s="219" t="s">
        <v>67</v>
      </c>
      <c r="AR12" s="226" t="s">
        <v>124</v>
      </c>
      <c r="AV12" s="219" t="s">
        <v>72</v>
      </c>
    </row>
    <row r="13" spans="1:53" x14ac:dyDescent="0.15">
      <c r="A13" s="211" t="s">
        <v>34</v>
      </c>
      <c r="B13" s="203" t="s">
        <v>334</v>
      </c>
      <c r="C13" s="203">
        <v>2018</v>
      </c>
      <c r="D13" s="245" t="s">
        <v>390</v>
      </c>
      <c r="E13" s="232" t="s">
        <v>215</v>
      </c>
      <c r="F13" s="232" t="s">
        <v>326</v>
      </c>
      <c r="G13" s="211" t="s">
        <v>36</v>
      </c>
      <c r="H13" s="203" t="s">
        <v>127</v>
      </c>
      <c r="I13" s="211" t="s">
        <v>153</v>
      </c>
      <c r="J13" s="211" t="s">
        <v>38</v>
      </c>
      <c r="K13" s="211" t="s">
        <v>94</v>
      </c>
      <c r="L13" s="203">
        <v>3</v>
      </c>
      <c r="N13" s="203">
        <v>5</v>
      </c>
      <c r="O13" s="203">
        <v>0.55000000000000004</v>
      </c>
      <c r="P13" s="203">
        <v>0.6</v>
      </c>
      <c r="Q13" s="240">
        <f t="shared" si="0"/>
        <v>0.57499999999999996</v>
      </c>
      <c r="R13" s="203">
        <v>14.7</v>
      </c>
      <c r="S13" s="203">
        <v>82</v>
      </c>
      <c r="T13" s="212">
        <f t="shared" si="1"/>
        <v>39</v>
      </c>
      <c r="U13" s="203">
        <v>537</v>
      </c>
      <c r="V13" s="212">
        <f t="shared" si="2"/>
        <v>4188.6000000000004</v>
      </c>
      <c r="W13" s="203">
        <v>1</v>
      </c>
      <c r="X13" s="211" t="s">
        <v>39</v>
      </c>
      <c r="Y13" s="211" t="s">
        <v>84</v>
      </c>
      <c r="Z13" s="211" t="s">
        <v>90</v>
      </c>
      <c r="AA13" s="211" t="s">
        <v>50</v>
      </c>
      <c r="AB13" s="211" t="s">
        <v>336</v>
      </c>
      <c r="AE13" s="218" t="s">
        <v>73</v>
      </c>
      <c r="AG13" s="248"/>
      <c r="AH13" s="224"/>
      <c r="AP13" s="219" t="s">
        <v>71</v>
      </c>
      <c r="AR13" s="226" t="s">
        <v>103</v>
      </c>
      <c r="AV13" s="219" t="s">
        <v>75</v>
      </c>
    </row>
    <row r="14" spans="1:53" x14ac:dyDescent="0.15">
      <c r="A14" s="211" t="s">
        <v>34</v>
      </c>
      <c r="B14" s="203" t="s">
        <v>334</v>
      </c>
      <c r="C14" s="203">
        <v>2018</v>
      </c>
      <c r="D14" s="245" t="s">
        <v>394</v>
      </c>
      <c r="E14" s="232" t="s">
        <v>285</v>
      </c>
      <c r="F14" s="232" t="s">
        <v>329</v>
      </c>
      <c r="G14" s="211" t="s">
        <v>36</v>
      </c>
      <c r="H14" s="203" t="s">
        <v>155</v>
      </c>
      <c r="I14" s="211" t="s">
        <v>153</v>
      </c>
      <c r="J14" s="211" t="s">
        <v>38</v>
      </c>
      <c r="K14" s="211" t="s">
        <v>154</v>
      </c>
      <c r="L14" s="211">
        <v>1</v>
      </c>
      <c r="N14" s="203">
        <v>1</v>
      </c>
      <c r="O14" s="203">
        <v>0.8</v>
      </c>
      <c r="P14" s="203">
        <v>0.8</v>
      </c>
      <c r="Q14" s="240">
        <f t="shared" si="0"/>
        <v>0.8</v>
      </c>
      <c r="R14" s="203">
        <v>12.1</v>
      </c>
      <c r="S14" s="203">
        <v>114</v>
      </c>
      <c r="T14" s="212">
        <f t="shared" si="1"/>
        <v>30</v>
      </c>
      <c r="U14" s="203">
        <v>105</v>
      </c>
      <c r="V14" s="212">
        <f t="shared" si="2"/>
        <v>3150</v>
      </c>
      <c r="W14" s="203">
        <v>5</v>
      </c>
      <c r="X14" s="211" t="s">
        <v>39</v>
      </c>
      <c r="Y14" s="211" t="s">
        <v>84</v>
      </c>
      <c r="Z14" s="211" t="s">
        <v>90</v>
      </c>
      <c r="AA14" s="211" t="s">
        <v>50</v>
      </c>
      <c r="AB14" s="211" t="s">
        <v>336</v>
      </c>
      <c r="AE14" s="218" t="s">
        <v>76</v>
      </c>
      <c r="AG14" s="249"/>
      <c r="AL14" s="242"/>
      <c r="AP14" s="219" t="s">
        <v>74</v>
      </c>
      <c r="AR14" s="226" t="s">
        <v>125</v>
      </c>
      <c r="AV14" s="219" t="s">
        <v>78</v>
      </c>
    </row>
    <row r="15" spans="1:53" x14ac:dyDescent="0.15">
      <c r="A15" s="211" t="s">
        <v>34</v>
      </c>
      <c r="B15" s="203" t="s">
        <v>334</v>
      </c>
      <c r="C15" s="203">
        <v>2018</v>
      </c>
      <c r="D15" s="245" t="s">
        <v>394</v>
      </c>
      <c r="E15" s="232" t="s">
        <v>285</v>
      </c>
      <c r="F15" s="232" t="s">
        <v>329</v>
      </c>
      <c r="G15" s="211" t="s">
        <v>36</v>
      </c>
      <c r="H15" s="203" t="s">
        <v>155</v>
      </c>
      <c r="I15" s="211" t="s">
        <v>153</v>
      </c>
      <c r="J15" s="211" t="s">
        <v>38</v>
      </c>
      <c r="K15" s="211" t="s">
        <v>154</v>
      </c>
      <c r="L15" s="203">
        <v>2</v>
      </c>
      <c r="N15" s="203">
        <v>1</v>
      </c>
      <c r="O15" s="203">
        <v>0.6</v>
      </c>
      <c r="P15" s="203">
        <v>0.5</v>
      </c>
      <c r="Q15" s="240">
        <f t="shared" si="0"/>
        <v>0.55000000000000004</v>
      </c>
      <c r="R15" s="203">
        <v>15.1</v>
      </c>
      <c r="S15" s="203">
        <v>121</v>
      </c>
      <c r="T15" s="212">
        <f t="shared" si="1"/>
        <v>30</v>
      </c>
      <c r="U15" s="203">
        <v>105</v>
      </c>
      <c r="V15" s="212">
        <f t="shared" si="2"/>
        <v>3150</v>
      </c>
      <c r="W15" s="203">
        <v>5</v>
      </c>
      <c r="X15" s="211" t="s">
        <v>39</v>
      </c>
      <c r="Y15" s="211" t="s">
        <v>84</v>
      </c>
      <c r="Z15" s="211" t="s">
        <v>90</v>
      </c>
      <c r="AA15" s="211" t="s">
        <v>50</v>
      </c>
      <c r="AB15" s="211" t="s">
        <v>336</v>
      </c>
      <c r="AE15" s="218" t="s">
        <v>79</v>
      </c>
      <c r="AL15" s="250"/>
      <c r="AP15" s="219" t="s">
        <v>77</v>
      </c>
      <c r="AR15" s="226" t="s">
        <v>94</v>
      </c>
      <c r="AV15" s="219" t="s">
        <v>107</v>
      </c>
    </row>
    <row r="16" spans="1:53" x14ac:dyDescent="0.15">
      <c r="A16" s="211" t="s">
        <v>34</v>
      </c>
      <c r="B16" s="203" t="s">
        <v>334</v>
      </c>
      <c r="C16" s="203">
        <v>2018</v>
      </c>
      <c r="D16" s="245" t="s">
        <v>399</v>
      </c>
      <c r="E16" s="232" t="s">
        <v>285</v>
      </c>
      <c r="F16" s="232" t="s">
        <v>329</v>
      </c>
      <c r="G16" s="211" t="s">
        <v>36</v>
      </c>
      <c r="H16" s="203" t="s">
        <v>155</v>
      </c>
      <c r="I16" s="211" t="s">
        <v>153</v>
      </c>
      <c r="J16" s="211" t="s">
        <v>38</v>
      </c>
      <c r="K16" s="211" t="s">
        <v>154</v>
      </c>
      <c r="L16" s="203">
        <v>3</v>
      </c>
      <c r="N16" s="203">
        <v>1</v>
      </c>
      <c r="O16" s="203">
        <v>0.9</v>
      </c>
      <c r="P16" s="203">
        <v>0.95</v>
      </c>
      <c r="Q16" s="240">
        <f t="shared" si="0"/>
        <v>0.92500000000000004</v>
      </c>
      <c r="R16" s="203">
        <v>14.1</v>
      </c>
      <c r="S16" s="203">
        <v>120</v>
      </c>
      <c r="T16" s="212">
        <f t="shared" si="1"/>
        <v>30</v>
      </c>
      <c r="U16" s="203">
        <v>105</v>
      </c>
      <c r="V16" s="212">
        <f t="shared" si="2"/>
        <v>3150</v>
      </c>
      <c r="W16" s="203">
        <v>5</v>
      </c>
      <c r="X16" s="211" t="s">
        <v>39</v>
      </c>
      <c r="Y16" s="211" t="s">
        <v>84</v>
      </c>
      <c r="Z16" s="211" t="s">
        <v>90</v>
      </c>
      <c r="AA16" s="211" t="s">
        <v>50</v>
      </c>
      <c r="AB16" s="211" t="s">
        <v>336</v>
      </c>
      <c r="AE16" s="218" t="s">
        <v>82</v>
      </c>
      <c r="AL16" s="250"/>
      <c r="AP16" s="219" t="s">
        <v>80</v>
      </c>
      <c r="AR16" s="233" t="s">
        <v>63</v>
      </c>
      <c r="AV16" s="219" t="s">
        <v>84</v>
      </c>
    </row>
    <row r="17" spans="1:48" x14ac:dyDescent="0.15">
      <c r="A17" s="211" t="s">
        <v>34</v>
      </c>
      <c r="B17" s="203" t="s">
        <v>334</v>
      </c>
      <c r="C17" s="203">
        <v>2018</v>
      </c>
      <c r="D17" s="245" t="s">
        <v>399</v>
      </c>
      <c r="E17" s="232" t="s">
        <v>285</v>
      </c>
      <c r="F17" s="232" t="s">
        <v>329</v>
      </c>
      <c r="G17" s="211" t="s">
        <v>36</v>
      </c>
      <c r="H17" s="203" t="s">
        <v>155</v>
      </c>
      <c r="I17" s="211" t="s">
        <v>153</v>
      </c>
      <c r="J17" s="211" t="s">
        <v>38</v>
      </c>
      <c r="K17" s="211" t="s">
        <v>154</v>
      </c>
      <c r="L17" s="211">
        <v>1</v>
      </c>
      <c r="N17" s="203">
        <v>5</v>
      </c>
      <c r="O17" s="203">
        <v>0.5</v>
      </c>
      <c r="P17" s="203">
        <v>0.6</v>
      </c>
      <c r="Q17" s="240">
        <f t="shared" si="0"/>
        <v>0.55000000000000004</v>
      </c>
      <c r="R17" s="203">
        <v>13.7</v>
      </c>
      <c r="S17" s="203">
        <v>101</v>
      </c>
      <c r="T17" s="212">
        <f t="shared" si="1"/>
        <v>33</v>
      </c>
      <c r="U17" s="203">
        <v>321</v>
      </c>
      <c r="V17" s="212">
        <f t="shared" si="2"/>
        <v>2118.6</v>
      </c>
      <c r="W17" s="203">
        <v>5</v>
      </c>
      <c r="X17" s="211" t="s">
        <v>39</v>
      </c>
      <c r="Y17" s="211" t="s">
        <v>84</v>
      </c>
      <c r="Z17" s="211" t="s">
        <v>90</v>
      </c>
      <c r="AA17" s="211" t="s">
        <v>50</v>
      </c>
      <c r="AB17" s="211" t="s">
        <v>336</v>
      </c>
      <c r="AE17" s="218" t="s">
        <v>85</v>
      </c>
      <c r="AL17" s="250"/>
      <c r="AP17" s="234" t="s">
        <v>110</v>
      </c>
      <c r="AR17" s="233" t="s">
        <v>96</v>
      </c>
      <c r="AV17" s="219" t="s">
        <v>86</v>
      </c>
    </row>
    <row r="18" spans="1:48" x14ac:dyDescent="0.15">
      <c r="A18" s="211" t="s">
        <v>34</v>
      </c>
      <c r="B18" s="203" t="s">
        <v>334</v>
      </c>
      <c r="C18" s="203">
        <v>2018</v>
      </c>
      <c r="D18" s="245" t="s">
        <v>399</v>
      </c>
      <c r="E18" s="232" t="s">
        <v>285</v>
      </c>
      <c r="F18" s="232" t="s">
        <v>329</v>
      </c>
      <c r="G18" s="211" t="s">
        <v>36</v>
      </c>
      <c r="H18" s="203" t="s">
        <v>155</v>
      </c>
      <c r="I18" s="211" t="s">
        <v>153</v>
      </c>
      <c r="J18" s="211" t="s">
        <v>38</v>
      </c>
      <c r="K18" s="211" t="s">
        <v>154</v>
      </c>
      <c r="L18" s="203">
        <v>2</v>
      </c>
      <c r="N18" s="203">
        <v>5</v>
      </c>
      <c r="O18" s="203">
        <v>0.7</v>
      </c>
      <c r="P18" s="203">
        <v>0.65</v>
      </c>
      <c r="Q18" s="240">
        <f t="shared" si="0"/>
        <v>0.67500000000000004</v>
      </c>
      <c r="R18" s="203">
        <v>11.2</v>
      </c>
      <c r="S18" s="203">
        <v>98</v>
      </c>
      <c r="T18" s="212">
        <f t="shared" si="1"/>
        <v>36</v>
      </c>
      <c r="U18" s="203">
        <v>321</v>
      </c>
      <c r="V18" s="212">
        <f t="shared" si="2"/>
        <v>2311.2000000000003</v>
      </c>
      <c r="W18" s="203">
        <v>5</v>
      </c>
      <c r="X18" s="211" t="s">
        <v>39</v>
      </c>
      <c r="Y18" s="211" t="s">
        <v>84</v>
      </c>
      <c r="Z18" s="211" t="s">
        <v>90</v>
      </c>
      <c r="AA18" s="211" t="s">
        <v>50</v>
      </c>
      <c r="AB18" s="211" t="s">
        <v>336</v>
      </c>
      <c r="AE18" s="218" t="s">
        <v>87</v>
      </c>
      <c r="AL18" s="211"/>
      <c r="AP18" s="234" t="s">
        <v>111</v>
      </c>
      <c r="AR18" s="233" t="s">
        <v>101</v>
      </c>
      <c r="AV18" s="219" t="s">
        <v>88</v>
      </c>
    </row>
    <row r="19" spans="1:48" x14ac:dyDescent="0.15">
      <c r="A19" s="211" t="s">
        <v>34</v>
      </c>
      <c r="B19" s="203" t="s">
        <v>334</v>
      </c>
      <c r="C19" s="203">
        <v>2018</v>
      </c>
      <c r="D19" s="245" t="s">
        <v>386</v>
      </c>
      <c r="E19" s="232" t="s">
        <v>285</v>
      </c>
      <c r="F19" s="232" t="s">
        <v>329</v>
      </c>
      <c r="G19" s="211" t="s">
        <v>36</v>
      </c>
      <c r="H19" s="203" t="s">
        <v>155</v>
      </c>
      <c r="I19" s="211" t="s">
        <v>153</v>
      </c>
      <c r="J19" s="211" t="s">
        <v>38</v>
      </c>
      <c r="K19" s="211" t="s">
        <v>154</v>
      </c>
      <c r="L19" s="203">
        <v>3</v>
      </c>
      <c r="N19" s="203">
        <v>5</v>
      </c>
      <c r="O19" s="203">
        <v>0.7</v>
      </c>
      <c r="P19" s="203">
        <v>0.65</v>
      </c>
      <c r="Q19" s="240">
        <f t="shared" si="0"/>
        <v>0.67500000000000004</v>
      </c>
      <c r="R19" s="203">
        <v>14.3</v>
      </c>
      <c r="S19" s="203">
        <v>104</v>
      </c>
      <c r="T19" s="212">
        <f t="shared" si="1"/>
        <v>33</v>
      </c>
      <c r="U19" s="203">
        <v>321</v>
      </c>
      <c r="V19" s="212">
        <f t="shared" si="2"/>
        <v>2118.6</v>
      </c>
      <c r="W19" s="203">
        <v>5</v>
      </c>
      <c r="X19" s="211" t="s">
        <v>39</v>
      </c>
      <c r="Y19" s="211" t="s">
        <v>84</v>
      </c>
      <c r="Z19" s="211" t="s">
        <v>90</v>
      </c>
      <c r="AA19" s="211" t="s">
        <v>50</v>
      </c>
      <c r="AB19" s="211" t="s">
        <v>336</v>
      </c>
      <c r="AE19" s="231" t="s">
        <v>89</v>
      </c>
      <c r="AP19" s="234" t="s">
        <v>112</v>
      </c>
      <c r="AR19" s="226" t="s">
        <v>126</v>
      </c>
      <c r="AV19" s="219" t="s">
        <v>90</v>
      </c>
    </row>
    <row r="20" spans="1:48" x14ac:dyDescent="0.15">
      <c r="A20" s="211" t="s">
        <v>34</v>
      </c>
      <c r="B20" s="203" t="s">
        <v>334</v>
      </c>
      <c r="C20" s="203">
        <v>2018</v>
      </c>
      <c r="D20" s="245" t="s">
        <v>386</v>
      </c>
      <c r="E20" s="232" t="s">
        <v>285</v>
      </c>
      <c r="F20" s="232" t="s">
        <v>329</v>
      </c>
      <c r="G20" s="211" t="s">
        <v>36</v>
      </c>
      <c r="H20" s="203" t="s">
        <v>166</v>
      </c>
      <c r="I20" s="211" t="s">
        <v>153</v>
      </c>
      <c r="J20" s="211" t="s">
        <v>38</v>
      </c>
      <c r="K20" s="211" t="s">
        <v>154</v>
      </c>
      <c r="L20" s="211">
        <v>1</v>
      </c>
      <c r="N20" s="203">
        <v>1</v>
      </c>
      <c r="O20" s="203">
        <v>0.75</v>
      </c>
      <c r="P20" s="203">
        <v>0.7</v>
      </c>
      <c r="Q20" s="240">
        <f t="shared" si="0"/>
        <v>0.72499999999999998</v>
      </c>
      <c r="R20" s="203">
        <v>15.2</v>
      </c>
      <c r="S20" s="203">
        <v>166</v>
      </c>
      <c r="T20" s="212">
        <f t="shared" si="1"/>
        <v>18</v>
      </c>
      <c r="U20" s="203">
        <v>149</v>
      </c>
      <c r="V20" s="212">
        <f t="shared" si="2"/>
        <v>2682</v>
      </c>
      <c r="W20" s="203">
        <v>2</v>
      </c>
      <c r="X20" s="211" t="s">
        <v>39</v>
      </c>
      <c r="Y20" s="211" t="s">
        <v>84</v>
      </c>
      <c r="Z20" s="211" t="s">
        <v>90</v>
      </c>
      <c r="AA20" s="211" t="s">
        <v>50</v>
      </c>
      <c r="AB20" s="211" t="s">
        <v>336</v>
      </c>
      <c r="AP20" s="234" t="s">
        <v>113</v>
      </c>
      <c r="AR20" s="233" t="s">
        <v>105</v>
      </c>
      <c r="AV20" s="223" t="s">
        <v>367</v>
      </c>
    </row>
    <row r="21" spans="1:48" x14ac:dyDescent="0.15">
      <c r="A21" s="211" t="s">
        <v>34</v>
      </c>
      <c r="B21" s="203" t="s">
        <v>334</v>
      </c>
      <c r="C21" s="203">
        <v>2018</v>
      </c>
      <c r="D21" s="245" t="s">
        <v>386</v>
      </c>
      <c r="E21" s="232" t="s">
        <v>285</v>
      </c>
      <c r="F21" s="232" t="s">
        <v>329</v>
      </c>
      <c r="G21" s="211" t="s">
        <v>36</v>
      </c>
      <c r="H21" s="203" t="s">
        <v>166</v>
      </c>
      <c r="I21" s="211" t="s">
        <v>153</v>
      </c>
      <c r="J21" s="211" t="s">
        <v>38</v>
      </c>
      <c r="K21" s="211" t="s">
        <v>154</v>
      </c>
      <c r="L21" s="203">
        <v>2</v>
      </c>
      <c r="N21" s="203">
        <v>1</v>
      </c>
      <c r="O21" s="203">
        <v>0.75</v>
      </c>
      <c r="P21" s="203">
        <v>0.85</v>
      </c>
      <c r="Q21" s="240">
        <f t="shared" si="0"/>
        <v>0.8</v>
      </c>
      <c r="R21" s="203">
        <v>15.3</v>
      </c>
      <c r="S21" s="203">
        <v>157</v>
      </c>
      <c r="T21" s="212">
        <f t="shared" si="1"/>
        <v>18</v>
      </c>
      <c r="U21" s="203">
        <v>149</v>
      </c>
      <c r="V21" s="212">
        <f t="shared" si="2"/>
        <v>2682</v>
      </c>
      <c r="W21" s="203">
        <v>2</v>
      </c>
      <c r="X21" s="211" t="s">
        <v>39</v>
      </c>
      <c r="Y21" s="211" t="s">
        <v>84</v>
      </c>
      <c r="Z21" s="211" t="s">
        <v>90</v>
      </c>
      <c r="AA21" s="211" t="s">
        <v>50</v>
      </c>
      <c r="AB21" s="211" t="s">
        <v>336</v>
      </c>
      <c r="AP21" s="234" t="s">
        <v>114</v>
      </c>
      <c r="AR21" s="233" t="s">
        <v>68</v>
      </c>
      <c r="AV21" s="223" t="s">
        <v>368</v>
      </c>
    </row>
    <row r="22" spans="1:48" x14ac:dyDescent="0.15">
      <c r="A22" s="211" t="s">
        <v>34</v>
      </c>
      <c r="B22" s="203" t="s">
        <v>334</v>
      </c>
      <c r="C22" s="203">
        <v>2018</v>
      </c>
      <c r="D22" s="245" t="s">
        <v>386</v>
      </c>
      <c r="E22" s="232" t="s">
        <v>285</v>
      </c>
      <c r="F22" s="232" t="s">
        <v>329</v>
      </c>
      <c r="G22" s="211" t="s">
        <v>36</v>
      </c>
      <c r="H22" s="203" t="s">
        <v>166</v>
      </c>
      <c r="I22" s="211" t="s">
        <v>153</v>
      </c>
      <c r="J22" s="211" t="s">
        <v>38</v>
      </c>
      <c r="K22" s="211" t="s">
        <v>154</v>
      </c>
      <c r="L22" s="203">
        <v>3</v>
      </c>
      <c r="N22" s="203">
        <v>1</v>
      </c>
      <c r="O22" s="203">
        <v>0.7</v>
      </c>
      <c r="P22" s="203">
        <v>0.65</v>
      </c>
      <c r="Q22" s="240">
        <f t="shared" si="0"/>
        <v>0.67500000000000004</v>
      </c>
      <c r="R22" s="203">
        <v>14</v>
      </c>
      <c r="S22" s="203">
        <v>149</v>
      </c>
      <c r="T22" s="212">
        <f t="shared" si="1"/>
        <v>30</v>
      </c>
      <c r="U22" s="203">
        <v>149</v>
      </c>
      <c r="V22" s="212">
        <f t="shared" si="2"/>
        <v>4470</v>
      </c>
      <c r="W22" s="203">
        <v>2</v>
      </c>
      <c r="X22" s="211" t="s">
        <v>39</v>
      </c>
      <c r="Y22" s="211" t="s">
        <v>84</v>
      </c>
      <c r="Z22" s="211" t="s">
        <v>90</v>
      </c>
      <c r="AA22" s="211" t="s">
        <v>50</v>
      </c>
      <c r="AB22" s="211" t="s">
        <v>336</v>
      </c>
      <c r="AP22" s="234" t="s">
        <v>115</v>
      </c>
      <c r="AR22" s="233" t="s">
        <v>83</v>
      </c>
      <c r="AV22" s="223"/>
    </row>
    <row r="23" spans="1:48" x14ac:dyDescent="0.15">
      <c r="A23" s="211" t="s">
        <v>34</v>
      </c>
      <c r="B23" s="203" t="s">
        <v>334</v>
      </c>
      <c r="C23" s="203">
        <v>2018</v>
      </c>
      <c r="D23" s="245" t="s">
        <v>386</v>
      </c>
      <c r="E23" s="232" t="s">
        <v>285</v>
      </c>
      <c r="F23" s="232" t="s">
        <v>329</v>
      </c>
      <c r="G23" s="211" t="s">
        <v>36</v>
      </c>
      <c r="H23" s="203" t="s">
        <v>166</v>
      </c>
      <c r="I23" s="211" t="s">
        <v>153</v>
      </c>
      <c r="J23" s="211" t="s">
        <v>38</v>
      </c>
      <c r="K23" s="211" t="s">
        <v>154</v>
      </c>
      <c r="L23" s="211">
        <v>1</v>
      </c>
      <c r="N23" s="203">
        <v>4</v>
      </c>
      <c r="O23" s="203">
        <v>0.45</v>
      </c>
      <c r="P23" s="203">
        <v>0.45</v>
      </c>
      <c r="Q23" s="240">
        <f t="shared" si="0"/>
        <v>0.45</v>
      </c>
      <c r="R23" s="203">
        <v>16</v>
      </c>
      <c r="S23" s="203">
        <v>102</v>
      </c>
      <c r="T23" s="212">
        <f t="shared" si="1"/>
        <v>33</v>
      </c>
      <c r="U23" s="203">
        <v>494</v>
      </c>
      <c r="V23" s="212">
        <f t="shared" si="2"/>
        <v>4075.5</v>
      </c>
      <c r="W23" s="203">
        <v>2</v>
      </c>
      <c r="X23" s="211" t="s">
        <v>39</v>
      </c>
      <c r="Y23" s="211" t="s">
        <v>84</v>
      </c>
      <c r="Z23" s="211" t="s">
        <v>90</v>
      </c>
      <c r="AA23" s="211" t="s">
        <v>50</v>
      </c>
      <c r="AB23" s="211" t="s">
        <v>336</v>
      </c>
      <c r="AP23" s="234" t="s">
        <v>117</v>
      </c>
      <c r="AR23" s="233" t="s">
        <v>286</v>
      </c>
    </row>
    <row r="24" spans="1:48" x14ac:dyDescent="0.15">
      <c r="A24" s="211" t="s">
        <v>34</v>
      </c>
      <c r="B24" s="203" t="s">
        <v>334</v>
      </c>
      <c r="C24" s="203">
        <v>2018</v>
      </c>
      <c r="D24" s="245" t="s">
        <v>386</v>
      </c>
      <c r="E24" s="232" t="s">
        <v>285</v>
      </c>
      <c r="F24" s="232" t="s">
        <v>329</v>
      </c>
      <c r="G24" s="211" t="s">
        <v>36</v>
      </c>
      <c r="H24" s="203" t="s">
        <v>166</v>
      </c>
      <c r="I24" s="211" t="s">
        <v>153</v>
      </c>
      <c r="J24" s="211" t="s">
        <v>38</v>
      </c>
      <c r="K24" s="211" t="s">
        <v>154</v>
      </c>
      <c r="L24" s="203">
        <v>2</v>
      </c>
      <c r="N24" s="203">
        <v>4</v>
      </c>
      <c r="O24" s="203">
        <v>0.55000000000000004</v>
      </c>
      <c r="P24" s="203">
        <v>0.6</v>
      </c>
      <c r="Q24" s="240">
        <f t="shared" si="0"/>
        <v>0.57499999999999996</v>
      </c>
      <c r="R24" s="203">
        <v>17.600000000000001</v>
      </c>
      <c r="S24" s="203">
        <v>104</v>
      </c>
      <c r="T24" s="212">
        <f t="shared" si="1"/>
        <v>33</v>
      </c>
      <c r="U24" s="203">
        <v>494</v>
      </c>
      <c r="V24" s="212">
        <f t="shared" si="2"/>
        <v>4075.5</v>
      </c>
      <c r="W24" s="203">
        <v>2</v>
      </c>
      <c r="X24" s="211" t="s">
        <v>39</v>
      </c>
      <c r="Y24" s="211" t="s">
        <v>84</v>
      </c>
      <c r="Z24" s="211" t="s">
        <v>90</v>
      </c>
      <c r="AA24" s="211" t="s">
        <v>50</v>
      </c>
      <c r="AB24" s="211" t="s">
        <v>336</v>
      </c>
      <c r="AP24" s="234" t="s">
        <v>118</v>
      </c>
    </row>
    <row r="25" spans="1:48" x14ac:dyDescent="0.15">
      <c r="A25" s="211" t="s">
        <v>34</v>
      </c>
      <c r="B25" s="203" t="s">
        <v>334</v>
      </c>
      <c r="C25" s="203">
        <v>2018</v>
      </c>
      <c r="D25" s="245" t="s">
        <v>386</v>
      </c>
      <c r="E25" s="232" t="s">
        <v>285</v>
      </c>
      <c r="F25" s="232" t="s">
        <v>329</v>
      </c>
      <c r="G25" s="211" t="s">
        <v>36</v>
      </c>
      <c r="H25" s="203" t="s">
        <v>166</v>
      </c>
      <c r="I25" s="211" t="s">
        <v>153</v>
      </c>
      <c r="J25" s="211" t="s">
        <v>38</v>
      </c>
      <c r="K25" s="211" t="s">
        <v>154</v>
      </c>
      <c r="L25" s="203">
        <v>3</v>
      </c>
      <c r="N25" s="203">
        <v>4</v>
      </c>
      <c r="O25" s="203">
        <v>0.6</v>
      </c>
      <c r="P25" s="203">
        <v>0.6</v>
      </c>
      <c r="Q25" s="240">
        <f t="shared" si="0"/>
        <v>0.6</v>
      </c>
      <c r="R25" s="203">
        <v>15.8</v>
      </c>
      <c r="S25" s="203">
        <v>105</v>
      </c>
      <c r="T25" s="212">
        <f t="shared" si="1"/>
        <v>33</v>
      </c>
      <c r="U25" s="203">
        <v>494</v>
      </c>
      <c r="V25" s="212">
        <f t="shared" si="2"/>
        <v>4075.5</v>
      </c>
      <c r="W25" s="203">
        <v>2</v>
      </c>
      <c r="X25" s="211" t="s">
        <v>39</v>
      </c>
      <c r="Y25" s="211" t="s">
        <v>84</v>
      </c>
      <c r="Z25" s="211" t="s">
        <v>90</v>
      </c>
      <c r="AA25" s="211" t="s">
        <v>50</v>
      </c>
      <c r="AB25" s="211" t="s">
        <v>336</v>
      </c>
    </row>
    <row r="26" spans="1:48" x14ac:dyDescent="0.15">
      <c r="A26" s="211" t="s">
        <v>34</v>
      </c>
      <c r="B26" s="203" t="s">
        <v>334</v>
      </c>
      <c r="C26" s="203">
        <v>2018</v>
      </c>
      <c r="D26" s="245" t="s">
        <v>386</v>
      </c>
      <c r="E26" s="232" t="s">
        <v>285</v>
      </c>
      <c r="F26" s="232" t="s">
        <v>329</v>
      </c>
      <c r="G26" s="211" t="s">
        <v>36</v>
      </c>
      <c r="H26" s="203" t="s">
        <v>128</v>
      </c>
      <c r="I26" s="211" t="s">
        <v>153</v>
      </c>
      <c r="J26" s="211" t="s">
        <v>112</v>
      </c>
      <c r="K26" s="211" t="s">
        <v>105</v>
      </c>
      <c r="L26" s="211">
        <v>1</v>
      </c>
      <c r="N26" s="203">
        <v>1</v>
      </c>
      <c r="O26" s="203">
        <v>0.2</v>
      </c>
      <c r="P26" s="203">
        <v>0.2</v>
      </c>
      <c r="Q26" s="240">
        <f t="shared" si="0"/>
        <v>0.2</v>
      </c>
      <c r="R26" s="203">
        <v>16.5</v>
      </c>
      <c r="S26" s="203">
        <v>148</v>
      </c>
      <c r="T26" s="212">
        <f t="shared" si="1"/>
        <v>30</v>
      </c>
      <c r="U26" s="203">
        <v>158</v>
      </c>
      <c r="V26" s="212">
        <f t="shared" si="2"/>
        <v>4740</v>
      </c>
      <c r="W26" s="203">
        <v>1</v>
      </c>
      <c r="X26" s="211" t="s">
        <v>39</v>
      </c>
      <c r="Y26" s="211" t="s">
        <v>84</v>
      </c>
      <c r="Z26" s="211" t="s">
        <v>90</v>
      </c>
      <c r="AA26" s="211" t="s">
        <v>50</v>
      </c>
      <c r="AB26" s="211" t="s">
        <v>336</v>
      </c>
    </row>
    <row r="27" spans="1:48" x14ac:dyDescent="0.15">
      <c r="A27" s="211" t="s">
        <v>34</v>
      </c>
      <c r="B27" s="203" t="s">
        <v>334</v>
      </c>
      <c r="C27" s="203">
        <v>2018</v>
      </c>
      <c r="D27" s="245" t="s">
        <v>386</v>
      </c>
      <c r="E27" s="232" t="s">
        <v>285</v>
      </c>
      <c r="F27" s="232" t="s">
        <v>329</v>
      </c>
      <c r="G27" s="211" t="s">
        <v>36</v>
      </c>
      <c r="H27" s="203" t="s">
        <v>128</v>
      </c>
      <c r="I27" s="211" t="s">
        <v>153</v>
      </c>
      <c r="J27" s="211" t="s">
        <v>112</v>
      </c>
      <c r="K27" s="211" t="s">
        <v>105</v>
      </c>
      <c r="L27" s="203">
        <v>2</v>
      </c>
      <c r="N27" s="203">
        <v>1</v>
      </c>
      <c r="O27" s="203">
        <v>0.2</v>
      </c>
      <c r="P27" s="203">
        <v>0.2</v>
      </c>
      <c r="Q27" s="240">
        <f t="shared" si="0"/>
        <v>0.2</v>
      </c>
      <c r="R27" s="203">
        <v>14.1</v>
      </c>
      <c r="S27" s="203">
        <v>139</v>
      </c>
      <c r="T27" s="212">
        <f t="shared" si="1"/>
        <v>30</v>
      </c>
      <c r="U27" s="203">
        <v>158</v>
      </c>
      <c r="V27" s="212">
        <f t="shared" si="2"/>
        <v>4740</v>
      </c>
      <c r="W27" s="203">
        <v>1</v>
      </c>
      <c r="X27" s="211" t="s">
        <v>39</v>
      </c>
      <c r="Y27" s="211" t="s">
        <v>84</v>
      </c>
      <c r="Z27" s="211" t="s">
        <v>90</v>
      </c>
      <c r="AA27" s="211" t="s">
        <v>50</v>
      </c>
      <c r="AB27" s="211" t="s">
        <v>336</v>
      </c>
    </row>
    <row r="28" spans="1:48" x14ac:dyDescent="0.15">
      <c r="A28" s="211" t="s">
        <v>34</v>
      </c>
      <c r="B28" s="203" t="s">
        <v>334</v>
      </c>
      <c r="C28" s="203">
        <v>2018</v>
      </c>
      <c r="D28" s="245" t="s">
        <v>386</v>
      </c>
      <c r="E28" s="232" t="s">
        <v>285</v>
      </c>
      <c r="F28" s="232" t="s">
        <v>329</v>
      </c>
      <c r="G28" s="211" t="s">
        <v>36</v>
      </c>
      <c r="H28" s="203" t="s">
        <v>128</v>
      </c>
      <c r="I28" s="211" t="s">
        <v>153</v>
      </c>
      <c r="J28" s="211" t="s">
        <v>112</v>
      </c>
      <c r="K28" s="211" t="s">
        <v>105</v>
      </c>
      <c r="L28" s="203">
        <v>3</v>
      </c>
      <c r="N28" s="203">
        <v>1</v>
      </c>
      <c r="O28" s="203">
        <v>0.2</v>
      </c>
      <c r="P28" s="203">
        <v>0.2</v>
      </c>
      <c r="Q28" s="240">
        <f t="shared" si="0"/>
        <v>0.2</v>
      </c>
      <c r="R28" s="203">
        <v>14.1</v>
      </c>
      <c r="S28" s="203">
        <v>152</v>
      </c>
      <c r="T28" s="212">
        <f t="shared" si="1"/>
        <v>18</v>
      </c>
      <c r="U28" s="203">
        <v>158</v>
      </c>
      <c r="V28" s="212">
        <f t="shared" si="2"/>
        <v>2844</v>
      </c>
      <c r="W28" s="203">
        <v>1</v>
      </c>
      <c r="X28" s="211" t="s">
        <v>39</v>
      </c>
      <c r="Y28" s="211" t="s">
        <v>84</v>
      </c>
      <c r="Z28" s="211" t="s">
        <v>90</v>
      </c>
      <c r="AA28" s="211" t="s">
        <v>50</v>
      </c>
      <c r="AB28" s="211" t="s">
        <v>336</v>
      </c>
    </row>
    <row r="29" spans="1:48" x14ac:dyDescent="0.15">
      <c r="A29" s="211" t="s">
        <v>34</v>
      </c>
      <c r="B29" s="203" t="s">
        <v>334</v>
      </c>
      <c r="C29" s="203">
        <v>2018</v>
      </c>
      <c r="D29" s="245" t="s">
        <v>386</v>
      </c>
      <c r="E29" s="232" t="s">
        <v>330</v>
      </c>
      <c r="F29" s="232" t="s">
        <v>331</v>
      </c>
      <c r="G29" s="211" t="s">
        <v>36</v>
      </c>
      <c r="H29" s="203" t="s">
        <v>155</v>
      </c>
      <c r="I29" s="211" t="s">
        <v>153</v>
      </c>
      <c r="J29" s="211" t="s">
        <v>38</v>
      </c>
      <c r="K29" s="211" t="s">
        <v>154</v>
      </c>
      <c r="L29" s="211">
        <v>1</v>
      </c>
      <c r="N29" s="203">
        <v>1</v>
      </c>
      <c r="O29" s="203">
        <v>1</v>
      </c>
      <c r="P29" s="203">
        <v>1.1000000000000001</v>
      </c>
      <c r="Q29" s="240">
        <f t="shared" si="0"/>
        <v>1.05</v>
      </c>
      <c r="R29" s="203">
        <v>14.4</v>
      </c>
      <c r="S29" s="203">
        <v>135</v>
      </c>
      <c r="T29" s="212">
        <f t="shared" si="1"/>
        <v>30</v>
      </c>
      <c r="U29" s="203">
        <v>126</v>
      </c>
      <c r="V29" s="212">
        <f t="shared" si="2"/>
        <v>3780</v>
      </c>
      <c r="W29" s="203">
        <v>2</v>
      </c>
      <c r="X29" s="211" t="s">
        <v>46</v>
      </c>
      <c r="Y29" s="211" t="s">
        <v>84</v>
      </c>
      <c r="Z29" s="211" t="s">
        <v>90</v>
      </c>
      <c r="AA29" s="211" t="s">
        <v>50</v>
      </c>
      <c r="AB29" s="211" t="s">
        <v>336</v>
      </c>
    </row>
    <row r="30" spans="1:48" x14ac:dyDescent="0.15">
      <c r="A30" s="211" t="s">
        <v>34</v>
      </c>
      <c r="B30" s="203" t="s">
        <v>334</v>
      </c>
      <c r="C30" s="203">
        <v>2018</v>
      </c>
      <c r="D30" s="245" t="s">
        <v>386</v>
      </c>
      <c r="E30" s="232" t="s">
        <v>330</v>
      </c>
      <c r="F30" s="232" t="s">
        <v>331</v>
      </c>
      <c r="G30" s="211" t="s">
        <v>36</v>
      </c>
      <c r="H30" s="203" t="s">
        <v>155</v>
      </c>
      <c r="I30" s="211" t="s">
        <v>153</v>
      </c>
      <c r="J30" s="211" t="s">
        <v>38</v>
      </c>
      <c r="K30" s="211" t="s">
        <v>154</v>
      </c>
      <c r="L30" s="203">
        <v>2</v>
      </c>
      <c r="N30" s="203">
        <v>1</v>
      </c>
      <c r="O30" s="203">
        <v>0.9</v>
      </c>
      <c r="P30" s="203">
        <v>1.1000000000000001</v>
      </c>
      <c r="Q30" s="240">
        <f t="shared" si="0"/>
        <v>1</v>
      </c>
      <c r="R30" s="203">
        <v>15.1</v>
      </c>
      <c r="S30" s="203">
        <v>149</v>
      </c>
      <c r="T30" s="212">
        <f t="shared" si="1"/>
        <v>30</v>
      </c>
      <c r="U30" s="203">
        <v>126</v>
      </c>
      <c r="V30" s="212">
        <f t="shared" si="2"/>
        <v>3780</v>
      </c>
      <c r="W30" s="203">
        <v>2</v>
      </c>
      <c r="X30" s="211" t="s">
        <v>46</v>
      </c>
      <c r="Y30" s="211" t="s">
        <v>84</v>
      </c>
      <c r="Z30" s="211" t="s">
        <v>90</v>
      </c>
      <c r="AA30" s="211" t="s">
        <v>50</v>
      </c>
      <c r="AB30" s="211" t="s">
        <v>336</v>
      </c>
    </row>
    <row r="31" spans="1:48" x14ac:dyDescent="0.15">
      <c r="A31" s="211" t="s">
        <v>34</v>
      </c>
      <c r="B31" s="203" t="s">
        <v>334</v>
      </c>
      <c r="C31" s="203">
        <v>2018</v>
      </c>
      <c r="D31" s="245" t="s">
        <v>386</v>
      </c>
      <c r="E31" s="232" t="s">
        <v>330</v>
      </c>
      <c r="F31" s="232" t="s">
        <v>331</v>
      </c>
      <c r="G31" s="211" t="s">
        <v>36</v>
      </c>
      <c r="H31" s="203" t="s">
        <v>155</v>
      </c>
      <c r="I31" s="211" t="s">
        <v>153</v>
      </c>
      <c r="J31" s="211" t="s">
        <v>38</v>
      </c>
      <c r="K31" s="211" t="s">
        <v>154</v>
      </c>
      <c r="L31" s="203">
        <v>3</v>
      </c>
      <c r="N31" s="203">
        <v>1</v>
      </c>
      <c r="O31" s="203">
        <v>0.9</v>
      </c>
      <c r="P31" s="203">
        <v>0.7</v>
      </c>
      <c r="Q31" s="240">
        <f t="shared" si="0"/>
        <v>0.8</v>
      </c>
      <c r="R31" s="203">
        <v>13.4</v>
      </c>
      <c r="S31" s="203">
        <v>144</v>
      </c>
      <c r="T31" s="212">
        <f t="shared" si="1"/>
        <v>30</v>
      </c>
      <c r="U31" s="203">
        <v>126</v>
      </c>
      <c r="V31" s="212">
        <f t="shared" si="2"/>
        <v>3780</v>
      </c>
      <c r="W31" s="203">
        <v>2</v>
      </c>
      <c r="X31" s="211" t="s">
        <v>46</v>
      </c>
      <c r="Y31" s="211" t="s">
        <v>84</v>
      </c>
      <c r="Z31" s="211" t="s">
        <v>90</v>
      </c>
      <c r="AA31" s="211" t="s">
        <v>50</v>
      </c>
      <c r="AB31" s="211" t="s">
        <v>336</v>
      </c>
    </row>
    <row r="32" spans="1:48" x14ac:dyDescent="0.15">
      <c r="A32" s="211" t="s">
        <v>34</v>
      </c>
      <c r="B32" s="203" t="s">
        <v>334</v>
      </c>
      <c r="C32" s="203">
        <v>2018</v>
      </c>
      <c r="D32" s="245" t="s">
        <v>386</v>
      </c>
      <c r="E32" s="232" t="s">
        <v>330</v>
      </c>
      <c r="F32" s="232" t="s">
        <v>331</v>
      </c>
      <c r="G32" s="211" t="s">
        <v>36</v>
      </c>
      <c r="H32" s="203" t="s">
        <v>155</v>
      </c>
      <c r="I32" s="211" t="s">
        <v>153</v>
      </c>
      <c r="J32" s="211" t="s">
        <v>38</v>
      </c>
      <c r="K32" s="211" t="s">
        <v>154</v>
      </c>
      <c r="L32" s="211">
        <v>1</v>
      </c>
      <c r="N32" s="203">
        <v>4</v>
      </c>
      <c r="O32" s="203">
        <v>0.2</v>
      </c>
      <c r="P32" s="203">
        <v>0.45</v>
      </c>
      <c r="Q32" s="240">
        <f t="shared" si="0"/>
        <v>0.32500000000000001</v>
      </c>
      <c r="R32" s="203">
        <v>14</v>
      </c>
      <c r="S32" s="203">
        <v>111</v>
      </c>
      <c r="T32" s="212">
        <f t="shared" si="1"/>
        <v>33</v>
      </c>
      <c r="U32" s="203">
        <v>296</v>
      </c>
      <c r="V32" s="212">
        <f t="shared" si="2"/>
        <v>2442</v>
      </c>
      <c r="W32" s="203">
        <v>2</v>
      </c>
      <c r="X32" s="211" t="s">
        <v>46</v>
      </c>
      <c r="Y32" s="211" t="s">
        <v>84</v>
      </c>
      <c r="Z32" s="211" t="s">
        <v>90</v>
      </c>
      <c r="AA32" s="211" t="s">
        <v>50</v>
      </c>
      <c r="AB32" s="211" t="s">
        <v>336</v>
      </c>
    </row>
    <row r="33" spans="1:28" x14ac:dyDescent="0.15">
      <c r="A33" s="211" t="s">
        <v>34</v>
      </c>
      <c r="B33" s="203" t="s">
        <v>334</v>
      </c>
      <c r="C33" s="203">
        <v>2018</v>
      </c>
      <c r="D33" s="245" t="s">
        <v>386</v>
      </c>
      <c r="E33" s="232" t="s">
        <v>330</v>
      </c>
      <c r="F33" s="232" t="s">
        <v>331</v>
      </c>
      <c r="G33" s="211" t="s">
        <v>36</v>
      </c>
      <c r="H33" s="203" t="s">
        <v>155</v>
      </c>
      <c r="I33" s="211" t="s">
        <v>153</v>
      </c>
      <c r="J33" s="211" t="s">
        <v>38</v>
      </c>
      <c r="K33" s="211" t="s">
        <v>154</v>
      </c>
      <c r="L33" s="203">
        <v>2</v>
      </c>
      <c r="N33" s="203">
        <v>4</v>
      </c>
      <c r="O33" s="203">
        <v>0.55000000000000004</v>
      </c>
      <c r="P33" s="203">
        <v>0.2</v>
      </c>
      <c r="Q33" s="240">
        <f t="shared" si="0"/>
        <v>0.375</v>
      </c>
      <c r="R33" s="203">
        <v>13.8</v>
      </c>
      <c r="S33" s="203">
        <v>107</v>
      </c>
      <c r="T33" s="212">
        <f t="shared" si="1"/>
        <v>33</v>
      </c>
      <c r="U33" s="203">
        <v>296</v>
      </c>
      <c r="V33" s="212">
        <f t="shared" si="2"/>
        <v>2442</v>
      </c>
      <c r="W33" s="203">
        <v>2</v>
      </c>
      <c r="X33" s="211" t="s">
        <v>46</v>
      </c>
      <c r="Y33" s="211" t="s">
        <v>84</v>
      </c>
      <c r="Z33" s="211" t="s">
        <v>90</v>
      </c>
      <c r="AA33" s="211" t="s">
        <v>50</v>
      </c>
      <c r="AB33" s="211" t="s">
        <v>336</v>
      </c>
    </row>
    <row r="34" spans="1:28" x14ac:dyDescent="0.15">
      <c r="A34" s="211" t="s">
        <v>34</v>
      </c>
      <c r="B34" s="203" t="s">
        <v>334</v>
      </c>
      <c r="C34" s="203">
        <v>2018</v>
      </c>
      <c r="D34" s="245" t="s">
        <v>386</v>
      </c>
      <c r="E34" s="232" t="s">
        <v>330</v>
      </c>
      <c r="F34" s="232" t="s">
        <v>331</v>
      </c>
      <c r="G34" s="211" t="s">
        <v>36</v>
      </c>
      <c r="H34" s="203" t="s">
        <v>155</v>
      </c>
      <c r="I34" s="211" t="s">
        <v>153</v>
      </c>
      <c r="J34" s="211" t="s">
        <v>38</v>
      </c>
      <c r="K34" s="211" t="s">
        <v>154</v>
      </c>
      <c r="L34" s="203">
        <v>3</v>
      </c>
      <c r="N34" s="203">
        <v>4</v>
      </c>
      <c r="O34" s="203">
        <v>0.55000000000000004</v>
      </c>
      <c r="P34" s="203">
        <v>0.6</v>
      </c>
      <c r="Q34" s="240">
        <f>IF(OR(O34="",P34=""),"",AVERAGE(O34,P34))</f>
        <v>0.57499999999999996</v>
      </c>
      <c r="R34" s="203">
        <v>13.8</v>
      </c>
      <c r="S34" s="203">
        <v>109</v>
      </c>
      <c r="T34" s="212">
        <f t="shared" si="1"/>
        <v>33</v>
      </c>
      <c r="U34" s="203">
        <v>296</v>
      </c>
      <c r="V34" s="212">
        <f t="shared" si="2"/>
        <v>2442</v>
      </c>
      <c r="W34" s="203">
        <v>2</v>
      </c>
      <c r="X34" s="211" t="s">
        <v>46</v>
      </c>
      <c r="Y34" s="211" t="s">
        <v>84</v>
      </c>
      <c r="Z34" s="211" t="s">
        <v>90</v>
      </c>
      <c r="AA34" s="211" t="s">
        <v>50</v>
      </c>
      <c r="AB34" s="211" t="s">
        <v>336</v>
      </c>
    </row>
    <row r="35" spans="1:28" x14ac:dyDescent="0.15">
      <c r="A35" s="211" t="s">
        <v>34</v>
      </c>
      <c r="B35" s="203" t="s">
        <v>334</v>
      </c>
      <c r="C35" s="203">
        <v>2018</v>
      </c>
      <c r="D35" s="245" t="s">
        <v>386</v>
      </c>
      <c r="E35" s="232" t="s">
        <v>327</v>
      </c>
      <c r="F35" s="232" t="s">
        <v>328</v>
      </c>
      <c r="G35" s="211" t="s">
        <v>36</v>
      </c>
      <c r="H35" s="203" t="s">
        <v>166</v>
      </c>
      <c r="I35" s="211" t="s">
        <v>153</v>
      </c>
      <c r="J35" s="211" t="s">
        <v>38</v>
      </c>
      <c r="K35" s="211" t="s">
        <v>286</v>
      </c>
      <c r="L35" s="211">
        <v>1</v>
      </c>
      <c r="N35" s="203">
        <v>4</v>
      </c>
      <c r="O35" s="203">
        <v>0.8</v>
      </c>
      <c r="P35" s="203">
        <v>0.65</v>
      </c>
      <c r="Q35" s="240">
        <f t="shared" ref="Q35:Q36" si="3">IF(OR(O35="",P35=""),"",AVERAGE(O35,P35))</f>
        <v>0.72500000000000009</v>
      </c>
      <c r="R35" s="203">
        <v>16</v>
      </c>
      <c r="S35" s="203">
        <v>96</v>
      </c>
      <c r="T35" s="212">
        <f t="shared" si="1"/>
        <v>36</v>
      </c>
      <c r="U35" s="203">
        <v>429</v>
      </c>
      <c r="V35" s="212">
        <f t="shared" si="2"/>
        <v>3861</v>
      </c>
      <c r="W35" s="203">
        <v>1</v>
      </c>
      <c r="X35" s="211" t="s">
        <v>46</v>
      </c>
      <c r="Y35" s="211" t="s">
        <v>84</v>
      </c>
      <c r="Z35" s="211" t="s">
        <v>69</v>
      </c>
      <c r="AA35" s="211" t="s">
        <v>50</v>
      </c>
      <c r="AB35" s="211" t="s">
        <v>336</v>
      </c>
    </row>
    <row r="36" spans="1:28" x14ac:dyDescent="0.15">
      <c r="A36" s="211" t="s">
        <v>34</v>
      </c>
      <c r="B36" s="203" t="s">
        <v>334</v>
      </c>
      <c r="C36" s="203">
        <v>2018</v>
      </c>
      <c r="D36" s="245" t="s">
        <v>386</v>
      </c>
      <c r="E36" s="232" t="s">
        <v>327</v>
      </c>
      <c r="F36" s="232" t="s">
        <v>328</v>
      </c>
      <c r="G36" s="211" t="s">
        <v>36</v>
      </c>
      <c r="H36" s="203" t="s">
        <v>166</v>
      </c>
      <c r="I36" s="211" t="s">
        <v>153</v>
      </c>
      <c r="J36" s="211" t="s">
        <v>38</v>
      </c>
      <c r="K36" s="211" t="s">
        <v>286</v>
      </c>
      <c r="L36" s="203">
        <v>2</v>
      </c>
      <c r="N36" s="203">
        <v>4</v>
      </c>
      <c r="O36" s="203">
        <v>0.85</v>
      </c>
      <c r="P36" s="203">
        <v>0.75</v>
      </c>
      <c r="Q36" s="240">
        <f t="shared" si="3"/>
        <v>0.8</v>
      </c>
      <c r="R36" s="203">
        <v>15.5</v>
      </c>
      <c r="S36" s="203">
        <v>95</v>
      </c>
      <c r="T36" s="212">
        <f t="shared" si="1"/>
        <v>36</v>
      </c>
      <c r="U36" s="203">
        <v>429</v>
      </c>
      <c r="V36" s="212">
        <f t="shared" si="2"/>
        <v>3861</v>
      </c>
      <c r="W36" s="203">
        <v>1</v>
      </c>
      <c r="X36" s="211" t="s">
        <v>46</v>
      </c>
      <c r="Y36" s="211" t="s">
        <v>84</v>
      </c>
      <c r="Z36" s="211" t="s">
        <v>69</v>
      </c>
      <c r="AA36" s="211" t="s">
        <v>50</v>
      </c>
      <c r="AB36" s="211" t="s">
        <v>336</v>
      </c>
    </row>
    <row r="37" spans="1:28" x14ac:dyDescent="0.15">
      <c r="A37" s="211" t="s">
        <v>34</v>
      </c>
      <c r="B37" s="203" t="s">
        <v>334</v>
      </c>
      <c r="C37" s="203">
        <v>2018</v>
      </c>
      <c r="D37" s="245" t="s">
        <v>386</v>
      </c>
      <c r="E37" s="232" t="s">
        <v>327</v>
      </c>
      <c r="F37" s="232" t="s">
        <v>328</v>
      </c>
      <c r="G37" s="211" t="s">
        <v>36</v>
      </c>
      <c r="H37" s="203" t="s">
        <v>166</v>
      </c>
      <c r="I37" s="211" t="s">
        <v>153</v>
      </c>
      <c r="J37" s="211" t="s">
        <v>38</v>
      </c>
      <c r="K37" s="211" t="s">
        <v>286</v>
      </c>
      <c r="L37" s="203">
        <v>3</v>
      </c>
      <c r="N37" s="203">
        <v>4</v>
      </c>
      <c r="O37" s="203">
        <v>0.65</v>
      </c>
      <c r="P37" s="203">
        <v>0.8</v>
      </c>
      <c r="Q37" s="240">
        <f>IF(OR(O37="",P37=""),"",AVERAGE(O37,P37))</f>
        <v>0.72500000000000009</v>
      </c>
      <c r="R37" s="203">
        <v>16</v>
      </c>
      <c r="S37" s="203">
        <v>103</v>
      </c>
      <c r="T37" s="212">
        <f t="shared" si="1"/>
        <v>33</v>
      </c>
      <c r="U37" s="203">
        <v>429</v>
      </c>
      <c r="V37" s="212">
        <f t="shared" si="2"/>
        <v>3539.25</v>
      </c>
      <c r="W37" s="203">
        <v>1</v>
      </c>
      <c r="X37" s="211" t="s">
        <v>46</v>
      </c>
      <c r="Y37" s="211" t="s">
        <v>84</v>
      </c>
      <c r="Z37" s="211" t="s">
        <v>69</v>
      </c>
      <c r="AA37" s="211" t="s">
        <v>50</v>
      </c>
      <c r="AB37" s="211" t="s">
        <v>336</v>
      </c>
    </row>
    <row r="38" spans="1:28" x14ac:dyDescent="0.15">
      <c r="A38" s="211" t="s">
        <v>34</v>
      </c>
      <c r="B38" s="203" t="s">
        <v>334</v>
      </c>
      <c r="C38" s="203">
        <v>2018</v>
      </c>
      <c r="D38" s="245" t="s">
        <v>386</v>
      </c>
      <c r="E38" s="232" t="s">
        <v>173</v>
      </c>
      <c r="F38" s="232" t="s">
        <v>332</v>
      </c>
      <c r="G38" s="211" t="s">
        <v>36</v>
      </c>
      <c r="H38" s="203" t="s">
        <v>155</v>
      </c>
      <c r="I38" s="211" t="s">
        <v>153</v>
      </c>
      <c r="J38" s="211" t="s">
        <v>38</v>
      </c>
      <c r="K38" s="211" t="s">
        <v>154</v>
      </c>
      <c r="L38" s="211">
        <v>1</v>
      </c>
      <c r="N38" s="203">
        <v>4</v>
      </c>
      <c r="O38" s="203">
        <v>0.6</v>
      </c>
      <c r="P38" s="203">
        <v>0.65</v>
      </c>
      <c r="Q38" s="240">
        <f t="shared" ref="Q38:Q39" si="4">IF(OR(O38="",P38=""),"",AVERAGE(O38,P38))</f>
        <v>0.625</v>
      </c>
      <c r="R38" s="203">
        <v>14.1</v>
      </c>
      <c r="S38" s="203">
        <v>131</v>
      </c>
      <c r="T38" s="212">
        <f t="shared" si="1"/>
        <v>30</v>
      </c>
      <c r="U38" s="203">
        <v>397</v>
      </c>
      <c r="V38" s="212">
        <f t="shared" si="2"/>
        <v>2977.5</v>
      </c>
      <c r="W38" s="203">
        <v>3</v>
      </c>
      <c r="X38" s="211" t="s">
        <v>46</v>
      </c>
      <c r="Y38" s="211" t="s">
        <v>84</v>
      </c>
      <c r="Z38" s="211" t="s">
        <v>69</v>
      </c>
      <c r="AA38" s="211" t="s">
        <v>90</v>
      </c>
      <c r="AB38" s="211" t="s">
        <v>336</v>
      </c>
    </row>
    <row r="39" spans="1:28" x14ac:dyDescent="0.15">
      <c r="A39" s="211" t="s">
        <v>34</v>
      </c>
      <c r="B39" s="203" t="s">
        <v>334</v>
      </c>
      <c r="C39" s="203">
        <v>2018</v>
      </c>
      <c r="D39" s="245" t="s">
        <v>386</v>
      </c>
      <c r="E39" s="232" t="s">
        <v>173</v>
      </c>
      <c r="F39" s="232" t="s">
        <v>332</v>
      </c>
      <c r="G39" s="211" t="s">
        <v>36</v>
      </c>
      <c r="H39" s="203" t="s">
        <v>155</v>
      </c>
      <c r="I39" s="211" t="s">
        <v>153</v>
      </c>
      <c r="J39" s="211" t="s">
        <v>38</v>
      </c>
      <c r="K39" s="211" t="s">
        <v>154</v>
      </c>
      <c r="L39" s="203">
        <v>2</v>
      </c>
      <c r="N39" s="203">
        <v>4</v>
      </c>
      <c r="O39" s="203">
        <v>0.95</v>
      </c>
      <c r="P39" s="203">
        <v>1</v>
      </c>
      <c r="Q39" s="240">
        <f t="shared" si="4"/>
        <v>0.97499999999999998</v>
      </c>
      <c r="R39" s="203">
        <v>13.7</v>
      </c>
      <c r="S39" s="203">
        <v>125</v>
      </c>
      <c r="T39" s="212">
        <f t="shared" si="1"/>
        <v>30</v>
      </c>
      <c r="U39" s="203">
        <v>397</v>
      </c>
      <c r="V39" s="212">
        <f t="shared" si="2"/>
        <v>2977.5</v>
      </c>
      <c r="W39" s="203">
        <v>3</v>
      </c>
      <c r="X39" s="211" t="s">
        <v>46</v>
      </c>
      <c r="Y39" s="211" t="s">
        <v>84</v>
      </c>
      <c r="Z39" s="211" t="s">
        <v>69</v>
      </c>
      <c r="AA39" s="211" t="s">
        <v>90</v>
      </c>
      <c r="AB39" s="211" t="s">
        <v>336</v>
      </c>
    </row>
    <row r="40" spans="1:28" x14ac:dyDescent="0.15">
      <c r="A40" s="211" t="s">
        <v>34</v>
      </c>
      <c r="B40" s="203" t="s">
        <v>334</v>
      </c>
      <c r="C40" s="203">
        <v>2018</v>
      </c>
      <c r="D40" s="245" t="s">
        <v>386</v>
      </c>
      <c r="E40" s="232" t="s">
        <v>173</v>
      </c>
      <c r="F40" s="232" t="s">
        <v>332</v>
      </c>
      <c r="G40" s="211" t="s">
        <v>36</v>
      </c>
      <c r="H40" s="203" t="s">
        <v>155</v>
      </c>
      <c r="I40" s="211" t="s">
        <v>153</v>
      </c>
      <c r="J40" s="211" t="s">
        <v>38</v>
      </c>
      <c r="K40" s="211" t="s">
        <v>154</v>
      </c>
      <c r="L40" s="203">
        <v>3</v>
      </c>
      <c r="N40" s="203">
        <v>4</v>
      </c>
      <c r="O40" s="203">
        <v>0.95</v>
      </c>
      <c r="P40" s="203">
        <v>1</v>
      </c>
      <c r="Q40" s="240">
        <f>IF(OR(O40="",P40=""),"",AVERAGE(O40,P40))</f>
        <v>0.97499999999999998</v>
      </c>
      <c r="R40" s="203">
        <v>14</v>
      </c>
      <c r="S40" s="203">
        <v>134</v>
      </c>
      <c r="T40" s="212">
        <f t="shared" si="1"/>
        <v>30</v>
      </c>
      <c r="U40" s="203">
        <v>397</v>
      </c>
      <c r="V40" s="212">
        <f t="shared" si="2"/>
        <v>2977.5</v>
      </c>
      <c r="W40" s="203">
        <v>3</v>
      </c>
      <c r="X40" s="211" t="s">
        <v>46</v>
      </c>
      <c r="Y40" s="211" t="s">
        <v>84</v>
      </c>
      <c r="Z40" s="211" t="s">
        <v>69</v>
      </c>
      <c r="AA40" s="211" t="s">
        <v>90</v>
      </c>
      <c r="AB40" s="211" t="s">
        <v>336</v>
      </c>
    </row>
    <row r="41" spans="1:28" x14ac:dyDescent="0.15">
      <c r="A41" s="211" t="s">
        <v>34</v>
      </c>
      <c r="B41" s="203" t="s">
        <v>334</v>
      </c>
      <c r="C41" s="203">
        <v>2018</v>
      </c>
      <c r="D41" s="245" t="s">
        <v>386</v>
      </c>
      <c r="E41" s="232" t="s">
        <v>173</v>
      </c>
      <c r="F41" s="232" t="s">
        <v>332</v>
      </c>
      <c r="G41" s="211" t="s">
        <v>36</v>
      </c>
      <c r="H41" s="203" t="s">
        <v>128</v>
      </c>
      <c r="I41" s="211" t="s">
        <v>153</v>
      </c>
      <c r="J41" s="211" t="s">
        <v>80</v>
      </c>
      <c r="K41" s="211" t="s">
        <v>45</v>
      </c>
      <c r="L41" s="211">
        <v>1</v>
      </c>
      <c r="N41" s="203">
        <v>6</v>
      </c>
      <c r="O41" s="203">
        <v>1.25</v>
      </c>
      <c r="P41" s="203">
        <v>1.55</v>
      </c>
      <c r="Q41" s="240">
        <f t="shared" si="0"/>
        <v>1.4</v>
      </c>
      <c r="R41" s="203">
        <v>13.9</v>
      </c>
      <c r="S41" s="203">
        <v>67</v>
      </c>
      <c r="T41" s="212">
        <f t="shared" si="1"/>
        <v>50</v>
      </c>
      <c r="U41" s="203">
        <v>297</v>
      </c>
      <c r="V41" s="212">
        <f t="shared" si="2"/>
        <v>2475</v>
      </c>
      <c r="W41" s="203">
        <v>1</v>
      </c>
      <c r="X41" s="211" t="s">
        <v>46</v>
      </c>
      <c r="Y41" s="211" t="s">
        <v>84</v>
      </c>
      <c r="Z41" s="211" t="s">
        <v>69</v>
      </c>
      <c r="AA41" s="211" t="s">
        <v>90</v>
      </c>
      <c r="AB41" s="211" t="s">
        <v>336</v>
      </c>
    </row>
    <row r="42" spans="1:28" x14ac:dyDescent="0.15">
      <c r="A42" s="211" t="s">
        <v>34</v>
      </c>
      <c r="B42" s="203" t="s">
        <v>334</v>
      </c>
      <c r="C42" s="203">
        <v>2018</v>
      </c>
      <c r="D42" s="245" t="s">
        <v>386</v>
      </c>
      <c r="E42" s="232" t="s">
        <v>173</v>
      </c>
      <c r="F42" s="232" t="s">
        <v>332</v>
      </c>
      <c r="G42" s="211" t="s">
        <v>36</v>
      </c>
      <c r="H42" s="203" t="s">
        <v>128</v>
      </c>
      <c r="I42" s="211" t="s">
        <v>153</v>
      </c>
      <c r="J42" s="211" t="s">
        <v>80</v>
      </c>
      <c r="K42" s="211" t="s">
        <v>45</v>
      </c>
      <c r="L42" s="203">
        <v>2</v>
      </c>
      <c r="N42" s="203">
        <v>6</v>
      </c>
      <c r="O42" s="203">
        <v>1.6</v>
      </c>
      <c r="P42" s="203">
        <v>1.55</v>
      </c>
      <c r="Q42" s="240">
        <f t="shared" si="0"/>
        <v>1.5750000000000002</v>
      </c>
      <c r="R42" s="203">
        <v>12</v>
      </c>
      <c r="S42" s="203">
        <v>71</v>
      </c>
      <c r="T42" s="212">
        <f t="shared" si="1"/>
        <v>42</v>
      </c>
      <c r="U42" s="203">
        <v>297</v>
      </c>
      <c r="V42" s="212">
        <f t="shared" si="2"/>
        <v>2079</v>
      </c>
      <c r="W42" s="203">
        <v>1</v>
      </c>
      <c r="X42" s="211" t="s">
        <v>46</v>
      </c>
      <c r="Y42" s="211" t="s">
        <v>84</v>
      </c>
      <c r="Z42" s="211" t="s">
        <v>69</v>
      </c>
      <c r="AA42" s="211" t="s">
        <v>90</v>
      </c>
      <c r="AB42" s="211" t="s">
        <v>336</v>
      </c>
    </row>
    <row r="43" spans="1:28" x14ac:dyDescent="0.15">
      <c r="A43" s="211" t="s">
        <v>34</v>
      </c>
      <c r="B43" s="203" t="s">
        <v>334</v>
      </c>
      <c r="C43" s="203">
        <v>2018</v>
      </c>
      <c r="D43" s="245" t="s">
        <v>386</v>
      </c>
      <c r="E43" s="232" t="s">
        <v>173</v>
      </c>
      <c r="F43" s="232" t="s">
        <v>332</v>
      </c>
      <c r="G43" s="211" t="s">
        <v>36</v>
      </c>
      <c r="H43" s="203" t="s">
        <v>128</v>
      </c>
      <c r="I43" s="211" t="s">
        <v>153</v>
      </c>
      <c r="J43" s="211" t="s">
        <v>80</v>
      </c>
      <c r="K43" s="211" t="s">
        <v>45</v>
      </c>
      <c r="L43" s="203">
        <v>3</v>
      </c>
      <c r="N43" s="203">
        <v>6</v>
      </c>
      <c r="O43" s="203">
        <v>0.2</v>
      </c>
      <c r="P43" s="203">
        <v>0.5</v>
      </c>
      <c r="Q43" s="240">
        <f t="shared" si="0"/>
        <v>0.35</v>
      </c>
      <c r="R43" s="203">
        <v>13.4</v>
      </c>
      <c r="S43" s="203">
        <v>71</v>
      </c>
      <c r="T43" s="212">
        <f t="shared" si="1"/>
        <v>42</v>
      </c>
      <c r="U43" s="203">
        <v>297</v>
      </c>
      <c r="V43" s="212">
        <f t="shared" si="2"/>
        <v>2079</v>
      </c>
      <c r="W43" s="203">
        <v>1</v>
      </c>
      <c r="X43" s="211" t="s">
        <v>46</v>
      </c>
      <c r="Y43" s="211" t="s">
        <v>84</v>
      </c>
      <c r="Z43" s="211" t="s">
        <v>69</v>
      </c>
      <c r="AA43" s="211" t="s">
        <v>90</v>
      </c>
      <c r="AB43" s="211" t="s">
        <v>336</v>
      </c>
    </row>
    <row r="44" spans="1:28" x14ac:dyDescent="0.15">
      <c r="A44" s="211" t="s">
        <v>34</v>
      </c>
      <c r="B44" s="203" t="s">
        <v>334</v>
      </c>
      <c r="C44" s="203">
        <v>2018</v>
      </c>
      <c r="D44" s="245" t="s">
        <v>386</v>
      </c>
      <c r="E44" s="232" t="s">
        <v>282</v>
      </c>
      <c r="F44" s="232" t="s">
        <v>317</v>
      </c>
      <c r="G44" s="211" t="s">
        <v>36</v>
      </c>
      <c r="H44" s="203" t="s">
        <v>166</v>
      </c>
      <c r="I44" s="211" t="s">
        <v>153</v>
      </c>
      <c r="J44" s="211" t="s">
        <v>38</v>
      </c>
      <c r="K44" s="211" t="s">
        <v>154</v>
      </c>
      <c r="L44" s="211">
        <v>1</v>
      </c>
      <c r="N44" s="203">
        <v>1</v>
      </c>
      <c r="O44" s="203">
        <v>0.75</v>
      </c>
      <c r="P44" s="203">
        <v>0.8</v>
      </c>
      <c r="Q44" s="240">
        <f t="shared" si="0"/>
        <v>0.77500000000000002</v>
      </c>
      <c r="R44" s="203">
        <v>14.8</v>
      </c>
      <c r="S44" s="203">
        <v>154</v>
      </c>
      <c r="T44" s="212">
        <f t="shared" si="1"/>
        <v>18</v>
      </c>
      <c r="U44" s="203">
        <v>148</v>
      </c>
      <c r="V44" s="212">
        <f t="shared" si="2"/>
        <v>2664</v>
      </c>
      <c r="W44" s="203">
        <v>2</v>
      </c>
      <c r="X44" s="211" t="s">
        <v>46</v>
      </c>
      <c r="Y44" s="211" t="s">
        <v>84</v>
      </c>
      <c r="Z44" s="211" t="s">
        <v>69</v>
      </c>
      <c r="AA44" s="211" t="s">
        <v>90</v>
      </c>
      <c r="AB44" s="211" t="s">
        <v>336</v>
      </c>
    </row>
    <row r="45" spans="1:28" x14ac:dyDescent="0.15">
      <c r="A45" s="211" t="s">
        <v>34</v>
      </c>
      <c r="B45" s="203" t="s">
        <v>334</v>
      </c>
      <c r="C45" s="203">
        <v>2018</v>
      </c>
      <c r="D45" s="245" t="s">
        <v>386</v>
      </c>
      <c r="E45" s="232" t="s">
        <v>282</v>
      </c>
      <c r="F45" s="232" t="s">
        <v>317</v>
      </c>
      <c r="G45" s="211" t="s">
        <v>36</v>
      </c>
      <c r="H45" s="203" t="s">
        <v>166</v>
      </c>
      <c r="I45" s="211" t="s">
        <v>153</v>
      </c>
      <c r="J45" s="211" t="s">
        <v>38</v>
      </c>
      <c r="K45" s="211" t="s">
        <v>154</v>
      </c>
      <c r="L45" s="203">
        <v>2</v>
      </c>
      <c r="N45" s="203">
        <v>1</v>
      </c>
      <c r="O45" s="203">
        <v>0.75</v>
      </c>
      <c r="P45" s="203">
        <v>0.7</v>
      </c>
      <c r="Q45" s="240">
        <f t="shared" si="0"/>
        <v>0.72499999999999998</v>
      </c>
      <c r="R45" s="203">
        <v>14.2</v>
      </c>
      <c r="S45" s="203">
        <v>170</v>
      </c>
      <c r="T45" s="212">
        <f t="shared" si="1"/>
        <v>18</v>
      </c>
      <c r="U45" s="203">
        <v>148</v>
      </c>
      <c r="V45" s="212">
        <f t="shared" si="2"/>
        <v>2664</v>
      </c>
      <c r="W45" s="203">
        <v>2</v>
      </c>
      <c r="X45" s="211" t="s">
        <v>46</v>
      </c>
      <c r="Y45" s="211" t="s">
        <v>84</v>
      </c>
      <c r="Z45" s="211" t="s">
        <v>69</v>
      </c>
      <c r="AA45" s="211" t="s">
        <v>90</v>
      </c>
      <c r="AB45" s="211" t="s">
        <v>336</v>
      </c>
    </row>
    <row r="46" spans="1:28" x14ac:dyDescent="0.15">
      <c r="A46" s="211" t="s">
        <v>34</v>
      </c>
      <c r="B46" s="203" t="s">
        <v>334</v>
      </c>
      <c r="C46" s="203">
        <v>2018</v>
      </c>
      <c r="D46" s="245" t="s">
        <v>386</v>
      </c>
      <c r="E46" s="232" t="s">
        <v>282</v>
      </c>
      <c r="F46" s="232" t="s">
        <v>317</v>
      </c>
      <c r="G46" s="211" t="s">
        <v>36</v>
      </c>
      <c r="H46" s="203" t="s">
        <v>166</v>
      </c>
      <c r="I46" s="211" t="s">
        <v>153</v>
      </c>
      <c r="J46" s="211" t="s">
        <v>38</v>
      </c>
      <c r="K46" s="211" t="s">
        <v>154</v>
      </c>
      <c r="L46" s="203">
        <v>3</v>
      </c>
      <c r="N46" s="203">
        <v>1</v>
      </c>
      <c r="O46" s="203">
        <v>0.85</v>
      </c>
      <c r="P46" s="203">
        <v>0.7</v>
      </c>
      <c r="Q46" s="240">
        <f t="shared" si="0"/>
        <v>0.77499999999999991</v>
      </c>
      <c r="R46" s="203">
        <v>14.6</v>
      </c>
      <c r="S46" s="203">
        <v>149</v>
      </c>
      <c r="T46" s="212">
        <f t="shared" si="1"/>
        <v>30</v>
      </c>
      <c r="U46" s="203">
        <v>148</v>
      </c>
      <c r="V46" s="212">
        <f t="shared" si="2"/>
        <v>4440</v>
      </c>
      <c r="W46" s="203">
        <v>2</v>
      </c>
      <c r="X46" s="211" t="s">
        <v>46</v>
      </c>
      <c r="Y46" s="211" t="s">
        <v>84</v>
      </c>
      <c r="Z46" s="211" t="s">
        <v>69</v>
      </c>
      <c r="AA46" s="211" t="s">
        <v>90</v>
      </c>
      <c r="AB46" s="211" t="s">
        <v>336</v>
      </c>
    </row>
    <row r="47" spans="1:28" x14ac:dyDescent="0.15">
      <c r="A47" s="211" t="s">
        <v>34</v>
      </c>
      <c r="B47" s="203" t="s">
        <v>334</v>
      </c>
      <c r="C47" s="203">
        <v>2018</v>
      </c>
      <c r="D47" s="245" t="s">
        <v>386</v>
      </c>
      <c r="E47" s="232" t="s">
        <v>282</v>
      </c>
      <c r="F47" s="232" t="s">
        <v>317</v>
      </c>
      <c r="G47" s="211" t="s">
        <v>36</v>
      </c>
      <c r="H47" s="203" t="s">
        <v>127</v>
      </c>
      <c r="I47" s="211" t="s">
        <v>153</v>
      </c>
      <c r="J47" s="211" t="s">
        <v>80</v>
      </c>
      <c r="K47" s="211" t="s">
        <v>45</v>
      </c>
      <c r="L47" s="211">
        <v>1</v>
      </c>
      <c r="N47" s="203">
        <v>5</v>
      </c>
      <c r="O47" s="203">
        <v>1.25</v>
      </c>
      <c r="P47" s="203">
        <v>1.1000000000000001</v>
      </c>
      <c r="Q47" s="240">
        <f t="shared" si="0"/>
        <v>1.175</v>
      </c>
      <c r="R47" s="203">
        <v>10.8</v>
      </c>
      <c r="S47" s="203">
        <v>88</v>
      </c>
      <c r="T47" s="212">
        <f t="shared" si="1"/>
        <v>36</v>
      </c>
      <c r="U47" s="203">
        <v>298</v>
      </c>
      <c r="V47" s="212">
        <f t="shared" si="2"/>
        <v>2145.6</v>
      </c>
      <c r="W47" s="203">
        <v>1</v>
      </c>
      <c r="X47" s="211" t="s">
        <v>39</v>
      </c>
      <c r="Y47" s="211" t="s">
        <v>84</v>
      </c>
      <c r="Z47" s="211" t="s">
        <v>69</v>
      </c>
      <c r="AA47" s="211" t="s">
        <v>90</v>
      </c>
      <c r="AB47" s="211" t="s">
        <v>336</v>
      </c>
    </row>
    <row r="48" spans="1:28" x14ac:dyDescent="0.15">
      <c r="A48" s="211" t="s">
        <v>34</v>
      </c>
      <c r="B48" s="203" t="s">
        <v>334</v>
      </c>
      <c r="C48" s="203">
        <v>2018</v>
      </c>
      <c r="D48" s="245" t="s">
        <v>386</v>
      </c>
      <c r="E48" s="232" t="s">
        <v>282</v>
      </c>
      <c r="F48" s="232" t="s">
        <v>317</v>
      </c>
      <c r="G48" s="211" t="s">
        <v>36</v>
      </c>
      <c r="H48" s="203" t="s">
        <v>127</v>
      </c>
      <c r="I48" s="211" t="s">
        <v>153</v>
      </c>
      <c r="J48" s="211" t="s">
        <v>80</v>
      </c>
      <c r="K48" s="211" t="s">
        <v>45</v>
      </c>
      <c r="L48" s="203">
        <v>2</v>
      </c>
      <c r="N48" s="203">
        <v>5</v>
      </c>
      <c r="O48" s="203">
        <v>2.2999999999999998</v>
      </c>
      <c r="P48" s="203">
        <v>2.1</v>
      </c>
      <c r="Q48" s="240">
        <f t="shared" si="0"/>
        <v>2.2000000000000002</v>
      </c>
      <c r="R48" s="203">
        <v>9.8000000000000007</v>
      </c>
      <c r="S48" s="203">
        <v>94</v>
      </c>
      <c r="T48" s="212">
        <f t="shared" si="1"/>
        <v>36</v>
      </c>
      <c r="U48" s="203">
        <v>298</v>
      </c>
      <c r="V48" s="212">
        <f t="shared" si="2"/>
        <v>2145.6</v>
      </c>
      <c r="W48" s="203">
        <v>1</v>
      </c>
      <c r="X48" s="211" t="s">
        <v>39</v>
      </c>
      <c r="Y48" s="211" t="s">
        <v>84</v>
      </c>
      <c r="Z48" s="211" t="s">
        <v>69</v>
      </c>
      <c r="AA48" s="211" t="s">
        <v>90</v>
      </c>
      <c r="AB48" s="211" t="s">
        <v>336</v>
      </c>
    </row>
    <row r="49" spans="1:28" x14ac:dyDescent="0.15">
      <c r="A49" s="211" t="s">
        <v>34</v>
      </c>
      <c r="B49" s="203" t="s">
        <v>334</v>
      </c>
      <c r="C49" s="203">
        <v>2018</v>
      </c>
      <c r="D49" s="245" t="s">
        <v>386</v>
      </c>
      <c r="E49" s="232" t="s">
        <v>282</v>
      </c>
      <c r="F49" s="232" t="s">
        <v>317</v>
      </c>
      <c r="G49" s="211" t="s">
        <v>36</v>
      </c>
      <c r="H49" s="203" t="s">
        <v>127</v>
      </c>
      <c r="I49" s="211" t="s">
        <v>153</v>
      </c>
      <c r="J49" s="211" t="s">
        <v>80</v>
      </c>
      <c r="K49" s="211" t="s">
        <v>45</v>
      </c>
      <c r="L49" s="203">
        <v>3</v>
      </c>
      <c r="N49" s="203">
        <v>5</v>
      </c>
      <c r="O49" s="203">
        <v>1.4</v>
      </c>
      <c r="P49" s="203">
        <v>1.5</v>
      </c>
      <c r="Q49" s="240">
        <f t="shared" si="0"/>
        <v>1.45</v>
      </c>
      <c r="R49" s="203">
        <v>10.5</v>
      </c>
      <c r="S49" s="203">
        <v>94</v>
      </c>
      <c r="T49" s="212">
        <f t="shared" si="1"/>
        <v>36</v>
      </c>
      <c r="U49" s="203">
        <v>298</v>
      </c>
      <c r="V49" s="212">
        <f t="shared" si="2"/>
        <v>2145.6</v>
      </c>
      <c r="W49" s="203">
        <v>1</v>
      </c>
      <c r="X49" s="211" t="s">
        <v>39</v>
      </c>
      <c r="Y49" s="211" t="s">
        <v>84</v>
      </c>
      <c r="Z49" s="211" t="s">
        <v>69</v>
      </c>
      <c r="AA49" s="211" t="s">
        <v>90</v>
      </c>
      <c r="AB49" s="211" t="s">
        <v>336</v>
      </c>
    </row>
    <row r="50" spans="1:28" x14ac:dyDescent="0.15">
      <c r="A50" s="211" t="s">
        <v>34</v>
      </c>
      <c r="B50" s="203" t="s">
        <v>334</v>
      </c>
      <c r="C50" s="203">
        <v>2018</v>
      </c>
      <c r="D50" s="245" t="s">
        <v>386</v>
      </c>
      <c r="E50" s="232" t="s">
        <v>318</v>
      </c>
      <c r="F50" s="232" t="s">
        <v>319</v>
      </c>
      <c r="G50" s="211" t="s">
        <v>36</v>
      </c>
      <c r="H50" s="203" t="s">
        <v>155</v>
      </c>
      <c r="I50" s="211" t="s">
        <v>153</v>
      </c>
      <c r="J50" s="211" t="s">
        <v>38</v>
      </c>
      <c r="K50" s="211" t="s">
        <v>154</v>
      </c>
      <c r="L50" s="211">
        <v>1</v>
      </c>
      <c r="N50" s="203">
        <v>1</v>
      </c>
      <c r="O50" s="203">
        <v>0.65</v>
      </c>
      <c r="P50" s="203">
        <v>0.6</v>
      </c>
      <c r="Q50" s="240">
        <f t="shared" si="0"/>
        <v>0.625</v>
      </c>
      <c r="R50" s="203">
        <v>13.8</v>
      </c>
      <c r="S50" s="203">
        <v>119</v>
      </c>
      <c r="T50" s="212">
        <f t="shared" si="1"/>
        <v>30</v>
      </c>
      <c r="U50" s="203">
        <v>138</v>
      </c>
      <c r="V50" s="212">
        <f t="shared" si="2"/>
        <v>4140</v>
      </c>
      <c r="W50" s="203">
        <v>3</v>
      </c>
      <c r="X50" s="211" t="s">
        <v>39</v>
      </c>
      <c r="Y50" s="211" t="s">
        <v>84</v>
      </c>
      <c r="Z50" s="211" t="s">
        <v>90</v>
      </c>
      <c r="AA50" s="211" t="s">
        <v>69</v>
      </c>
      <c r="AB50" s="211" t="s">
        <v>336</v>
      </c>
    </row>
    <row r="51" spans="1:28" x14ac:dyDescent="0.15">
      <c r="A51" s="211" t="s">
        <v>34</v>
      </c>
      <c r="B51" s="203" t="s">
        <v>334</v>
      </c>
      <c r="C51" s="203">
        <v>2018</v>
      </c>
      <c r="D51" s="245" t="s">
        <v>386</v>
      </c>
      <c r="E51" s="232" t="s">
        <v>318</v>
      </c>
      <c r="F51" s="232" t="s">
        <v>319</v>
      </c>
      <c r="G51" s="211" t="s">
        <v>36</v>
      </c>
      <c r="H51" s="203" t="s">
        <v>155</v>
      </c>
      <c r="I51" s="211" t="s">
        <v>153</v>
      </c>
      <c r="J51" s="211" t="s">
        <v>38</v>
      </c>
      <c r="K51" s="211" t="s">
        <v>154</v>
      </c>
      <c r="L51" s="203">
        <v>2</v>
      </c>
      <c r="N51" s="203">
        <v>1</v>
      </c>
      <c r="O51" s="203">
        <v>0.65</v>
      </c>
      <c r="P51" s="203">
        <v>0.7</v>
      </c>
      <c r="Q51" s="240">
        <f t="shared" si="0"/>
        <v>0.67500000000000004</v>
      </c>
      <c r="R51" s="203">
        <v>13.7</v>
      </c>
      <c r="S51" s="203">
        <v>128</v>
      </c>
      <c r="T51" s="212">
        <f t="shared" si="1"/>
        <v>30</v>
      </c>
      <c r="U51" s="203">
        <v>138</v>
      </c>
      <c r="V51" s="212">
        <f t="shared" si="2"/>
        <v>4140</v>
      </c>
      <c r="W51" s="203">
        <v>3</v>
      </c>
      <c r="X51" s="211" t="s">
        <v>39</v>
      </c>
      <c r="Y51" s="211" t="s">
        <v>84</v>
      </c>
      <c r="Z51" s="211" t="s">
        <v>90</v>
      </c>
      <c r="AA51" s="211" t="s">
        <v>69</v>
      </c>
      <c r="AB51" s="211" t="s">
        <v>336</v>
      </c>
    </row>
    <row r="52" spans="1:28" x14ac:dyDescent="0.15">
      <c r="A52" s="211" t="s">
        <v>34</v>
      </c>
      <c r="B52" s="203" t="s">
        <v>334</v>
      </c>
      <c r="C52" s="203">
        <v>2018</v>
      </c>
      <c r="D52" s="245" t="s">
        <v>386</v>
      </c>
      <c r="E52" s="232" t="s">
        <v>318</v>
      </c>
      <c r="F52" s="232" t="s">
        <v>319</v>
      </c>
      <c r="G52" s="211" t="s">
        <v>36</v>
      </c>
      <c r="H52" s="203" t="s">
        <v>155</v>
      </c>
      <c r="I52" s="211" t="s">
        <v>153</v>
      </c>
      <c r="J52" s="211" t="s">
        <v>38</v>
      </c>
      <c r="K52" s="211" t="s">
        <v>154</v>
      </c>
      <c r="L52" s="203">
        <v>3</v>
      </c>
      <c r="N52" s="203">
        <v>1</v>
      </c>
      <c r="O52" s="203">
        <v>0.6</v>
      </c>
      <c r="P52" s="203">
        <v>0.6</v>
      </c>
      <c r="Q52" s="240">
        <f t="shared" si="0"/>
        <v>0.6</v>
      </c>
      <c r="R52" s="203">
        <v>13.7</v>
      </c>
      <c r="S52" s="203">
        <v>127</v>
      </c>
      <c r="T52" s="212">
        <f t="shared" si="1"/>
        <v>30</v>
      </c>
      <c r="U52" s="203">
        <v>138</v>
      </c>
      <c r="V52" s="212">
        <f t="shared" si="2"/>
        <v>4140</v>
      </c>
      <c r="W52" s="203">
        <v>3</v>
      </c>
      <c r="X52" s="211" t="s">
        <v>39</v>
      </c>
      <c r="Y52" s="211" t="s">
        <v>84</v>
      </c>
      <c r="Z52" s="211" t="s">
        <v>90</v>
      </c>
      <c r="AA52" s="211" t="s">
        <v>69</v>
      </c>
      <c r="AB52" s="211" t="s">
        <v>336</v>
      </c>
    </row>
    <row r="53" spans="1:28" x14ac:dyDescent="0.15">
      <c r="A53" s="211" t="s">
        <v>34</v>
      </c>
      <c r="B53" s="203" t="s">
        <v>334</v>
      </c>
      <c r="C53" s="203">
        <v>2018</v>
      </c>
      <c r="D53" s="245" t="s">
        <v>386</v>
      </c>
      <c r="E53" s="232" t="s">
        <v>318</v>
      </c>
      <c r="F53" s="232" t="s">
        <v>319</v>
      </c>
      <c r="G53" s="211" t="s">
        <v>36</v>
      </c>
      <c r="H53" s="203" t="s">
        <v>155</v>
      </c>
      <c r="I53" s="211" t="s">
        <v>153</v>
      </c>
      <c r="J53" s="211" t="s">
        <v>38</v>
      </c>
      <c r="K53" s="211" t="s">
        <v>154</v>
      </c>
      <c r="L53" s="211">
        <v>1</v>
      </c>
      <c r="N53" s="203">
        <v>5</v>
      </c>
      <c r="O53" s="203">
        <v>0.8</v>
      </c>
      <c r="P53" s="203">
        <v>0.8</v>
      </c>
      <c r="Q53" s="240">
        <f t="shared" si="0"/>
        <v>0.8</v>
      </c>
      <c r="R53" s="203">
        <v>13</v>
      </c>
      <c r="S53" s="203">
        <v>79</v>
      </c>
      <c r="T53" s="212">
        <f t="shared" si="1"/>
        <v>39</v>
      </c>
      <c r="U53" s="203">
        <v>430</v>
      </c>
      <c r="V53" s="212">
        <f t="shared" si="2"/>
        <v>3354</v>
      </c>
      <c r="W53" s="203">
        <v>3</v>
      </c>
      <c r="X53" s="211" t="s">
        <v>39</v>
      </c>
      <c r="Y53" s="211" t="s">
        <v>84</v>
      </c>
      <c r="Z53" s="211" t="s">
        <v>90</v>
      </c>
      <c r="AA53" s="211" t="s">
        <v>69</v>
      </c>
      <c r="AB53" s="211" t="s">
        <v>336</v>
      </c>
    </row>
    <row r="54" spans="1:28" x14ac:dyDescent="0.15">
      <c r="A54" s="211" t="s">
        <v>34</v>
      </c>
      <c r="B54" s="203" t="s">
        <v>334</v>
      </c>
      <c r="C54" s="203">
        <v>2018</v>
      </c>
      <c r="D54" s="245" t="s">
        <v>386</v>
      </c>
      <c r="E54" s="232" t="s">
        <v>318</v>
      </c>
      <c r="F54" s="232" t="s">
        <v>319</v>
      </c>
      <c r="G54" s="211" t="s">
        <v>36</v>
      </c>
      <c r="H54" s="203" t="s">
        <v>155</v>
      </c>
      <c r="I54" s="211" t="s">
        <v>153</v>
      </c>
      <c r="J54" s="211" t="s">
        <v>38</v>
      </c>
      <c r="K54" s="211" t="s">
        <v>154</v>
      </c>
      <c r="L54" s="203">
        <v>2</v>
      </c>
      <c r="N54" s="203">
        <v>5</v>
      </c>
      <c r="O54" s="203">
        <v>0.8</v>
      </c>
      <c r="P54" s="203">
        <v>0.75</v>
      </c>
      <c r="Q54" s="240">
        <f t="shared" si="0"/>
        <v>0.77500000000000002</v>
      </c>
      <c r="R54" s="203">
        <v>14.2</v>
      </c>
      <c r="S54" s="203">
        <v>90</v>
      </c>
      <c r="T54" s="212">
        <f t="shared" si="1"/>
        <v>36</v>
      </c>
      <c r="U54" s="203">
        <v>430</v>
      </c>
      <c r="V54" s="212">
        <f t="shared" si="2"/>
        <v>3096</v>
      </c>
      <c r="W54" s="203">
        <v>3</v>
      </c>
      <c r="X54" s="211" t="s">
        <v>39</v>
      </c>
      <c r="Y54" s="211" t="s">
        <v>84</v>
      </c>
      <c r="Z54" s="211" t="s">
        <v>90</v>
      </c>
      <c r="AA54" s="211" t="s">
        <v>69</v>
      </c>
      <c r="AB54" s="211" t="s">
        <v>336</v>
      </c>
    </row>
    <row r="55" spans="1:28" x14ac:dyDescent="0.15">
      <c r="A55" s="211" t="s">
        <v>34</v>
      </c>
      <c r="B55" s="203" t="s">
        <v>334</v>
      </c>
      <c r="C55" s="203">
        <v>2018</v>
      </c>
      <c r="D55" s="245" t="s">
        <v>386</v>
      </c>
      <c r="E55" s="232" t="s">
        <v>318</v>
      </c>
      <c r="F55" s="232" t="s">
        <v>319</v>
      </c>
      <c r="G55" s="211" t="s">
        <v>36</v>
      </c>
      <c r="H55" s="203" t="s">
        <v>155</v>
      </c>
      <c r="I55" s="211" t="s">
        <v>153</v>
      </c>
      <c r="J55" s="211" t="s">
        <v>38</v>
      </c>
      <c r="K55" s="211" t="s">
        <v>154</v>
      </c>
      <c r="L55" s="203">
        <v>3</v>
      </c>
      <c r="N55" s="203">
        <v>5</v>
      </c>
      <c r="O55" s="203">
        <v>1</v>
      </c>
      <c r="P55" s="203">
        <v>0.9</v>
      </c>
      <c r="Q55" s="240">
        <f t="shared" si="0"/>
        <v>0.95</v>
      </c>
      <c r="R55" s="203">
        <v>14.4</v>
      </c>
      <c r="S55" s="203">
        <v>90</v>
      </c>
      <c r="T55" s="212">
        <f t="shared" si="1"/>
        <v>36</v>
      </c>
      <c r="U55" s="203">
        <v>430</v>
      </c>
      <c r="V55" s="212">
        <f t="shared" si="2"/>
        <v>3096</v>
      </c>
      <c r="W55" s="203">
        <v>3</v>
      </c>
      <c r="X55" s="211" t="s">
        <v>39</v>
      </c>
      <c r="Y55" s="211" t="s">
        <v>84</v>
      </c>
      <c r="Z55" s="211" t="s">
        <v>90</v>
      </c>
      <c r="AA55" s="211" t="s">
        <v>69</v>
      </c>
      <c r="AB55" s="211" t="s">
        <v>336</v>
      </c>
    </row>
    <row r="56" spans="1:28" x14ac:dyDescent="0.15">
      <c r="A56" s="211" t="s">
        <v>34</v>
      </c>
      <c r="B56" s="203" t="s">
        <v>334</v>
      </c>
      <c r="C56" s="203">
        <v>2018</v>
      </c>
      <c r="D56" s="245" t="s">
        <v>386</v>
      </c>
      <c r="E56" s="232" t="s">
        <v>318</v>
      </c>
      <c r="F56" s="232" t="s">
        <v>319</v>
      </c>
      <c r="G56" s="211" t="s">
        <v>36</v>
      </c>
      <c r="H56" s="203" t="s">
        <v>166</v>
      </c>
      <c r="I56" s="211" t="s">
        <v>153</v>
      </c>
      <c r="J56" s="211" t="s">
        <v>38</v>
      </c>
      <c r="K56" s="211" t="s">
        <v>154</v>
      </c>
      <c r="L56" s="211">
        <v>1</v>
      </c>
      <c r="N56" s="203">
        <v>1</v>
      </c>
      <c r="O56" s="203">
        <v>0.6</v>
      </c>
      <c r="P56" s="203">
        <v>0.6</v>
      </c>
      <c r="Q56" s="240">
        <f t="shared" si="0"/>
        <v>0.6</v>
      </c>
      <c r="R56" s="203">
        <v>14.2</v>
      </c>
      <c r="S56" s="203">
        <v>119</v>
      </c>
      <c r="T56" s="212">
        <f t="shared" si="1"/>
        <v>30</v>
      </c>
      <c r="U56" s="203">
        <v>171</v>
      </c>
      <c r="V56" s="212">
        <f t="shared" si="2"/>
        <v>5130</v>
      </c>
      <c r="W56" s="203">
        <v>2</v>
      </c>
      <c r="X56" s="211" t="s">
        <v>39</v>
      </c>
      <c r="Y56" s="211" t="s">
        <v>84</v>
      </c>
      <c r="Z56" s="211" t="s">
        <v>90</v>
      </c>
      <c r="AA56" s="211" t="s">
        <v>69</v>
      </c>
      <c r="AB56" s="211" t="s">
        <v>336</v>
      </c>
    </row>
    <row r="57" spans="1:28" x14ac:dyDescent="0.15">
      <c r="A57" s="211" t="s">
        <v>34</v>
      </c>
      <c r="B57" s="203" t="s">
        <v>334</v>
      </c>
      <c r="C57" s="203">
        <v>2018</v>
      </c>
      <c r="D57" s="245" t="s">
        <v>386</v>
      </c>
      <c r="E57" s="232" t="s">
        <v>318</v>
      </c>
      <c r="F57" s="232" t="s">
        <v>319</v>
      </c>
      <c r="G57" s="211" t="s">
        <v>36</v>
      </c>
      <c r="H57" s="203" t="s">
        <v>166</v>
      </c>
      <c r="I57" s="211" t="s">
        <v>153</v>
      </c>
      <c r="J57" s="211" t="s">
        <v>38</v>
      </c>
      <c r="K57" s="211" t="s">
        <v>154</v>
      </c>
      <c r="L57" s="203">
        <v>2</v>
      </c>
      <c r="N57" s="203">
        <v>1</v>
      </c>
      <c r="O57" s="203">
        <v>0.6</v>
      </c>
      <c r="P57" s="203">
        <v>0.5</v>
      </c>
      <c r="Q57" s="240">
        <f t="shared" si="0"/>
        <v>0.55000000000000004</v>
      </c>
      <c r="R57" s="203">
        <v>14.4</v>
      </c>
      <c r="S57" s="203">
        <v>126</v>
      </c>
      <c r="T57" s="212">
        <f t="shared" si="1"/>
        <v>30</v>
      </c>
      <c r="U57" s="203">
        <v>171</v>
      </c>
      <c r="V57" s="212">
        <f t="shared" si="2"/>
        <v>5130</v>
      </c>
      <c r="W57" s="203">
        <v>2</v>
      </c>
      <c r="X57" s="211" t="s">
        <v>39</v>
      </c>
      <c r="Y57" s="211" t="s">
        <v>84</v>
      </c>
      <c r="Z57" s="211" t="s">
        <v>90</v>
      </c>
      <c r="AA57" s="211" t="s">
        <v>69</v>
      </c>
      <c r="AB57" s="211" t="s">
        <v>336</v>
      </c>
    </row>
    <row r="58" spans="1:28" x14ac:dyDescent="0.15">
      <c r="A58" s="211" t="s">
        <v>34</v>
      </c>
      <c r="B58" s="203" t="s">
        <v>334</v>
      </c>
      <c r="C58" s="203">
        <v>2018</v>
      </c>
      <c r="D58" s="245" t="s">
        <v>386</v>
      </c>
      <c r="E58" s="232" t="s">
        <v>318</v>
      </c>
      <c r="F58" s="232" t="s">
        <v>319</v>
      </c>
      <c r="G58" s="211" t="s">
        <v>36</v>
      </c>
      <c r="H58" s="203" t="s">
        <v>166</v>
      </c>
      <c r="I58" s="211" t="s">
        <v>153</v>
      </c>
      <c r="J58" s="211" t="s">
        <v>38</v>
      </c>
      <c r="K58" s="211" t="s">
        <v>154</v>
      </c>
      <c r="L58" s="203">
        <v>3</v>
      </c>
      <c r="N58" s="203">
        <v>1</v>
      </c>
      <c r="O58" s="203">
        <v>0.45</v>
      </c>
      <c r="P58" s="203">
        <v>0.5</v>
      </c>
      <c r="Q58" s="240">
        <f t="shared" si="0"/>
        <v>0.47499999999999998</v>
      </c>
      <c r="R58" s="203">
        <v>17.100000000000001</v>
      </c>
      <c r="S58" s="203">
        <v>131</v>
      </c>
      <c r="T58" s="212">
        <f t="shared" si="1"/>
        <v>30</v>
      </c>
      <c r="U58" s="203">
        <v>171</v>
      </c>
      <c r="V58" s="212">
        <f t="shared" si="2"/>
        <v>5130</v>
      </c>
      <c r="W58" s="203">
        <v>2</v>
      </c>
      <c r="X58" s="211" t="s">
        <v>39</v>
      </c>
      <c r="Y58" s="211" t="s">
        <v>84</v>
      </c>
      <c r="Z58" s="211" t="s">
        <v>90</v>
      </c>
      <c r="AA58" s="211" t="s">
        <v>69</v>
      </c>
      <c r="AB58" s="211" t="s">
        <v>336</v>
      </c>
    </row>
    <row r="59" spans="1:28" x14ac:dyDescent="0.15">
      <c r="A59" s="211" t="s">
        <v>34</v>
      </c>
      <c r="B59" s="203" t="s">
        <v>334</v>
      </c>
      <c r="C59" s="203">
        <v>2018</v>
      </c>
      <c r="D59" s="245" t="s">
        <v>386</v>
      </c>
      <c r="E59" s="232" t="s">
        <v>318</v>
      </c>
      <c r="F59" s="232" t="s">
        <v>319</v>
      </c>
      <c r="G59" s="211" t="s">
        <v>36</v>
      </c>
      <c r="H59" s="203" t="s">
        <v>129</v>
      </c>
      <c r="I59" s="211" t="s">
        <v>153</v>
      </c>
      <c r="J59" s="211" t="s">
        <v>117</v>
      </c>
      <c r="K59" s="211" t="s">
        <v>68</v>
      </c>
      <c r="L59" s="211">
        <v>1</v>
      </c>
      <c r="N59" s="203">
        <v>5</v>
      </c>
      <c r="O59" s="203">
        <v>0.2</v>
      </c>
      <c r="P59" s="203">
        <v>0.2</v>
      </c>
      <c r="Q59" s="240">
        <f t="shared" si="0"/>
        <v>0.2</v>
      </c>
      <c r="R59" s="203">
        <v>11.8</v>
      </c>
      <c r="S59" s="203">
        <v>67</v>
      </c>
      <c r="T59" s="212">
        <f t="shared" si="1"/>
        <v>50</v>
      </c>
      <c r="U59" s="203">
        <v>538</v>
      </c>
      <c r="V59" s="212">
        <f t="shared" si="2"/>
        <v>5380</v>
      </c>
      <c r="W59" s="203">
        <v>1</v>
      </c>
      <c r="X59" s="211" t="s">
        <v>39</v>
      </c>
      <c r="Y59" s="211" t="s">
        <v>84</v>
      </c>
      <c r="Z59" s="211" t="s">
        <v>90</v>
      </c>
      <c r="AA59" s="211" t="s">
        <v>69</v>
      </c>
      <c r="AB59" s="211" t="s">
        <v>336</v>
      </c>
    </row>
    <row r="60" spans="1:28" x14ac:dyDescent="0.15">
      <c r="A60" s="211" t="s">
        <v>34</v>
      </c>
      <c r="B60" s="203" t="s">
        <v>334</v>
      </c>
      <c r="C60" s="203">
        <v>2018</v>
      </c>
      <c r="D60" s="245" t="s">
        <v>386</v>
      </c>
      <c r="E60" s="232" t="s">
        <v>318</v>
      </c>
      <c r="F60" s="232" t="s">
        <v>319</v>
      </c>
      <c r="G60" s="211" t="s">
        <v>36</v>
      </c>
      <c r="H60" s="203" t="s">
        <v>129</v>
      </c>
      <c r="I60" s="211" t="s">
        <v>153</v>
      </c>
      <c r="J60" s="211" t="s">
        <v>117</v>
      </c>
      <c r="K60" s="211" t="s">
        <v>68</v>
      </c>
      <c r="L60" s="203">
        <v>2</v>
      </c>
      <c r="N60" s="203">
        <v>5</v>
      </c>
      <c r="O60" s="203">
        <v>0.2</v>
      </c>
      <c r="P60" s="203">
        <v>0.2</v>
      </c>
      <c r="Q60" s="240">
        <f t="shared" si="0"/>
        <v>0.2</v>
      </c>
      <c r="R60" s="203">
        <v>14.5</v>
      </c>
      <c r="S60" s="203">
        <v>62</v>
      </c>
      <c r="T60" s="212">
        <f t="shared" si="1"/>
        <v>50</v>
      </c>
      <c r="U60" s="203">
        <v>538</v>
      </c>
      <c r="V60" s="212">
        <f t="shared" si="2"/>
        <v>5380</v>
      </c>
      <c r="W60" s="203">
        <v>1</v>
      </c>
      <c r="X60" s="211" t="s">
        <v>39</v>
      </c>
      <c r="Y60" s="211" t="s">
        <v>84</v>
      </c>
      <c r="Z60" s="211" t="s">
        <v>90</v>
      </c>
      <c r="AA60" s="211" t="s">
        <v>69</v>
      </c>
      <c r="AB60" s="211" t="s">
        <v>336</v>
      </c>
    </row>
    <row r="61" spans="1:28" x14ac:dyDescent="0.15">
      <c r="A61" s="211" t="s">
        <v>34</v>
      </c>
      <c r="B61" s="203" t="s">
        <v>334</v>
      </c>
      <c r="C61" s="203">
        <v>2018</v>
      </c>
      <c r="D61" s="245" t="s">
        <v>386</v>
      </c>
      <c r="E61" s="232" t="s">
        <v>318</v>
      </c>
      <c r="F61" s="232" t="s">
        <v>319</v>
      </c>
      <c r="G61" s="211" t="s">
        <v>36</v>
      </c>
      <c r="H61" s="203" t="s">
        <v>129</v>
      </c>
      <c r="I61" s="211" t="s">
        <v>153</v>
      </c>
      <c r="J61" s="211" t="s">
        <v>117</v>
      </c>
      <c r="K61" s="211" t="s">
        <v>68</v>
      </c>
      <c r="L61" s="203">
        <v>3</v>
      </c>
      <c r="N61" s="203">
        <v>5</v>
      </c>
      <c r="O61" s="203">
        <v>0.2</v>
      </c>
      <c r="P61" s="203">
        <v>0.2</v>
      </c>
      <c r="Q61" s="240">
        <f t="shared" si="0"/>
        <v>0.2</v>
      </c>
      <c r="R61" s="203">
        <v>13.9</v>
      </c>
      <c r="S61" s="203">
        <v>75</v>
      </c>
      <c r="T61" s="212">
        <f t="shared" si="1"/>
        <v>42</v>
      </c>
      <c r="U61" s="203">
        <v>538</v>
      </c>
      <c r="V61" s="212">
        <f t="shared" si="2"/>
        <v>4519.2</v>
      </c>
      <c r="W61" s="203">
        <v>1</v>
      </c>
      <c r="X61" s="211" t="s">
        <v>39</v>
      </c>
      <c r="Y61" s="211" t="s">
        <v>84</v>
      </c>
      <c r="Z61" s="211" t="s">
        <v>90</v>
      </c>
      <c r="AA61" s="211" t="s">
        <v>69</v>
      </c>
      <c r="AB61" s="211" t="s">
        <v>336</v>
      </c>
    </row>
    <row r="62" spans="1:28" x14ac:dyDescent="0.15">
      <c r="A62" s="211" t="s">
        <v>34</v>
      </c>
      <c r="B62" s="203" t="s">
        <v>334</v>
      </c>
      <c r="C62" s="203">
        <v>2018</v>
      </c>
      <c r="D62" s="245" t="s">
        <v>386</v>
      </c>
      <c r="E62" s="232" t="s">
        <v>320</v>
      </c>
      <c r="F62" s="232" t="s">
        <v>321</v>
      </c>
      <c r="G62" s="211" t="s">
        <v>36</v>
      </c>
      <c r="H62" s="203" t="s">
        <v>155</v>
      </c>
      <c r="I62" s="211" t="s">
        <v>153</v>
      </c>
      <c r="J62" s="211" t="s">
        <v>38</v>
      </c>
      <c r="K62" s="211" t="s">
        <v>154</v>
      </c>
      <c r="L62" s="211">
        <v>1</v>
      </c>
      <c r="N62" s="203">
        <v>1</v>
      </c>
      <c r="O62" s="203">
        <v>0.2</v>
      </c>
      <c r="P62" s="203">
        <v>0.65</v>
      </c>
      <c r="Q62" s="240">
        <f t="shared" si="0"/>
        <v>0.42500000000000004</v>
      </c>
      <c r="R62" s="203">
        <v>13.9</v>
      </c>
      <c r="S62" s="203">
        <v>129</v>
      </c>
      <c r="T62" s="212">
        <f t="shared" si="1"/>
        <v>30</v>
      </c>
      <c r="U62" s="203">
        <v>108</v>
      </c>
      <c r="V62" s="212">
        <f t="shared" si="2"/>
        <v>3240</v>
      </c>
      <c r="W62" s="203">
        <v>2</v>
      </c>
      <c r="X62" s="211" t="s">
        <v>46</v>
      </c>
      <c r="Y62" s="211" t="s">
        <v>84</v>
      </c>
      <c r="Z62" s="211" t="s">
        <v>50</v>
      </c>
      <c r="AA62" s="211" t="s">
        <v>90</v>
      </c>
      <c r="AB62" s="211" t="s">
        <v>336</v>
      </c>
    </row>
    <row r="63" spans="1:28" x14ac:dyDescent="0.15">
      <c r="A63" s="211" t="s">
        <v>34</v>
      </c>
      <c r="B63" s="203" t="s">
        <v>334</v>
      </c>
      <c r="C63" s="203">
        <v>2018</v>
      </c>
      <c r="D63" s="245" t="s">
        <v>386</v>
      </c>
      <c r="E63" s="232" t="s">
        <v>320</v>
      </c>
      <c r="F63" s="232" t="s">
        <v>321</v>
      </c>
      <c r="G63" s="211" t="s">
        <v>36</v>
      </c>
      <c r="H63" s="203" t="s">
        <v>155</v>
      </c>
      <c r="I63" s="211" t="s">
        <v>153</v>
      </c>
      <c r="J63" s="211" t="s">
        <v>38</v>
      </c>
      <c r="K63" s="211" t="s">
        <v>154</v>
      </c>
      <c r="L63" s="203">
        <v>2</v>
      </c>
      <c r="N63" s="203">
        <v>1</v>
      </c>
      <c r="O63" s="203">
        <v>0.8</v>
      </c>
      <c r="P63" s="203">
        <v>0.55000000000000004</v>
      </c>
      <c r="Q63" s="240">
        <f t="shared" si="0"/>
        <v>0.67500000000000004</v>
      </c>
      <c r="R63" s="203">
        <v>14.1</v>
      </c>
      <c r="S63" s="203">
        <v>136</v>
      </c>
      <c r="T63" s="212">
        <f t="shared" si="1"/>
        <v>30</v>
      </c>
      <c r="U63" s="203">
        <v>108</v>
      </c>
      <c r="V63" s="212">
        <f t="shared" si="2"/>
        <v>3240</v>
      </c>
      <c r="W63" s="203">
        <v>2</v>
      </c>
      <c r="X63" s="211" t="s">
        <v>46</v>
      </c>
      <c r="Y63" s="211" t="s">
        <v>84</v>
      </c>
      <c r="Z63" s="211" t="s">
        <v>50</v>
      </c>
      <c r="AA63" s="211" t="s">
        <v>90</v>
      </c>
      <c r="AB63" s="211" t="s">
        <v>336</v>
      </c>
    </row>
    <row r="64" spans="1:28" x14ac:dyDescent="0.15">
      <c r="A64" s="211" t="s">
        <v>34</v>
      </c>
      <c r="B64" s="203" t="s">
        <v>334</v>
      </c>
      <c r="C64" s="203">
        <v>2018</v>
      </c>
      <c r="D64" s="245" t="s">
        <v>386</v>
      </c>
      <c r="E64" s="232" t="s">
        <v>320</v>
      </c>
      <c r="F64" s="232" t="s">
        <v>321</v>
      </c>
      <c r="G64" s="211" t="s">
        <v>36</v>
      </c>
      <c r="H64" s="203" t="s">
        <v>155</v>
      </c>
      <c r="I64" s="211" t="s">
        <v>153</v>
      </c>
      <c r="J64" s="211" t="s">
        <v>38</v>
      </c>
      <c r="K64" s="211" t="s">
        <v>154</v>
      </c>
      <c r="L64" s="203">
        <v>3</v>
      </c>
      <c r="N64" s="203">
        <v>1</v>
      </c>
      <c r="O64" s="203">
        <v>0.7</v>
      </c>
      <c r="P64" s="203">
        <v>0.45</v>
      </c>
      <c r="Q64" s="240">
        <f t="shared" si="0"/>
        <v>0.57499999999999996</v>
      </c>
      <c r="R64" s="203">
        <v>13.9</v>
      </c>
      <c r="S64" s="203">
        <v>130</v>
      </c>
      <c r="T64" s="212">
        <f t="shared" si="1"/>
        <v>30</v>
      </c>
      <c r="U64" s="203">
        <v>108</v>
      </c>
      <c r="V64" s="212">
        <f t="shared" si="2"/>
        <v>3240</v>
      </c>
      <c r="W64" s="203">
        <v>2</v>
      </c>
      <c r="X64" s="211" t="s">
        <v>46</v>
      </c>
      <c r="Y64" s="211" t="s">
        <v>84</v>
      </c>
      <c r="Z64" s="211" t="s">
        <v>50</v>
      </c>
      <c r="AA64" s="211" t="s">
        <v>90</v>
      </c>
      <c r="AB64" s="211" t="s">
        <v>336</v>
      </c>
    </row>
    <row r="65" spans="1:28" x14ac:dyDescent="0.15">
      <c r="A65" s="211" t="s">
        <v>34</v>
      </c>
      <c r="B65" s="203" t="s">
        <v>334</v>
      </c>
      <c r="C65" s="203">
        <v>2018</v>
      </c>
      <c r="D65" s="245" t="s">
        <v>386</v>
      </c>
      <c r="E65" s="232" t="s">
        <v>320</v>
      </c>
      <c r="F65" s="232" t="s">
        <v>321</v>
      </c>
      <c r="G65" s="211" t="s">
        <v>36</v>
      </c>
      <c r="H65" s="203" t="s">
        <v>127</v>
      </c>
      <c r="I65" s="211" t="s">
        <v>153</v>
      </c>
      <c r="J65" s="211" t="s">
        <v>80</v>
      </c>
      <c r="K65" s="211" t="s">
        <v>94</v>
      </c>
      <c r="L65" s="211">
        <v>1</v>
      </c>
      <c r="N65" s="203">
        <v>5</v>
      </c>
      <c r="O65" s="203">
        <v>3</v>
      </c>
      <c r="P65" s="203">
        <v>2.85</v>
      </c>
      <c r="Q65" s="240">
        <f t="shared" si="0"/>
        <v>2.9249999999999998</v>
      </c>
      <c r="R65" s="203">
        <v>9.1999999999999993</v>
      </c>
      <c r="S65" s="203">
        <v>96</v>
      </c>
      <c r="T65" s="212">
        <f t="shared" si="1"/>
        <v>36</v>
      </c>
      <c r="U65" s="203">
        <v>321</v>
      </c>
      <c r="V65" s="212">
        <f t="shared" si="2"/>
        <v>2311.2000000000003</v>
      </c>
      <c r="W65" s="203">
        <v>2</v>
      </c>
      <c r="X65" s="211" t="s">
        <v>46</v>
      </c>
      <c r="Y65" s="211" t="s">
        <v>84</v>
      </c>
      <c r="Z65" s="211" t="s">
        <v>50</v>
      </c>
      <c r="AA65" s="211" t="s">
        <v>90</v>
      </c>
      <c r="AB65" s="211" t="s">
        <v>336</v>
      </c>
    </row>
    <row r="66" spans="1:28" x14ac:dyDescent="0.15">
      <c r="A66" s="211" t="s">
        <v>34</v>
      </c>
      <c r="B66" s="203" t="s">
        <v>334</v>
      </c>
      <c r="C66" s="203">
        <v>2018</v>
      </c>
      <c r="D66" s="245" t="s">
        <v>386</v>
      </c>
      <c r="E66" s="232" t="s">
        <v>320</v>
      </c>
      <c r="F66" s="232" t="s">
        <v>321</v>
      </c>
      <c r="G66" s="211" t="s">
        <v>36</v>
      </c>
      <c r="H66" s="203" t="s">
        <v>127</v>
      </c>
      <c r="I66" s="211" t="s">
        <v>153</v>
      </c>
      <c r="J66" s="211" t="s">
        <v>80</v>
      </c>
      <c r="K66" s="211" t="s">
        <v>94</v>
      </c>
      <c r="L66" s="203">
        <v>2</v>
      </c>
      <c r="N66" s="203">
        <v>5</v>
      </c>
      <c r="O66" s="203">
        <v>2.7</v>
      </c>
      <c r="P66" s="203">
        <v>2.2000000000000002</v>
      </c>
      <c r="Q66" s="240">
        <f t="shared" si="0"/>
        <v>2.4500000000000002</v>
      </c>
      <c r="R66" s="203">
        <v>10</v>
      </c>
      <c r="S66" s="203">
        <v>97</v>
      </c>
      <c r="T66" s="212">
        <f t="shared" si="1"/>
        <v>36</v>
      </c>
      <c r="U66" s="203">
        <v>321</v>
      </c>
      <c r="V66" s="212">
        <f t="shared" si="2"/>
        <v>2311.2000000000003</v>
      </c>
      <c r="W66" s="203">
        <v>2</v>
      </c>
      <c r="X66" s="211" t="s">
        <v>46</v>
      </c>
      <c r="Y66" s="211" t="s">
        <v>84</v>
      </c>
      <c r="Z66" s="211" t="s">
        <v>50</v>
      </c>
      <c r="AA66" s="211" t="s">
        <v>90</v>
      </c>
      <c r="AB66" s="211" t="s">
        <v>336</v>
      </c>
    </row>
    <row r="67" spans="1:28" x14ac:dyDescent="0.15">
      <c r="A67" s="211" t="s">
        <v>34</v>
      </c>
      <c r="B67" s="203" t="s">
        <v>334</v>
      </c>
      <c r="C67" s="203">
        <v>2018</v>
      </c>
      <c r="D67" s="245" t="s">
        <v>386</v>
      </c>
      <c r="E67" s="232" t="s">
        <v>320</v>
      </c>
      <c r="F67" s="232" t="s">
        <v>321</v>
      </c>
      <c r="G67" s="211" t="s">
        <v>36</v>
      </c>
      <c r="H67" s="203" t="s">
        <v>127</v>
      </c>
      <c r="I67" s="211" t="s">
        <v>153</v>
      </c>
      <c r="J67" s="211" t="s">
        <v>80</v>
      </c>
      <c r="K67" s="211" t="s">
        <v>94</v>
      </c>
      <c r="L67" s="203">
        <v>3</v>
      </c>
      <c r="N67" s="203">
        <v>5</v>
      </c>
      <c r="O67" s="203">
        <v>1.7</v>
      </c>
      <c r="P67" s="203">
        <v>2.25</v>
      </c>
      <c r="Q67" s="240">
        <f t="shared" si="0"/>
        <v>1.9750000000000001</v>
      </c>
      <c r="R67" s="203">
        <v>13.9</v>
      </c>
      <c r="S67" s="203">
        <v>106</v>
      </c>
      <c r="T67" s="212">
        <f t="shared" si="1"/>
        <v>33</v>
      </c>
      <c r="U67" s="203">
        <v>321</v>
      </c>
      <c r="V67" s="212">
        <f t="shared" si="2"/>
        <v>2118.6</v>
      </c>
      <c r="W67" s="203">
        <v>2</v>
      </c>
      <c r="X67" s="211" t="s">
        <v>46</v>
      </c>
      <c r="Y67" s="211" t="s">
        <v>84</v>
      </c>
      <c r="Z67" s="211" t="s">
        <v>50</v>
      </c>
      <c r="AA67" s="211" t="s">
        <v>90</v>
      </c>
      <c r="AB67" s="211" t="s">
        <v>336</v>
      </c>
    </row>
    <row r="68" spans="1:28" x14ac:dyDescent="0.15">
      <c r="A68" s="211" t="s">
        <v>34</v>
      </c>
      <c r="B68" s="203" t="s">
        <v>334</v>
      </c>
      <c r="C68" s="203">
        <v>2018</v>
      </c>
      <c r="D68" s="245" t="s">
        <v>386</v>
      </c>
      <c r="E68" s="232" t="s">
        <v>322</v>
      </c>
      <c r="F68" s="232" t="s">
        <v>323</v>
      </c>
      <c r="G68" s="211" t="s">
        <v>36</v>
      </c>
      <c r="H68" s="203" t="s">
        <v>155</v>
      </c>
      <c r="I68" s="211" t="s">
        <v>153</v>
      </c>
      <c r="J68" s="211" t="s">
        <v>38</v>
      </c>
      <c r="K68" s="211" t="s">
        <v>154</v>
      </c>
      <c r="L68" s="211">
        <v>1</v>
      </c>
      <c r="N68" s="203">
        <v>1</v>
      </c>
      <c r="O68" s="203">
        <v>0.75</v>
      </c>
      <c r="P68" s="203">
        <v>0.8</v>
      </c>
      <c r="Q68" s="240">
        <f t="shared" si="0"/>
        <v>0.77500000000000002</v>
      </c>
      <c r="R68" s="203">
        <v>13.8</v>
      </c>
      <c r="S68" s="203">
        <v>136</v>
      </c>
      <c r="T68" s="212">
        <f t="shared" si="1"/>
        <v>30</v>
      </c>
      <c r="U68" s="203">
        <v>108</v>
      </c>
      <c r="V68" s="212">
        <f t="shared" si="2"/>
        <v>3240</v>
      </c>
      <c r="W68" s="203">
        <v>2</v>
      </c>
      <c r="X68" s="211" t="s">
        <v>46</v>
      </c>
      <c r="Y68" s="211" t="s">
        <v>84</v>
      </c>
      <c r="Z68" s="211" t="s">
        <v>50</v>
      </c>
      <c r="AA68" s="211" t="s">
        <v>90</v>
      </c>
      <c r="AB68" s="211" t="s">
        <v>336</v>
      </c>
    </row>
    <row r="69" spans="1:28" x14ac:dyDescent="0.15">
      <c r="A69" s="211" t="s">
        <v>34</v>
      </c>
      <c r="B69" s="203" t="s">
        <v>334</v>
      </c>
      <c r="C69" s="203">
        <v>2018</v>
      </c>
      <c r="D69" s="245" t="s">
        <v>386</v>
      </c>
      <c r="E69" s="232" t="s">
        <v>322</v>
      </c>
      <c r="F69" s="232" t="s">
        <v>323</v>
      </c>
      <c r="G69" s="211" t="s">
        <v>36</v>
      </c>
      <c r="H69" s="203" t="s">
        <v>155</v>
      </c>
      <c r="I69" s="211" t="s">
        <v>153</v>
      </c>
      <c r="J69" s="211" t="s">
        <v>38</v>
      </c>
      <c r="K69" s="211" t="s">
        <v>154</v>
      </c>
      <c r="L69" s="203">
        <v>2</v>
      </c>
      <c r="N69" s="203">
        <v>1</v>
      </c>
      <c r="O69" s="203">
        <v>0.85</v>
      </c>
      <c r="P69" s="203">
        <v>0.85</v>
      </c>
      <c r="Q69" s="240">
        <f t="shared" si="0"/>
        <v>0.85</v>
      </c>
      <c r="R69" s="203">
        <v>13.7</v>
      </c>
      <c r="S69" s="203">
        <v>141</v>
      </c>
      <c r="T69" s="212">
        <f t="shared" si="1"/>
        <v>30</v>
      </c>
      <c r="U69" s="203">
        <v>108</v>
      </c>
      <c r="V69" s="212">
        <f t="shared" si="2"/>
        <v>3240</v>
      </c>
      <c r="W69" s="203">
        <v>2</v>
      </c>
      <c r="X69" s="211" t="s">
        <v>46</v>
      </c>
      <c r="Y69" s="211" t="s">
        <v>84</v>
      </c>
      <c r="Z69" s="211" t="s">
        <v>50</v>
      </c>
      <c r="AA69" s="211" t="s">
        <v>90</v>
      </c>
      <c r="AB69" s="211" t="s">
        <v>336</v>
      </c>
    </row>
    <row r="70" spans="1:28" x14ac:dyDescent="0.15">
      <c r="A70" s="211" t="s">
        <v>34</v>
      </c>
      <c r="B70" s="203" t="s">
        <v>334</v>
      </c>
      <c r="C70" s="203">
        <v>2018</v>
      </c>
      <c r="D70" s="245" t="s">
        <v>386</v>
      </c>
      <c r="E70" s="232" t="s">
        <v>322</v>
      </c>
      <c r="F70" s="232" t="s">
        <v>323</v>
      </c>
      <c r="G70" s="211" t="s">
        <v>36</v>
      </c>
      <c r="H70" s="203" t="s">
        <v>155</v>
      </c>
      <c r="I70" s="211" t="s">
        <v>153</v>
      </c>
      <c r="J70" s="211" t="s">
        <v>38</v>
      </c>
      <c r="K70" s="211" t="s">
        <v>154</v>
      </c>
      <c r="L70" s="203">
        <v>3</v>
      </c>
      <c r="N70" s="203">
        <v>1</v>
      </c>
      <c r="O70" s="203">
        <v>0.85</v>
      </c>
      <c r="P70" s="203">
        <v>0.8</v>
      </c>
      <c r="Q70" s="240">
        <f t="shared" si="0"/>
        <v>0.82499999999999996</v>
      </c>
      <c r="R70" s="203">
        <v>14.1</v>
      </c>
      <c r="S70" s="203">
        <v>137</v>
      </c>
      <c r="T70" s="212">
        <f t="shared" si="1"/>
        <v>30</v>
      </c>
      <c r="U70" s="203">
        <v>108</v>
      </c>
      <c r="V70" s="212">
        <f t="shared" si="2"/>
        <v>3240</v>
      </c>
      <c r="W70" s="203">
        <v>2</v>
      </c>
      <c r="X70" s="211" t="s">
        <v>46</v>
      </c>
      <c r="Y70" s="211" t="s">
        <v>84</v>
      </c>
      <c r="Z70" s="211" t="s">
        <v>50</v>
      </c>
      <c r="AA70" s="211" t="s">
        <v>90</v>
      </c>
      <c r="AB70" s="211" t="s">
        <v>336</v>
      </c>
    </row>
    <row r="71" spans="1:28" x14ac:dyDescent="0.15">
      <c r="A71" s="211" t="s">
        <v>34</v>
      </c>
      <c r="B71" s="203" t="s">
        <v>334</v>
      </c>
      <c r="C71" s="203">
        <v>2018</v>
      </c>
      <c r="D71" s="245" t="s">
        <v>386</v>
      </c>
      <c r="E71" s="232" t="s">
        <v>322</v>
      </c>
      <c r="F71" s="232" t="s">
        <v>323</v>
      </c>
      <c r="G71" s="211" t="s">
        <v>36</v>
      </c>
      <c r="H71" s="203" t="s">
        <v>128</v>
      </c>
      <c r="I71" s="211" t="s">
        <v>153</v>
      </c>
      <c r="J71" s="211" t="s">
        <v>80</v>
      </c>
      <c r="K71" s="211" t="s">
        <v>63</v>
      </c>
      <c r="L71" s="211">
        <v>1</v>
      </c>
      <c r="N71" s="203">
        <v>4</v>
      </c>
      <c r="O71" s="203">
        <v>0.65</v>
      </c>
      <c r="P71" s="203">
        <v>0.6</v>
      </c>
      <c r="Q71" s="240">
        <f t="shared" si="0"/>
        <v>0.625</v>
      </c>
      <c r="R71" s="203">
        <v>14.5</v>
      </c>
      <c r="S71" s="203">
        <v>74</v>
      </c>
      <c r="T71" s="212">
        <f t="shared" si="1"/>
        <v>42</v>
      </c>
      <c r="U71" s="203">
        <v>430</v>
      </c>
      <c r="V71" s="212">
        <f t="shared" si="2"/>
        <v>4515</v>
      </c>
      <c r="W71" s="203">
        <v>2</v>
      </c>
      <c r="X71" s="211" t="s">
        <v>46</v>
      </c>
      <c r="Y71" s="211" t="s">
        <v>84</v>
      </c>
      <c r="Z71" s="211" t="s">
        <v>50</v>
      </c>
      <c r="AA71" s="211" t="s">
        <v>90</v>
      </c>
      <c r="AB71" s="211" t="s">
        <v>336</v>
      </c>
    </row>
    <row r="72" spans="1:28" x14ac:dyDescent="0.15">
      <c r="A72" s="211" t="s">
        <v>34</v>
      </c>
      <c r="B72" s="203" t="s">
        <v>334</v>
      </c>
      <c r="C72" s="203">
        <v>2018</v>
      </c>
      <c r="D72" s="245" t="s">
        <v>386</v>
      </c>
      <c r="E72" s="232" t="s">
        <v>322</v>
      </c>
      <c r="F72" s="232" t="s">
        <v>323</v>
      </c>
      <c r="G72" s="211" t="s">
        <v>36</v>
      </c>
      <c r="H72" s="203" t="s">
        <v>128</v>
      </c>
      <c r="I72" s="211" t="s">
        <v>153</v>
      </c>
      <c r="J72" s="211" t="s">
        <v>80</v>
      </c>
      <c r="K72" s="211" t="s">
        <v>63</v>
      </c>
      <c r="L72" s="203">
        <v>2</v>
      </c>
      <c r="N72" s="203">
        <v>4</v>
      </c>
      <c r="O72" s="203">
        <v>0.6</v>
      </c>
      <c r="P72" s="203">
        <v>0.6</v>
      </c>
      <c r="Q72" s="240">
        <f t="shared" si="0"/>
        <v>0.6</v>
      </c>
      <c r="R72" s="203">
        <v>13.7</v>
      </c>
      <c r="S72" s="203">
        <v>77</v>
      </c>
      <c r="T72" s="212">
        <f t="shared" si="1"/>
        <v>39</v>
      </c>
      <c r="U72" s="203">
        <v>430</v>
      </c>
      <c r="V72" s="212">
        <f t="shared" si="2"/>
        <v>4192.5</v>
      </c>
      <c r="W72" s="203">
        <v>2</v>
      </c>
      <c r="X72" s="211" t="s">
        <v>46</v>
      </c>
      <c r="Y72" s="211" t="s">
        <v>84</v>
      </c>
      <c r="Z72" s="211" t="s">
        <v>50</v>
      </c>
      <c r="AA72" s="211" t="s">
        <v>90</v>
      </c>
      <c r="AB72" s="211" t="s">
        <v>336</v>
      </c>
    </row>
    <row r="73" spans="1:28" x14ac:dyDescent="0.15">
      <c r="A73" s="211" t="s">
        <v>34</v>
      </c>
      <c r="B73" s="203" t="s">
        <v>334</v>
      </c>
      <c r="C73" s="203">
        <v>2018</v>
      </c>
      <c r="D73" s="245" t="s">
        <v>386</v>
      </c>
      <c r="E73" s="232" t="s">
        <v>322</v>
      </c>
      <c r="F73" s="232" t="s">
        <v>323</v>
      </c>
      <c r="G73" s="211" t="s">
        <v>36</v>
      </c>
      <c r="H73" s="203" t="s">
        <v>128</v>
      </c>
      <c r="I73" s="211" t="s">
        <v>153</v>
      </c>
      <c r="J73" s="211" t="s">
        <v>80</v>
      </c>
      <c r="K73" s="211" t="s">
        <v>63</v>
      </c>
      <c r="L73" s="203">
        <v>3</v>
      </c>
      <c r="N73" s="203">
        <v>4</v>
      </c>
      <c r="O73" s="203">
        <v>0.55000000000000004</v>
      </c>
      <c r="P73" s="203">
        <v>0.6</v>
      </c>
      <c r="Q73" s="240">
        <f t="shared" si="0"/>
        <v>0.57499999999999996</v>
      </c>
      <c r="R73" s="203">
        <v>14.5</v>
      </c>
      <c r="S73" s="203">
        <v>80</v>
      </c>
      <c r="T73" s="212">
        <f t="shared" si="1"/>
        <v>39</v>
      </c>
      <c r="U73" s="203">
        <v>430</v>
      </c>
      <c r="V73" s="212">
        <f t="shared" si="2"/>
        <v>4192.5</v>
      </c>
      <c r="W73" s="203">
        <v>2</v>
      </c>
      <c r="X73" s="211" t="s">
        <v>46</v>
      </c>
      <c r="Y73" s="211" t="s">
        <v>84</v>
      </c>
      <c r="Z73" s="211" t="s">
        <v>50</v>
      </c>
      <c r="AA73" s="211" t="s">
        <v>90</v>
      </c>
      <c r="AB73" s="211" t="s">
        <v>336</v>
      </c>
    </row>
    <row r="74" spans="1:28" x14ac:dyDescent="0.15">
      <c r="A74" s="211" t="s">
        <v>34</v>
      </c>
      <c r="B74" s="203" t="s">
        <v>334</v>
      </c>
      <c r="C74" s="203">
        <v>2018</v>
      </c>
      <c r="D74" s="245" t="s">
        <v>386</v>
      </c>
      <c r="E74" s="232" t="s">
        <v>324</v>
      </c>
      <c r="F74" s="232" t="s">
        <v>325</v>
      </c>
      <c r="G74" s="211" t="s">
        <v>36</v>
      </c>
      <c r="H74" s="203" t="s">
        <v>155</v>
      </c>
      <c r="I74" s="211" t="s">
        <v>153</v>
      </c>
      <c r="J74" s="211" t="s">
        <v>38</v>
      </c>
      <c r="K74" s="211" t="s">
        <v>154</v>
      </c>
      <c r="L74" s="211">
        <v>1</v>
      </c>
      <c r="N74" s="203">
        <v>1</v>
      </c>
      <c r="O74" s="203">
        <v>1.05</v>
      </c>
      <c r="P74" s="203">
        <v>0.85</v>
      </c>
      <c r="Q74" s="240">
        <f t="shared" si="0"/>
        <v>0.95</v>
      </c>
      <c r="R74" s="203">
        <v>13.7</v>
      </c>
      <c r="S74" s="203">
        <v>146</v>
      </c>
      <c r="T74" s="212">
        <f t="shared" si="1"/>
        <v>30</v>
      </c>
      <c r="U74" s="203">
        <v>138</v>
      </c>
      <c r="V74" s="212">
        <f t="shared" si="2"/>
        <v>4140</v>
      </c>
      <c r="W74" s="203">
        <v>3</v>
      </c>
      <c r="X74" s="211" t="s">
        <v>46</v>
      </c>
      <c r="Y74" s="211" t="s">
        <v>84</v>
      </c>
      <c r="Z74" s="211" t="s">
        <v>90</v>
      </c>
      <c r="AA74" s="203" t="s">
        <v>50</v>
      </c>
      <c r="AB74" s="211" t="s">
        <v>336</v>
      </c>
    </row>
    <row r="75" spans="1:28" x14ac:dyDescent="0.15">
      <c r="A75" s="211" t="s">
        <v>34</v>
      </c>
      <c r="B75" s="203" t="s">
        <v>334</v>
      </c>
      <c r="C75" s="203">
        <v>2018</v>
      </c>
      <c r="D75" s="245" t="s">
        <v>386</v>
      </c>
      <c r="E75" s="232" t="s">
        <v>324</v>
      </c>
      <c r="F75" s="232" t="s">
        <v>325</v>
      </c>
      <c r="G75" s="211" t="s">
        <v>36</v>
      </c>
      <c r="H75" s="203" t="s">
        <v>155</v>
      </c>
      <c r="I75" s="211" t="s">
        <v>153</v>
      </c>
      <c r="J75" s="211" t="s">
        <v>38</v>
      </c>
      <c r="K75" s="211" t="s">
        <v>154</v>
      </c>
      <c r="L75" s="203">
        <v>2</v>
      </c>
      <c r="N75" s="203">
        <v>1</v>
      </c>
      <c r="O75" s="203">
        <v>0.9</v>
      </c>
      <c r="P75" s="203">
        <v>0.95</v>
      </c>
      <c r="Q75" s="240">
        <f t="shared" si="0"/>
        <v>0.92500000000000004</v>
      </c>
      <c r="R75" s="203">
        <v>10.8</v>
      </c>
      <c r="S75" s="203">
        <v>144</v>
      </c>
      <c r="T75" s="212">
        <f t="shared" si="1"/>
        <v>30</v>
      </c>
      <c r="U75" s="203">
        <v>138</v>
      </c>
      <c r="V75" s="212">
        <f t="shared" si="2"/>
        <v>4140</v>
      </c>
      <c r="W75" s="203">
        <v>3</v>
      </c>
      <c r="X75" s="211" t="s">
        <v>46</v>
      </c>
      <c r="Y75" s="211" t="s">
        <v>84</v>
      </c>
      <c r="Z75" s="211" t="s">
        <v>90</v>
      </c>
      <c r="AA75" s="203" t="s">
        <v>50</v>
      </c>
      <c r="AB75" s="211" t="s">
        <v>336</v>
      </c>
    </row>
    <row r="76" spans="1:28" x14ac:dyDescent="0.15">
      <c r="A76" s="211" t="s">
        <v>34</v>
      </c>
      <c r="B76" s="203" t="s">
        <v>334</v>
      </c>
      <c r="C76" s="203">
        <v>2018</v>
      </c>
      <c r="D76" s="245" t="s">
        <v>386</v>
      </c>
      <c r="E76" s="232" t="s">
        <v>324</v>
      </c>
      <c r="F76" s="232" t="s">
        <v>325</v>
      </c>
      <c r="G76" s="211" t="s">
        <v>36</v>
      </c>
      <c r="H76" s="203" t="s">
        <v>155</v>
      </c>
      <c r="I76" s="211" t="s">
        <v>153</v>
      </c>
      <c r="J76" s="211" t="s">
        <v>38</v>
      </c>
      <c r="K76" s="211" t="s">
        <v>154</v>
      </c>
      <c r="L76" s="203">
        <v>3</v>
      </c>
      <c r="N76" s="203">
        <v>1</v>
      </c>
      <c r="O76" s="203">
        <v>0.9</v>
      </c>
      <c r="P76" s="203">
        <v>1.1000000000000001</v>
      </c>
      <c r="Q76" s="240">
        <f t="shared" si="0"/>
        <v>1</v>
      </c>
      <c r="R76" s="203">
        <v>14.1</v>
      </c>
      <c r="S76" s="203">
        <v>137</v>
      </c>
      <c r="T76" s="212">
        <f t="shared" si="1"/>
        <v>30</v>
      </c>
      <c r="U76" s="203">
        <v>138</v>
      </c>
      <c r="V76" s="212">
        <f t="shared" si="2"/>
        <v>4140</v>
      </c>
      <c r="W76" s="203">
        <v>3</v>
      </c>
      <c r="X76" s="211" t="s">
        <v>46</v>
      </c>
      <c r="Y76" s="211" t="s">
        <v>84</v>
      </c>
      <c r="Z76" s="211" t="s">
        <v>90</v>
      </c>
      <c r="AA76" s="203" t="s">
        <v>50</v>
      </c>
      <c r="AB76" s="211" t="s">
        <v>336</v>
      </c>
    </row>
    <row r="77" spans="1:28" x14ac:dyDescent="0.15">
      <c r="A77" s="211" t="s">
        <v>34</v>
      </c>
      <c r="B77" s="203" t="s">
        <v>334</v>
      </c>
      <c r="C77" s="203">
        <v>2018</v>
      </c>
      <c r="D77" s="245" t="s">
        <v>386</v>
      </c>
      <c r="E77" s="232" t="s">
        <v>324</v>
      </c>
      <c r="F77" s="232" t="s">
        <v>325</v>
      </c>
      <c r="G77" s="211" t="s">
        <v>36</v>
      </c>
      <c r="H77" s="203" t="s">
        <v>155</v>
      </c>
      <c r="I77" s="211" t="s">
        <v>156</v>
      </c>
      <c r="J77" s="211" t="s">
        <v>38</v>
      </c>
      <c r="K77" s="211" t="s">
        <v>154</v>
      </c>
      <c r="L77" s="211">
        <v>1</v>
      </c>
      <c r="N77" s="203">
        <v>4</v>
      </c>
      <c r="O77" s="203">
        <v>0.75</v>
      </c>
      <c r="P77" s="203">
        <v>0.75</v>
      </c>
      <c r="Q77" s="240">
        <f t="shared" si="0"/>
        <v>0.75</v>
      </c>
      <c r="R77" s="203">
        <v>11.8</v>
      </c>
      <c r="S77" s="203">
        <v>107</v>
      </c>
      <c r="T77" s="212">
        <f t="shared" si="1"/>
        <v>33</v>
      </c>
      <c r="U77" s="203">
        <v>378</v>
      </c>
      <c r="V77" s="212">
        <f t="shared" si="2"/>
        <v>3118.5</v>
      </c>
      <c r="W77" s="203">
        <v>3</v>
      </c>
      <c r="X77" s="211" t="s">
        <v>46</v>
      </c>
      <c r="Y77" s="211" t="s">
        <v>84</v>
      </c>
      <c r="Z77" s="211" t="s">
        <v>90</v>
      </c>
      <c r="AA77" s="203" t="s">
        <v>50</v>
      </c>
      <c r="AB77" s="211" t="s">
        <v>336</v>
      </c>
    </row>
    <row r="78" spans="1:28" x14ac:dyDescent="0.15">
      <c r="A78" s="211" t="s">
        <v>34</v>
      </c>
      <c r="B78" s="203" t="s">
        <v>334</v>
      </c>
      <c r="C78" s="203">
        <v>2018</v>
      </c>
      <c r="D78" s="245" t="s">
        <v>386</v>
      </c>
      <c r="E78" s="232" t="s">
        <v>324</v>
      </c>
      <c r="F78" s="232" t="s">
        <v>325</v>
      </c>
      <c r="G78" s="211" t="s">
        <v>36</v>
      </c>
      <c r="H78" s="203" t="s">
        <v>155</v>
      </c>
      <c r="I78" s="211" t="s">
        <v>156</v>
      </c>
      <c r="J78" s="211" t="s">
        <v>38</v>
      </c>
      <c r="K78" s="211" t="s">
        <v>154</v>
      </c>
      <c r="L78" s="203">
        <v>2</v>
      </c>
      <c r="N78" s="203">
        <v>4</v>
      </c>
      <c r="O78" s="203">
        <v>0.85</v>
      </c>
      <c r="P78" s="203">
        <v>0.85</v>
      </c>
      <c r="Q78" s="240">
        <f t="shared" si="0"/>
        <v>0.85</v>
      </c>
      <c r="R78" s="203">
        <v>14.2</v>
      </c>
      <c r="S78" s="203">
        <v>105</v>
      </c>
      <c r="T78" s="212">
        <f t="shared" si="1"/>
        <v>33</v>
      </c>
      <c r="U78" s="203">
        <v>378</v>
      </c>
      <c r="V78" s="212">
        <f t="shared" si="2"/>
        <v>3118.5</v>
      </c>
      <c r="W78" s="203">
        <v>3</v>
      </c>
      <c r="X78" s="211" t="s">
        <v>46</v>
      </c>
      <c r="Y78" s="211" t="s">
        <v>84</v>
      </c>
      <c r="Z78" s="211" t="s">
        <v>90</v>
      </c>
      <c r="AA78" s="203" t="s">
        <v>50</v>
      </c>
      <c r="AB78" s="211" t="s">
        <v>336</v>
      </c>
    </row>
    <row r="79" spans="1:28" x14ac:dyDescent="0.15">
      <c r="A79" s="211" t="s">
        <v>34</v>
      </c>
      <c r="B79" s="203" t="s">
        <v>334</v>
      </c>
      <c r="C79" s="203">
        <v>2018</v>
      </c>
      <c r="D79" s="245" t="s">
        <v>386</v>
      </c>
      <c r="E79" s="232" t="s">
        <v>324</v>
      </c>
      <c r="F79" s="232" t="s">
        <v>325</v>
      </c>
      <c r="G79" s="211" t="s">
        <v>36</v>
      </c>
      <c r="H79" s="203" t="s">
        <v>155</v>
      </c>
      <c r="I79" s="211" t="s">
        <v>156</v>
      </c>
      <c r="J79" s="211" t="s">
        <v>38</v>
      </c>
      <c r="K79" s="211" t="s">
        <v>154</v>
      </c>
      <c r="L79" s="203">
        <v>3</v>
      </c>
      <c r="N79" s="203">
        <v>4</v>
      </c>
      <c r="O79" s="203">
        <v>0.75</v>
      </c>
      <c r="P79" s="203">
        <v>0.8</v>
      </c>
      <c r="Q79" s="240">
        <f t="shared" si="0"/>
        <v>0.77500000000000002</v>
      </c>
      <c r="R79" s="203">
        <v>14.3</v>
      </c>
      <c r="S79" s="203">
        <v>104</v>
      </c>
      <c r="T79" s="212">
        <f t="shared" si="1"/>
        <v>33</v>
      </c>
      <c r="U79" s="203">
        <v>378</v>
      </c>
      <c r="V79" s="212">
        <f t="shared" si="2"/>
        <v>3118.5</v>
      </c>
      <c r="W79" s="203">
        <v>3</v>
      </c>
      <c r="X79" s="211" t="s">
        <v>46</v>
      </c>
      <c r="Y79" s="211" t="s">
        <v>84</v>
      </c>
      <c r="Z79" s="211" t="s">
        <v>90</v>
      </c>
      <c r="AA79" s="203" t="s">
        <v>50</v>
      </c>
      <c r="AB79" s="211" t="s">
        <v>336</v>
      </c>
    </row>
    <row r="80" spans="1:28" x14ac:dyDescent="0.15">
      <c r="A80" s="211" t="s">
        <v>34</v>
      </c>
      <c r="B80" s="203" t="s">
        <v>334</v>
      </c>
      <c r="C80" s="203">
        <v>2018</v>
      </c>
      <c r="D80" s="245" t="s">
        <v>386</v>
      </c>
      <c r="E80" s="232" t="s">
        <v>324</v>
      </c>
      <c r="F80" s="232" t="s">
        <v>325</v>
      </c>
      <c r="G80" s="211" t="s">
        <v>36</v>
      </c>
      <c r="H80" s="203" t="s">
        <v>127</v>
      </c>
      <c r="I80" s="211" t="s">
        <v>153</v>
      </c>
      <c r="J80" s="211" t="s">
        <v>58</v>
      </c>
      <c r="K80" s="211" t="s">
        <v>59</v>
      </c>
      <c r="L80" s="211">
        <v>1</v>
      </c>
      <c r="N80" s="203">
        <v>1</v>
      </c>
      <c r="O80" s="203">
        <v>0.8</v>
      </c>
      <c r="P80" s="203">
        <v>0.75</v>
      </c>
      <c r="Q80" s="240">
        <f t="shared" si="0"/>
        <v>0.77500000000000002</v>
      </c>
      <c r="R80" s="203">
        <v>14.5</v>
      </c>
      <c r="S80" s="203">
        <v>120</v>
      </c>
      <c r="T80" s="212">
        <f t="shared" si="1"/>
        <v>30</v>
      </c>
      <c r="U80" s="203">
        <v>138</v>
      </c>
      <c r="V80" s="212">
        <f t="shared" si="2"/>
        <v>4140</v>
      </c>
      <c r="W80" s="203">
        <v>1</v>
      </c>
      <c r="X80" s="211" t="s">
        <v>46</v>
      </c>
      <c r="Y80" s="211" t="s">
        <v>84</v>
      </c>
      <c r="Z80" s="211" t="s">
        <v>90</v>
      </c>
      <c r="AA80" s="203" t="s">
        <v>50</v>
      </c>
      <c r="AB80" s="211" t="s">
        <v>336</v>
      </c>
    </row>
    <row r="81" spans="1:28" x14ac:dyDescent="0.15">
      <c r="A81" s="211" t="s">
        <v>34</v>
      </c>
      <c r="B81" s="203" t="s">
        <v>334</v>
      </c>
      <c r="C81" s="203">
        <v>2018</v>
      </c>
      <c r="D81" s="245" t="s">
        <v>386</v>
      </c>
      <c r="E81" s="232" t="s">
        <v>324</v>
      </c>
      <c r="F81" s="232" t="s">
        <v>325</v>
      </c>
      <c r="G81" s="211" t="s">
        <v>36</v>
      </c>
      <c r="H81" s="203" t="s">
        <v>127</v>
      </c>
      <c r="I81" s="211" t="s">
        <v>153</v>
      </c>
      <c r="J81" s="211" t="s">
        <v>58</v>
      </c>
      <c r="K81" s="211" t="s">
        <v>59</v>
      </c>
      <c r="L81" s="203">
        <v>2</v>
      </c>
      <c r="N81" s="203">
        <v>1</v>
      </c>
      <c r="O81" s="203">
        <v>0.55000000000000004</v>
      </c>
      <c r="P81" s="203">
        <v>0.55000000000000004</v>
      </c>
      <c r="Q81" s="240">
        <f t="shared" si="0"/>
        <v>0.55000000000000004</v>
      </c>
      <c r="R81" s="203">
        <v>16.399999999999999</v>
      </c>
      <c r="S81" s="203">
        <v>128</v>
      </c>
      <c r="T81" s="212">
        <f t="shared" si="1"/>
        <v>30</v>
      </c>
      <c r="U81" s="203">
        <v>138</v>
      </c>
      <c r="V81" s="212">
        <f t="shared" si="2"/>
        <v>4140</v>
      </c>
      <c r="W81" s="203">
        <v>1</v>
      </c>
      <c r="X81" s="211" t="s">
        <v>46</v>
      </c>
      <c r="Y81" s="211" t="s">
        <v>84</v>
      </c>
      <c r="Z81" s="211" t="s">
        <v>90</v>
      </c>
      <c r="AA81" s="203" t="s">
        <v>50</v>
      </c>
      <c r="AB81" s="211" t="s">
        <v>336</v>
      </c>
    </row>
    <row r="82" spans="1:28" x14ac:dyDescent="0.15">
      <c r="A82" s="211" t="s">
        <v>34</v>
      </c>
      <c r="B82" s="203" t="s">
        <v>334</v>
      </c>
      <c r="C82" s="203">
        <v>2018</v>
      </c>
      <c r="D82" s="245" t="s">
        <v>386</v>
      </c>
      <c r="E82" s="232" t="s">
        <v>324</v>
      </c>
      <c r="F82" s="232" t="s">
        <v>325</v>
      </c>
      <c r="G82" s="211" t="s">
        <v>36</v>
      </c>
      <c r="H82" s="203" t="s">
        <v>127</v>
      </c>
      <c r="I82" s="211" t="s">
        <v>153</v>
      </c>
      <c r="J82" s="211" t="s">
        <v>58</v>
      </c>
      <c r="K82" s="211" t="s">
        <v>59</v>
      </c>
      <c r="L82" s="203">
        <v>3</v>
      </c>
      <c r="N82" s="203">
        <v>1</v>
      </c>
      <c r="O82" s="203">
        <v>0.65</v>
      </c>
      <c r="P82" s="203">
        <v>0.7</v>
      </c>
      <c r="Q82" s="240">
        <f t="shared" si="0"/>
        <v>0.67500000000000004</v>
      </c>
      <c r="R82" s="203">
        <v>14.2</v>
      </c>
      <c r="S82" s="203">
        <v>124</v>
      </c>
      <c r="T82" s="212">
        <f t="shared" si="1"/>
        <v>30</v>
      </c>
      <c r="U82" s="203">
        <v>138</v>
      </c>
      <c r="V82" s="212">
        <f t="shared" si="2"/>
        <v>4140</v>
      </c>
      <c r="W82" s="203">
        <v>1</v>
      </c>
      <c r="X82" s="211" t="s">
        <v>46</v>
      </c>
      <c r="Y82" s="211" t="s">
        <v>84</v>
      </c>
      <c r="Z82" s="211" t="s">
        <v>90</v>
      </c>
      <c r="AA82" s="203" t="s">
        <v>50</v>
      </c>
      <c r="AB82" s="211" t="s">
        <v>336</v>
      </c>
    </row>
    <row r="83" spans="1:28" x14ac:dyDescent="0.15">
      <c r="K83" s="211"/>
    </row>
    <row r="84" spans="1:28" x14ac:dyDescent="0.15">
      <c r="K84" s="211"/>
    </row>
    <row r="85" spans="1:28" x14ac:dyDescent="0.15">
      <c r="K85" s="211"/>
    </row>
    <row r="86" spans="1:28" x14ac:dyDescent="0.15">
      <c r="K86" s="211"/>
    </row>
    <row r="87" spans="1:28" x14ac:dyDescent="0.15">
      <c r="K87" s="211"/>
    </row>
    <row r="88" spans="1:28" x14ac:dyDescent="0.15">
      <c r="K88" s="211"/>
    </row>
    <row r="89" spans="1:28" x14ac:dyDescent="0.15">
      <c r="K89" s="211"/>
    </row>
    <row r="90" spans="1:28" x14ac:dyDescent="0.15">
      <c r="K90" s="211"/>
    </row>
    <row r="91" spans="1:28" x14ac:dyDescent="0.15">
      <c r="K91" s="211"/>
    </row>
    <row r="92" spans="1:28" x14ac:dyDescent="0.15">
      <c r="K92" s="211"/>
    </row>
    <row r="93" spans="1:28" x14ac:dyDescent="0.15">
      <c r="K93" s="211"/>
    </row>
    <row r="94" spans="1:28" x14ac:dyDescent="0.15">
      <c r="K94" s="211"/>
    </row>
    <row r="95" spans="1:28" x14ac:dyDescent="0.15">
      <c r="K95" s="211"/>
    </row>
    <row r="96" spans="1:28" x14ac:dyDescent="0.15">
      <c r="K96" s="211"/>
    </row>
    <row r="97" spans="11:11" x14ac:dyDescent="0.15">
      <c r="K97" s="211"/>
    </row>
    <row r="98" spans="11:11" x14ac:dyDescent="0.15">
      <c r="K98" s="211"/>
    </row>
    <row r="99" spans="11:11" x14ac:dyDescent="0.15">
      <c r="K99" s="211"/>
    </row>
    <row r="100" spans="11:11" x14ac:dyDescent="0.15">
      <c r="K100" s="211"/>
    </row>
    <row r="101" spans="11:11" x14ac:dyDescent="0.15">
      <c r="K101" s="211"/>
    </row>
    <row r="102" spans="11:11" x14ac:dyDescent="0.15">
      <c r="K102" s="211"/>
    </row>
    <row r="103" spans="11:11" x14ac:dyDescent="0.15">
      <c r="K103" s="211"/>
    </row>
    <row r="104" spans="11:11" x14ac:dyDescent="0.15">
      <c r="K104" s="211"/>
    </row>
    <row r="105" spans="11:11" x14ac:dyDescent="0.15">
      <c r="K105" s="211"/>
    </row>
    <row r="106" spans="11:11" x14ac:dyDescent="0.15">
      <c r="K106" s="211"/>
    </row>
    <row r="107" spans="11:11" x14ac:dyDescent="0.15">
      <c r="K107" s="211"/>
    </row>
    <row r="108" spans="11:11" x14ac:dyDescent="0.15">
      <c r="K108" s="211"/>
    </row>
    <row r="109" spans="11:11" x14ac:dyDescent="0.15">
      <c r="K109" s="211"/>
    </row>
    <row r="110" spans="11:11" x14ac:dyDescent="0.15">
      <c r="K110" s="211"/>
    </row>
    <row r="111" spans="11:11" x14ac:dyDescent="0.15">
      <c r="K111" s="211"/>
    </row>
    <row r="112" spans="11:11" x14ac:dyDescent="0.15">
      <c r="K112" s="211"/>
    </row>
    <row r="113" spans="11:11" x14ac:dyDescent="0.15">
      <c r="K113" s="211"/>
    </row>
    <row r="114" spans="11:11" x14ac:dyDescent="0.15">
      <c r="K114" s="211"/>
    </row>
    <row r="115" spans="11:11" x14ac:dyDescent="0.15">
      <c r="K115" s="211"/>
    </row>
    <row r="116" spans="11:11" x14ac:dyDescent="0.15">
      <c r="K116" s="211"/>
    </row>
    <row r="117" spans="11:11" x14ac:dyDescent="0.15">
      <c r="K117" s="211"/>
    </row>
    <row r="118" spans="11:11" x14ac:dyDescent="0.15">
      <c r="K118" s="211"/>
    </row>
    <row r="119" spans="11:11" x14ac:dyDescent="0.15">
      <c r="K119" s="211"/>
    </row>
    <row r="120" spans="11:11" x14ac:dyDescent="0.15">
      <c r="K120" s="211"/>
    </row>
    <row r="121" spans="11:11" x14ac:dyDescent="0.15">
      <c r="K121" s="211"/>
    </row>
    <row r="122" spans="11:11" x14ac:dyDescent="0.15">
      <c r="K122" s="211"/>
    </row>
    <row r="123" spans="11:11" x14ac:dyDescent="0.15">
      <c r="K123" s="211"/>
    </row>
    <row r="124" spans="11:11" x14ac:dyDescent="0.15">
      <c r="K124" s="211"/>
    </row>
    <row r="125" spans="11:11" x14ac:dyDescent="0.15">
      <c r="K125" s="211"/>
    </row>
    <row r="126" spans="11:11" x14ac:dyDescent="0.15">
      <c r="K126" s="211"/>
    </row>
    <row r="127" spans="11:11" x14ac:dyDescent="0.15">
      <c r="K127" s="211"/>
    </row>
    <row r="128" spans="11:11" x14ac:dyDescent="0.15">
      <c r="K128" s="211"/>
    </row>
    <row r="129" spans="11:11" x14ac:dyDescent="0.15">
      <c r="K129" s="211"/>
    </row>
    <row r="130" spans="11:11" x14ac:dyDescent="0.15">
      <c r="K130" s="211"/>
    </row>
    <row r="131" spans="11:11" x14ac:dyDescent="0.15">
      <c r="K131" s="211"/>
    </row>
    <row r="132" spans="11:11" x14ac:dyDescent="0.15">
      <c r="K132" s="211"/>
    </row>
    <row r="133" spans="11:11" x14ac:dyDescent="0.15">
      <c r="K133" s="211"/>
    </row>
    <row r="134" spans="11:11" x14ac:dyDescent="0.15">
      <c r="K134" s="211"/>
    </row>
    <row r="135" spans="11:11" x14ac:dyDescent="0.15">
      <c r="K135" s="211"/>
    </row>
    <row r="136" spans="11:11" x14ac:dyDescent="0.15">
      <c r="K136" s="211"/>
    </row>
    <row r="137" spans="11:11" x14ac:dyDescent="0.15">
      <c r="K137" s="211"/>
    </row>
    <row r="138" spans="11:11" x14ac:dyDescent="0.15">
      <c r="K138" s="211"/>
    </row>
    <row r="139" spans="11:11" x14ac:dyDescent="0.15">
      <c r="K139" s="211"/>
    </row>
    <row r="140" spans="11:11" x14ac:dyDescent="0.15">
      <c r="K140" s="211"/>
    </row>
    <row r="141" spans="11:11" x14ac:dyDescent="0.15">
      <c r="K141" s="211"/>
    </row>
    <row r="142" spans="11:11" x14ac:dyDescent="0.15">
      <c r="K142" s="211"/>
    </row>
    <row r="143" spans="11:11" x14ac:dyDescent="0.15">
      <c r="K143" s="211"/>
    </row>
    <row r="144" spans="11:11" x14ac:dyDescent="0.15">
      <c r="K144" s="211"/>
    </row>
    <row r="145" spans="11:11" x14ac:dyDescent="0.15">
      <c r="K145" s="211"/>
    </row>
    <row r="146" spans="11:11" x14ac:dyDescent="0.15">
      <c r="K146" s="211"/>
    </row>
    <row r="147" spans="11:11" x14ac:dyDescent="0.15">
      <c r="K147" s="211"/>
    </row>
    <row r="148" spans="11:11" x14ac:dyDescent="0.15">
      <c r="K148" s="211"/>
    </row>
    <row r="149" spans="11:11" x14ac:dyDescent="0.15">
      <c r="K149" s="211"/>
    </row>
    <row r="150" spans="11:11" x14ac:dyDescent="0.15">
      <c r="K150" s="211"/>
    </row>
    <row r="151" spans="11:11" x14ac:dyDescent="0.15">
      <c r="K151" s="211"/>
    </row>
    <row r="152" spans="11:11" x14ac:dyDescent="0.15">
      <c r="K152" s="211"/>
    </row>
    <row r="153" spans="11:11" x14ac:dyDescent="0.15">
      <c r="K153" s="211"/>
    </row>
    <row r="154" spans="11:11" x14ac:dyDescent="0.15">
      <c r="K154" s="211"/>
    </row>
    <row r="155" spans="11:11" x14ac:dyDescent="0.15">
      <c r="K155" s="211"/>
    </row>
    <row r="156" spans="11:11" x14ac:dyDescent="0.15">
      <c r="K156" s="211"/>
    </row>
    <row r="157" spans="11:11" x14ac:dyDescent="0.15">
      <c r="K157" s="211"/>
    </row>
    <row r="158" spans="11:11" x14ac:dyDescent="0.15">
      <c r="K158" s="211"/>
    </row>
    <row r="159" spans="11:11" x14ac:dyDescent="0.15">
      <c r="K159" s="211"/>
    </row>
    <row r="160" spans="11:11" x14ac:dyDescent="0.15">
      <c r="K160" s="211"/>
    </row>
    <row r="161" spans="11:11" x14ac:dyDescent="0.15">
      <c r="K161" s="211"/>
    </row>
    <row r="162" spans="11:11" x14ac:dyDescent="0.15">
      <c r="K162" s="211"/>
    </row>
    <row r="163" spans="11:11" x14ac:dyDescent="0.15">
      <c r="K163" s="211"/>
    </row>
    <row r="164" spans="11:11" x14ac:dyDescent="0.15">
      <c r="K164" s="211"/>
    </row>
    <row r="165" spans="11:11" x14ac:dyDescent="0.15">
      <c r="K165" s="211"/>
    </row>
    <row r="166" spans="11:11" x14ac:dyDescent="0.15">
      <c r="K166" s="211"/>
    </row>
    <row r="167" spans="11:11" x14ac:dyDescent="0.15">
      <c r="K167" s="211"/>
    </row>
    <row r="168" spans="11:11" x14ac:dyDescent="0.15">
      <c r="K168" s="211"/>
    </row>
    <row r="169" spans="11:11" x14ac:dyDescent="0.15">
      <c r="K169" s="211"/>
    </row>
    <row r="170" spans="11:11" x14ac:dyDescent="0.15">
      <c r="K170" s="211"/>
    </row>
    <row r="171" spans="11:11" x14ac:dyDescent="0.15">
      <c r="K171" s="211"/>
    </row>
    <row r="172" spans="11:11" x14ac:dyDescent="0.15">
      <c r="K172" s="211"/>
    </row>
    <row r="173" spans="11:11" x14ac:dyDescent="0.15">
      <c r="K173" s="211"/>
    </row>
    <row r="174" spans="11:11" x14ac:dyDescent="0.15">
      <c r="K174" s="211"/>
    </row>
    <row r="175" spans="11:11" x14ac:dyDescent="0.15">
      <c r="K175" s="211"/>
    </row>
    <row r="176" spans="11:11" x14ac:dyDescent="0.15">
      <c r="K176" s="211"/>
    </row>
    <row r="177" spans="11:11" x14ac:dyDescent="0.15">
      <c r="K177" s="211"/>
    </row>
    <row r="178" spans="11:11" x14ac:dyDescent="0.15">
      <c r="K178" s="211"/>
    </row>
    <row r="179" spans="11:11" x14ac:dyDescent="0.15">
      <c r="K179" s="211"/>
    </row>
    <row r="180" spans="11:11" x14ac:dyDescent="0.15">
      <c r="K180" s="211"/>
    </row>
    <row r="181" spans="11:11" x14ac:dyDescent="0.15">
      <c r="K181" s="211"/>
    </row>
    <row r="182" spans="11:11" x14ac:dyDescent="0.15">
      <c r="K182" s="211"/>
    </row>
    <row r="183" spans="11:11" x14ac:dyDescent="0.15">
      <c r="K183" s="211"/>
    </row>
    <row r="184" spans="11:11" x14ac:dyDescent="0.15">
      <c r="K184" s="211"/>
    </row>
    <row r="185" spans="11:11" x14ac:dyDescent="0.15">
      <c r="K185" s="211"/>
    </row>
    <row r="186" spans="11:11" x14ac:dyDescent="0.15">
      <c r="K186" s="211"/>
    </row>
    <row r="187" spans="11:11" x14ac:dyDescent="0.15">
      <c r="K187" s="211"/>
    </row>
    <row r="188" spans="11:11" x14ac:dyDescent="0.15">
      <c r="K188" s="211"/>
    </row>
    <row r="189" spans="11:11" x14ac:dyDescent="0.15">
      <c r="K189" s="211"/>
    </row>
    <row r="190" spans="11:11" x14ac:dyDescent="0.15">
      <c r="K190" s="211"/>
    </row>
    <row r="191" spans="11:11" x14ac:dyDescent="0.15">
      <c r="K191" s="211"/>
    </row>
    <row r="192" spans="11:11" x14ac:dyDescent="0.15">
      <c r="K192" s="211"/>
    </row>
    <row r="193" spans="11:11" x14ac:dyDescent="0.15">
      <c r="K193" s="211"/>
    </row>
    <row r="194" spans="11:11" x14ac:dyDescent="0.15">
      <c r="K194" s="211"/>
    </row>
    <row r="195" spans="11:11" x14ac:dyDescent="0.15">
      <c r="K195" s="211"/>
    </row>
    <row r="196" spans="11:11" x14ac:dyDescent="0.15">
      <c r="K196" s="211"/>
    </row>
    <row r="197" spans="11:11" x14ac:dyDescent="0.15">
      <c r="K197" s="211"/>
    </row>
    <row r="198" spans="11:11" x14ac:dyDescent="0.15">
      <c r="K198" s="211"/>
    </row>
    <row r="199" spans="11:11" x14ac:dyDescent="0.15">
      <c r="K199" s="211"/>
    </row>
    <row r="200" spans="11:11" x14ac:dyDescent="0.15">
      <c r="K200" s="211"/>
    </row>
    <row r="201" spans="11:11" x14ac:dyDescent="0.15">
      <c r="K201" s="211"/>
    </row>
    <row r="202" spans="11:11" x14ac:dyDescent="0.15">
      <c r="K202" s="211"/>
    </row>
    <row r="203" spans="11:11" x14ac:dyDescent="0.15">
      <c r="K203" s="211"/>
    </row>
    <row r="204" spans="11:11" x14ac:dyDescent="0.15">
      <c r="K204" s="211"/>
    </row>
    <row r="205" spans="11:11" x14ac:dyDescent="0.15">
      <c r="K205" s="211"/>
    </row>
    <row r="206" spans="11:11" x14ac:dyDescent="0.15">
      <c r="K206" s="211"/>
    </row>
    <row r="207" spans="11:11" x14ac:dyDescent="0.15">
      <c r="K207" s="211"/>
    </row>
    <row r="208" spans="11:11" x14ac:dyDescent="0.15">
      <c r="K208" s="211"/>
    </row>
    <row r="209" spans="11:11" x14ac:dyDescent="0.15">
      <c r="K209" s="211"/>
    </row>
    <row r="210" spans="11:11" x14ac:dyDescent="0.15">
      <c r="K210" s="211"/>
    </row>
    <row r="211" spans="11:11" x14ac:dyDescent="0.15">
      <c r="K211" s="211"/>
    </row>
    <row r="212" spans="11:11" x14ac:dyDescent="0.15">
      <c r="K212" s="211"/>
    </row>
    <row r="213" spans="11:11" x14ac:dyDescent="0.15">
      <c r="K213" s="211"/>
    </row>
    <row r="214" spans="11:11" x14ac:dyDescent="0.15">
      <c r="K214" s="211"/>
    </row>
    <row r="215" spans="11:11" x14ac:dyDescent="0.15">
      <c r="K215" s="211"/>
    </row>
    <row r="216" spans="11:11" x14ac:dyDescent="0.15">
      <c r="K216" s="211"/>
    </row>
    <row r="217" spans="11:11" x14ac:dyDescent="0.15">
      <c r="K217" s="211"/>
    </row>
    <row r="218" spans="11:11" x14ac:dyDescent="0.15">
      <c r="K218" s="211"/>
    </row>
    <row r="219" spans="11:11" x14ac:dyDescent="0.15">
      <c r="K219" s="211"/>
    </row>
    <row r="220" spans="11:11" x14ac:dyDescent="0.15">
      <c r="K220" s="211"/>
    </row>
    <row r="221" spans="11:11" x14ac:dyDescent="0.15">
      <c r="K221" s="211"/>
    </row>
    <row r="222" spans="11:11" x14ac:dyDescent="0.15">
      <c r="K222" s="211"/>
    </row>
    <row r="223" spans="11:11" x14ac:dyDescent="0.15">
      <c r="K223" s="211"/>
    </row>
    <row r="224" spans="11:11" x14ac:dyDescent="0.15">
      <c r="K224" s="211"/>
    </row>
    <row r="225" spans="11:11" x14ac:dyDescent="0.15">
      <c r="K225" s="211"/>
    </row>
    <row r="226" spans="11:11" x14ac:dyDescent="0.15">
      <c r="K226" s="211"/>
    </row>
    <row r="227" spans="11:11" x14ac:dyDescent="0.15">
      <c r="K227" s="211"/>
    </row>
    <row r="228" spans="11:11" x14ac:dyDescent="0.15">
      <c r="K228" s="211"/>
    </row>
    <row r="229" spans="11:11" x14ac:dyDescent="0.15">
      <c r="K229" s="211"/>
    </row>
    <row r="230" spans="11:11" x14ac:dyDescent="0.15">
      <c r="K230" s="211"/>
    </row>
    <row r="231" spans="11:11" x14ac:dyDescent="0.15">
      <c r="K231" s="211"/>
    </row>
    <row r="232" spans="11:11" x14ac:dyDescent="0.15">
      <c r="K232" s="211"/>
    </row>
    <row r="233" spans="11:11" x14ac:dyDescent="0.15">
      <c r="K233" s="211"/>
    </row>
    <row r="234" spans="11:11" x14ac:dyDescent="0.15">
      <c r="K234" s="211"/>
    </row>
    <row r="235" spans="11:11" x14ac:dyDescent="0.15">
      <c r="K235" s="211"/>
    </row>
    <row r="236" spans="11:11" x14ac:dyDescent="0.15">
      <c r="K236" s="211"/>
    </row>
    <row r="237" spans="11:11" x14ac:dyDescent="0.15">
      <c r="K237" s="211"/>
    </row>
    <row r="238" spans="11:11" x14ac:dyDescent="0.15">
      <c r="K238" s="211"/>
    </row>
    <row r="239" spans="11:11" x14ac:dyDescent="0.15">
      <c r="K239" s="211"/>
    </row>
    <row r="240" spans="11:11" x14ac:dyDescent="0.15">
      <c r="K240" s="211"/>
    </row>
    <row r="241" spans="11:11" x14ac:dyDescent="0.15">
      <c r="K241" s="211"/>
    </row>
    <row r="242" spans="11:11" x14ac:dyDescent="0.15">
      <c r="K242" s="211"/>
    </row>
    <row r="243" spans="11:11" x14ac:dyDescent="0.15">
      <c r="K243" s="211"/>
    </row>
    <row r="244" spans="11:11" x14ac:dyDescent="0.15">
      <c r="K244" s="211"/>
    </row>
    <row r="245" spans="11:11" x14ac:dyDescent="0.15">
      <c r="K245" s="211"/>
    </row>
    <row r="246" spans="11:11" x14ac:dyDescent="0.15">
      <c r="K246" s="211"/>
    </row>
    <row r="247" spans="11:11" x14ac:dyDescent="0.15">
      <c r="K247" s="211"/>
    </row>
    <row r="248" spans="11:11" x14ac:dyDescent="0.15">
      <c r="K248" s="211"/>
    </row>
    <row r="249" spans="11:11" x14ac:dyDescent="0.15">
      <c r="K249" s="211"/>
    </row>
    <row r="250" spans="11:11" x14ac:dyDescent="0.15">
      <c r="K250" s="211"/>
    </row>
    <row r="251" spans="11:11" x14ac:dyDescent="0.15">
      <c r="K251" s="211"/>
    </row>
    <row r="252" spans="11:11" x14ac:dyDescent="0.15">
      <c r="K252" s="211"/>
    </row>
    <row r="253" spans="11:11" x14ac:dyDescent="0.15">
      <c r="K253" s="211"/>
    </row>
    <row r="254" spans="11:11" x14ac:dyDescent="0.15">
      <c r="K254" s="211"/>
    </row>
    <row r="255" spans="11:11" x14ac:dyDescent="0.15">
      <c r="K255" s="211"/>
    </row>
    <row r="256" spans="11:11" x14ac:dyDescent="0.15">
      <c r="K256" s="211"/>
    </row>
    <row r="257" spans="11:11" x14ac:dyDescent="0.15">
      <c r="K257" s="211"/>
    </row>
    <row r="258" spans="11:11" x14ac:dyDescent="0.15">
      <c r="K258" s="211"/>
    </row>
    <row r="259" spans="11:11" x14ac:dyDescent="0.15">
      <c r="K259" s="211"/>
    </row>
    <row r="260" spans="11:11" x14ac:dyDescent="0.15">
      <c r="K260" s="211"/>
    </row>
    <row r="261" spans="11:11" x14ac:dyDescent="0.15">
      <c r="K261" s="211"/>
    </row>
    <row r="262" spans="11:11" x14ac:dyDescent="0.15">
      <c r="K262" s="211"/>
    </row>
    <row r="263" spans="11:11" x14ac:dyDescent="0.15">
      <c r="K263" s="211"/>
    </row>
    <row r="264" spans="11:11" x14ac:dyDescent="0.15">
      <c r="K264" s="211"/>
    </row>
    <row r="265" spans="11:11" x14ac:dyDescent="0.15">
      <c r="K265" s="211"/>
    </row>
    <row r="266" spans="11:11" x14ac:dyDescent="0.15">
      <c r="K266" s="211"/>
    </row>
    <row r="267" spans="11:11" x14ac:dyDescent="0.15">
      <c r="K267" s="211"/>
    </row>
    <row r="268" spans="11:11" x14ac:dyDescent="0.15">
      <c r="K268" s="211"/>
    </row>
    <row r="269" spans="11:11" x14ac:dyDescent="0.15">
      <c r="K269" s="211"/>
    </row>
    <row r="270" spans="11:11" x14ac:dyDescent="0.15">
      <c r="K270" s="211"/>
    </row>
    <row r="271" spans="11:11" x14ac:dyDescent="0.15">
      <c r="K271" s="211"/>
    </row>
    <row r="272" spans="11:11" x14ac:dyDescent="0.15">
      <c r="K272" s="211"/>
    </row>
    <row r="273" spans="11:11" x14ac:dyDescent="0.15">
      <c r="K273" s="211"/>
    </row>
    <row r="274" spans="11:11" x14ac:dyDescent="0.15">
      <c r="K274" s="211"/>
    </row>
    <row r="275" spans="11:11" x14ac:dyDescent="0.15">
      <c r="K275" s="211"/>
    </row>
    <row r="276" spans="11:11" x14ac:dyDescent="0.15">
      <c r="K276" s="211"/>
    </row>
    <row r="277" spans="11:11" x14ac:dyDescent="0.15">
      <c r="K277" s="211"/>
    </row>
    <row r="278" spans="11:11" x14ac:dyDescent="0.15">
      <c r="K278" s="211"/>
    </row>
    <row r="279" spans="11:11" x14ac:dyDescent="0.15">
      <c r="K279" s="211"/>
    </row>
    <row r="280" spans="11:11" x14ac:dyDescent="0.15">
      <c r="K280" s="211"/>
    </row>
    <row r="281" spans="11:11" x14ac:dyDescent="0.15">
      <c r="K281" s="211"/>
    </row>
    <row r="282" spans="11:11" x14ac:dyDescent="0.15">
      <c r="K282" s="211"/>
    </row>
    <row r="283" spans="11:11" x14ac:dyDescent="0.15">
      <c r="K283" s="211"/>
    </row>
    <row r="284" spans="11:11" x14ac:dyDescent="0.15">
      <c r="K284" s="211"/>
    </row>
    <row r="285" spans="11:11" x14ac:dyDescent="0.15">
      <c r="K285" s="211"/>
    </row>
    <row r="286" spans="11:11" x14ac:dyDescent="0.15">
      <c r="K286" s="211"/>
    </row>
    <row r="287" spans="11:11" x14ac:dyDescent="0.15">
      <c r="K287" s="211"/>
    </row>
    <row r="288" spans="11:11" x14ac:dyDescent="0.15">
      <c r="K288" s="211"/>
    </row>
    <row r="289" spans="11:11" x14ac:dyDescent="0.15">
      <c r="K289" s="211"/>
    </row>
    <row r="290" spans="11:11" x14ac:dyDescent="0.15">
      <c r="K290" s="211"/>
    </row>
    <row r="291" spans="11:11" x14ac:dyDescent="0.15">
      <c r="K291" s="211"/>
    </row>
    <row r="292" spans="11:11" x14ac:dyDescent="0.15">
      <c r="K292" s="211"/>
    </row>
    <row r="293" spans="11:11" x14ac:dyDescent="0.15">
      <c r="K293" s="211"/>
    </row>
    <row r="294" spans="11:11" x14ac:dyDescent="0.15">
      <c r="K294" s="211"/>
    </row>
    <row r="295" spans="11:11" x14ac:dyDescent="0.15">
      <c r="K295" s="211"/>
    </row>
    <row r="296" spans="11:11" x14ac:dyDescent="0.15">
      <c r="K296" s="211"/>
    </row>
    <row r="297" spans="11:11" x14ac:dyDescent="0.15">
      <c r="K297" s="211"/>
    </row>
    <row r="298" spans="11:11" x14ac:dyDescent="0.15">
      <c r="K298" s="211"/>
    </row>
    <row r="299" spans="11:11" x14ac:dyDescent="0.15">
      <c r="K299" s="211"/>
    </row>
    <row r="300" spans="11:11" x14ac:dyDescent="0.15">
      <c r="K300" s="211"/>
    </row>
    <row r="301" spans="11:11" x14ac:dyDescent="0.15">
      <c r="K301" s="211"/>
    </row>
    <row r="302" spans="11:11" x14ac:dyDescent="0.15">
      <c r="K302" s="211"/>
    </row>
    <row r="303" spans="11:11" x14ac:dyDescent="0.15">
      <c r="K303" s="211"/>
    </row>
    <row r="304" spans="11:11" x14ac:dyDescent="0.15">
      <c r="K304" s="211"/>
    </row>
    <row r="305" spans="11:11" x14ac:dyDescent="0.15">
      <c r="K305" s="211"/>
    </row>
    <row r="306" spans="11:11" x14ac:dyDescent="0.15">
      <c r="K306" s="211"/>
    </row>
    <row r="307" spans="11:11" x14ac:dyDescent="0.15">
      <c r="K307" s="211"/>
    </row>
    <row r="308" spans="11:11" x14ac:dyDescent="0.15">
      <c r="K308" s="211"/>
    </row>
    <row r="309" spans="11:11" x14ac:dyDescent="0.15">
      <c r="K309" s="211"/>
    </row>
    <row r="310" spans="11:11" x14ac:dyDescent="0.15">
      <c r="K310" s="211"/>
    </row>
    <row r="311" spans="11:11" x14ac:dyDescent="0.15">
      <c r="K311" s="211"/>
    </row>
    <row r="312" spans="11:11" x14ac:dyDescent="0.15">
      <c r="K312" s="211"/>
    </row>
    <row r="313" spans="11:11" x14ac:dyDescent="0.15">
      <c r="K313" s="211"/>
    </row>
    <row r="314" spans="11:11" x14ac:dyDescent="0.15">
      <c r="K314" s="211"/>
    </row>
    <row r="315" spans="11:11" x14ac:dyDescent="0.15">
      <c r="K315" s="211"/>
    </row>
    <row r="316" spans="11:11" x14ac:dyDescent="0.15">
      <c r="K316" s="211"/>
    </row>
    <row r="317" spans="11:11" x14ac:dyDescent="0.15">
      <c r="K317" s="211"/>
    </row>
    <row r="318" spans="11:11" x14ac:dyDescent="0.15">
      <c r="K318" s="211"/>
    </row>
    <row r="319" spans="11:11" x14ac:dyDescent="0.15">
      <c r="K319" s="211"/>
    </row>
    <row r="320" spans="11:11" x14ac:dyDescent="0.15">
      <c r="K320" s="211"/>
    </row>
    <row r="321" spans="11:11" x14ac:dyDescent="0.15">
      <c r="K321" s="211"/>
    </row>
    <row r="322" spans="11:11" x14ac:dyDescent="0.15">
      <c r="K322" s="211"/>
    </row>
    <row r="323" spans="11:11" x14ac:dyDescent="0.15">
      <c r="K323" s="211"/>
    </row>
    <row r="324" spans="11:11" x14ac:dyDescent="0.15">
      <c r="K324" s="211"/>
    </row>
    <row r="325" spans="11:11" x14ac:dyDescent="0.15">
      <c r="K325" s="211"/>
    </row>
    <row r="326" spans="11:11" x14ac:dyDescent="0.15">
      <c r="K326" s="211"/>
    </row>
    <row r="327" spans="11:11" x14ac:dyDescent="0.15">
      <c r="K327" s="211"/>
    </row>
    <row r="328" spans="11:11" x14ac:dyDescent="0.15">
      <c r="K328" s="211"/>
    </row>
    <row r="329" spans="11:11" x14ac:dyDescent="0.15">
      <c r="K329" s="211"/>
    </row>
    <row r="330" spans="11:11" x14ac:dyDescent="0.15">
      <c r="K330" s="211"/>
    </row>
    <row r="331" spans="11:11" x14ac:dyDescent="0.15">
      <c r="K331" s="211"/>
    </row>
    <row r="332" spans="11:11" x14ac:dyDescent="0.15">
      <c r="K332" s="211"/>
    </row>
    <row r="333" spans="11:11" x14ac:dyDescent="0.15">
      <c r="K333" s="211"/>
    </row>
    <row r="334" spans="11:11" x14ac:dyDescent="0.15">
      <c r="K334" s="211"/>
    </row>
    <row r="335" spans="11:11" x14ac:dyDescent="0.15">
      <c r="K335" s="211"/>
    </row>
    <row r="336" spans="11:11" x14ac:dyDescent="0.15">
      <c r="K336" s="211"/>
    </row>
    <row r="337" spans="11:11" x14ac:dyDescent="0.15">
      <c r="K337" s="211"/>
    </row>
    <row r="338" spans="11:11" x14ac:dyDescent="0.15">
      <c r="K338" s="211"/>
    </row>
    <row r="339" spans="11:11" x14ac:dyDescent="0.15">
      <c r="K339" s="211"/>
    </row>
    <row r="340" spans="11:11" x14ac:dyDescent="0.15">
      <c r="K340" s="211"/>
    </row>
    <row r="341" spans="11:11" x14ac:dyDescent="0.15">
      <c r="K341" s="211"/>
    </row>
    <row r="342" spans="11:11" x14ac:dyDescent="0.15">
      <c r="K342" s="211"/>
    </row>
    <row r="343" spans="11:11" x14ac:dyDescent="0.15">
      <c r="K343" s="211"/>
    </row>
    <row r="344" spans="11:11" x14ac:dyDescent="0.15">
      <c r="K344" s="211"/>
    </row>
    <row r="345" spans="11:11" x14ac:dyDescent="0.15">
      <c r="K345" s="211"/>
    </row>
    <row r="346" spans="11:11" x14ac:dyDescent="0.15">
      <c r="K346" s="211"/>
    </row>
    <row r="347" spans="11:11" x14ac:dyDescent="0.15">
      <c r="K347" s="211"/>
    </row>
    <row r="348" spans="11:11" x14ac:dyDescent="0.15">
      <c r="K348" s="211"/>
    </row>
    <row r="349" spans="11:11" x14ac:dyDescent="0.15">
      <c r="K349" s="211"/>
    </row>
    <row r="350" spans="11:11" x14ac:dyDescent="0.15">
      <c r="K350" s="211"/>
    </row>
    <row r="351" spans="11:11" x14ac:dyDescent="0.15">
      <c r="K351" s="211"/>
    </row>
    <row r="352" spans="11:11" x14ac:dyDescent="0.15">
      <c r="K352" s="211"/>
    </row>
    <row r="353" spans="11:11" x14ac:dyDescent="0.15">
      <c r="K353" s="211"/>
    </row>
    <row r="354" spans="11:11" x14ac:dyDescent="0.15">
      <c r="K354" s="211"/>
    </row>
    <row r="355" spans="11:11" x14ac:dyDescent="0.15">
      <c r="K355" s="211"/>
    </row>
    <row r="356" spans="11:11" x14ac:dyDescent="0.15">
      <c r="K356" s="211"/>
    </row>
    <row r="357" spans="11:11" x14ac:dyDescent="0.15">
      <c r="K357" s="211"/>
    </row>
    <row r="358" spans="11:11" x14ac:dyDescent="0.15">
      <c r="K358" s="211"/>
    </row>
    <row r="359" spans="11:11" x14ac:dyDescent="0.15">
      <c r="K359" s="211"/>
    </row>
    <row r="360" spans="11:11" x14ac:dyDescent="0.15">
      <c r="K360" s="211"/>
    </row>
    <row r="361" spans="11:11" x14ac:dyDescent="0.15">
      <c r="K361" s="211"/>
    </row>
    <row r="362" spans="11:11" x14ac:dyDescent="0.15">
      <c r="K362" s="211"/>
    </row>
    <row r="363" spans="11:11" x14ac:dyDescent="0.15">
      <c r="K363" s="211"/>
    </row>
    <row r="364" spans="11:11" x14ac:dyDescent="0.15">
      <c r="K364" s="211"/>
    </row>
    <row r="365" spans="11:11" x14ac:dyDescent="0.15">
      <c r="K365" s="211"/>
    </row>
    <row r="366" spans="11:11" x14ac:dyDescent="0.15">
      <c r="K366" s="211"/>
    </row>
    <row r="367" spans="11:11" x14ac:dyDescent="0.15">
      <c r="K367" s="211"/>
    </row>
    <row r="368" spans="11:11" x14ac:dyDescent="0.15">
      <c r="K368" s="211"/>
    </row>
    <row r="369" spans="11:11" x14ac:dyDescent="0.15">
      <c r="K369" s="211"/>
    </row>
    <row r="370" spans="11:11" x14ac:dyDescent="0.15">
      <c r="K370" s="211"/>
    </row>
    <row r="371" spans="11:11" x14ac:dyDescent="0.15">
      <c r="K371" s="211"/>
    </row>
    <row r="372" spans="11:11" x14ac:dyDescent="0.15">
      <c r="K372" s="211"/>
    </row>
    <row r="373" spans="11:11" x14ac:dyDescent="0.15">
      <c r="K373" s="211"/>
    </row>
    <row r="374" spans="11:11" x14ac:dyDescent="0.15">
      <c r="K374" s="211"/>
    </row>
    <row r="375" spans="11:11" x14ac:dyDescent="0.15">
      <c r="K375" s="211"/>
    </row>
    <row r="376" spans="11:11" x14ac:dyDescent="0.15">
      <c r="K376" s="211"/>
    </row>
    <row r="377" spans="11:11" x14ac:dyDescent="0.15">
      <c r="K377" s="211"/>
    </row>
    <row r="378" spans="11:11" x14ac:dyDescent="0.15">
      <c r="K378" s="211"/>
    </row>
    <row r="379" spans="11:11" x14ac:dyDescent="0.15">
      <c r="K379" s="211"/>
    </row>
    <row r="380" spans="11:11" x14ac:dyDescent="0.15">
      <c r="K380" s="211"/>
    </row>
    <row r="381" spans="11:11" x14ac:dyDescent="0.15">
      <c r="K381" s="211"/>
    </row>
    <row r="382" spans="11:11" x14ac:dyDescent="0.15">
      <c r="K382" s="211"/>
    </row>
    <row r="383" spans="11:11" x14ac:dyDescent="0.15">
      <c r="K383" s="211"/>
    </row>
    <row r="384" spans="11:11" x14ac:dyDescent="0.15">
      <c r="K384" s="211"/>
    </row>
    <row r="385" spans="11:11" x14ac:dyDescent="0.15">
      <c r="K385" s="211"/>
    </row>
    <row r="386" spans="11:11" x14ac:dyDescent="0.15">
      <c r="K386" s="211"/>
    </row>
    <row r="387" spans="11:11" x14ac:dyDescent="0.15">
      <c r="K387" s="211"/>
    </row>
    <row r="388" spans="11:11" x14ac:dyDescent="0.15">
      <c r="K388" s="211"/>
    </row>
    <row r="389" spans="11:11" x14ac:dyDescent="0.15">
      <c r="K389" s="211"/>
    </row>
    <row r="390" spans="11:11" x14ac:dyDescent="0.15">
      <c r="K390" s="211"/>
    </row>
    <row r="391" spans="11:11" x14ac:dyDescent="0.15">
      <c r="K391" s="211"/>
    </row>
    <row r="392" spans="11:11" x14ac:dyDescent="0.15">
      <c r="K392" s="211"/>
    </row>
    <row r="393" spans="11:11" x14ac:dyDescent="0.15">
      <c r="K393" s="211"/>
    </row>
    <row r="394" spans="11:11" x14ac:dyDescent="0.15">
      <c r="K394" s="211"/>
    </row>
    <row r="395" spans="11:11" x14ac:dyDescent="0.15">
      <c r="K395" s="211"/>
    </row>
    <row r="396" spans="11:11" x14ac:dyDescent="0.15">
      <c r="K396" s="211"/>
    </row>
    <row r="397" spans="11:11" x14ac:dyDescent="0.15">
      <c r="K397" s="211"/>
    </row>
    <row r="398" spans="11:11" x14ac:dyDescent="0.15">
      <c r="K398" s="211"/>
    </row>
    <row r="399" spans="11:11" x14ac:dyDescent="0.15">
      <c r="K399" s="211"/>
    </row>
    <row r="400" spans="11:11" x14ac:dyDescent="0.15">
      <c r="K400" s="211"/>
    </row>
    <row r="401" spans="11:11" x14ac:dyDescent="0.15">
      <c r="K401" s="211"/>
    </row>
    <row r="402" spans="11:11" x14ac:dyDescent="0.15">
      <c r="K402" s="211"/>
    </row>
    <row r="403" spans="11:11" x14ac:dyDescent="0.15">
      <c r="K403" s="211"/>
    </row>
    <row r="404" spans="11:11" x14ac:dyDescent="0.15">
      <c r="K404" s="211"/>
    </row>
    <row r="405" spans="11:11" x14ac:dyDescent="0.15">
      <c r="K405" s="211"/>
    </row>
    <row r="406" spans="11:11" x14ac:dyDescent="0.15">
      <c r="K406" s="211"/>
    </row>
    <row r="407" spans="11:11" x14ac:dyDescent="0.15">
      <c r="K407" s="211"/>
    </row>
    <row r="408" spans="11:11" x14ac:dyDescent="0.15">
      <c r="K408" s="211"/>
    </row>
    <row r="409" spans="11:11" x14ac:dyDescent="0.15">
      <c r="K409" s="211"/>
    </row>
    <row r="410" spans="11:11" x14ac:dyDescent="0.15">
      <c r="K410" s="211"/>
    </row>
    <row r="411" spans="11:11" x14ac:dyDescent="0.15">
      <c r="K411" s="211"/>
    </row>
    <row r="412" spans="11:11" x14ac:dyDescent="0.15">
      <c r="K412" s="211"/>
    </row>
    <row r="413" spans="11:11" x14ac:dyDescent="0.15">
      <c r="K413" s="211"/>
    </row>
    <row r="414" spans="11:11" x14ac:dyDescent="0.15">
      <c r="K414" s="211"/>
    </row>
    <row r="415" spans="11:11" x14ac:dyDescent="0.15">
      <c r="K415" s="211"/>
    </row>
    <row r="416" spans="11:11" x14ac:dyDescent="0.15">
      <c r="K416" s="211"/>
    </row>
    <row r="417" spans="11:11" x14ac:dyDescent="0.15">
      <c r="K417" s="211"/>
    </row>
    <row r="418" spans="11:11" x14ac:dyDescent="0.15">
      <c r="K418" s="211"/>
    </row>
    <row r="419" spans="11:11" x14ac:dyDescent="0.15">
      <c r="K419" s="211"/>
    </row>
    <row r="420" spans="11:11" x14ac:dyDescent="0.15">
      <c r="K420" s="211"/>
    </row>
    <row r="421" spans="11:11" x14ac:dyDescent="0.15">
      <c r="K421" s="211"/>
    </row>
    <row r="422" spans="11:11" x14ac:dyDescent="0.15">
      <c r="K422" s="211"/>
    </row>
    <row r="423" spans="11:11" x14ac:dyDescent="0.15">
      <c r="K423" s="211"/>
    </row>
    <row r="424" spans="11:11" x14ac:dyDescent="0.15">
      <c r="K424" s="211"/>
    </row>
    <row r="425" spans="11:11" x14ac:dyDescent="0.15">
      <c r="K425" s="211"/>
    </row>
    <row r="426" spans="11:11" x14ac:dyDescent="0.15">
      <c r="K426" s="211"/>
    </row>
    <row r="427" spans="11:11" x14ac:dyDescent="0.15">
      <c r="K427" s="211"/>
    </row>
    <row r="428" spans="11:11" x14ac:dyDescent="0.15">
      <c r="K428" s="211"/>
    </row>
    <row r="429" spans="11:11" x14ac:dyDescent="0.15">
      <c r="K429" s="211"/>
    </row>
    <row r="430" spans="11:11" x14ac:dyDescent="0.15">
      <c r="K430" s="211"/>
    </row>
    <row r="431" spans="11:11" x14ac:dyDescent="0.15">
      <c r="K431" s="211"/>
    </row>
    <row r="432" spans="11:11" x14ac:dyDescent="0.15">
      <c r="K432" s="211"/>
    </row>
    <row r="433" spans="11:11" x14ac:dyDescent="0.15">
      <c r="K433" s="211"/>
    </row>
    <row r="434" spans="11:11" x14ac:dyDescent="0.15">
      <c r="K434" s="211"/>
    </row>
    <row r="435" spans="11:11" x14ac:dyDescent="0.15">
      <c r="K435" s="211"/>
    </row>
    <row r="436" spans="11:11" x14ac:dyDescent="0.15">
      <c r="K436" s="211"/>
    </row>
    <row r="437" spans="11:11" x14ac:dyDescent="0.15">
      <c r="K437" s="211"/>
    </row>
    <row r="438" spans="11:11" x14ac:dyDescent="0.15">
      <c r="K438" s="211"/>
    </row>
    <row r="439" spans="11:11" x14ac:dyDescent="0.15">
      <c r="K439" s="211"/>
    </row>
    <row r="440" spans="11:11" x14ac:dyDescent="0.15">
      <c r="K440" s="211"/>
    </row>
    <row r="441" spans="11:11" x14ac:dyDescent="0.15">
      <c r="K441" s="211"/>
    </row>
    <row r="442" spans="11:11" x14ac:dyDescent="0.15">
      <c r="K442" s="211"/>
    </row>
    <row r="443" spans="11:11" x14ac:dyDescent="0.15">
      <c r="K443" s="211"/>
    </row>
    <row r="444" spans="11:11" x14ac:dyDescent="0.15">
      <c r="K444" s="211"/>
    </row>
    <row r="445" spans="11:11" x14ac:dyDescent="0.15">
      <c r="K445" s="211"/>
    </row>
    <row r="446" spans="11:11" x14ac:dyDescent="0.15">
      <c r="K446" s="211"/>
    </row>
    <row r="447" spans="11:11" x14ac:dyDescent="0.15">
      <c r="K447" s="211"/>
    </row>
    <row r="448" spans="11:11" x14ac:dyDescent="0.15">
      <c r="K448" s="211"/>
    </row>
    <row r="449" spans="11:11" x14ac:dyDescent="0.15">
      <c r="K449" s="211"/>
    </row>
    <row r="450" spans="11:11" x14ac:dyDescent="0.15">
      <c r="K450" s="211"/>
    </row>
    <row r="451" spans="11:11" x14ac:dyDescent="0.15">
      <c r="K451" s="211"/>
    </row>
    <row r="452" spans="11:11" x14ac:dyDescent="0.15">
      <c r="K452" s="211"/>
    </row>
    <row r="453" spans="11:11" x14ac:dyDescent="0.15">
      <c r="K453" s="211"/>
    </row>
    <row r="454" spans="11:11" x14ac:dyDescent="0.15">
      <c r="K454" s="211"/>
    </row>
    <row r="455" spans="11:11" x14ac:dyDescent="0.15">
      <c r="K455" s="211"/>
    </row>
    <row r="456" spans="11:11" x14ac:dyDescent="0.15">
      <c r="K456" s="211"/>
    </row>
    <row r="457" spans="11:11" x14ac:dyDescent="0.15">
      <c r="K457" s="211"/>
    </row>
    <row r="458" spans="11:11" x14ac:dyDescent="0.15">
      <c r="K458" s="211"/>
    </row>
    <row r="459" spans="11:11" x14ac:dyDescent="0.15">
      <c r="K459" s="211"/>
    </row>
    <row r="460" spans="11:11" x14ac:dyDescent="0.15">
      <c r="K460" s="211"/>
    </row>
    <row r="461" spans="11:11" x14ac:dyDescent="0.15">
      <c r="K461" s="211"/>
    </row>
    <row r="462" spans="11:11" x14ac:dyDescent="0.15">
      <c r="K462" s="211"/>
    </row>
    <row r="463" spans="11:11" x14ac:dyDescent="0.15">
      <c r="K463" s="211"/>
    </row>
    <row r="464" spans="11:11" x14ac:dyDescent="0.15">
      <c r="K464" s="211"/>
    </row>
    <row r="465" spans="11:11" x14ac:dyDescent="0.15">
      <c r="K465" s="211"/>
    </row>
    <row r="466" spans="11:11" x14ac:dyDescent="0.15">
      <c r="K466" s="211"/>
    </row>
    <row r="467" spans="11:11" x14ac:dyDescent="0.15">
      <c r="K467" s="211"/>
    </row>
    <row r="468" spans="11:11" x14ac:dyDescent="0.15">
      <c r="K468" s="211"/>
    </row>
    <row r="469" spans="11:11" x14ac:dyDescent="0.15">
      <c r="K469" s="211"/>
    </row>
    <row r="470" spans="11:11" x14ac:dyDescent="0.15">
      <c r="K470" s="211"/>
    </row>
    <row r="471" spans="11:11" x14ac:dyDescent="0.15">
      <c r="K471" s="211"/>
    </row>
    <row r="472" spans="11:11" x14ac:dyDescent="0.15">
      <c r="K472" s="211"/>
    </row>
    <row r="473" spans="11:11" x14ac:dyDescent="0.15">
      <c r="K473" s="211"/>
    </row>
    <row r="474" spans="11:11" x14ac:dyDescent="0.15">
      <c r="K474" s="211"/>
    </row>
    <row r="475" spans="11:11" x14ac:dyDescent="0.15">
      <c r="K475" s="211"/>
    </row>
    <row r="476" spans="11:11" x14ac:dyDescent="0.15">
      <c r="K476" s="211"/>
    </row>
    <row r="477" spans="11:11" x14ac:dyDescent="0.15">
      <c r="K477" s="211"/>
    </row>
    <row r="478" spans="11:11" x14ac:dyDescent="0.15">
      <c r="K478" s="211"/>
    </row>
    <row r="479" spans="11:11" x14ac:dyDescent="0.15">
      <c r="K479" s="211"/>
    </row>
    <row r="480" spans="11:11" x14ac:dyDescent="0.15">
      <c r="K480" s="211"/>
    </row>
    <row r="481" spans="11:11" x14ac:dyDescent="0.15">
      <c r="K481" s="211"/>
    </row>
    <row r="482" spans="11:11" x14ac:dyDescent="0.15">
      <c r="K482" s="211"/>
    </row>
    <row r="483" spans="11:11" x14ac:dyDescent="0.15">
      <c r="K483" s="211"/>
    </row>
    <row r="484" spans="11:11" x14ac:dyDescent="0.15">
      <c r="K484" s="211"/>
    </row>
    <row r="485" spans="11:11" x14ac:dyDescent="0.15">
      <c r="K485" s="211"/>
    </row>
    <row r="486" spans="11:11" x14ac:dyDescent="0.15">
      <c r="K486" s="211"/>
    </row>
    <row r="487" spans="11:11" x14ac:dyDescent="0.15">
      <c r="K487" s="211"/>
    </row>
    <row r="488" spans="11:11" x14ac:dyDescent="0.15">
      <c r="K488" s="211"/>
    </row>
    <row r="489" spans="11:11" x14ac:dyDescent="0.15">
      <c r="K489" s="211"/>
    </row>
    <row r="490" spans="11:11" x14ac:dyDescent="0.15">
      <c r="K490" s="211"/>
    </row>
    <row r="491" spans="11:11" x14ac:dyDescent="0.15">
      <c r="K491" s="211"/>
    </row>
    <row r="492" spans="11:11" x14ac:dyDescent="0.15">
      <c r="K492" s="211"/>
    </row>
    <row r="493" spans="11:11" x14ac:dyDescent="0.15">
      <c r="K493" s="211"/>
    </row>
    <row r="494" spans="11:11" x14ac:dyDescent="0.15">
      <c r="K494" s="211"/>
    </row>
    <row r="495" spans="11:11" x14ac:dyDescent="0.15">
      <c r="K495" s="211"/>
    </row>
    <row r="496" spans="11:11" x14ac:dyDescent="0.15">
      <c r="K496" s="211"/>
    </row>
    <row r="497" spans="11:11" x14ac:dyDescent="0.15">
      <c r="K497" s="211"/>
    </row>
    <row r="498" spans="11:11" x14ac:dyDescent="0.15">
      <c r="K498" s="211"/>
    </row>
    <row r="499" spans="11:11" x14ac:dyDescent="0.15">
      <c r="K499" s="211"/>
    </row>
    <row r="500" spans="11:11" x14ac:dyDescent="0.15">
      <c r="K500" s="211"/>
    </row>
    <row r="501" spans="11:11" x14ac:dyDescent="0.15">
      <c r="K501" s="211"/>
    </row>
    <row r="502" spans="11:11" x14ac:dyDescent="0.15">
      <c r="K502" s="211"/>
    </row>
    <row r="503" spans="11:11" x14ac:dyDescent="0.15">
      <c r="K503" s="211"/>
    </row>
    <row r="504" spans="11:11" x14ac:dyDescent="0.15">
      <c r="K504" s="211"/>
    </row>
    <row r="505" spans="11:11" x14ac:dyDescent="0.15">
      <c r="K505" s="211"/>
    </row>
    <row r="506" spans="11:11" x14ac:dyDescent="0.15">
      <c r="K506" s="211"/>
    </row>
    <row r="507" spans="11:11" x14ac:dyDescent="0.15">
      <c r="K507" s="211"/>
    </row>
    <row r="508" spans="11:11" x14ac:dyDescent="0.15">
      <c r="K508" s="211"/>
    </row>
    <row r="509" spans="11:11" x14ac:dyDescent="0.15">
      <c r="K509" s="211"/>
    </row>
    <row r="510" spans="11:11" x14ac:dyDescent="0.15">
      <c r="K510" s="211"/>
    </row>
    <row r="511" spans="11:11" x14ac:dyDescent="0.15">
      <c r="K511" s="211"/>
    </row>
    <row r="512" spans="11:11" x14ac:dyDescent="0.15">
      <c r="K512" s="211"/>
    </row>
    <row r="513" spans="11:11" x14ac:dyDescent="0.15">
      <c r="K513" s="211"/>
    </row>
    <row r="514" spans="11:11" x14ac:dyDescent="0.15">
      <c r="K514" s="211"/>
    </row>
    <row r="515" spans="11:11" x14ac:dyDescent="0.15">
      <c r="K515" s="211"/>
    </row>
    <row r="516" spans="11:11" x14ac:dyDescent="0.15">
      <c r="K516" s="211"/>
    </row>
    <row r="517" spans="11:11" x14ac:dyDescent="0.15">
      <c r="K517" s="211"/>
    </row>
    <row r="518" spans="11:11" x14ac:dyDescent="0.15">
      <c r="K518" s="211"/>
    </row>
    <row r="519" spans="11:11" x14ac:dyDescent="0.15">
      <c r="K519" s="211"/>
    </row>
    <row r="520" spans="11:11" x14ac:dyDescent="0.15">
      <c r="K520" s="211"/>
    </row>
    <row r="521" spans="11:11" x14ac:dyDescent="0.15">
      <c r="K521" s="211"/>
    </row>
    <row r="522" spans="11:11" x14ac:dyDescent="0.15">
      <c r="K522" s="211"/>
    </row>
    <row r="523" spans="11:11" x14ac:dyDescent="0.15">
      <c r="K523" s="211"/>
    </row>
    <row r="524" spans="11:11" x14ac:dyDescent="0.15">
      <c r="K524" s="211"/>
    </row>
    <row r="525" spans="11:11" x14ac:dyDescent="0.15">
      <c r="K525" s="211"/>
    </row>
    <row r="526" spans="11:11" x14ac:dyDescent="0.15">
      <c r="K526" s="211"/>
    </row>
    <row r="527" spans="11:11" x14ac:dyDescent="0.15">
      <c r="K527" s="211"/>
    </row>
    <row r="528" spans="11:11" x14ac:dyDescent="0.15">
      <c r="K528" s="211"/>
    </row>
    <row r="529" spans="11:11" x14ac:dyDescent="0.15">
      <c r="K529" s="211"/>
    </row>
    <row r="530" spans="11:11" x14ac:dyDescent="0.15">
      <c r="K530" s="211"/>
    </row>
    <row r="531" spans="11:11" x14ac:dyDescent="0.15">
      <c r="K531" s="211"/>
    </row>
    <row r="532" spans="11:11" x14ac:dyDescent="0.15">
      <c r="K532" s="211"/>
    </row>
    <row r="533" spans="11:11" x14ac:dyDescent="0.15">
      <c r="K533" s="211"/>
    </row>
    <row r="534" spans="11:11" x14ac:dyDescent="0.15">
      <c r="K534" s="211"/>
    </row>
    <row r="535" spans="11:11" x14ac:dyDescent="0.15">
      <c r="K535" s="211"/>
    </row>
    <row r="536" spans="11:11" x14ac:dyDescent="0.15">
      <c r="K536" s="211"/>
    </row>
    <row r="537" spans="11:11" x14ac:dyDescent="0.15">
      <c r="K537" s="211"/>
    </row>
    <row r="538" spans="11:11" x14ac:dyDescent="0.15">
      <c r="K538" s="211"/>
    </row>
    <row r="539" spans="11:11" x14ac:dyDescent="0.15">
      <c r="K539" s="211"/>
    </row>
    <row r="540" spans="11:11" x14ac:dyDescent="0.15">
      <c r="K540" s="211"/>
    </row>
    <row r="541" spans="11:11" x14ac:dyDescent="0.15">
      <c r="K541" s="211"/>
    </row>
    <row r="542" spans="11:11" x14ac:dyDescent="0.15">
      <c r="K542" s="211"/>
    </row>
    <row r="543" spans="11:11" x14ac:dyDescent="0.15">
      <c r="K543" s="211"/>
    </row>
    <row r="544" spans="11:11" x14ac:dyDescent="0.15">
      <c r="K544" s="211"/>
    </row>
    <row r="545" spans="11:11" x14ac:dyDescent="0.15">
      <c r="K545" s="211"/>
    </row>
    <row r="546" spans="11:11" x14ac:dyDescent="0.15">
      <c r="K546" s="211"/>
    </row>
    <row r="547" spans="11:11" x14ac:dyDescent="0.15">
      <c r="K547" s="211"/>
    </row>
    <row r="548" spans="11:11" x14ac:dyDescent="0.15">
      <c r="K548" s="211"/>
    </row>
    <row r="549" spans="11:11" x14ac:dyDescent="0.15">
      <c r="K549" s="211"/>
    </row>
    <row r="550" spans="11:11" x14ac:dyDescent="0.15">
      <c r="K550" s="211"/>
    </row>
    <row r="551" spans="11:11" x14ac:dyDescent="0.15">
      <c r="K551" s="211"/>
    </row>
    <row r="552" spans="11:11" x14ac:dyDescent="0.15">
      <c r="K552" s="211"/>
    </row>
    <row r="553" spans="11:11" x14ac:dyDescent="0.15">
      <c r="K553" s="211"/>
    </row>
    <row r="554" spans="11:11" x14ac:dyDescent="0.15">
      <c r="K554" s="211"/>
    </row>
    <row r="555" spans="11:11" x14ac:dyDescent="0.15">
      <c r="K555" s="211"/>
    </row>
    <row r="556" spans="11:11" x14ac:dyDescent="0.15">
      <c r="K556" s="211"/>
    </row>
    <row r="557" spans="11:11" x14ac:dyDescent="0.15">
      <c r="K557" s="211"/>
    </row>
    <row r="558" spans="11:11" x14ac:dyDescent="0.15">
      <c r="K558" s="211"/>
    </row>
    <row r="559" spans="11:11" x14ac:dyDescent="0.15">
      <c r="K559" s="211"/>
    </row>
    <row r="560" spans="11:11" x14ac:dyDescent="0.15">
      <c r="K560" s="211"/>
    </row>
    <row r="561" spans="11:11" x14ac:dyDescent="0.15">
      <c r="K561" s="211"/>
    </row>
    <row r="562" spans="11:11" x14ac:dyDescent="0.15">
      <c r="K562" s="211"/>
    </row>
    <row r="563" spans="11:11" x14ac:dyDescent="0.15">
      <c r="K563" s="211"/>
    </row>
    <row r="564" spans="11:11" x14ac:dyDescent="0.15">
      <c r="K564" s="211"/>
    </row>
    <row r="565" spans="11:11" x14ac:dyDescent="0.15">
      <c r="K565" s="211"/>
    </row>
    <row r="566" spans="11:11" x14ac:dyDescent="0.15">
      <c r="K566" s="211"/>
    </row>
    <row r="567" spans="11:11" x14ac:dyDescent="0.15">
      <c r="K567" s="211"/>
    </row>
    <row r="568" spans="11:11" x14ac:dyDescent="0.15">
      <c r="K568" s="211"/>
    </row>
    <row r="569" spans="11:11" x14ac:dyDescent="0.15">
      <c r="K569" s="211"/>
    </row>
    <row r="570" spans="11:11" x14ac:dyDescent="0.15">
      <c r="K570" s="211"/>
    </row>
    <row r="571" spans="11:11" x14ac:dyDescent="0.15">
      <c r="K571" s="211"/>
    </row>
    <row r="572" spans="11:11" x14ac:dyDescent="0.15">
      <c r="K572" s="211"/>
    </row>
    <row r="573" spans="11:11" x14ac:dyDescent="0.15">
      <c r="K573" s="211"/>
    </row>
    <row r="574" spans="11:11" x14ac:dyDescent="0.15">
      <c r="K574" s="211"/>
    </row>
    <row r="575" spans="11:11" x14ac:dyDescent="0.15">
      <c r="K575" s="211"/>
    </row>
    <row r="576" spans="11:11" x14ac:dyDescent="0.15">
      <c r="K576" s="211"/>
    </row>
    <row r="577" spans="11:11" x14ac:dyDescent="0.15">
      <c r="K577" s="211"/>
    </row>
    <row r="578" spans="11:11" x14ac:dyDescent="0.15">
      <c r="K578" s="211"/>
    </row>
    <row r="579" spans="11:11" x14ac:dyDescent="0.15">
      <c r="K579" s="211"/>
    </row>
    <row r="580" spans="11:11" x14ac:dyDescent="0.15">
      <c r="K580" s="211"/>
    </row>
    <row r="581" spans="11:11" x14ac:dyDescent="0.15">
      <c r="K581" s="211"/>
    </row>
    <row r="582" spans="11:11" x14ac:dyDescent="0.15">
      <c r="K582" s="211"/>
    </row>
    <row r="583" spans="11:11" x14ac:dyDescent="0.15">
      <c r="K583" s="211"/>
    </row>
    <row r="584" spans="11:11" x14ac:dyDescent="0.15">
      <c r="K584" s="211"/>
    </row>
    <row r="585" spans="11:11" x14ac:dyDescent="0.15">
      <c r="K585" s="211"/>
    </row>
    <row r="586" spans="11:11" x14ac:dyDescent="0.15">
      <c r="K586" s="211"/>
    </row>
    <row r="587" spans="11:11" x14ac:dyDescent="0.15">
      <c r="K587" s="211"/>
    </row>
    <row r="588" spans="11:11" x14ac:dyDescent="0.15">
      <c r="K588" s="211"/>
    </row>
    <row r="589" spans="11:11" x14ac:dyDescent="0.15">
      <c r="K589" s="211"/>
    </row>
    <row r="590" spans="11:11" x14ac:dyDescent="0.15">
      <c r="K590" s="211"/>
    </row>
    <row r="591" spans="11:11" x14ac:dyDescent="0.15">
      <c r="K591" s="211"/>
    </row>
    <row r="592" spans="11:11" x14ac:dyDescent="0.15">
      <c r="K592" s="211"/>
    </row>
    <row r="593" spans="11:11" x14ac:dyDescent="0.15">
      <c r="K593" s="211"/>
    </row>
    <row r="594" spans="11:11" x14ac:dyDescent="0.15">
      <c r="K594" s="211"/>
    </row>
    <row r="595" spans="11:11" x14ac:dyDescent="0.15">
      <c r="K595" s="211"/>
    </row>
    <row r="596" spans="11:11" x14ac:dyDescent="0.15">
      <c r="K596" s="211"/>
    </row>
    <row r="597" spans="11:11" x14ac:dyDescent="0.15">
      <c r="K597" s="211"/>
    </row>
    <row r="598" spans="11:11" x14ac:dyDescent="0.15">
      <c r="K598" s="211"/>
    </row>
    <row r="599" spans="11:11" x14ac:dyDescent="0.15">
      <c r="K599" s="211"/>
    </row>
    <row r="600" spans="11:11" x14ac:dyDescent="0.15">
      <c r="K600" s="211"/>
    </row>
    <row r="601" spans="11:11" x14ac:dyDescent="0.15">
      <c r="K601" s="211"/>
    </row>
    <row r="602" spans="11:11" x14ac:dyDescent="0.15">
      <c r="K602" s="211"/>
    </row>
    <row r="603" spans="11:11" x14ac:dyDescent="0.15">
      <c r="K603" s="211"/>
    </row>
    <row r="604" spans="11:11" x14ac:dyDescent="0.15">
      <c r="K604" s="211"/>
    </row>
    <row r="605" spans="11:11" x14ac:dyDescent="0.15">
      <c r="K605" s="211"/>
    </row>
    <row r="606" spans="11:11" x14ac:dyDescent="0.15">
      <c r="K606" s="211"/>
    </row>
    <row r="607" spans="11:11" x14ac:dyDescent="0.15">
      <c r="K607" s="211"/>
    </row>
    <row r="608" spans="11:11" x14ac:dyDescent="0.15">
      <c r="K608" s="211"/>
    </row>
    <row r="609" spans="11:11" x14ac:dyDescent="0.15">
      <c r="K609" s="211"/>
    </row>
    <row r="610" spans="11:11" x14ac:dyDescent="0.15">
      <c r="K610" s="211"/>
    </row>
    <row r="611" spans="11:11" x14ac:dyDescent="0.15">
      <c r="K611" s="211"/>
    </row>
    <row r="612" spans="11:11" x14ac:dyDescent="0.15">
      <c r="K612" s="211"/>
    </row>
    <row r="613" spans="11:11" x14ac:dyDescent="0.15">
      <c r="K613" s="211"/>
    </row>
    <row r="614" spans="11:11" x14ac:dyDescent="0.15">
      <c r="K614" s="211"/>
    </row>
    <row r="615" spans="11:11" x14ac:dyDescent="0.15">
      <c r="K615" s="211"/>
    </row>
    <row r="616" spans="11:11" x14ac:dyDescent="0.15">
      <c r="K616" s="211"/>
    </row>
    <row r="617" spans="11:11" x14ac:dyDescent="0.15">
      <c r="K617" s="211"/>
    </row>
    <row r="618" spans="11:11" x14ac:dyDescent="0.15">
      <c r="K618" s="211"/>
    </row>
    <row r="619" spans="11:11" x14ac:dyDescent="0.15">
      <c r="K619" s="211"/>
    </row>
    <row r="620" spans="11:11" x14ac:dyDescent="0.15">
      <c r="K620" s="211"/>
    </row>
    <row r="621" spans="11:11" x14ac:dyDescent="0.15">
      <c r="K621" s="211"/>
    </row>
    <row r="622" spans="11:11" x14ac:dyDescent="0.15">
      <c r="K622" s="211"/>
    </row>
    <row r="623" spans="11:11" x14ac:dyDescent="0.15">
      <c r="K623" s="211"/>
    </row>
    <row r="624" spans="11:11" x14ac:dyDescent="0.15">
      <c r="K624" s="211"/>
    </row>
    <row r="625" spans="11:11" x14ac:dyDescent="0.15">
      <c r="K625" s="211"/>
    </row>
    <row r="626" spans="11:11" x14ac:dyDescent="0.15">
      <c r="K626" s="211"/>
    </row>
    <row r="627" spans="11:11" x14ac:dyDescent="0.15">
      <c r="K627" s="211"/>
    </row>
    <row r="628" spans="11:11" x14ac:dyDescent="0.15">
      <c r="K628" s="211"/>
    </row>
    <row r="629" spans="11:11" x14ac:dyDescent="0.15">
      <c r="K629" s="211"/>
    </row>
    <row r="630" spans="11:11" x14ac:dyDescent="0.15">
      <c r="K630" s="211"/>
    </row>
    <row r="631" spans="11:11" x14ac:dyDescent="0.15">
      <c r="K631" s="211"/>
    </row>
    <row r="632" spans="11:11" x14ac:dyDescent="0.15">
      <c r="K632" s="211"/>
    </row>
    <row r="633" spans="11:11" x14ac:dyDescent="0.15">
      <c r="K633" s="211"/>
    </row>
    <row r="634" spans="11:11" x14ac:dyDescent="0.15">
      <c r="K634" s="211"/>
    </row>
    <row r="635" spans="11:11" x14ac:dyDescent="0.15">
      <c r="K635" s="211"/>
    </row>
    <row r="636" spans="11:11" x14ac:dyDescent="0.15">
      <c r="K636" s="211"/>
    </row>
    <row r="637" spans="11:11" x14ac:dyDescent="0.15">
      <c r="K637" s="211"/>
    </row>
    <row r="638" spans="11:11" x14ac:dyDescent="0.15">
      <c r="K638" s="211"/>
    </row>
    <row r="639" spans="11:11" x14ac:dyDescent="0.15">
      <c r="K639" s="211"/>
    </row>
    <row r="640" spans="11:11" x14ac:dyDescent="0.15">
      <c r="K640" s="211"/>
    </row>
    <row r="641" spans="11:11" x14ac:dyDescent="0.15">
      <c r="K641" s="211"/>
    </row>
    <row r="642" spans="11:11" x14ac:dyDescent="0.15">
      <c r="K642" s="211"/>
    </row>
    <row r="643" spans="11:11" x14ac:dyDescent="0.15">
      <c r="K643" s="211"/>
    </row>
    <row r="644" spans="11:11" x14ac:dyDescent="0.15">
      <c r="K644" s="211"/>
    </row>
    <row r="645" spans="11:11" x14ac:dyDescent="0.15">
      <c r="K645" s="211"/>
    </row>
    <row r="646" spans="11:11" x14ac:dyDescent="0.15">
      <c r="K646" s="211"/>
    </row>
    <row r="647" spans="11:11" x14ac:dyDescent="0.15">
      <c r="K647" s="211"/>
    </row>
    <row r="648" spans="11:11" x14ac:dyDescent="0.15">
      <c r="K648" s="211"/>
    </row>
    <row r="649" spans="11:11" x14ac:dyDescent="0.15">
      <c r="K649" s="211"/>
    </row>
    <row r="650" spans="11:11" x14ac:dyDescent="0.15">
      <c r="K650" s="211"/>
    </row>
    <row r="651" spans="11:11" x14ac:dyDescent="0.15">
      <c r="K651" s="211"/>
    </row>
    <row r="652" spans="11:11" x14ac:dyDescent="0.15">
      <c r="K652" s="211"/>
    </row>
    <row r="653" spans="11:11" x14ac:dyDescent="0.15">
      <c r="K653" s="211"/>
    </row>
    <row r="654" spans="11:11" x14ac:dyDescent="0.15">
      <c r="K654" s="211"/>
    </row>
    <row r="655" spans="11:11" x14ac:dyDescent="0.15">
      <c r="K655" s="211"/>
    </row>
    <row r="656" spans="11:11" x14ac:dyDescent="0.15">
      <c r="K656" s="211"/>
    </row>
    <row r="657" spans="11:11" x14ac:dyDescent="0.15">
      <c r="K657" s="211"/>
    </row>
    <row r="658" spans="11:11" x14ac:dyDescent="0.15">
      <c r="K658" s="211"/>
    </row>
    <row r="659" spans="11:11" x14ac:dyDescent="0.15">
      <c r="K659" s="211"/>
    </row>
    <row r="660" spans="11:11" x14ac:dyDescent="0.15">
      <c r="K660" s="211"/>
    </row>
    <row r="661" spans="11:11" x14ac:dyDescent="0.15">
      <c r="K661" s="211"/>
    </row>
    <row r="662" spans="11:11" x14ac:dyDescent="0.15">
      <c r="K662" s="211"/>
    </row>
    <row r="663" spans="11:11" x14ac:dyDescent="0.15">
      <c r="K663" s="211"/>
    </row>
    <row r="664" spans="11:11" x14ac:dyDescent="0.15">
      <c r="K664" s="211"/>
    </row>
    <row r="665" spans="11:11" x14ac:dyDescent="0.15">
      <c r="K665" s="211"/>
    </row>
    <row r="666" spans="11:11" x14ac:dyDescent="0.15">
      <c r="K666" s="211"/>
    </row>
    <row r="667" spans="11:11" x14ac:dyDescent="0.15">
      <c r="K667" s="211"/>
    </row>
    <row r="668" spans="11:11" x14ac:dyDescent="0.15">
      <c r="K668" s="211"/>
    </row>
    <row r="669" spans="11:11" x14ac:dyDescent="0.15">
      <c r="K669" s="211"/>
    </row>
    <row r="670" spans="11:11" x14ac:dyDescent="0.15">
      <c r="K670" s="211"/>
    </row>
    <row r="671" spans="11:11" x14ac:dyDescent="0.15">
      <c r="K671" s="211"/>
    </row>
    <row r="672" spans="11:11" x14ac:dyDescent="0.15">
      <c r="K672" s="211"/>
    </row>
    <row r="673" spans="11:11" x14ac:dyDescent="0.15">
      <c r="K673" s="211"/>
    </row>
    <row r="674" spans="11:11" x14ac:dyDescent="0.15">
      <c r="K674" s="211"/>
    </row>
    <row r="675" spans="11:11" x14ac:dyDescent="0.15">
      <c r="K675" s="211"/>
    </row>
    <row r="676" spans="11:11" x14ac:dyDescent="0.15">
      <c r="K676" s="211"/>
    </row>
    <row r="677" spans="11:11" x14ac:dyDescent="0.15">
      <c r="K677" s="211"/>
    </row>
    <row r="678" spans="11:11" x14ac:dyDescent="0.15">
      <c r="K678" s="211"/>
    </row>
    <row r="679" spans="11:11" x14ac:dyDescent="0.15">
      <c r="K679" s="211"/>
    </row>
    <row r="680" spans="11:11" x14ac:dyDescent="0.15">
      <c r="K680" s="211"/>
    </row>
    <row r="681" spans="11:11" x14ac:dyDescent="0.15">
      <c r="K681" s="211"/>
    </row>
    <row r="682" spans="11:11" x14ac:dyDescent="0.15">
      <c r="K682" s="211"/>
    </row>
    <row r="683" spans="11:11" x14ac:dyDescent="0.15">
      <c r="K683" s="211"/>
    </row>
    <row r="684" spans="11:11" x14ac:dyDescent="0.15">
      <c r="K684" s="211"/>
    </row>
    <row r="685" spans="11:11" x14ac:dyDescent="0.15">
      <c r="K685" s="211"/>
    </row>
    <row r="686" spans="11:11" x14ac:dyDescent="0.15">
      <c r="K686" s="211"/>
    </row>
    <row r="687" spans="11:11" x14ac:dyDescent="0.15">
      <c r="K687" s="211"/>
    </row>
    <row r="688" spans="11:11" x14ac:dyDescent="0.15">
      <c r="K688" s="211"/>
    </row>
    <row r="689" spans="11:11" x14ac:dyDescent="0.15">
      <c r="K689" s="211"/>
    </row>
    <row r="690" spans="11:11" x14ac:dyDescent="0.15">
      <c r="K690" s="211"/>
    </row>
    <row r="691" spans="11:11" x14ac:dyDescent="0.15">
      <c r="K691" s="211"/>
    </row>
    <row r="692" spans="11:11" x14ac:dyDescent="0.15">
      <c r="K692" s="211"/>
    </row>
    <row r="693" spans="11:11" x14ac:dyDescent="0.15">
      <c r="K693" s="211"/>
    </row>
    <row r="694" spans="11:11" x14ac:dyDescent="0.15">
      <c r="K694" s="211"/>
    </row>
    <row r="695" spans="11:11" x14ac:dyDescent="0.15">
      <c r="K695" s="211"/>
    </row>
    <row r="696" spans="11:11" x14ac:dyDescent="0.15">
      <c r="K696" s="211"/>
    </row>
    <row r="697" spans="11:11" x14ac:dyDescent="0.15">
      <c r="K697" s="211"/>
    </row>
    <row r="698" spans="11:11" x14ac:dyDescent="0.15">
      <c r="K698" s="211"/>
    </row>
    <row r="699" spans="11:11" x14ac:dyDescent="0.15">
      <c r="K699" s="211"/>
    </row>
    <row r="700" spans="11:11" x14ac:dyDescent="0.15">
      <c r="K700" s="211"/>
    </row>
    <row r="701" spans="11:11" x14ac:dyDescent="0.15">
      <c r="K701" s="211"/>
    </row>
    <row r="702" spans="11:11" x14ac:dyDescent="0.15">
      <c r="K702" s="211"/>
    </row>
    <row r="703" spans="11:11" x14ac:dyDescent="0.15">
      <c r="K703" s="211"/>
    </row>
    <row r="704" spans="11:11" x14ac:dyDescent="0.15">
      <c r="K704" s="211"/>
    </row>
    <row r="705" spans="11:11" x14ac:dyDescent="0.15">
      <c r="K705" s="211"/>
    </row>
    <row r="706" spans="11:11" x14ac:dyDescent="0.15">
      <c r="K706" s="211"/>
    </row>
    <row r="707" spans="11:11" x14ac:dyDescent="0.15">
      <c r="K707" s="211"/>
    </row>
    <row r="708" spans="11:11" x14ac:dyDescent="0.15">
      <c r="K708" s="211"/>
    </row>
    <row r="709" spans="11:11" x14ac:dyDescent="0.15">
      <c r="K709" s="211"/>
    </row>
    <row r="710" spans="11:11" x14ac:dyDescent="0.15">
      <c r="K710" s="211"/>
    </row>
    <row r="711" spans="11:11" x14ac:dyDescent="0.15">
      <c r="K711" s="211"/>
    </row>
    <row r="712" spans="11:11" x14ac:dyDescent="0.15">
      <c r="K712" s="211"/>
    </row>
    <row r="713" spans="11:11" x14ac:dyDescent="0.15">
      <c r="K713" s="211"/>
    </row>
    <row r="714" spans="11:11" x14ac:dyDescent="0.15">
      <c r="K714" s="211"/>
    </row>
    <row r="715" spans="11:11" x14ac:dyDescent="0.15">
      <c r="K715" s="211"/>
    </row>
    <row r="716" spans="11:11" x14ac:dyDescent="0.15">
      <c r="K716" s="211"/>
    </row>
    <row r="717" spans="11:11" x14ac:dyDescent="0.15">
      <c r="K717" s="211"/>
    </row>
    <row r="718" spans="11:11" x14ac:dyDescent="0.15">
      <c r="K718" s="211"/>
    </row>
    <row r="719" spans="11:11" x14ac:dyDescent="0.15">
      <c r="K719" s="211"/>
    </row>
    <row r="720" spans="11:11" x14ac:dyDescent="0.15">
      <c r="K720" s="211"/>
    </row>
    <row r="721" spans="11:11" x14ac:dyDescent="0.15">
      <c r="K721" s="211"/>
    </row>
    <row r="722" spans="11:11" x14ac:dyDescent="0.15">
      <c r="K722" s="211"/>
    </row>
    <row r="723" spans="11:11" x14ac:dyDescent="0.15">
      <c r="K723" s="211"/>
    </row>
    <row r="724" spans="11:11" x14ac:dyDescent="0.15">
      <c r="K724" s="211"/>
    </row>
    <row r="725" spans="11:11" x14ac:dyDescent="0.15">
      <c r="K725" s="211"/>
    </row>
    <row r="726" spans="11:11" x14ac:dyDescent="0.15">
      <c r="K726" s="211"/>
    </row>
    <row r="727" spans="11:11" x14ac:dyDescent="0.15">
      <c r="K727" s="211"/>
    </row>
    <row r="728" spans="11:11" x14ac:dyDescent="0.15">
      <c r="K728" s="211"/>
    </row>
    <row r="729" spans="11:11" x14ac:dyDescent="0.15">
      <c r="K729" s="211"/>
    </row>
    <row r="730" spans="11:11" x14ac:dyDescent="0.15">
      <c r="K730" s="211"/>
    </row>
    <row r="731" spans="11:11" x14ac:dyDescent="0.15">
      <c r="K731" s="211"/>
    </row>
    <row r="732" spans="11:11" x14ac:dyDescent="0.15">
      <c r="K732" s="211"/>
    </row>
    <row r="733" spans="11:11" x14ac:dyDescent="0.15">
      <c r="K733" s="211"/>
    </row>
    <row r="734" spans="11:11" x14ac:dyDescent="0.15">
      <c r="K734" s="211"/>
    </row>
    <row r="735" spans="11:11" x14ac:dyDescent="0.15">
      <c r="K735" s="211"/>
    </row>
    <row r="736" spans="11:11" x14ac:dyDescent="0.15">
      <c r="K736" s="211"/>
    </row>
    <row r="737" spans="11:11" x14ac:dyDescent="0.15">
      <c r="K737" s="211"/>
    </row>
  </sheetData>
  <autoFilter ref="A1:BA82"/>
  <phoneticPr fontId="3"/>
  <dataValidations count="12">
    <dataValidation type="list" allowBlank="1" showInputMessage="1" showErrorMessage="1" sqref="K2:K737">
      <formula1>$AR$2:$AR$23</formula1>
    </dataValidation>
    <dataValidation type="list" allowBlank="1" showInputMessage="1" showErrorMessage="1" sqref="A2:A424">
      <formula1>$AE$2:$AE$19</formula1>
    </dataValidation>
    <dataValidation type="list" allowBlank="1" showInputMessage="1" showErrorMessage="1" sqref="Y2:AA425">
      <formula1>$AV$2:$AV$21</formula1>
    </dataValidation>
    <dataValidation type="list" allowBlank="1" showInputMessage="1" showErrorMessage="1" sqref="H2:H425">
      <formula1>$AL$2:$AL$8</formula1>
    </dataValidation>
    <dataValidation type="list" allowBlank="1" showInputMessage="1" showErrorMessage="1" sqref="X2:X425">
      <formula1>$AT$2:$AT$3</formula1>
    </dataValidation>
    <dataValidation type="list" allowBlank="1" showInputMessage="1" showErrorMessage="1" sqref="G2:G425">
      <formula1>$AJ$2:$AJ$4</formula1>
    </dataValidation>
    <dataValidation type="list" allowBlank="1" showInputMessage="1" showErrorMessage="1" sqref="I2:I425">
      <formula1>$AN$5:$AN$6</formula1>
    </dataValidation>
    <dataValidation type="list" allowBlank="1" showInputMessage="1" showErrorMessage="1" sqref="J2:J425">
      <formula1>$AP$2:$AP$24</formula1>
    </dataValidation>
    <dataValidation type="list" allowBlank="1" showInputMessage="1" showErrorMessage="1" sqref="F2:F425">
      <formula1>$AH$2:$AH$11</formula1>
    </dataValidation>
    <dataValidation type="list" allowBlank="1" showInputMessage="1" showErrorMessage="1" sqref="E2:E425">
      <formula1>$AG$2:$AG$11</formula1>
    </dataValidation>
    <dataValidation type="decimal" allowBlank="1" showInputMessage="1" showErrorMessage="1" error="硬度を正しく入力して下さい。" sqref="O2:P49 O59:P425">
      <formula1>0</formula1>
      <formula2>7</formula2>
    </dataValidation>
    <dataValidation operator="equal" allowBlank="1" showInputMessage="1" showErrorMessage="1" sqref="B2:B82"/>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5A9053-4D2E-46E9-AD85-5CAE83AE428B}"/>
</file>

<file path=customXml/itemProps2.xml><?xml version="1.0" encoding="utf-8"?>
<ds:datastoreItem xmlns:ds="http://schemas.openxmlformats.org/officeDocument/2006/customXml" ds:itemID="{9C73E62F-C3E8-41AB-B4A6-7ADA93CF07BB}"/>
</file>

<file path=customXml/itemProps3.xml><?xml version="1.0" encoding="utf-8"?>
<ds:datastoreItem xmlns:ds="http://schemas.openxmlformats.org/officeDocument/2006/customXml" ds:itemID="{2BFFD2A2-059E-4C8D-AF7B-5AFB4E0AD5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2018-11-30T08:04:18Z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