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sharedStrings.xml" ContentType="application/vnd.openxmlformats-officedocument.spreadsheetml.sharedStrings+xml"/>
  <Override PartName="/xl/worksheets/sheet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 windowWidth="28800" windowHeight="6420"/>
  </bookViews>
  <sheets>
    <sheet name="sapporo" sheetId="17" r:id="rId1"/>
    <sheet name="miyagi" sheetId="26" r:id="rId2"/>
    <sheet name="nagoya" sheetId="27" r:id="rId3"/>
    <sheet name="osaka" sheetId="28" r:id="rId4"/>
    <sheet name="hiroshima" sheetId="32" r:id="rId5"/>
    <sheet name="fukuoka" sheetId="29" r:id="rId6"/>
    <sheet name="tokyo-east(ota)" sheetId="30" r:id="rId7"/>
    <sheet name="tokyo-west(kato)" sheetId="31" r:id="rId8"/>
  </sheets>
  <externalReferences>
    <externalReference r:id="rId9"/>
  </externalReferences>
  <definedNames>
    <definedName name="_xlnm._FilterDatabase" localSheetId="5" hidden="1">fukuoka!$A$1:$BA$152</definedName>
    <definedName name="_xlnm._FilterDatabase" localSheetId="4" hidden="1">hiroshima!$A$1:$BA$1</definedName>
    <definedName name="_xlnm._FilterDatabase" localSheetId="1" hidden="1">miyagi!$A$1:$BA$139</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4">#REF!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4">#REF!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4">#REF!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4">#REF!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4">#REF!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85" i="32" l="1"/>
  <c r="V85" i="32" s="1"/>
  <c r="Q85" i="32"/>
  <c r="T84" i="32"/>
  <c r="V84" i="32" s="1"/>
  <c r="Q84" i="32"/>
  <c r="V83" i="32"/>
  <c r="T83" i="32"/>
  <c r="Q83" i="32"/>
  <c r="V82" i="32"/>
  <c r="T82" i="32"/>
  <c r="Q82" i="32"/>
  <c r="V81" i="32"/>
  <c r="T81" i="32"/>
  <c r="Q81" i="32"/>
  <c r="T80" i="32"/>
  <c r="V80" i="32" s="1"/>
  <c r="Q80" i="32"/>
  <c r="T79" i="32"/>
  <c r="V79" i="32" s="1"/>
  <c r="Q79" i="32"/>
  <c r="T78" i="32"/>
  <c r="V78" i="32" s="1"/>
  <c r="Q78" i="32"/>
  <c r="T77" i="32"/>
  <c r="V77" i="32" s="1"/>
  <c r="Q77" i="32"/>
  <c r="T76" i="32"/>
  <c r="V76" i="32" s="1"/>
  <c r="Q76" i="32"/>
  <c r="V75" i="32"/>
  <c r="T75" i="32"/>
  <c r="Q75" i="32"/>
  <c r="V74" i="32"/>
  <c r="T74" i="32"/>
  <c r="Q74" i="32"/>
  <c r="V73" i="32"/>
  <c r="T73" i="32"/>
  <c r="Q73" i="32"/>
  <c r="T72" i="32"/>
  <c r="V72" i="32" s="1"/>
  <c r="Q72" i="32"/>
  <c r="T71" i="32"/>
  <c r="V71" i="32" s="1"/>
  <c r="Q71" i="32"/>
  <c r="V70" i="32"/>
  <c r="T70" i="32"/>
  <c r="Q70" i="32"/>
  <c r="T69" i="32"/>
  <c r="V69" i="32" s="1"/>
  <c r="Q69" i="32"/>
  <c r="T68" i="32"/>
  <c r="V68" i="32" s="1"/>
  <c r="Q68" i="32"/>
  <c r="V67" i="32"/>
  <c r="T67" i="32"/>
  <c r="Q67" i="32"/>
  <c r="V66" i="32"/>
  <c r="T66" i="32"/>
  <c r="Q66" i="32"/>
  <c r="V65" i="32"/>
  <c r="T65" i="32"/>
  <c r="Q65" i="32"/>
  <c r="T64" i="32"/>
  <c r="V64" i="32" s="1"/>
  <c r="Q64" i="32"/>
  <c r="T63" i="32"/>
  <c r="V63" i="32" s="1"/>
  <c r="Q63" i="32"/>
  <c r="V62" i="32"/>
  <c r="T62" i="32"/>
  <c r="Q62" i="32"/>
  <c r="T61" i="32"/>
  <c r="V61" i="32" s="1"/>
  <c r="Q61" i="32"/>
  <c r="T60" i="32"/>
  <c r="V60" i="32" s="1"/>
  <c r="Q60" i="32"/>
  <c r="V59" i="32"/>
  <c r="T59" i="32"/>
  <c r="Q59" i="32"/>
  <c r="V58" i="32"/>
  <c r="T58" i="32"/>
  <c r="Q58" i="32"/>
  <c r="V57" i="32"/>
  <c r="T57" i="32"/>
  <c r="Q57" i="32"/>
  <c r="T56" i="32"/>
  <c r="V56" i="32" s="1"/>
  <c r="Q56" i="32"/>
  <c r="T55" i="32"/>
  <c r="V55" i="32" s="1"/>
  <c r="Q55" i="32"/>
  <c r="V54" i="32"/>
  <c r="T54" i="32"/>
  <c r="Q54" i="32"/>
  <c r="T53" i="32"/>
  <c r="V53" i="32" s="1"/>
  <c r="Q53" i="32"/>
  <c r="T52" i="32"/>
  <c r="V52" i="32" s="1"/>
  <c r="Q52" i="32"/>
  <c r="V51" i="32"/>
  <c r="T51" i="32"/>
  <c r="Q51" i="32"/>
  <c r="V50" i="32"/>
  <c r="T50" i="32"/>
  <c r="Q50" i="32"/>
  <c r="V49" i="32"/>
  <c r="T49" i="32"/>
  <c r="Q49" i="32"/>
  <c r="T48" i="32"/>
  <c r="V48" i="32" s="1"/>
  <c r="Q48" i="32"/>
  <c r="T47" i="32"/>
  <c r="V47" i="32" s="1"/>
  <c r="Q47" i="32"/>
  <c r="V46" i="32"/>
  <c r="T46" i="32"/>
  <c r="Q46" i="32"/>
  <c r="T45" i="32"/>
  <c r="V45" i="32" s="1"/>
  <c r="Q45" i="32"/>
  <c r="T44" i="32"/>
  <c r="V44" i="32" s="1"/>
  <c r="Q44" i="32"/>
  <c r="V43" i="32"/>
  <c r="T43" i="32"/>
  <c r="Q43" i="32"/>
  <c r="V42" i="32"/>
  <c r="T42" i="32"/>
  <c r="Q42" i="32"/>
  <c r="V41" i="32"/>
  <c r="T41" i="32"/>
  <c r="Q41" i="32"/>
  <c r="T40" i="32"/>
  <c r="V40" i="32" s="1"/>
  <c r="Q40" i="32"/>
  <c r="T39" i="32"/>
  <c r="V39" i="32" s="1"/>
  <c r="Q39" i="32"/>
  <c r="V38" i="32"/>
  <c r="T38" i="32"/>
  <c r="Q38" i="32"/>
  <c r="T37" i="32"/>
  <c r="V37" i="32" s="1"/>
  <c r="Q37" i="32"/>
  <c r="T36" i="32"/>
  <c r="V36" i="32" s="1"/>
  <c r="Q36" i="32"/>
  <c r="V35" i="32"/>
  <c r="T35" i="32"/>
  <c r="Q35" i="32"/>
  <c r="V34" i="32"/>
  <c r="T34" i="32"/>
  <c r="Q34" i="32"/>
  <c r="V33" i="32"/>
  <c r="T33" i="32"/>
  <c r="Q33" i="32"/>
  <c r="T32" i="32"/>
  <c r="V32" i="32" s="1"/>
  <c r="Q32" i="32"/>
  <c r="T31" i="32"/>
  <c r="V31" i="32" s="1"/>
  <c r="Q31" i="32"/>
  <c r="V30" i="32"/>
  <c r="T30" i="32"/>
  <c r="Q30" i="32"/>
  <c r="T29" i="32"/>
  <c r="V29" i="32" s="1"/>
  <c r="Q29" i="32"/>
  <c r="T28" i="32"/>
  <c r="V28" i="32" s="1"/>
  <c r="Q28" i="32"/>
  <c r="V27" i="32"/>
  <c r="T27" i="32"/>
  <c r="Q27" i="32"/>
  <c r="V26" i="32"/>
  <c r="T26" i="32"/>
  <c r="Q26" i="32"/>
  <c r="V25" i="32"/>
  <c r="T25" i="32"/>
  <c r="Q25" i="32"/>
  <c r="T24" i="32"/>
  <c r="V24" i="32" s="1"/>
  <c r="Q24" i="32"/>
  <c r="T23" i="32"/>
  <c r="V23" i="32" s="1"/>
  <c r="Q23" i="32"/>
  <c r="V22" i="32"/>
  <c r="T22" i="32"/>
  <c r="Q22" i="32"/>
  <c r="T21" i="32"/>
  <c r="V21" i="32" s="1"/>
  <c r="Q21" i="32"/>
  <c r="T20" i="32"/>
  <c r="V20" i="32" s="1"/>
  <c r="Q20" i="32"/>
  <c r="V19" i="32"/>
  <c r="T19" i="32"/>
  <c r="Q19" i="32"/>
  <c r="V18" i="32"/>
  <c r="T18" i="32"/>
  <c r="Q18" i="32"/>
  <c r="V17" i="32"/>
  <c r="T17" i="32"/>
  <c r="Q17" i="32"/>
  <c r="T16" i="32"/>
  <c r="V16" i="32" s="1"/>
  <c r="Q16" i="32"/>
  <c r="T15" i="32"/>
  <c r="V15" i="32" s="1"/>
  <c r="Q15" i="32"/>
  <c r="V14" i="32"/>
  <c r="T14" i="32"/>
  <c r="Q14" i="32"/>
  <c r="T13" i="32"/>
  <c r="V13" i="32" s="1"/>
  <c r="Q13" i="32"/>
  <c r="T12" i="32"/>
  <c r="V12" i="32" s="1"/>
  <c r="Q12" i="32"/>
  <c r="V11" i="32"/>
  <c r="T11" i="32"/>
  <c r="Q11" i="32"/>
  <c r="V10" i="32"/>
  <c r="T10" i="32"/>
  <c r="Q10" i="32"/>
  <c r="V9" i="32"/>
  <c r="T9" i="32"/>
  <c r="Q9" i="32"/>
  <c r="T8" i="32"/>
  <c r="V8" i="32" s="1"/>
  <c r="Q8" i="32"/>
  <c r="T7" i="32"/>
  <c r="V7" i="32" s="1"/>
  <c r="Q7" i="32"/>
  <c r="V6" i="32"/>
  <c r="T6" i="32"/>
  <c r="Q6" i="32"/>
  <c r="T5" i="32"/>
  <c r="V5" i="32" s="1"/>
  <c r="Q5" i="32"/>
  <c r="T4" i="32"/>
  <c r="V4" i="32" s="1"/>
  <c r="Q4" i="32"/>
  <c r="V3" i="32"/>
  <c r="T3" i="32"/>
  <c r="Q3" i="32"/>
  <c r="V2" i="32"/>
  <c r="T2" i="32"/>
  <c r="Q2" i="32"/>
  <c r="Q126" i="31" l="1"/>
  <c r="T125" i="31"/>
  <c r="Q125" i="31"/>
  <c r="T124" i="31"/>
  <c r="Q124" i="31"/>
  <c r="T123" i="31"/>
  <c r="Q123" i="31"/>
  <c r="T122" i="31"/>
  <c r="Q122" i="31"/>
  <c r="T121" i="31"/>
  <c r="Q121" i="31"/>
  <c r="T120" i="31"/>
  <c r="Q120" i="31"/>
  <c r="T119" i="31"/>
  <c r="V119" i="31" s="1"/>
  <c r="Q119" i="31"/>
  <c r="T118" i="31"/>
  <c r="V118" i="31" s="1"/>
  <c r="Q118" i="31"/>
  <c r="T117" i="31"/>
  <c r="V117" i="31" s="1"/>
  <c r="Q117" i="31"/>
  <c r="T116" i="31"/>
  <c r="V116" i="31" s="1"/>
  <c r="Q116" i="31"/>
  <c r="V115" i="31"/>
  <c r="T115" i="31"/>
  <c r="Q115" i="31"/>
  <c r="V114" i="31"/>
  <c r="T114" i="31"/>
  <c r="Q114" i="31"/>
  <c r="T113" i="31"/>
  <c r="V113" i="31" s="1"/>
  <c r="Q113" i="31"/>
  <c r="T112" i="31"/>
  <c r="V112" i="31" s="1"/>
  <c r="Q112" i="31"/>
  <c r="T111" i="31"/>
  <c r="V111" i="31" s="1"/>
  <c r="Q111" i="31"/>
  <c r="T110" i="31"/>
  <c r="V110" i="31" s="1"/>
  <c r="Q110" i="31"/>
  <c r="T109" i="31"/>
  <c r="V109" i="31" s="1"/>
  <c r="Q109" i="31"/>
  <c r="T108" i="31"/>
  <c r="V108" i="31" s="1"/>
  <c r="Q108" i="31"/>
  <c r="V107" i="31"/>
  <c r="T107" i="31"/>
  <c r="Q107" i="31"/>
  <c r="V106" i="31"/>
  <c r="T106" i="31"/>
  <c r="Q106" i="31"/>
  <c r="T105" i="31"/>
  <c r="V105" i="31" s="1"/>
  <c r="Q105" i="31"/>
  <c r="T104" i="31"/>
  <c r="V104" i="31" s="1"/>
  <c r="Q104" i="31"/>
  <c r="T103" i="31"/>
  <c r="V103" i="31" s="1"/>
  <c r="Q103" i="31"/>
  <c r="T102" i="31"/>
  <c r="V102" i="31" s="1"/>
  <c r="Q102" i="31"/>
  <c r="T101" i="31"/>
  <c r="V101" i="31" s="1"/>
  <c r="Q101" i="31"/>
  <c r="T100" i="31"/>
  <c r="V100" i="31" s="1"/>
  <c r="Q100" i="31"/>
  <c r="V99" i="31"/>
  <c r="T99" i="31"/>
  <c r="Q99" i="31"/>
  <c r="V98" i="31"/>
  <c r="T98" i="31"/>
  <c r="Q98" i="31"/>
  <c r="T97" i="31"/>
  <c r="V97" i="31" s="1"/>
  <c r="Q97" i="31"/>
  <c r="T96" i="31"/>
  <c r="V96" i="31" s="1"/>
  <c r="Q96" i="31"/>
  <c r="T95" i="31"/>
  <c r="V95" i="31" s="1"/>
  <c r="Q95" i="31"/>
  <c r="T94" i="31"/>
  <c r="V94" i="31" s="1"/>
  <c r="Q94" i="31"/>
  <c r="T93" i="31"/>
  <c r="V93" i="31" s="1"/>
  <c r="Q93" i="31"/>
  <c r="T92" i="31"/>
  <c r="V92" i="31" s="1"/>
  <c r="Q92" i="31"/>
  <c r="V91" i="31"/>
  <c r="T91" i="31"/>
  <c r="Q91" i="31"/>
  <c r="V90" i="31"/>
  <c r="T90" i="31"/>
  <c r="Q90" i="31"/>
  <c r="T89" i="31"/>
  <c r="V89" i="31" s="1"/>
  <c r="Q89" i="31"/>
  <c r="T88" i="31"/>
  <c r="V88" i="31" s="1"/>
  <c r="Q88" i="31"/>
  <c r="T87" i="31"/>
  <c r="V87" i="31" s="1"/>
  <c r="Q87" i="31"/>
  <c r="T86" i="31"/>
  <c r="V86" i="31" s="1"/>
  <c r="Q86" i="31"/>
  <c r="T85" i="31"/>
  <c r="V85" i="31" s="1"/>
  <c r="Q85" i="31"/>
  <c r="T84" i="31"/>
  <c r="V84" i="31" s="1"/>
  <c r="Q84" i="31"/>
  <c r="V83" i="31"/>
  <c r="T83" i="31"/>
  <c r="Q83" i="31"/>
  <c r="V82" i="31"/>
  <c r="T82" i="31"/>
  <c r="Q82" i="31"/>
  <c r="T81" i="31"/>
  <c r="V81" i="31" s="1"/>
  <c r="Q81" i="31"/>
  <c r="T80" i="31"/>
  <c r="V80" i="31" s="1"/>
  <c r="Q80" i="31"/>
  <c r="T79" i="31"/>
  <c r="V79" i="31" s="1"/>
  <c r="Q79" i="31"/>
  <c r="T78" i="31"/>
  <c r="V78" i="31" s="1"/>
  <c r="Q78" i="31"/>
  <c r="T77" i="31"/>
  <c r="V77" i="31" s="1"/>
  <c r="Q77" i="31"/>
  <c r="T76" i="31"/>
  <c r="V76" i="31" s="1"/>
  <c r="Q76" i="31"/>
  <c r="V75" i="31"/>
  <c r="T75" i="31"/>
  <c r="Q75" i="31"/>
  <c r="V74" i="31"/>
  <c r="T74" i="31"/>
  <c r="Q74" i="31"/>
  <c r="T73" i="31"/>
  <c r="V73" i="31" s="1"/>
  <c r="Q73" i="31"/>
  <c r="T72" i="31"/>
  <c r="V72" i="31" s="1"/>
  <c r="Q72" i="31"/>
  <c r="T71" i="31"/>
  <c r="V71" i="31" s="1"/>
  <c r="Q71" i="31"/>
  <c r="T70" i="31"/>
  <c r="V70" i="31" s="1"/>
  <c r="Q70" i="31"/>
  <c r="T69" i="31"/>
  <c r="V69" i="31" s="1"/>
  <c r="Q69" i="31"/>
  <c r="T68" i="31"/>
  <c r="V68" i="31" s="1"/>
  <c r="Q68" i="31"/>
  <c r="V67" i="31"/>
  <c r="T67" i="31"/>
  <c r="Q67" i="31"/>
  <c r="V66" i="31"/>
  <c r="T66" i="31"/>
  <c r="Q66" i="31"/>
  <c r="T65" i="31"/>
  <c r="V65" i="31" s="1"/>
  <c r="Q65" i="31"/>
  <c r="T64" i="31"/>
  <c r="V64" i="31" s="1"/>
  <c r="Q64" i="31"/>
  <c r="T63" i="31"/>
  <c r="V63" i="31" s="1"/>
  <c r="Q63" i="31"/>
  <c r="T62" i="31"/>
  <c r="V62" i="31" s="1"/>
  <c r="Q62" i="31"/>
  <c r="T61" i="31"/>
  <c r="V61" i="31" s="1"/>
  <c r="Q61" i="31"/>
  <c r="T60" i="31"/>
  <c r="V60" i="31" s="1"/>
  <c r="Q60" i="31"/>
  <c r="V59" i="31"/>
  <c r="T59" i="31"/>
  <c r="Q59" i="31"/>
  <c r="V58" i="31"/>
  <c r="T58" i="31"/>
  <c r="Q58" i="31"/>
  <c r="T57" i="31"/>
  <c r="V57" i="31" s="1"/>
  <c r="Q57" i="31"/>
  <c r="T56" i="31"/>
  <c r="V56" i="31" s="1"/>
  <c r="Q56" i="31"/>
  <c r="T55" i="31"/>
  <c r="V55" i="31" s="1"/>
  <c r="Q55" i="31"/>
  <c r="T54" i="31"/>
  <c r="V54" i="31" s="1"/>
  <c r="Q54" i="31"/>
  <c r="T53" i="31"/>
  <c r="V53" i="31" s="1"/>
  <c r="Q53" i="31"/>
  <c r="T52" i="31"/>
  <c r="V52" i="31" s="1"/>
  <c r="Q52" i="31"/>
  <c r="V51" i="31"/>
  <c r="T51" i="31"/>
  <c r="Q51" i="31"/>
  <c r="V50" i="31"/>
  <c r="T50" i="31"/>
  <c r="Q50" i="31"/>
  <c r="T49" i="31"/>
  <c r="V49" i="31" s="1"/>
  <c r="Q49" i="31"/>
  <c r="T48" i="31"/>
  <c r="V48" i="31" s="1"/>
  <c r="Q48" i="31"/>
  <c r="T47" i="31"/>
  <c r="V47" i="31" s="1"/>
  <c r="Q47" i="31"/>
  <c r="T46" i="31"/>
  <c r="V46" i="31" s="1"/>
  <c r="Q46" i="31"/>
  <c r="T45" i="31"/>
  <c r="V45" i="31" s="1"/>
  <c r="Q45" i="31"/>
  <c r="T44" i="31"/>
  <c r="V44" i="31" s="1"/>
  <c r="Q44" i="31"/>
  <c r="V43" i="31"/>
  <c r="T43" i="31"/>
  <c r="Q43" i="31"/>
  <c r="V42" i="31"/>
  <c r="T42" i="31"/>
  <c r="Q42" i="31"/>
  <c r="T41" i="31"/>
  <c r="V41" i="31" s="1"/>
  <c r="Q41" i="31"/>
  <c r="T40" i="31"/>
  <c r="V40" i="31" s="1"/>
  <c r="Q40" i="31"/>
  <c r="T39" i="31"/>
  <c r="V39" i="31" s="1"/>
  <c r="Q39" i="31"/>
  <c r="T38" i="31"/>
  <c r="V38" i="31" s="1"/>
  <c r="Q38" i="31"/>
  <c r="T37" i="31"/>
  <c r="V37" i="31" s="1"/>
  <c r="Q37" i="31"/>
  <c r="T36" i="31"/>
  <c r="V36" i="31" s="1"/>
  <c r="Q36" i="31"/>
  <c r="V35" i="31"/>
  <c r="T35" i="31"/>
  <c r="Q35" i="31"/>
  <c r="V34" i="31"/>
  <c r="T34" i="31"/>
  <c r="Q34" i="31"/>
  <c r="T33" i="31"/>
  <c r="V33" i="31" s="1"/>
  <c r="Q33" i="31"/>
  <c r="T32" i="31"/>
  <c r="V32" i="31" s="1"/>
  <c r="Q32" i="31"/>
  <c r="T31" i="31"/>
  <c r="V31" i="31" s="1"/>
  <c r="Q31" i="31"/>
  <c r="T30" i="31"/>
  <c r="V30" i="31" s="1"/>
  <c r="Q30" i="31"/>
  <c r="T29" i="31"/>
  <c r="V29" i="31" s="1"/>
  <c r="Q29" i="31"/>
  <c r="T28" i="31"/>
  <c r="V28" i="31" s="1"/>
  <c r="Q28" i="31"/>
  <c r="V27" i="31"/>
  <c r="T27" i="31"/>
  <c r="Q27" i="31"/>
  <c r="V26" i="31"/>
  <c r="T26" i="31"/>
  <c r="Q26" i="31"/>
  <c r="T25" i="31"/>
  <c r="V25" i="31" s="1"/>
  <c r="Q25" i="31"/>
  <c r="T24" i="31"/>
  <c r="V24" i="31" s="1"/>
  <c r="Q24" i="31"/>
  <c r="T23" i="31"/>
  <c r="V23" i="31" s="1"/>
  <c r="Q23" i="31"/>
  <c r="T22" i="31"/>
  <c r="V22" i="31" s="1"/>
  <c r="Q22" i="31"/>
  <c r="T21" i="31"/>
  <c r="V21" i="31" s="1"/>
  <c r="Q21" i="31"/>
  <c r="T20" i="31"/>
  <c r="V20" i="31" s="1"/>
  <c r="Q20" i="31"/>
  <c r="V19" i="31"/>
  <c r="T19" i="31"/>
  <c r="Q19" i="31"/>
  <c r="V18" i="31"/>
  <c r="T18" i="31"/>
  <c r="Q18" i="31"/>
  <c r="T17" i="31"/>
  <c r="V17" i="31" s="1"/>
  <c r="Q17" i="31"/>
  <c r="T16" i="31"/>
  <c r="V16" i="31" s="1"/>
  <c r="Q16" i="31"/>
  <c r="T15" i="31"/>
  <c r="V15" i="31" s="1"/>
  <c r="Q15" i="31"/>
  <c r="T14" i="31"/>
  <c r="V14" i="31" s="1"/>
  <c r="Q14" i="31"/>
  <c r="T13" i="31"/>
  <c r="V13" i="31" s="1"/>
  <c r="Q13" i="31"/>
  <c r="T12" i="31"/>
  <c r="V12" i="31" s="1"/>
  <c r="Q12" i="31"/>
  <c r="V11" i="31"/>
  <c r="T11" i="31"/>
  <c r="Q11" i="31"/>
  <c r="V10" i="31"/>
  <c r="T10" i="31"/>
  <c r="Q10" i="31"/>
  <c r="T9" i="31"/>
  <c r="V9" i="31" s="1"/>
  <c r="Q9" i="31"/>
  <c r="T8" i="31"/>
  <c r="V8" i="31" s="1"/>
  <c r="Q8" i="31"/>
  <c r="T7" i="31"/>
  <c r="V7" i="31" s="1"/>
  <c r="Q7" i="31"/>
  <c r="T6" i="31"/>
  <c r="V6" i="31" s="1"/>
  <c r="Q6" i="31"/>
  <c r="T5" i="31"/>
  <c r="V5" i="31" s="1"/>
  <c r="Q5" i="31"/>
  <c r="T4" i="31"/>
  <c r="V4" i="31" s="1"/>
  <c r="Q4" i="31"/>
  <c r="V3" i="31"/>
  <c r="T3" i="31"/>
  <c r="Q3" i="31"/>
  <c r="V2" i="31"/>
  <c r="T2" i="31"/>
  <c r="Q2" i="31"/>
  <c r="T91" i="30" l="1"/>
  <c r="V91" i="30" s="1"/>
  <c r="Q91" i="30"/>
  <c r="T90" i="30"/>
  <c r="V90" i="30" s="1"/>
  <c r="Q90" i="30"/>
  <c r="T89" i="30"/>
  <c r="V89" i="30" s="1"/>
  <c r="Q89" i="30"/>
  <c r="T88" i="30"/>
  <c r="V88" i="30" s="1"/>
  <c r="Q88" i="30"/>
  <c r="T87" i="30"/>
  <c r="V87" i="30" s="1"/>
  <c r="Q87" i="30"/>
  <c r="T86" i="30"/>
  <c r="V86" i="30" s="1"/>
  <c r="Q86" i="30"/>
  <c r="T85" i="30"/>
  <c r="V85" i="30" s="1"/>
  <c r="Q85" i="30"/>
  <c r="V84" i="30"/>
  <c r="T84" i="30"/>
  <c r="Q84" i="30"/>
  <c r="T83" i="30"/>
  <c r="V83" i="30" s="1"/>
  <c r="Q83" i="30"/>
  <c r="T82" i="30"/>
  <c r="V82" i="30" s="1"/>
  <c r="Q82" i="30"/>
  <c r="T81" i="30"/>
  <c r="V81" i="30" s="1"/>
  <c r="Q81" i="30"/>
  <c r="T80" i="30"/>
  <c r="V80" i="30" s="1"/>
  <c r="Q80" i="30"/>
  <c r="T79" i="30"/>
  <c r="V79" i="30" s="1"/>
  <c r="Q79" i="30"/>
  <c r="T78" i="30"/>
  <c r="V78" i="30" s="1"/>
  <c r="Q78" i="30"/>
  <c r="T77" i="30"/>
  <c r="V77" i="30" s="1"/>
  <c r="Q77" i="30"/>
  <c r="V76" i="30"/>
  <c r="T76" i="30"/>
  <c r="Q76" i="30"/>
  <c r="T75" i="30"/>
  <c r="V75" i="30" s="1"/>
  <c r="Q75" i="30"/>
  <c r="T74" i="30"/>
  <c r="V74" i="30" s="1"/>
  <c r="Q74" i="30"/>
  <c r="T73" i="30"/>
  <c r="V73" i="30" s="1"/>
  <c r="Q73" i="30"/>
  <c r="T72" i="30"/>
  <c r="V72" i="30" s="1"/>
  <c r="Q72" i="30"/>
  <c r="T71" i="30"/>
  <c r="V71" i="30" s="1"/>
  <c r="Q71" i="30"/>
  <c r="T70" i="30"/>
  <c r="V70" i="30" s="1"/>
  <c r="Q70" i="30"/>
  <c r="T69" i="30"/>
  <c r="V69" i="30" s="1"/>
  <c r="Q69" i="30"/>
  <c r="V68" i="30"/>
  <c r="T68" i="30"/>
  <c r="Q68" i="30"/>
  <c r="T67" i="30"/>
  <c r="V67" i="30" s="1"/>
  <c r="Q67" i="30"/>
  <c r="T66" i="30"/>
  <c r="V66" i="30" s="1"/>
  <c r="Q66" i="30"/>
  <c r="T65" i="30"/>
  <c r="V65" i="30" s="1"/>
  <c r="Q65" i="30"/>
  <c r="T64" i="30"/>
  <c r="V64" i="30" s="1"/>
  <c r="Q64" i="30"/>
  <c r="T63" i="30"/>
  <c r="V63" i="30" s="1"/>
  <c r="Q63" i="30"/>
  <c r="T62" i="30"/>
  <c r="V62" i="30" s="1"/>
  <c r="Q62" i="30"/>
  <c r="T61" i="30"/>
  <c r="V61" i="30" s="1"/>
  <c r="Q61" i="30"/>
  <c r="V60" i="30"/>
  <c r="T60" i="30"/>
  <c r="Q60" i="30"/>
  <c r="T59" i="30"/>
  <c r="V59" i="30" s="1"/>
  <c r="Q59" i="30"/>
  <c r="T58" i="30"/>
  <c r="V58" i="30" s="1"/>
  <c r="Q58" i="30"/>
  <c r="T57" i="30"/>
  <c r="V57" i="30" s="1"/>
  <c r="Q57" i="30"/>
  <c r="T56" i="30"/>
  <c r="V56" i="30" s="1"/>
  <c r="Q56" i="30"/>
  <c r="T55" i="30"/>
  <c r="V55" i="30" s="1"/>
  <c r="Q55" i="30"/>
  <c r="T54" i="30"/>
  <c r="V54" i="30" s="1"/>
  <c r="Q54" i="30"/>
  <c r="T53" i="30"/>
  <c r="V53" i="30" s="1"/>
  <c r="Q53" i="30"/>
  <c r="V52" i="30"/>
  <c r="T52" i="30"/>
  <c r="Q52" i="30"/>
  <c r="T51" i="30"/>
  <c r="V51" i="30" s="1"/>
  <c r="Q51" i="30"/>
  <c r="T50" i="30"/>
  <c r="V50" i="30" s="1"/>
  <c r="Q50" i="30"/>
  <c r="T49" i="30"/>
  <c r="V49" i="30" s="1"/>
  <c r="Q49" i="30"/>
  <c r="T48" i="30"/>
  <c r="V48" i="30" s="1"/>
  <c r="Q48" i="30"/>
  <c r="T47" i="30"/>
  <c r="V47" i="30" s="1"/>
  <c r="Q47" i="30"/>
  <c r="T46" i="30"/>
  <c r="V46" i="30" s="1"/>
  <c r="Q46" i="30"/>
  <c r="T45" i="30"/>
  <c r="V45" i="30" s="1"/>
  <c r="Q45" i="30"/>
  <c r="V44" i="30"/>
  <c r="T44" i="30"/>
  <c r="Q44" i="30"/>
  <c r="T43" i="30"/>
  <c r="V43" i="30" s="1"/>
  <c r="Q43" i="30"/>
  <c r="T42" i="30"/>
  <c r="V42" i="30" s="1"/>
  <c r="Q42" i="30"/>
  <c r="T41" i="30"/>
  <c r="V41" i="30" s="1"/>
  <c r="Q41" i="30"/>
  <c r="T40" i="30"/>
  <c r="V40" i="30" s="1"/>
  <c r="Q40" i="30"/>
  <c r="T39" i="30"/>
  <c r="V39" i="30" s="1"/>
  <c r="Q39" i="30"/>
  <c r="T38" i="30"/>
  <c r="V38" i="30" s="1"/>
  <c r="Q38" i="30"/>
  <c r="T37" i="30"/>
  <c r="V37" i="30" s="1"/>
  <c r="Q37" i="30"/>
  <c r="V36" i="30"/>
  <c r="T36" i="30"/>
  <c r="Q36" i="30"/>
  <c r="T35" i="30"/>
  <c r="V35" i="30" s="1"/>
  <c r="Q35" i="30"/>
  <c r="T34" i="30"/>
  <c r="V34" i="30" s="1"/>
  <c r="Q34" i="30"/>
  <c r="T33" i="30"/>
  <c r="V33" i="30" s="1"/>
  <c r="Q33" i="30"/>
  <c r="T32" i="30"/>
  <c r="V32" i="30" s="1"/>
  <c r="Q32" i="30"/>
  <c r="T31" i="30"/>
  <c r="V31" i="30" s="1"/>
  <c r="Q31" i="30"/>
  <c r="T30" i="30"/>
  <c r="V30" i="30" s="1"/>
  <c r="Q30" i="30"/>
  <c r="T29" i="30"/>
  <c r="V29" i="30" s="1"/>
  <c r="Q29" i="30"/>
  <c r="V28" i="30"/>
  <c r="T28" i="30"/>
  <c r="Q28" i="30"/>
  <c r="T27" i="30"/>
  <c r="V27" i="30" s="1"/>
  <c r="Q27" i="30"/>
  <c r="T26" i="30"/>
  <c r="V26" i="30" s="1"/>
  <c r="Q26" i="30"/>
  <c r="T25" i="30"/>
  <c r="V25" i="30" s="1"/>
  <c r="Q25" i="30"/>
  <c r="T24" i="30"/>
  <c r="V24" i="30" s="1"/>
  <c r="Q24" i="30"/>
  <c r="T23" i="30"/>
  <c r="V23" i="30" s="1"/>
  <c r="Q23" i="30"/>
  <c r="T22" i="30"/>
  <c r="V22" i="30" s="1"/>
  <c r="Q22" i="30"/>
  <c r="T21" i="30"/>
  <c r="V21" i="30" s="1"/>
  <c r="Q21" i="30"/>
  <c r="V20" i="30"/>
  <c r="T20" i="30"/>
  <c r="Q20" i="30"/>
  <c r="T19" i="30"/>
  <c r="V19" i="30" s="1"/>
  <c r="Q19" i="30"/>
  <c r="T18" i="30"/>
  <c r="V18" i="30" s="1"/>
  <c r="Q18" i="30"/>
  <c r="T17" i="30"/>
  <c r="V17" i="30" s="1"/>
  <c r="Q17" i="30"/>
  <c r="T16" i="30"/>
  <c r="V16" i="30" s="1"/>
  <c r="Q16" i="30"/>
  <c r="T15" i="30"/>
  <c r="V15" i="30" s="1"/>
  <c r="Q15" i="30"/>
  <c r="T14" i="30"/>
  <c r="V14" i="30" s="1"/>
  <c r="Q14" i="30"/>
  <c r="T13" i="30"/>
  <c r="V13" i="30" s="1"/>
  <c r="Q13" i="30"/>
  <c r="V12" i="30"/>
  <c r="T12" i="30"/>
  <c r="Q12" i="30"/>
  <c r="T11" i="30"/>
  <c r="V11" i="30" s="1"/>
  <c r="Q11" i="30"/>
  <c r="T10" i="30"/>
  <c r="V10" i="30" s="1"/>
  <c r="Q10" i="30"/>
  <c r="T9" i="30"/>
  <c r="V9" i="30" s="1"/>
  <c r="Q9" i="30"/>
  <c r="T8" i="30"/>
  <c r="V8" i="30" s="1"/>
  <c r="Q8" i="30"/>
  <c r="T7" i="30"/>
  <c r="V7" i="30" s="1"/>
  <c r="Q7" i="30"/>
  <c r="T6" i="30"/>
  <c r="V6" i="30" s="1"/>
  <c r="Q6" i="30"/>
  <c r="T5" i="30"/>
  <c r="V5" i="30" s="1"/>
  <c r="Q5" i="30"/>
  <c r="V4" i="30"/>
  <c r="T4" i="30"/>
  <c r="Q4" i="30"/>
  <c r="T3" i="30"/>
  <c r="V3" i="30" s="1"/>
  <c r="Q3" i="30"/>
  <c r="T2" i="30"/>
  <c r="V2" i="30" s="1"/>
  <c r="Q2" i="30"/>
  <c r="V152" i="29" l="1"/>
  <c r="T152" i="29"/>
  <c r="Q152" i="29"/>
  <c r="V151" i="29"/>
  <c r="T151" i="29"/>
  <c r="Q151" i="29"/>
  <c r="V150" i="29"/>
  <c r="T150" i="29"/>
  <c r="Q150" i="29"/>
  <c r="V149" i="29"/>
  <c r="T149" i="29"/>
  <c r="Q149" i="29"/>
  <c r="V148" i="29"/>
  <c r="T148" i="29"/>
  <c r="Q148" i="29"/>
  <c r="V147" i="29"/>
  <c r="T147" i="29"/>
  <c r="Q147" i="29"/>
  <c r="V146" i="29"/>
  <c r="T146" i="29"/>
  <c r="Q146" i="29"/>
  <c r="V145" i="29"/>
  <c r="T145" i="29"/>
  <c r="Q145" i="29"/>
  <c r="V144" i="29"/>
  <c r="T144" i="29"/>
  <c r="Q144" i="29"/>
  <c r="V143" i="29"/>
  <c r="T143" i="29"/>
  <c r="Q143" i="29"/>
  <c r="V142" i="29"/>
  <c r="T142" i="29"/>
  <c r="Q142" i="29"/>
  <c r="V141" i="29"/>
  <c r="T141" i="29"/>
  <c r="Q141" i="29"/>
  <c r="V140" i="29"/>
  <c r="T140" i="29"/>
  <c r="Q140" i="29"/>
  <c r="V139" i="29"/>
  <c r="T139" i="29"/>
  <c r="Q139" i="29"/>
  <c r="V138" i="29"/>
  <c r="T138" i="29"/>
  <c r="Q138" i="29"/>
  <c r="V137" i="29"/>
  <c r="T137" i="29"/>
  <c r="Q137" i="29"/>
  <c r="V136" i="29"/>
  <c r="T136" i="29"/>
  <c r="Q136" i="29"/>
  <c r="V135" i="29"/>
  <c r="T135" i="29"/>
  <c r="Q135" i="29"/>
  <c r="V134" i="29"/>
  <c r="T134" i="29"/>
  <c r="Q134" i="29"/>
  <c r="V133" i="29"/>
  <c r="T133" i="29"/>
  <c r="Q133" i="29"/>
  <c r="V132" i="29"/>
  <c r="T132" i="29"/>
  <c r="Q132" i="29"/>
  <c r="V131" i="29"/>
  <c r="T131" i="29"/>
  <c r="Q131" i="29"/>
  <c r="V130" i="29"/>
  <c r="T130" i="29"/>
  <c r="Q130" i="29"/>
  <c r="V129" i="29"/>
  <c r="T129" i="29"/>
  <c r="Q129" i="29"/>
  <c r="V128" i="29"/>
  <c r="T128" i="29"/>
  <c r="Q128" i="29"/>
  <c r="V127" i="29"/>
  <c r="T127" i="29"/>
  <c r="Q127" i="29"/>
  <c r="V126" i="29"/>
  <c r="T126" i="29"/>
  <c r="Q126" i="29"/>
  <c r="V125" i="29"/>
  <c r="T125" i="29"/>
  <c r="Q125" i="29"/>
  <c r="V124" i="29"/>
  <c r="T124" i="29"/>
  <c r="Q124" i="29"/>
  <c r="V123" i="29"/>
  <c r="T123" i="29"/>
  <c r="Q123" i="29"/>
  <c r="V122" i="29"/>
  <c r="T122" i="29"/>
  <c r="Q122" i="29"/>
  <c r="V121" i="29"/>
  <c r="T121" i="29"/>
  <c r="Q121" i="29"/>
  <c r="V120" i="29"/>
  <c r="T120" i="29"/>
  <c r="Q120" i="29"/>
  <c r="V119" i="29"/>
  <c r="T119" i="29"/>
  <c r="Q119" i="29"/>
  <c r="V118" i="29"/>
  <c r="T118" i="29"/>
  <c r="Q118" i="29"/>
  <c r="V117" i="29"/>
  <c r="T117" i="29"/>
  <c r="Q117" i="29"/>
  <c r="V116" i="29"/>
  <c r="T116" i="29"/>
  <c r="Q116" i="29"/>
  <c r="V115" i="29"/>
  <c r="T115" i="29"/>
  <c r="Q115" i="29"/>
  <c r="V114" i="29"/>
  <c r="T114" i="29"/>
  <c r="Q114" i="29"/>
  <c r="V113" i="29"/>
  <c r="T113" i="29"/>
  <c r="Q113" i="29"/>
  <c r="V112" i="29"/>
  <c r="T112" i="29"/>
  <c r="Q112" i="29"/>
  <c r="V111" i="29"/>
  <c r="T111" i="29"/>
  <c r="Q111" i="29"/>
  <c r="V110" i="29"/>
  <c r="T110" i="29"/>
  <c r="Q110" i="29"/>
  <c r="V109" i="29"/>
  <c r="T109" i="29"/>
  <c r="Q109" i="29"/>
  <c r="V108" i="29"/>
  <c r="T108" i="29"/>
  <c r="Q108" i="29"/>
  <c r="V107" i="29"/>
  <c r="T107" i="29"/>
  <c r="Q107" i="29"/>
  <c r="V106" i="29"/>
  <c r="T106" i="29"/>
  <c r="Q106" i="29"/>
  <c r="V105" i="29"/>
  <c r="T105" i="29"/>
  <c r="Q105" i="29"/>
  <c r="V104" i="29"/>
  <c r="T104" i="29"/>
  <c r="Q104" i="29"/>
  <c r="V103" i="29"/>
  <c r="T103" i="29"/>
  <c r="Q103" i="29"/>
  <c r="V102" i="29"/>
  <c r="T102" i="29"/>
  <c r="Q102" i="29"/>
  <c r="V101" i="29"/>
  <c r="T101" i="29"/>
  <c r="Q101" i="29"/>
  <c r="V70" i="29"/>
  <c r="T70" i="29"/>
  <c r="Q70" i="29"/>
  <c r="V69" i="29"/>
  <c r="T69" i="29"/>
  <c r="Q69" i="29"/>
  <c r="V68" i="29"/>
  <c r="T68" i="29"/>
  <c r="Q68" i="29"/>
  <c r="V67" i="29"/>
  <c r="T67" i="29"/>
  <c r="Q67" i="29"/>
  <c r="V66" i="29"/>
  <c r="T66" i="29"/>
  <c r="Q66" i="29"/>
  <c r="V65" i="29"/>
  <c r="T65" i="29"/>
  <c r="Q65" i="29"/>
  <c r="V64" i="29"/>
  <c r="T64" i="29"/>
  <c r="Q64" i="29"/>
  <c r="V63" i="29"/>
  <c r="T63" i="29"/>
  <c r="Q63" i="29"/>
  <c r="V62" i="29"/>
  <c r="T62" i="29"/>
  <c r="Q62" i="29"/>
  <c r="V61" i="29"/>
  <c r="T61" i="29"/>
  <c r="Q61" i="29"/>
  <c r="V60" i="29"/>
  <c r="T60" i="29"/>
  <c r="Q60" i="29"/>
  <c r="V59" i="29"/>
  <c r="T59" i="29"/>
  <c r="Q59" i="29"/>
  <c r="V58" i="29"/>
  <c r="T58" i="29"/>
  <c r="Q58" i="29"/>
  <c r="V57" i="29"/>
  <c r="T57" i="29"/>
  <c r="Q57" i="29"/>
  <c r="V56" i="29"/>
  <c r="T56" i="29"/>
  <c r="Q56" i="29"/>
  <c r="V55" i="29"/>
  <c r="T55" i="29"/>
  <c r="Q55" i="29"/>
  <c r="V54" i="29"/>
  <c r="T54" i="29"/>
  <c r="Q54" i="29"/>
  <c r="V53" i="29"/>
  <c r="T53" i="29"/>
  <c r="Q53" i="29"/>
  <c r="V52" i="29"/>
  <c r="T52" i="29"/>
  <c r="Q52" i="29"/>
  <c r="V51" i="29"/>
  <c r="T51" i="29"/>
  <c r="Q51" i="29"/>
  <c r="V50" i="29"/>
  <c r="T50" i="29"/>
  <c r="Q50" i="29"/>
  <c r="V49" i="29"/>
  <c r="T49" i="29"/>
  <c r="Q49" i="29"/>
  <c r="V48" i="29"/>
  <c r="T48" i="29"/>
  <c r="Q48" i="29"/>
  <c r="V47" i="29"/>
  <c r="T47" i="29"/>
  <c r="Q47" i="29"/>
  <c r="V46" i="29"/>
  <c r="T46" i="29"/>
  <c r="Q46" i="29"/>
  <c r="V45" i="29"/>
  <c r="T45" i="29"/>
  <c r="Q45" i="29"/>
  <c r="V44" i="29"/>
  <c r="T44" i="29"/>
  <c r="Q44" i="29"/>
  <c r="V43" i="29"/>
  <c r="T43" i="29"/>
  <c r="Q43" i="29"/>
  <c r="V42" i="29"/>
  <c r="T42" i="29"/>
  <c r="Q42" i="29"/>
  <c r="V41" i="29"/>
  <c r="T41" i="29"/>
  <c r="Q41" i="29"/>
  <c r="V40" i="29"/>
  <c r="T40" i="29"/>
  <c r="Q40" i="29"/>
  <c r="V39" i="29"/>
  <c r="T39" i="29"/>
  <c r="Q39" i="29"/>
  <c r="V38" i="29"/>
  <c r="T38" i="29"/>
  <c r="Q38" i="29"/>
  <c r="V37" i="29"/>
  <c r="T37" i="29"/>
  <c r="Q37" i="29"/>
  <c r="V36" i="29"/>
  <c r="T36" i="29"/>
  <c r="Q36" i="29"/>
  <c r="V35" i="29"/>
  <c r="T35" i="29"/>
  <c r="Q35" i="29"/>
  <c r="V34" i="29"/>
  <c r="T34" i="29"/>
  <c r="Q34" i="29"/>
  <c r="V33" i="29"/>
  <c r="T33" i="29"/>
  <c r="Q33" i="29"/>
  <c r="V32" i="29"/>
  <c r="T32" i="29"/>
  <c r="Q32" i="29"/>
  <c r="V31" i="29"/>
  <c r="T31" i="29"/>
  <c r="Q31" i="29"/>
  <c r="V30" i="29"/>
  <c r="T30" i="29"/>
  <c r="Q30" i="29"/>
  <c r="V29" i="29"/>
  <c r="T29" i="29"/>
  <c r="Q29" i="29"/>
  <c r="V28" i="29"/>
  <c r="T28" i="29"/>
  <c r="Q28" i="29"/>
  <c r="V27" i="29"/>
  <c r="T27" i="29"/>
  <c r="Q27" i="29"/>
  <c r="V26" i="29"/>
  <c r="T26" i="29"/>
  <c r="Q26" i="29"/>
  <c r="V25" i="29"/>
  <c r="T25" i="29"/>
  <c r="Q25" i="29"/>
  <c r="V24" i="29"/>
  <c r="T24" i="29"/>
  <c r="Q24" i="29"/>
  <c r="V23" i="29"/>
  <c r="T23" i="29"/>
  <c r="Q23" i="29"/>
  <c r="V22" i="29"/>
  <c r="T22" i="29"/>
  <c r="Q22" i="29"/>
  <c r="V21" i="29"/>
  <c r="T21" i="29"/>
  <c r="Q21" i="29"/>
  <c r="V20" i="29"/>
  <c r="T20" i="29"/>
  <c r="Q20" i="29"/>
  <c r="V19" i="29"/>
  <c r="T19" i="29"/>
  <c r="Q19" i="29"/>
  <c r="V18" i="29"/>
  <c r="T18" i="29"/>
  <c r="Q18" i="29"/>
  <c r="V17" i="29"/>
  <c r="T17" i="29"/>
  <c r="Q17" i="29"/>
  <c r="V16" i="29"/>
  <c r="T16" i="29"/>
  <c r="Q16" i="29"/>
  <c r="V15" i="29"/>
  <c r="T15" i="29"/>
  <c r="Q15" i="29"/>
  <c r="V14" i="29"/>
  <c r="T14" i="29"/>
  <c r="Q14" i="29"/>
  <c r="V13" i="29"/>
  <c r="T13" i="29"/>
  <c r="Q13" i="29"/>
  <c r="V12" i="29"/>
  <c r="T12" i="29"/>
  <c r="Q12" i="29"/>
  <c r="V11" i="29"/>
  <c r="T11" i="29"/>
  <c r="Q11" i="29"/>
  <c r="V10" i="29"/>
  <c r="T10" i="29"/>
  <c r="Q10" i="29"/>
  <c r="V9" i="29"/>
  <c r="T9" i="29"/>
  <c r="Q9" i="29"/>
  <c r="V8" i="29"/>
  <c r="T8" i="29"/>
  <c r="Q8" i="29"/>
  <c r="V7" i="29"/>
  <c r="T7" i="29"/>
  <c r="Q7" i="29"/>
  <c r="V6" i="29"/>
  <c r="T6" i="29"/>
  <c r="Q6" i="29"/>
  <c r="V5" i="29"/>
  <c r="T5" i="29"/>
  <c r="Q5" i="29"/>
  <c r="V4" i="29"/>
  <c r="T4" i="29"/>
  <c r="Q4" i="29"/>
  <c r="V3" i="29"/>
  <c r="T3" i="29"/>
  <c r="Q3" i="29"/>
  <c r="V2" i="29"/>
  <c r="T2" i="29"/>
  <c r="Q2" i="29"/>
  <c r="T85" i="28" l="1"/>
  <c r="V85" i="28" s="1"/>
  <c r="Q85" i="28"/>
  <c r="T84" i="28"/>
  <c r="V84" i="28" s="1"/>
  <c r="Q84" i="28"/>
  <c r="V83" i="28"/>
  <c r="T83" i="28"/>
  <c r="Q83" i="28"/>
  <c r="T82" i="28"/>
  <c r="V82" i="28" s="1"/>
  <c r="Q82" i="28"/>
  <c r="T81" i="28"/>
  <c r="V81" i="28" s="1"/>
  <c r="Q81" i="28"/>
  <c r="T80" i="28"/>
  <c r="V80" i="28" s="1"/>
  <c r="Q80" i="28"/>
  <c r="T79" i="28"/>
  <c r="V79" i="28" s="1"/>
  <c r="Q79" i="28"/>
  <c r="T78" i="28"/>
  <c r="V78" i="28" s="1"/>
  <c r="Q78" i="28"/>
  <c r="T77" i="28"/>
  <c r="V77" i="28" s="1"/>
  <c r="Q77" i="28"/>
  <c r="T76" i="28"/>
  <c r="V76" i="28" s="1"/>
  <c r="Q76" i="28"/>
  <c r="V75" i="28"/>
  <c r="T75" i="28"/>
  <c r="Q75" i="28"/>
  <c r="T74" i="28"/>
  <c r="V74" i="28" s="1"/>
  <c r="Q74" i="28"/>
  <c r="T73" i="28"/>
  <c r="V73" i="28" s="1"/>
  <c r="Q73" i="28"/>
  <c r="T72" i="28"/>
  <c r="V72" i="28" s="1"/>
  <c r="Q72" i="28"/>
  <c r="T71" i="28"/>
  <c r="V71" i="28" s="1"/>
  <c r="Q71" i="28"/>
  <c r="T70" i="28"/>
  <c r="V70" i="28" s="1"/>
  <c r="Q70" i="28"/>
  <c r="T69" i="28"/>
  <c r="V69" i="28" s="1"/>
  <c r="Q69" i="28"/>
  <c r="T68" i="28"/>
  <c r="V68" i="28" s="1"/>
  <c r="Q68" i="28"/>
  <c r="V67" i="28"/>
  <c r="T67" i="28"/>
  <c r="Q67" i="28"/>
  <c r="T66" i="28"/>
  <c r="V66" i="28" s="1"/>
  <c r="Q66" i="28"/>
  <c r="T65" i="28"/>
  <c r="V65" i="28" s="1"/>
  <c r="Q65" i="28"/>
  <c r="T64" i="28"/>
  <c r="V64" i="28" s="1"/>
  <c r="Q64" i="28"/>
  <c r="T63" i="28"/>
  <c r="V63" i="28" s="1"/>
  <c r="Q63" i="28"/>
  <c r="T62" i="28"/>
  <c r="V62" i="28" s="1"/>
  <c r="Q62" i="28"/>
  <c r="T61" i="28"/>
  <c r="V61" i="28" s="1"/>
  <c r="Q61" i="28"/>
  <c r="T60" i="28"/>
  <c r="V60" i="28" s="1"/>
  <c r="Q60" i="28"/>
  <c r="V59" i="28"/>
  <c r="T59" i="28"/>
  <c r="Q59" i="28"/>
  <c r="T58" i="28"/>
  <c r="V58" i="28" s="1"/>
  <c r="Q58" i="28"/>
  <c r="T57" i="28"/>
  <c r="V57" i="28" s="1"/>
  <c r="Q57" i="28"/>
  <c r="T56" i="28"/>
  <c r="V56" i="28" s="1"/>
  <c r="Q56" i="28"/>
  <c r="T55" i="28"/>
  <c r="V55" i="28" s="1"/>
  <c r="Q55" i="28"/>
  <c r="T54" i="28"/>
  <c r="V54" i="28" s="1"/>
  <c r="Q54" i="28"/>
  <c r="T53" i="28"/>
  <c r="V53" i="28" s="1"/>
  <c r="Q53" i="28"/>
  <c r="T52" i="28"/>
  <c r="V52" i="28" s="1"/>
  <c r="Q52" i="28"/>
  <c r="V51" i="28"/>
  <c r="T51" i="28"/>
  <c r="Q51" i="28"/>
  <c r="T50" i="28"/>
  <c r="V50" i="28" s="1"/>
  <c r="Q50" i="28"/>
  <c r="T49" i="28"/>
  <c r="V49" i="28" s="1"/>
  <c r="Q49" i="28"/>
  <c r="T48" i="28"/>
  <c r="V48" i="28" s="1"/>
  <c r="Q48" i="28"/>
  <c r="T47" i="28"/>
  <c r="V47" i="28" s="1"/>
  <c r="Q47" i="28"/>
  <c r="T46" i="28"/>
  <c r="V46" i="28" s="1"/>
  <c r="Q46" i="28"/>
  <c r="T45" i="28"/>
  <c r="V45" i="28" s="1"/>
  <c r="Q45" i="28"/>
  <c r="T44" i="28"/>
  <c r="V44" i="28" s="1"/>
  <c r="Q44" i="28"/>
  <c r="V43" i="28"/>
  <c r="T43" i="28"/>
  <c r="Q43" i="28"/>
  <c r="T42" i="28"/>
  <c r="V42" i="28" s="1"/>
  <c r="Q42" i="28"/>
  <c r="T41" i="28"/>
  <c r="V41" i="28" s="1"/>
  <c r="Q41" i="28"/>
  <c r="T40" i="28"/>
  <c r="V40" i="28" s="1"/>
  <c r="Q40" i="28"/>
  <c r="T39" i="28"/>
  <c r="V39" i="28" s="1"/>
  <c r="Q39" i="28"/>
  <c r="T38" i="28"/>
  <c r="V38" i="28" s="1"/>
  <c r="Q38" i="28"/>
  <c r="T37" i="28"/>
  <c r="V37" i="28" s="1"/>
  <c r="Q37" i="28"/>
  <c r="T36" i="28"/>
  <c r="V36" i="28" s="1"/>
  <c r="Q36" i="28"/>
  <c r="V35" i="28"/>
  <c r="T35" i="28"/>
  <c r="Q35" i="28"/>
  <c r="T34" i="28"/>
  <c r="V34" i="28" s="1"/>
  <c r="Q34" i="28"/>
  <c r="T33" i="28"/>
  <c r="V33" i="28" s="1"/>
  <c r="Q33" i="28"/>
  <c r="T32" i="28"/>
  <c r="V32" i="28" s="1"/>
  <c r="Q32" i="28"/>
  <c r="T31" i="28"/>
  <c r="V31" i="28" s="1"/>
  <c r="Q31" i="28"/>
  <c r="T30" i="28"/>
  <c r="V30" i="28" s="1"/>
  <c r="Q30" i="28"/>
  <c r="T29" i="28"/>
  <c r="V29" i="28" s="1"/>
  <c r="Q29" i="28"/>
  <c r="T28" i="28"/>
  <c r="V28" i="28" s="1"/>
  <c r="Q28" i="28"/>
  <c r="V27" i="28"/>
  <c r="T27" i="28"/>
  <c r="Q27" i="28"/>
  <c r="T26" i="28"/>
  <c r="V26" i="28" s="1"/>
  <c r="Q26" i="28"/>
  <c r="T25" i="28"/>
  <c r="V25" i="28" s="1"/>
  <c r="Q25" i="28"/>
  <c r="T24" i="28"/>
  <c r="V24" i="28" s="1"/>
  <c r="Q24" i="28"/>
  <c r="T23" i="28"/>
  <c r="V23" i="28" s="1"/>
  <c r="Q23" i="28"/>
  <c r="T22" i="28"/>
  <c r="V22" i="28" s="1"/>
  <c r="Q22" i="28"/>
  <c r="T21" i="28"/>
  <c r="V21" i="28" s="1"/>
  <c r="Q21" i="28"/>
  <c r="T20" i="28"/>
  <c r="V20" i="28" s="1"/>
  <c r="Q20" i="28"/>
  <c r="V19" i="28"/>
  <c r="T19" i="28"/>
  <c r="Q19" i="28"/>
  <c r="T18" i="28"/>
  <c r="V18" i="28" s="1"/>
  <c r="Q18" i="28"/>
  <c r="T17" i="28"/>
  <c r="V17" i="28" s="1"/>
  <c r="Q17" i="28"/>
  <c r="T16" i="28"/>
  <c r="V16" i="28" s="1"/>
  <c r="Q16" i="28"/>
  <c r="T15" i="28"/>
  <c r="V15" i="28" s="1"/>
  <c r="Q15" i="28"/>
  <c r="T14" i="28"/>
  <c r="V14" i="28" s="1"/>
  <c r="Q14" i="28"/>
  <c r="T13" i="28"/>
  <c r="V13" i="28" s="1"/>
  <c r="Q13" i="28"/>
  <c r="T12" i="28"/>
  <c r="V12" i="28" s="1"/>
  <c r="Q12" i="28"/>
  <c r="V11" i="28"/>
  <c r="T11" i="28"/>
  <c r="Q11" i="28"/>
  <c r="T10" i="28"/>
  <c r="V10" i="28" s="1"/>
  <c r="Q10" i="28"/>
  <c r="T9" i="28"/>
  <c r="V9" i="28" s="1"/>
  <c r="Q9" i="28"/>
  <c r="T8" i="28"/>
  <c r="V8" i="28" s="1"/>
  <c r="Q8" i="28"/>
  <c r="T7" i="28"/>
  <c r="V7" i="28" s="1"/>
  <c r="Q7" i="28"/>
  <c r="T6" i="28"/>
  <c r="V6" i="28" s="1"/>
  <c r="Q6" i="28"/>
  <c r="T5" i="28"/>
  <c r="V5" i="28" s="1"/>
  <c r="Q5" i="28"/>
  <c r="T4" i="28"/>
  <c r="V4" i="28" s="1"/>
  <c r="Q4" i="28"/>
  <c r="V3" i="28"/>
  <c r="T3" i="28"/>
  <c r="Q3" i="28"/>
  <c r="T2" i="28"/>
  <c r="V2" i="28" s="1"/>
  <c r="Q2" i="28"/>
  <c r="T67" i="27"/>
  <c r="V67" i="27" s="1"/>
  <c r="Q67" i="27"/>
  <c r="T66" i="27"/>
  <c r="V66" i="27" s="1"/>
  <c r="Q66" i="27"/>
  <c r="T65" i="27"/>
  <c r="V65" i="27" s="1"/>
  <c r="Q65" i="27"/>
  <c r="V64" i="27"/>
  <c r="T64" i="27"/>
  <c r="Q64" i="27"/>
  <c r="V63" i="27"/>
  <c r="T63" i="27"/>
  <c r="Q63" i="27"/>
  <c r="T62" i="27"/>
  <c r="V62" i="27" s="1"/>
  <c r="Q62" i="27"/>
  <c r="T61" i="27"/>
  <c r="V61" i="27" s="1"/>
  <c r="Q61" i="27"/>
  <c r="V60" i="27"/>
  <c r="T60" i="27"/>
  <c r="Q60" i="27"/>
  <c r="T59" i="27"/>
  <c r="V59" i="27" s="1"/>
  <c r="Q59" i="27"/>
  <c r="T58" i="27"/>
  <c r="V58" i="27" s="1"/>
  <c r="Q58" i="27"/>
  <c r="T57" i="27"/>
  <c r="V57" i="27" s="1"/>
  <c r="Q57" i="27"/>
  <c r="V56" i="27"/>
  <c r="T56" i="27"/>
  <c r="Q56" i="27"/>
  <c r="V55" i="27"/>
  <c r="T55" i="27"/>
  <c r="Q55" i="27"/>
  <c r="T54" i="27"/>
  <c r="V54" i="27" s="1"/>
  <c r="Q54" i="27"/>
  <c r="T53" i="27"/>
  <c r="V53" i="27" s="1"/>
  <c r="Q53" i="27"/>
  <c r="V52" i="27"/>
  <c r="T52" i="27"/>
  <c r="Q52" i="27"/>
  <c r="T51" i="27"/>
  <c r="V51" i="27" s="1"/>
  <c r="Q51" i="27"/>
  <c r="T50" i="27"/>
  <c r="V50" i="27" s="1"/>
  <c r="Q50" i="27"/>
  <c r="T49" i="27"/>
  <c r="V49" i="27" s="1"/>
  <c r="Q49" i="27"/>
  <c r="V48" i="27"/>
  <c r="T48" i="27"/>
  <c r="Q48" i="27"/>
  <c r="V47" i="27"/>
  <c r="T47" i="27"/>
  <c r="Q47" i="27"/>
  <c r="T46" i="27"/>
  <c r="V46" i="27" s="1"/>
  <c r="Q46" i="27"/>
  <c r="T45" i="27"/>
  <c r="V45" i="27" s="1"/>
  <c r="Q45" i="27"/>
  <c r="V44" i="27"/>
  <c r="T44" i="27"/>
  <c r="Q44" i="27"/>
  <c r="T43" i="27"/>
  <c r="V43" i="27" s="1"/>
  <c r="Q43" i="27"/>
  <c r="T42" i="27"/>
  <c r="V42" i="27" s="1"/>
  <c r="Q42" i="27"/>
  <c r="T41" i="27"/>
  <c r="V41" i="27" s="1"/>
  <c r="Q41" i="27"/>
  <c r="V40" i="27"/>
  <c r="T40" i="27"/>
  <c r="Q40" i="27"/>
  <c r="V39" i="27"/>
  <c r="T39" i="27"/>
  <c r="Q39" i="27"/>
  <c r="T38" i="27"/>
  <c r="V38" i="27" s="1"/>
  <c r="Q38" i="27"/>
  <c r="T37" i="27"/>
  <c r="V37" i="27" s="1"/>
  <c r="Q37" i="27"/>
  <c r="V36" i="27"/>
  <c r="T36" i="27"/>
  <c r="Q36" i="27"/>
  <c r="T35" i="27"/>
  <c r="V35" i="27" s="1"/>
  <c r="Q35" i="27"/>
  <c r="T34" i="27"/>
  <c r="V34" i="27" s="1"/>
  <c r="Q34" i="27"/>
  <c r="T33" i="27"/>
  <c r="V33" i="27" s="1"/>
  <c r="Q33" i="27"/>
  <c r="V32" i="27"/>
  <c r="T32" i="27"/>
  <c r="Q32" i="27"/>
  <c r="V31" i="27"/>
  <c r="T31" i="27"/>
  <c r="Q31" i="27"/>
  <c r="T30" i="27"/>
  <c r="V30" i="27" s="1"/>
  <c r="Q30" i="27"/>
  <c r="T29" i="27"/>
  <c r="V29" i="27" s="1"/>
  <c r="Q29" i="27"/>
  <c r="V28" i="27"/>
  <c r="T28" i="27"/>
  <c r="Q28" i="27"/>
  <c r="T27" i="27"/>
  <c r="V27" i="27" s="1"/>
  <c r="Q27" i="27"/>
  <c r="T26" i="27"/>
  <c r="V26" i="27" s="1"/>
  <c r="Q26" i="27"/>
  <c r="T25" i="27"/>
  <c r="V25" i="27" s="1"/>
  <c r="Q25" i="27"/>
  <c r="V24" i="27"/>
  <c r="T24" i="27"/>
  <c r="Q24" i="27"/>
  <c r="V23" i="27"/>
  <c r="T23" i="27"/>
  <c r="Q23" i="27"/>
  <c r="T22" i="27"/>
  <c r="V22" i="27" s="1"/>
  <c r="Q22" i="27"/>
  <c r="T21" i="27"/>
  <c r="V21" i="27" s="1"/>
  <c r="Q21" i="27"/>
  <c r="V20" i="27"/>
  <c r="T20" i="27"/>
  <c r="Q20" i="27"/>
  <c r="T19" i="27"/>
  <c r="V19" i="27" s="1"/>
  <c r="Q19" i="27"/>
  <c r="T18" i="27"/>
  <c r="V18" i="27" s="1"/>
  <c r="Q18" i="27"/>
  <c r="T17" i="27"/>
  <c r="V17" i="27" s="1"/>
  <c r="Q17" i="27"/>
  <c r="V16" i="27"/>
  <c r="T16" i="27"/>
  <c r="Q16" i="27"/>
  <c r="V15" i="27"/>
  <c r="T15" i="27"/>
  <c r="Q15" i="27"/>
  <c r="T14" i="27"/>
  <c r="V14" i="27" s="1"/>
  <c r="Q14" i="27"/>
  <c r="T13" i="27"/>
  <c r="V13" i="27" s="1"/>
  <c r="Q13" i="27"/>
  <c r="V12" i="27"/>
  <c r="T12" i="27"/>
  <c r="Q12" i="27"/>
  <c r="T11" i="27"/>
  <c r="V11" i="27" s="1"/>
  <c r="Q11" i="27"/>
  <c r="T10" i="27"/>
  <c r="V10" i="27" s="1"/>
  <c r="Q10" i="27"/>
  <c r="T9" i="27"/>
  <c r="V9" i="27" s="1"/>
  <c r="Q9" i="27"/>
  <c r="V8" i="27"/>
  <c r="T8" i="27"/>
  <c r="Q8" i="27"/>
  <c r="V7" i="27"/>
  <c r="T7" i="27"/>
  <c r="Q7" i="27"/>
  <c r="T6" i="27"/>
  <c r="V6" i="27" s="1"/>
  <c r="Q6" i="27"/>
  <c r="T5" i="27"/>
  <c r="V5" i="27" s="1"/>
  <c r="Q5" i="27"/>
  <c r="V4" i="27"/>
  <c r="T4" i="27"/>
  <c r="Q4" i="27"/>
  <c r="T3" i="27"/>
  <c r="V3" i="27" s="1"/>
  <c r="Q3" i="27"/>
  <c r="T2" i="27"/>
  <c r="V2" i="27" s="1"/>
  <c r="Q2" i="27"/>
  <c r="T139" i="26" l="1"/>
  <c r="V139" i="26" s="1"/>
  <c r="Q139" i="26"/>
  <c r="T138" i="26"/>
  <c r="V138" i="26" s="1"/>
  <c r="Q138" i="26"/>
  <c r="T137" i="26"/>
  <c r="V137" i="26" s="1"/>
  <c r="Q137" i="26"/>
  <c r="T136" i="26"/>
  <c r="V136" i="26" s="1"/>
  <c r="Q136" i="26"/>
  <c r="T135" i="26"/>
  <c r="V135" i="26" s="1"/>
  <c r="Q135" i="26"/>
  <c r="V134" i="26"/>
  <c r="T134" i="26"/>
  <c r="Q134" i="26"/>
  <c r="V133" i="26"/>
  <c r="T133" i="26"/>
  <c r="Q133" i="26"/>
  <c r="V132" i="26"/>
  <c r="T132" i="26"/>
  <c r="Q132" i="26"/>
  <c r="T131" i="26"/>
  <c r="V131" i="26" s="1"/>
  <c r="Q131" i="26"/>
  <c r="T130" i="26"/>
  <c r="V130" i="26" s="1"/>
  <c r="Q130" i="26"/>
  <c r="T129" i="26"/>
  <c r="V129" i="26" s="1"/>
  <c r="Q129" i="26"/>
  <c r="T128" i="26"/>
  <c r="V128" i="26" s="1"/>
  <c r="Q128" i="26"/>
  <c r="T127" i="26"/>
  <c r="V127" i="26" s="1"/>
  <c r="Q127" i="26"/>
  <c r="V126" i="26"/>
  <c r="T126" i="26"/>
  <c r="Q126" i="26"/>
  <c r="V125" i="26"/>
  <c r="T125" i="26"/>
  <c r="Q125" i="26"/>
  <c r="V124" i="26"/>
  <c r="T124" i="26"/>
  <c r="Q124" i="26"/>
  <c r="T123" i="26"/>
  <c r="V123" i="26" s="1"/>
  <c r="Q123" i="26"/>
  <c r="T122" i="26"/>
  <c r="V122" i="26" s="1"/>
  <c r="Q122" i="26"/>
  <c r="T121" i="26"/>
  <c r="V121" i="26" s="1"/>
  <c r="Q121" i="26"/>
  <c r="T120" i="26"/>
  <c r="V120" i="26" s="1"/>
  <c r="Q120" i="26"/>
  <c r="T119" i="26"/>
  <c r="V119" i="26" s="1"/>
  <c r="Q119" i="26"/>
  <c r="V118" i="26"/>
  <c r="T118" i="26"/>
  <c r="Q118" i="26"/>
  <c r="V117" i="26"/>
  <c r="T117" i="26"/>
  <c r="Q117" i="26"/>
  <c r="V116" i="26"/>
  <c r="T116" i="26"/>
  <c r="Q116" i="26"/>
  <c r="T115" i="26"/>
  <c r="V115" i="26" s="1"/>
  <c r="Q115" i="26"/>
  <c r="T114" i="26"/>
  <c r="V114" i="26" s="1"/>
  <c r="Q114" i="26"/>
  <c r="T113" i="26"/>
  <c r="V113" i="26" s="1"/>
  <c r="Q113" i="26"/>
  <c r="T112" i="26"/>
  <c r="V112" i="26" s="1"/>
  <c r="Q112" i="26"/>
  <c r="T111" i="26"/>
  <c r="V111" i="26" s="1"/>
  <c r="Q111" i="26"/>
  <c r="V110" i="26"/>
  <c r="T110" i="26"/>
  <c r="Q110" i="26"/>
  <c r="V109" i="26"/>
  <c r="T109" i="26"/>
  <c r="Q109" i="26"/>
  <c r="V108" i="26"/>
  <c r="T108" i="26"/>
  <c r="Q108" i="26"/>
  <c r="T107" i="26"/>
  <c r="V107" i="26" s="1"/>
  <c r="Q107" i="26"/>
  <c r="T106" i="26"/>
  <c r="V106" i="26" s="1"/>
  <c r="Q106" i="26"/>
  <c r="T105" i="26"/>
  <c r="V105" i="26" s="1"/>
  <c r="Q105" i="26"/>
  <c r="T104" i="26"/>
  <c r="V104" i="26" s="1"/>
  <c r="Q104" i="26"/>
  <c r="T103" i="26"/>
  <c r="V103" i="26" s="1"/>
  <c r="Q103" i="26"/>
  <c r="V102" i="26"/>
  <c r="T102" i="26"/>
  <c r="Q102" i="26"/>
  <c r="V101" i="26"/>
  <c r="T101" i="26"/>
  <c r="Q101" i="26"/>
  <c r="V100" i="26"/>
  <c r="T100" i="26"/>
  <c r="Q100" i="26"/>
  <c r="T99" i="26"/>
  <c r="V99" i="26" s="1"/>
  <c r="Q99" i="26"/>
  <c r="T98" i="26"/>
  <c r="V98" i="26" s="1"/>
  <c r="Q98" i="26"/>
  <c r="T97" i="26"/>
  <c r="V97" i="26" s="1"/>
  <c r="Q97" i="26"/>
  <c r="T96" i="26"/>
  <c r="V96" i="26" s="1"/>
  <c r="Q96" i="26"/>
  <c r="T95" i="26"/>
  <c r="V95" i="26" s="1"/>
  <c r="Q95" i="26"/>
  <c r="V94" i="26"/>
  <c r="T94" i="26"/>
  <c r="Q94" i="26"/>
  <c r="V93" i="26"/>
  <c r="T93" i="26"/>
  <c r="Q93" i="26"/>
  <c r="V92" i="26"/>
  <c r="T92" i="26"/>
  <c r="Q92" i="26"/>
  <c r="T91" i="26"/>
  <c r="V91" i="26" s="1"/>
  <c r="Q91" i="26"/>
  <c r="T90" i="26"/>
  <c r="V90" i="26" s="1"/>
  <c r="Q90" i="26"/>
  <c r="T89" i="26"/>
  <c r="V89" i="26" s="1"/>
  <c r="Q89" i="26"/>
  <c r="T88" i="26"/>
  <c r="V88" i="26" s="1"/>
  <c r="Q88" i="26"/>
  <c r="T87" i="26"/>
  <c r="V87" i="26" s="1"/>
  <c r="Q87" i="26"/>
  <c r="V86" i="26"/>
  <c r="T86" i="26"/>
  <c r="Q86" i="26"/>
  <c r="V85" i="26"/>
  <c r="T85" i="26"/>
  <c r="Q85" i="26"/>
  <c r="V84" i="26"/>
  <c r="T84" i="26"/>
  <c r="Q84" i="26"/>
  <c r="T83" i="26"/>
  <c r="V83" i="26" s="1"/>
  <c r="Q83" i="26"/>
  <c r="T82" i="26"/>
  <c r="V82" i="26" s="1"/>
  <c r="Q82" i="26"/>
  <c r="T81" i="26"/>
  <c r="V81" i="26" s="1"/>
  <c r="Q81" i="26"/>
  <c r="T80" i="26"/>
  <c r="V80" i="26" s="1"/>
  <c r="Q80" i="26"/>
  <c r="T79" i="26"/>
  <c r="V79" i="26" s="1"/>
  <c r="Q79" i="26"/>
  <c r="V78" i="26"/>
  <c r="T78" i="26"/>
  <c r="Q78" i="26"/>
  <c r="V77" i="26"/>
  <c r="T77" i="26"/>
  <c r="Q77" i="26"/>
  <c r="V76" i="26"/>
  <c r="T76" i="26"/>
  <c r="Q76" i="26"/>
  <c r="T75" i="26"/>
  <c r="V75" i="26" s="1"/>
  <c r="Q75" i="26"/>
  <c r="T74" i="26"/>
  <c r="V74" i="26" s="1"/>
  <c r="Q74" i="26"/>
  <c r="T73" i="26"/>
  <c r="V73" i="26" s="1"/>
  <c r="Q73" i="26"/>
  <c r="T72" i="26"/>
  <c r="V72" i="26" s="1"/>
  <c r="Q72" i="26"/>
  <c r="T71" i="26"/>
  <c r="V71" i="26" s="1"/>
  <c r="Q71" i="26"/>
  <c r="V70" i="26"/>
  <c r="T70" i="26"/>
  <c r="Q70" i="26"/>
  <c r="V69" i="26"/>
  <c r="T69" i="26"/>
  <c r="Q69" i="26"/>
  <c r="V68" i="26"/>
  <c r="T68" i="26"/>
  <c r="Q68" i="26"/>
  <c r="T67" i="26"/>
  <c r="V67" i="26" s="1"/>
  <c r="Q67" i="26"/>
  <c r="T66" i="26"/>
  <c r="V66" i="26" s="1"/>
  <c r="Q66" i="26"/>
  <c r="T65" i="26"/>
  <c r="V65" i="26" s="1"/>
  <c r="Q65" i="26"/>
  <c r="T64" i="26"/>
  <c r="V64" i="26" s="1"/>
  <c r="Q64" i="26"/>
  <c r="T63" i="26"/>
  <c r="V63" i="26" s="1"/>
  <c r="Q63" i="26"/>
  <c r="V62" i="26"/>
  <c r="T62" i="26"/>
  <c r="Q62" i="26"/>
  <c r="V61" i="26"/>
  <c r="T61" i="26"/>
  <c r="Q61" i="26"/>
  <c r="V60" i="26"/>
  <c r="T60" i="26"/>
  <c r="Q60" i="26"/>
  <c r="T59" i="26"/>
  <c r="V59" i="26" s="1"/>
  <c r="Q59" i="26"/>
  <c r="T58" i="26"/>
  <c r="V58" i="26" s="1"/>
  <c r="Q58" i="26"/>
  <c r="T57" i="26"/>
  <c r="V57" i="26" s="1"/>
  <c r="Q57" i="26"/>
  <c r="T56" i="26"/>
  <c r="V56" i="26" s="1"/>
  <c r="Q56" i="26"/>
  <c r="T55" i="26"/>
  <c r="V55" i="26" s="1"/>
  <c r="Q55" i="26"/>
  <c r="V54" i="26"/>
  <c r="T54" i="26"/>
  <c r="Q54" i="26"/>
  <c r="V53" i="26"/>
  <c r="T53" i="26"/>
  <c r="Q53" i="26"/>
  <c r="V52" i="26"/>
  <c r="T52" i="26"/>
  <c r="Q52" i="26"/>
  <c r="T51" i="26"/>
  <c r="V51" i="26" s="1"/>
  <c r="Q51" i="26"/>
  <c r="T50" i="26"/>
  <c r="V50" i="26" s="1"/>
  <c r="Q50" i="26"/>
  <c r="T49" i="26"/>
  <c r="V49" i="26" s="1"/>
  <c r="Q49" i="26"/>
  <c r="T48" i="26"/>
  <c r="V48" i="26" s="1"/>
  <c r="Q48" i="26"/>
  <c r="T47" i="26"/>
  <c r="V47" i="26" s="1"/>
  <c r="Q47" i="26"/>
  <c r="V46" i="26"/>
  <c r="T46" i="26"/>
  <c r="Q46" i="26"/>
  <c r="V45" i="26"/>
  <c r="T45" i="26"/>
  <c r="Q45" i="26"/>
  <c r="V44" i="26"/>
  <c r="T44" i="26"/>
  <c r="Q44" i="26"/>
  <c r="T43" i="26"/>
  <c r="V43" i="26" s="1"/>
  <c r="Q43" i="26"/>
  <c r="T42" i="26"/>
  <c r="V42" i="26" s="1"/>
  <c r="Q42" i="26"/>
  <c r="T41" i="26"/>
  <c r="V41" i="26" s="1"/>
  <c r="Q41" i="26"/>
  <c r="T40" i="26"/>
  <c r="V40" i="26" s="1"/>
  <c r="Q40" i="26"/>
  <c r="T39" i="26"/>
  <c r="V39" i="26" s="1"/>
  <c r="Q39" i="26"/>
  <c r="V38" i="26"/>
  <c r="T38" i="26"/>
  <c r="Q38" i="26"/>
  <c r="V37" i="26"/>
  <c r="T37" i="26"/>
  <c r="Q37" i="26"/>
  <c r="V36" i="26"/>
  <c r="T36" i="26"/>
  <c r="Q36" i="26"/>
  <c r="T35" i="26"/>
  <c r="V35" i="26" s="1"/>
  <c r="Q35" i="26"/>
  <c r="T34" i="26"/>
  <c r="V34" i="26" s="1"/>
  <c r="Q34" i="26"/>
  <c r="T33" i="26"/>
  <c r="V33" i="26" s="1"/>
  <c r="Q33" i="26"/>
  <c r="T32" i="26"/>
  <c r="V32" i="26" s="1"/>
  <c r="Q32" i="26"/>
  <c r="T31" i="26"/>
  <c r="V31" i="26" s="1"/>
  <c r="Q31" i="26"/>
  <c r="V30" i="26"/>
  <c r="T30" i="26"/>
  <c r="Q30" i="26"/>
  <c r="V29" i="26"/>
  <c r="T29" i="26"/>
  <c r="Q29" i="26"/>
  <c r="V28" i="26"/>
  <c r="T28" i="26"/>
  <c r="Q28" i="26"/>
  <c r="T27" i="26"/>
  <c r="V27" i="26" s="1"/>
  <c r="Q27" i="26"/>
  <c r="T26" i="26"/>
  <c r="V26" i="26" s="1"/>
  <c r="Q26" i="26"/>
  <c r="T25" i="26"/>
  <c r="V25" i="26" s="1"/>
  <c r="Q25" i="26"/>
  <c r="T24" i="26"/>
  <c r="V24" i="26" s="1"/>
  <c r="Q24" i="26"/>
  <c r="T23" i="26"/>
  <c r="V23" i="26" s="1"/>
  <c r="Q23" i="26"/>
  <c r="V22" i="26"/>
  <c r="T22" i="26"/>
  <c r="Q22" i="26"/>
  <c r="V21" i="26"/>
  <c r="T21" i="26"/>
  <c r="Q21" i="26"/>
  <c r="V20" i="26"/>
  <c r="T20" i="26"/>
  <c r="Q20" i="26"/>
  <c r="T19" i="26"/>
  <c r="V19" i="26" s="1"/>
  <c r="Q19" i="26"/>
  <c r="T18" i="26"/>
  <c r="V18" i="26" s="1"/>
  <c r="Q18" i="26"/>
  <c r="T17" i="26"/>
  <c r="V17" i="26" s="1"/>
  <c r="Q17" i="26"/>
  <c r="T16" i="26"/>
  <c r="V16" i="26" s="1"/>
  <c r="Q16" i="26"/>
  <c r="T15" i="26"/>
  <c r="V15" i="26" s="1"/>
  <c r="Q15" i="26"/>
  <c r="V14" i="26"/>
  <c r="T14" i="26"/>
  <c r="Q14" i="26"/>
  <c r="V13" i="26"/>
  <c r="T13" i="26"/>
  <c r="Q13" i="26"/>
  <c r="V12" i="26"/>
  <c r="T12" i="26"/>
  <c r="Q12" i="26"/>
  <c r="T11" i="26"/>
  <c r="V11" i="26" s="1"/>
  <c r="Q11" i="26"/>
  <c r="T10" i="26"/>
  <c r="V10" i="26" s="1"/>
  <c r="Q10" i="26"/>
  <c r="T9" i="26"/>
  <c r="V9" i="26" s="1"/>
  <c r="Q9" i="26"/>
  <c r="T8" i="26"/>
  <c r="V8" i="26" s="1"/>
  <c r="Q8" i="26"/>
  <c r="T7" i="26"/>
  <c r="V7" i="26" s="1"/>
  <c r="Q7" i="26"/>
  <c r="V6" i="26"/>
  <c r="T6" i="26"/>
  <c r="Q6" i="26"/>
  <c r="V5" i="26"/>
  <c r="T5" i="26"/>
  <c r="Q5" i="26"/>
  <c r="V4" i="26"/>
  <c r="T4" i="26"/>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<sst xmlns="http://schemas.openxmlformats.org/spreadsheetml/2006/main" count="11463" uniqueCount="557">
  <si>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</si>
  <si>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</si>
  <si>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</si>
  <si>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</si>
  <si>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</si>
  <si>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</si>
  <si>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</si>
  <si>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</si>
  <si>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</si>
  <si>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</si>
  <si>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</si>
  <si>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</si>
  <si>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</si>
  <si>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</si>
  <si>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</si>
  <si>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</si>
  <si>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</si>
  <si>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</si>
  <si>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</si>
  <si>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</si>
  <si>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</si>
  <si>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</si>
  <si>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</si>
  <si>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</si>
  <si>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</si>
  <si>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</si>
  <si>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</si>
  <si>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</si>
  <si>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</si>
  <si>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</si>
  <si>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</si>
  <si>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</si>
  <si>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</si>
  <si>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</si>
  <si>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</si>
  <si>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</si>
  <si>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</si>
  <si>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</si>
  <si>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</si>
  <si>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</si>
  <si>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</si>
  <si>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</si>
  <si>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</si>
  <si>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</si>
  <si>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</si>
  <si>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</si>
  <si>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</si>
  <si>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</si>
  <si>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</si>
  <si>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</si>
  <si>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</si>
  <si>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</si>
  <si>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</si>
  <si>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</si>
  <si>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</si>
  <si>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</si>
  <si>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</si>
  <si>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</si>
  <si>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</si>
  <si>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</si>
  <si>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</si>
  <si>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</si>
  <si>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</si>
  <si>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</si>
  <si>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</si>
  <si>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</si>
  <si>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</si>
  <si>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</si>
  <si>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</si>
  <si>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</si>
  <si>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</si>
  <si>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</si>
  <si>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</si>
  <si>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</si>
  <si>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</si>
  <si>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</si>
  <si>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</si>
  <si>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</si>
  <si>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</si>
  <si>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</si>
  <si>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</si>
  <si>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</si>
  <si>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</si>
  <si>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</si>
  <si>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</si>
  <si>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</si>
  <si>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</si>
  <si>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</si>
  <si>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</si>
  <si>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</si>
  <si>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</si>
  <si>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</si>
  <si>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</si>
  <si>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</si>
  <si>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</si>
  <si>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</si>
  <si>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</si>
  <si>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</si>
  <si>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</si>
  <si>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</si>
  <si>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</si>
  <si>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</si>
  <si>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</si>
  <si>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</si>
  <si>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</si>
  <si>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</si>
  <si>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</si>
  <si>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</si>
  <si>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</si>
  <si>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</si>
  <si>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</si>
  <si>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</si>
  <si>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</si>
  <si>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</si>
  <si>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</si>
  <si>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</si>
  <si>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</si>
  <si>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</si>
  <si>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</si>
  <si>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</si>
  <si>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</si>
  <si>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</si>
  <si>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</si>
  <si>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</si>
  <si>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</si>
  <si>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</si>
  <si>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</si>
  <si>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</si>
  <si>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</si>
  <si>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</si>
  <si>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</si>
  <si>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</si>
  <si>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</si>
  <si>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</si>
  <si>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</si>
  <si>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</si>
  <si>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</si>
  <si>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</si>
  <si>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</si>
  <si>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</si>
  <si>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</si>
  <si>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</si>
  <si>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</si>
  <si>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</si>
  <si>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</si>
  <si>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</si>
  <si>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</si>
  <si>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</si>
  <si>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</si>
  <si>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</si>
  <si>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</si>
  <si>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</si>
  <si>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</si>
  <si>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</si>
  <si>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</si>
  <si>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</si>
  <si>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</si>
  <si>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</si>
  <si>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</si>
  <si>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</si>
  <si>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検体
番号</t>
    <phoneticPr fontId="4"/>
  </si>
  <si>
    <t>硬度
１</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</si>
  <si>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</si>
  <si>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</si>
  <si>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</si>
  <si>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</si>
  <si>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</si>
  <si>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GA</t>
  </si>
  <si>
    <t>大阪</t>
    <phoneticPr fontId="4"/>
  </si>
  <si>
    <t>HW</t>
    <phoneticPr fontId="4"/>
  </si>
  <si>
    <t>CK</t>
    <phoneticPr fontId="4"/>
  </si>
  <si>
    <t>OB</t>
    <phoneticPr fontId="4"/>
  </si>
  <si>
    <t>HE</t>
    <phoneticPr fontId="4"/>
  </si>
  <si>
    <t>佐賀</t>
    <rPh sb="0" eb="2">
      <t>サガ</t>
    </rPh>
    <phoneticPr fontId="3"/>
  </si>
  <si>
    <t>ラフランス</t>
  </si>
  <si>
    <t>西友</t>
  </si>
  <si>
    <t>日進岩藤店</t>
    <rPh sb="0" eb="2">
      <t>ニッシン</t>
    </rPh>
    <phoneticPr fontId="4"/>
  </si>
  <si>
    <t>日進店</t>
    <rPh sb="0" eb="2">
      <t>ニッシン</t>
    </rPh>
    <rPh sb="2" eb="3">
      <t>ミセ</t>
    </rPh>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</si>
  <si>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</si>
  <si>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</si>
  <si>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</si>
  <si>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</si>
  <si>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</si>
  <si>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</si>
  <si>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</si>
  <si>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</si>
  <si>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</si>
  <si>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</si>
  <si>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</si>
  <si>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</si>
  <si>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</si>
  <si>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</si>
  <si>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</si>
  <si>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</si>
  <si>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</si>
  <si>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</si>
  <si>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</si>
  <si>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</si>
  <si>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</si>
  <si>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</si>
  <si>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</si>
  <si>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</si>
  <si>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</si>
  <si>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</si>
  <si>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</si>
  <si>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</si>
  <si>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</si>
  <si>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</si>
  <si>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</si>
  <si>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</si>
  <si>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</si>
  <si>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</si>
  <si>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</si>
  <si>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</si>
  <si>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</si>
  <si>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</si>
  <si>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</si>
  <si>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</si>
  <si>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</si>
  <si>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</si>
  <si>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</si>
  <si>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</si>
  <si>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</si>
  <si>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</si>
  <si>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</si>
  <si>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</si>
  <si>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</si>
  <si>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</si>
  <si>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</si>
  <si>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</si>
  <si>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</si>
  <si>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</si>
  <si>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</si>
  <si>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</si>
  <si>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</si>
  <si>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</si>
  <si>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</si>
  <si>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</si>
  <si>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</si>
  <si>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</si>
  <si>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</si>
  <si>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</si>
  <si>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</si>
  <si>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</si>
  <si>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</si>
  <si>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</si>
  <si>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</si>
  <si>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</si>
  <si>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</si>
  <si>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</si>
  <si>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</si>
  <si>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U/P JPY</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</si>
  <si>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</si>
  <si>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</si>
  <si>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</si>
  <si>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</si>
  <si>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</si>
  <si>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</si>
  <si>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</si>
  <si>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</si>
  <si>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</si>
  <si>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</si>
  <si>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</si>
  <si>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</si>
  <si>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</si>
  <si>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</si>
  <si>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</si>
  <si>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</si>
  <si>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</si>
  <si>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</si>
  <si>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</si>
  <si>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</si>
  <si>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</si>
  <si>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</si>
  <si>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</si>
  <si>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</si>
  <si>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</si>
  <si>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</si>
  <si>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</si>
  <si>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</si>
  <si>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</si>
  <si>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</si>
  <si>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</si>
  <si>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</si>
  <si>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</si>
  <si>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</si>
  <si>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</si>
  <si>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</si>
  <si>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</si>
  <si>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</si>
  <si>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</si>
  <si>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</si>
  <si>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</si>
  <si>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</si>
  <si>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</si>
  <si>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</si>
  <si>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</si>
  <si>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</si>
  <si>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</si>
  <si>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</si>
  <si>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</si>
  <si>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</si>
  <si>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</si>
  <si>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</si>
  <si>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</si>
  <si>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</si>
  <si>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</si>
  <si>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</si>
  <si>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</si>
  <si>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</si>
  <si>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</si>
  <si>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</si>
  <si>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</si>
  <si>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</si>
  <si>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</si>
  <si>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</si>
  <si>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</si>
  <si>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</si>
  <si>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</si>
  <si>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</si>
  <si>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</si>
  <si>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</si>
  <si>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</si>
  <si>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</si>
  <si>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</si>
  <si>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</si>
  <si>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</si>
  <si>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</si>
  <si>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</si>
  <si>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05.06.2018</t>
  </si>
  <si>
    <t>05.06.2018</t>
    <phoneticPr fontId="3"/>
  </si>
  <si>
    <t>04.06.2018</t>
    <phoneticPr fontId="3"/>
  </si>
  <si>
    <t>04.06.2018</t>
  </si>
  <si>
    <t>GA</t>
    <phoneticPr fontId="4"/>
  </si>
  <si>
    <t>いちじく</t>
    <phoneticPr fontId="4"/>
  </si>
  <si>
    <t>ラフランス</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</si>
  <si>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</si>
  <si>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</si>
  <si>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</si>
  <si>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</si>
  <si>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</si>
  <si>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</si>
  <si>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</si>
  <si>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</si>
  <si>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</si>
  <si>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</si>
  <si>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</si>
  <si>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</si>
  <si>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09.06.2018</t>
    <phoneticPr fontId="3"/>
  </si>
  <si>
    <t>アオキスーパー</t>
  </si>
  <si>
    <t>アオキスーパー</t>
    <phoneticPr fontId="4"/>
  </si>
  <si>
    <t>ﾆｭｰｼﾞｰﾗﾝﾄﾞ</t>
    <phoneticPr fontId="4"/>
  </si>
  <si>
    <t>JP</t>
    <phoneticPr fontId="3"/>
  </si>
  <si>
    <t>09.06.2018</t>
    <phoneticPr fontId="3"/>
  </si>
  <si>
    <t>ピアゴ</t>
    <phoneticPr fontId="4"/>
  </si>
  <si>
    <t>長久手南店</t>
    <phoneticPr fontId="4"/>
  </si>
  <si>
    <t>D'lish</t>
    <phoneticPr fontId="4"/>
  </si>
  <si>
    <t>中国</t>
    <phoneticPr fontId="4"/>
  </si>
  <si>
    <t>JP</t>
    <phoneticPr fontId="3"/>
  </si>
  <si>
    <t>09.06.2018</t>
    <phoneticPr fontId="3"/>
  </si>
  <si>
    <t>JP</t>
    <phoneticPr fontId="3"/>
  </si>
  <si>
    <t>09.06.2018</t>
    <phoneticPr fontId="3"/>
  </si>
  <si>
    <t>カネトク</t>
    <phoneticPr fontId="4"/>
  </si>
  <si>
    <t>JP</t>
    <phoneticPr fontId="3"/>
  </si>
  <si>
    <t>09.06.2018</t>
    <phoneticPr fontId="3"/>
  </si>
  <si>
    <t>マックスバリュ</t>
    <phoneticPr fontId="4"/>
  </si>
  <si>
    <t>長久手店</t>
    <phoneticPr fontId="4"/>
  </si>
  <si>
    <t>アピタ</t>
    <phoneticPr fontId="4"/>
  </si>
  <si>
    <t>JP</t>
    <phoneticPr fontId="3"/>
  </si>
  <si>
    <t>09.06.2018</t>
    <phoneticPr fontId="3"/>
  </si>
  <si>
    <t>アオキスーパー</t>
    <phoneticPr fontId="4"/>
  </si>
  <si>
    <t>長久手店</t>
    <phoneticPr fontId="4"/>
  </si>
  <si>
    <t>JP</t>
    <phoneticPr fontId="3"/>
  </si>
  <si>
    <t>09.06.2018</t>
    <phoneticPr fontId="3"/>
  </si>
  <si>
    <t>JP</t>
    <phoneticPr fontId="3"/>
  </si>
  <si>
    <t>09.06.2018</t>
    <phoneticPr fontId="3"/>
  </si>
  <si>
    <t>JP</t>
    <phoneticPr fontId="3"/>
  </si>
  <si>
    <t>09.06.2018</t>
    <phoneticPr fontId="3"/>
  </si>
  <si>
    <t>ピアゴ</t>
  </si>
  <si>
    <t>長久手南店</t>
  </si>
  <si>
    <t>ラフランス</t>
    <phoneticPr fontId="4"/>
  </si>
  <si>
    <t>キラキラ</t>
    <phoneticPr fontId="4"/>
  </si>
  <si>
    <t>グリーンアイ</t>
    <phoneticPr fontId="4"/>
  </si>
  <si>
    <t>カネスエ</t>
  </si>
  <si>
    <t>長久手店</t>
  </si>
  <si>
    <t>カネトク</t>
  </si>
  <si>
    <t>アピタ</t>
  </si>
  <si>
    <t>08.06.2018</t>
  </si>
  <si>
    <t>津久野店</t>
  </si>
  <si>
    <t>宮崎</t>
  </si>
  <si>
    <t>販売
ユニット
個数</t>
    <phoneticPr fontId="4"/>
  </si>
  <si>
    <t>U/P JPY</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</si>
  <si>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</si>
  <si>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</si>
  <si>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</si>
  <si>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</si>
  <si>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</si>
  <si>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</si>
  <si>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06.06.2018</t>
    <phoneticPr fontId="3"/>
  </si>
  <si>
    <t>マルショク</t>
    <phoneticPr fontId="3"/>
  </si>
  <si>
    <t>JPY</t>
    <phoneticPr fontId="4"/>
  </si>
  <si>
    <t>一般栽培</t>
    <phoneticPr fontId="4"/>
  </si>
  <si>
    <t>ﾆｭｰｼﾞｰﾗﾝﾄﾞ</t>
    <phoneticPr fontId="4"/>
  </si>
  <si>
    <t>JP</t>
    <phoneticPr fontId="3"/>
  </si>
  <si>
    <t>06.06.2018</t>
    <phoneticPr fontId="3"/>
  </si>
  <si>
    <t>マルショク</t>
    <phoneticPr fontId="3"/>
  </si>
  <si>
    <t>JPY</t>
    <phoneticPr fontId="4"/>
  </si>
  <si>
    <t>バナナ</t>
    <phoneticPr fontId="3"/>
  </si>
  <si>
    <t>CK</t>
    <phoneticPr fontId="3"/>
  </si>
  <si>
    <t>D'lish</t>
    <phoneticPr fontId="4"/>
  </si>
  <si>
    <t>りんご</t>
    <phoneticPr fontId="3"/>
  </si>
  <si>
    <t>JP</t>
    <phoneticPr fontId="3"/>
  </si>
  <si>
    <t>06.06.2018</t>
    <phoneticPr fontId="3"/>
  </si>
  <si>
    <t>マルショク</t>
    <phoneticPr fontId="3"/>
  </si>
  <si>
    <t>JPY</t>
    <phoneticPr fontId="4"/>
  </si>
  <si>
    <t>HW</t>
    <phoneticPr fontId="4"/>
  </si>
  <si>
    <t>CK</t>
    <phoneticPr fontId="4"/>
  </si>
  <si>
    <t>Del Monte</t>
    <phoneticPr fontId="4"/>
  </si>
  <si>
    <t>いちご</t>
    <phoneticPr fontId="3"/>
  </si>
  <si>
    <t>GK</t>
    <phoneticPr fontId="4"/>
  </si>
  <si>
    <t>OB</t>
    <phoneticPr fontId="4"/>
  </si>
  <si>
    <t>06.06.2018</t>
    <phoneticPr fontId="3"/>
  </si>
  <si>
    <t>マルショク</t>
    <phoneticPr fontId="3"/>
  </si>
  <si>
    <t>JPY</t>
    <phoneticPr fontId="4"/>
  </si>
  <si>
    <t>HE</t>
    <phoneticPr fontId="4"/>
  </si>
  <si>
    <t>JP</t>
    <phoneticPr fontId="3"/>
  </si>
  <si>
    <t>06.06.2018</t>
    <phoneticPr fontId="3"/>
  </si>
  <si>
    <t>GA</t>
    <phoneticPr fontId="4"/>
  </si>
  <si>
    <t>06.06.2018</t>
    <phoneticPr fontId="3"/>
  </si>
  <si>
    <t>オレンジ</t>
    <phoneticPr fontId="3"/>
  </si>
  <si>
    <t>JP</t>
    <phoneticPr fontId="3"/>
  </si>
  <si>
    <t>06.06.2018</t>
    <phoneticPr fontId="3"/>
  </si>
  <si>
    <t>06.06.2018</t>
    <phoneticPr fontId="3"/>
  </si>
  <si>
    <t>06.06.2018</t>
    <phoneticPr fontId="3"/>
  </si>
  <si>
    <t>JPY</t>
    <phoneticPr fontId="4"/>
  </si>
  <si>
    <t>06.06.2018</t>
    <phoneticPr fontId="3"/>
  </si>
  <si>
    <t>JPY</t>
    <phoneticPr fontId="4"/>
  </si>
  <si>
    <t>JP</t>
    <phoneticPr fontId="3"/>
  </si>
  <si>
    <t>06.06.2018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</si>
  <si>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</si>
  <si>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</si>
  <si>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</si>
  <si>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</si>
  <si>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</si>
  <si>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</si>
  <si>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</si>
  <si>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</si>
  <si>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</si>
  <si>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</si>
  <si>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</si>
  <si>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</si>
  <si>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</si>
  <si>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</si>
  <si>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</si>
  <si>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</si>
  <si>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</si>
  <si>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</si>
  <si>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</si>
  <si>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</si>
  <si>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</si>
  <si>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07.06.2018</t>
    <phoneticPr fontId="3"/>
  </si>
  <si>
    <t>サミット</t>
  </si>
  <si>
    <t>JPY</t>
    <phoneticPr fontId="3"/>
  </si>
  <si>
    <t>カドヤ</t>
    <phoneticPr fontId="4"/>
  </si>
  <si>
    <t>ﾆｭｰｼﾞｰﾗﾝﾄﾞ</t>
    <phoneticPr fontId="4"/>
  </si>
  <si>
    <t>07.06.2018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</si>
  <si>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</si>
  <si>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</si>
  <si>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</si>
  <si>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</si>
  <si>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</si>
  <si>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</si>
  <si>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</si>
  <si>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</si>
  <si>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</si>
  <si>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</si>
  <si>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</si>
  <si>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</si>
  <si>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</si>
  <si>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</si>
  <si>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</si>
  <si>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</si>
  <si>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</si>
  <si>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２番人気
果実</t>
    <phoneticPr fontId="3"/>
  </si>
  <si>
    <t>県名</t>
    <phoneticPr fontId="3"/>
  </si>
  <si>
    <t>チェーン名</t>
    <phoneticPr fontId="3"/>
  </si>
  <si>
    <t>品種</t>
    <phoneticPr fontId="3"/>
  </si>
  <si>
    <r>
      <t xml:space="preserve">Green
Other
</t>
    </r>
    <r>
      <rPr>
        <b/>
        <sz val="8"/>
        <rFont val="ＭＳ Ｐゴシック"/>
        <family val="3"/>
        <charset val="128"/>
      </rPr>
      <t>最低重量</t>
    </r>
    <phoneticPr fontId="4"/>
  </si>
  <si>
    <t>08.06.2018</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</si>
  <si>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</si>
  <si>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</si>
  <si>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</si>
  <si>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</si>
  <si>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</si>
  <si>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</si>
  <si>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D'lish</t>
    <phoneticPr fontId="4"/>
  </si>
  <si>
    <t>中国</t>
    <phoneticPr fontId="4"/>
  </si>
  <si>
    <t>JP</t>
    <phoneticPr fontId="3"/>
  </si>
  <si>
    <t>08.06.2018</t>
    <phoneticPr fontId="3"/>
  </si>
  <si>
    <t>JPY</t>
    <phoneticPr fontId="3"/>
  </si>
  <si>
    <t>山陽マルナカ</t>
  </si>
  <si>
    <t>白島店</t>
    <rPh sb="0" eb="2">
      <t>ハクシマ</t>
    </rPh>
    <rPh sb="2" eb="3">
      <t>テン</t>
    </rPh>
    <phoneticPr fontId="3"/>
  </si>
  <si>
    <t>HW</t>
    <phoneticPr fontId="4"/>
  </si>
  <si>
    <t>CK</t>
    <phoneticPr fontId="4"/>
  </si>
  <si>
    <t>Del Monte</t>
    <phoneticPr fontId="3"/>
  </si>
  <si>
    <t>アルク</t>
  </si>
  <si>
    <t>東千田店</t>
    <rPh sb="3" eb="4">
      <t>テン</t>
    </rPh>
    <phoneticPr fontId="3"/>
  </si>
  <si>
    <t>GK</t>
    <phoneticPr fontId="4"/>
  </si>
  <si>
    <t>OB</t>
    <phoneticPr fontId="4"/>
  </si>
  <si>
    <t>フレスタ</t>
  </si>
  <si>
    <t>吉島店</t>
    <rPh sb="0" eb="2">
      <t>ヨシジマ</t>
    </rPh>
    <rPh sb="2" eb="3">
      <t>テン</t>
    </rPh>
    <phoneticPr fontId="3"/>
  </si>
  <si>
    <t>HE</t>
    <phoneticPr fontId="4"/>
  </si>
  <si>
    <t>JP</t>
    <phoneticPr fontId="3"/>
  </si>
  <si>
    <t>08.06.2018</t>
    <phoneticPr fontId="3"/>
  </si>
  <si>
    <t>JPY</t>
    <phoneticPr fontId="3"/>
  </si>
  <si>
    <t>ピュアクック</t>
  </si>
  <si>
    <t>観音店</t>
    <rPh sb="2" eb="3">
      <t>テン</t>
    </rPh>
    <phoneticPr fontId="3"/>
  </si>
  <si>
    <t>GA</t>
    <phoneticPr fontId="4"/>
  </si>
  <si>
    <t>宇品店</t>
    <rPh sb="2" eb="3">
      <t>テン</t>
    </rPh>
    <phoneticPr fontId="3"/>
  </si>
  <si>
    <t>JP</t>
    <phoneticPr fontId="3"/>
  </si>
  <si>
    <t>08.06.2018</t>
    <phoneticPr fontId="3"/>
  </si>
  <si>
    <t>JPY</t>
    <phoneticPr fontId="3"/>
  </si>
  <si>
    <t>イズミゆめタウン</t>
  </si>
  <si>
    <t>広島店</t>
    <rPh sb="2" eb="3">
      <t>テン</t>
    </rPh>
    <phoneticPr fontId="3"/>
  </si>
  <si>
    <t>フジグラン</t>
  </si>
  <si>
    <t>バナナ</t>
    <phoneticPr fontId="4"/>
  </si>
  <si>
    <t>JP</t>
    <phoneticPr fontId="3"/>
  </si>
  <si>
    <t>08.06.2018</t>
    <phoneticPr fontId="3"/>
  </si>
  <si>
    <t>JPY</t>
    <phoneticPr fontId="3"/>
  </si>
  <si>
    <t>パパイヤ</t>
    <phoneticPr fontId="4"/>
  </si>
  <si>
    <t>JP</t>
    <phoneticPr fontId="3"/>
  </si>
  <si>
    <t>08.06.2018</t>
    <phoneticPr fontId="3"/>
  </si>
  <si>
    <t>JPY</t>
    <phoneticPr fontId="3"/>
  </si>
  <si>
    <t>びわ</t>
    <phoneticPr fontId="4"/>
  </si>
  <si>
    <t>JP</t>
    <phoneticPr fontId="3"/>
  </si>
  <si>
    <t>08.06.2018</t>
    <phoneticPr fontId="3"/>
  </si>
  <si>
    <t>JPY</t>
    <phoneticPr fontId="3"/>
  </si>
  <si>
    <t>メロン</t>
    <phoneticPr fontId="4"/>
  </si>
  <si>
    <t>桃</t>
    <phoneticPr fontId="4"/>
  </si>
  <si>
    <t>JP</t>
    <phoneticPr fontId="3"/>
  </si>
  <si>
    <t>08.06.2018</t>
    <phoneticPr fontId="3"/>
  </si>
  <si>
    <t>JPY</t>
    <phoneticPr fontId="3"/>
  </si>
  <si>
    <t>ブドウ</t>
    <phoneticPr fontId="4"/>
  </si>
  <si>
    <t>ラフランス</t>
    <phoneticPr fontId="4"/>
  </si>
  <si>
    <t>いちじく</t>
    <phoneticPr fontId="4"/>
  </si>
  <si>
    <t>りんご</t>
    <phoneticPr fontId="4"/>
  </si>
  <si>
    <t>みかん</t>
    <phoneticPr fontId="4"/>
  </si>
  <si>
    <t>マンゴー</t>
    <phoneticPr fontId="3"/>
  </si>
  <si>
    <t>キラキラ</t>
    <phoneticPr fontId="4"/>
  </si>
  <si>
    <t>JP</t>
    <phoneticPr fontId="3"/>
  </si>
  <si>
    <t>08.06.2018</t>
    <phoneticPr fontId="3"/>
  </si>
  <si>
    <t>JPY</t>
    <phoneticPr fontId="3"/>
  </si>
  <si>
    <t>グリーンアイ</t>
    <phoneticPr fontId="4"/>
  </si>
  <si>
    <t>JP</t>
    <phoneticPr fontId="3"/>
  </si>
  <si>
    <t>08.06.2018</t>
    <phoneticPr fontId="3"/>
  </si>
  <si>
    <t>JPY</t>
    <phoneticPr fontId="3"/>
  </si>
  <si>
    <t>ひこさか</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</si>
</sst>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theme="0" tint="-0.14993743705557422"/>
      </left>
      <right style="thin">
        <color theme="0" tint="-0.14993743705557422"/>
      </right>
      <top/>
      <bottom style="thin">
        <color theme="0" tint="-0.14996795556505021"/>
      </bottom>
      <diagonal/>
    </border>
    <border>
      <left style="thin">
        <color theme="0" tint="-0.14993743705557422"/>
      </left>
      <right/>
      <top/>
      <bottom style="thin">
        <color theme="0" tint="-0.14996795556505021"/>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47">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0" fontId="1" fillId="4" borderId="0" xfId="1" applyFill="1" applyBorder="1"/>
    <xf numFmtId="178" fontId="1" fillId="2" borderId="0" xfId="1" applyNumberFormat="1" applyFill="1" applyBorder="1"/>
    <xf numFmtId="0" fontId="1" fillId="2" borderId="0" xfId="1" applyFill="1" applyBorder="1"/>
    <xf numFmtId="0" fontId="0" fillId="0" borderId="0" xfId="1" applyFont="1" applyBorder="1"/>
    <xf numFmtId="0" fontId="1" fillId="4" borderId="0" xfId="1" applyFill="1"/>
    <xf numFmtId="0" fontId="1" fillId="4" borderId="8" xfId="1" applyFill="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0" fontId="1" fillId="4" borderId="26" xfId="1" applyFill="1" applyBorder="1"/>
    <xf numFmtId="0" fontId="1" fillId="4" borderId="27" xfId="1" applyFill="1" applyBorder="1"/>
    <xf numFmtId="0" fontId="1" fillId="3" borderId="0" xfId="1" applyFill="1" applyBorder="1"/>
    <xf numFmtId="0" fontId="1" fillId="4" borderId="28" xfId="1" applyFill="1" applyBorder="1"/>
    <xf numFmtId="0" fontId="1" fillId="4" borderId="12" xfId="1" applyFill="1" applyBorder="1"/>
    <xf numFmtId="0" fontId="1" fillId="4" borderId="16" xfId="1" applyFill="1" applyBorder="1"/>
    <xf numFmtId="0" fontId="1" fillId="4" borderId="17" xfId="1" applyFill="1" applyBorder="1"/>
    <xf numFmtId="0" fontId="1" fillId="0" borderId="17" xfId="1" applyFill="1" applyBorder="1"/>
    <xf numFmtId="14" fontId="0" fillId="0" borderId="0" xfId="1" applyNumberFormat="1" applyFont="1"/>
    <xf numFmtId="49" fontId="2" fillId="5" borderId="29"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6" fillId="0" borderId="0" xfId="1" applyFont="1" applyFill="1"/>
    <xf numFmtId="178" fontId="1" fillId="3" borderId="0" xfId="1" applyNumberFormat="1" applyFont="1" applyFill="1"/>
    <xf numFmtId="0" fontId="10" fillId="0" borderId="0" xfId="1" applyFont="1" applyBorder="1"/>
    <xf numFmtId="0" fontId="1" fillId="0" borderId="0" xfId="1" applyFont="1" applyFill="1" applyBorder="1"/>
    <xf numFmtId="49" fontId="2" fillId="5" borderId="30" xfId="1" applyNumberFormat="1" applyFont="1" applyFill="1" applyBorder="1" applyAlignment="1">
      <alignment horizontal="center" vertical="center" wrapText="1"/>
    </xf>
    <xf numFmtId="49" fontId="2" fillId="0" borderId="31" xfId="1" applyNumberFormat="1" applyFont="1" applyFill="1" applyBorder="1" applyAlignment="1">
      <alignment horizontal="center" vertical="center" wrapText="1"/>
    </xf>
    <xf numFmtId="49" fontId="2" fillId="0" borderId="29" xfId="1" applyNumberFormat="1" applyFont="1" applyFill="1" applyBorder="1" applyAlignment="1">
      <alignment horizontal="center" vertical="center" wrapText="1"/>
    </xf>
    <xf numFmtId="49" fontId="2" fillId="2" borderId="29" xfId="1" applyNumberFormat="1" applyFont="1" applyFill="1" applyBorder="1" applyAlignment="1">
      <alignment horizontal="center" vertical="center" wrapText="1"/>
    </xf>
    <xf numFmtId="49" fontId="5" fillId="0" borderId="29" xfId="1" applyNumberFormat="1" applyFont="1" applyFill="1" applyBorder="1" applyAlignment="1">
      <alignment horizontal="center" vertical="center" wrapText="1"/>
    </xf>
    <xf numFmtId="49" fontId="6" fillId="2" borderId="29" xfId="1" applyNumberFormat="1" applyFont="1" applyFill="1" applyBorder="1" applyAlignment="1">
      <alignment horizontal="center" vertical="center" wrapText="1"/>
    </xf>
    <xf numFmtId="49" fontId="2" fillId="5" borderId="32" xfId="1" applyNumberFormat="1" applyFont="1" applyFill="1" applyBorder="1" applyAlignment="1">
      <alignment horizontal="center" vertical="center" wrapText="1"/>
    </xf>
    <xf numFmtId="0" fontId="1" fillId="4" borderId="33" xfId="1" applyFill="1" applyBorder="1"/>
    <xf numFmtId="0" fontId="1" fillId="4" borderId="34" xfId="1" applyFill="1" applyBorder="1"/>
    <xf numFmtId="14" fontId="0" fillId="4" borderId="0" xfId="1" applyNumberFormat="1" applyFont="1" applyFill="1" applyBorder="1"/>
    <xf numFmtId="178" fontId="1" fillId="3" borderId="0" xfId="1" applyNumberFormat="1" applyFill="1" applyBorder="1"/>
    <xf numFmtId="0" fontId="1" fillId="4" borderId="0" xfId="1" applyFont="1" applyFill="1" applyBorder="1"/>
    <xf numFmtId="0" fontId="0" fillId="4" borderId="0" xfId="1" applyNumberFormat="1" applyFont="1" applyFill="1" applyBorder="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14" fontId="1" fillId="4" borderId="0" xfId="1" applyNumberFormat="1" applyFont="1" applyFill="1" applyBorder="1"/>
    <xf numFmtId="1" fontId="1" fillId="2" borderId="0" xfId="1" applyNumberFormat="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hiroshima_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D20" sqref="AD20"/>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324</v>
      </c>
      <c r="B2" s="15" t="s">
        <v>326</v>
      </c>
      <c r="C2" s="15">
        <v>2018</v>
      </c>
      <c r="D2" s="50" t="s">
        <v>330</v>
      </c>
      <c r="E2" s="15" t="s">
        <v>142</v>
      </c>
      <c r="F2" s="15" t="s">
        <v>151</v>
      </c>
      <c r="G2" s="15" t="s">
        <v>36</v>
      </c>
      <c r="H2" s="15" t="s">
        <v>157</v>
      </c>
      <c r="I2" s="15" t="s">
        <v>155</v>
      </c>
      <c r="J2" s="15" t="s">
        <v>38</v>
      </c>
      <c r="K2" s="7" t="s">
        <v>156</v>
      </c>
      <c r="L2" s="7">
        <v>1</v>
      </c>
      <c r="N2" s="47">
        <v>1</v>
      </c>
      <c r="O2" s="15">
        <v>0.75</v>
      </c>
      <c r="P2" s="15">
        <v>0.85</v>
      </c>
      <c r="Q2" s="51">
        <f t="shared" ref="Q2:Q65" si="0">IF(OR(O2="",P2=""),"",AVERAGE(O2,P2))</f>
        <v>0.8</v>
      </c>
      <c r="R2" s="15">
        <v>15.8</v>
      </c>
      <c r="S2" s="15">
        <v>86</v>
      </c>
      <c r="T2" s="38">
        <f t="shared" ref="T2:T59" si="1">IF(H2="","",IF(OR(H2="GREEN",H2="GK"),IF(S2&gt;=$AX$2,VLOOKUP(S2,$AX$2:$AY$12,2,1),""),IF(S2&gt;=$AZ$2,VLOOKUP(S2,$AZ$2:$BA$12,2,1),"")))</f>
        <v>36</v>
      </c>
      <c r="U2" s="15">
        <v>51</v>
      </c>
      <c r="V2" s="38">
        <f t="shared" ref="V2:V65" si="2">IF(OR(N2="",U2="",T2=""),"",U2/N2*T2)</f>
        <v>1836</v>
      </c>
      <c r="W2" s="15">
        <v>5</v>
      </c>
      <c r="X2" s="15" t="s">
        <v>46</v>
      </c>
      <c r="Y2" s="15" t="s">
        <v>55</v>
      </c>
      <c r="Z2" s="15" t="s">
        <v>47</v>
      </c>
      <c r="AA2" s="15" t="s">
        <v>90</v>
      </c>
      <c r="AB2" s="39" t="s">
        <v>328</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324</v>
      </c>
      <c r="B3" s="15" t="s">
        <v>325</v>
      </c>
      <c r="C3" s="15">
        <v>2018</v>
      </c>
      <c r="D3" s="37" t="s">
        <v>329</v>
      </c>
      <c r="E3" s="15" t="s">
        <v>142</v>
      </c>
      <c r="F3" s="7" t="s">
        <v>151</v>
      </c>
      <c r="G3" s="7" t="s">
        <v>36</v>
      </c>
      <c r="H3" s="15" t="s">
        <v>157</v>
      </c>
      <c r="I3" s="7" t="s">
        <v>155</v>
      </c>
      <c r="J3" s="15" t="s">
        <v>38</v>
      </c>
      <c r="K3" s="7" t="s">
        <v>156</v>
      </c>
      <c r="L3" s="7">
        <v>2</v>
      </c>
      <c r="N3" s="7">
        <v>1</v>
      </c>
      <c r="O3" s="34">
        <v>0.7</v>
      </c>
      <c r="P3" s="7">
        <v>0.7</v>
      </c>
      <c r="Q3" s="52">
        <f t="shared" si="0"/>
        <v>0.7</v>
      </c>
      <c r="R3" s="7">
        <v>15.5</v>
      </c>
      <c r="S3" s="7">
        <v>89</v>
      </c>
      <c r="T3" s="16">
        <f t="shared" si="1"/>
        <v>36</v>
      </c>
      <c r="U3" s="15">
        <v>51</v>
      </c>
      <c r="V3" s="16">
        <f t="shared" si="2"/>
        <v>1836</v>
      </c>
      <c r="W3" s="15">
        <v>5</v>
      </c>
      <c r="X3" s="15" t="s">
        <v>46</v>
      </c>
      <c r="Y3" s="15" t="s">
        <v>55</v>
      </c>
      <c r="Z3" s="15" t="s">
        <v>47</v>
      </c>
      <c r="AA3" s="15" t="s">
        <v>90</v>
      </c>
      <c r="AB3" s="39" t="s">
        <v>327</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324</v>
      </c>
      <c r="B4" s="15" t="s">
        <v>325</v>
      </c>
      <c r="C4" s="15">
        <v>2018</v>
      </c>
      <c r="D4" s="37" t="s">
        <v>329</v>
      </c>
      <c r="E4" s="15" t="s">
        <v>142</v>
      </c>
      <c r="F4" s="7" t="s">
        <v>151</v>
      </c>
      <c r="G4" s="7" t="s">
        <v>36</v>
      </c>
      <c r="H4" s="15" t="s">
        <v>157</v>
      </c>
      <c r="I4" s="169" t="s">
        <v>155</v>
      </c>
      <c r="J4" s="15" t="s">
        <v>38</v>
      </c>
      <c r="K4" s="7" t="s">
        <v>156</v>
      </c>
      <c r="L4" s="7">
        <v>3</v>
      </c>
      <c r="N4" s="7">
        <v>1</v>
      </c>
      <c r="O4" s="7">
        <v>1</v>
      </c>
      <c r="P4" s="7">
        <v>0.9</v>
      </c>
      <c r="Q4" s="52">
        <f t="shared" si="0"/>
        <v>0.95</v>
      </c>
      <c r="R4" s="7">
        <v>15.5</v>
      </c>
      <c r="S4" s="7">
        <v>86</v>
      </c>
      <c r="T4" s="16">
        <f t="shared" si="1"/>
        <v>36</v>
      </c>
      <c r="U4" s="15">
        <v>51</v>
      </c>
      <c r="V4" s="16">
        <f t="shared" si="2"/>
        <v>1836</v>
      </c>
      <c r="W4" s="15">
        <v>5</v>
      </c>
      <c r="X4" s="15" t="s">
        <v>46</v>
      </c>
      <c r="Y4" s="15" t="s">
        <v>55</v>
      </c>
      <c r="Z4" s="15" t="s">
        <v>47</v>
      </c>
      <c r="AA4" s="177" t="s">
        <v>90</v>
      </c>
      <c r="AB4" s="39" t="s">
        <v>327</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324</v>
      </c>
      <c r="B5" s="15" t="s">
        <v>325</v>
      </c>
      <c r="C5" s="15">
        <v>2018</v>
      </c>
      <c r="D5" s="37" t="s">
        <v>329</v>
      </c>
      <c r="E5" s="15" t="s">
        <v>142</v>
      </c>
      <c r="F5" s="15" t="s">
        <v>151</v>
      </c>
      <c r="G5" s="7" t="s">
        <v>36</v>
      </c>
      <c r="H5" s="15" t="s">
        <v>167</v>
      </c>
      <c r="I5" s="169" t="s">
        <v>155</v>
      </c>
      <c r="J5" s="15" t="s">
        <v>38</v>
      </c>
      <c r="K5" s="7" t="s">
        <v>156</v>
      </c>
      <c r="L5" s="7">
        <v>1</v>
      </c>
      <c r="N5" s="7">
        <v>1</v>
      </c>
      <c r="O5" s="7">
        <v>0.7</v>
      </c>
      <c r="P5" s="7">
        <v>0.75</v>
      </c>
      <c r="Q5" s="52">
        <f t="shared" si="0"/>
        <v>0.72499999999999998</v>
      </c>
      <c r="R5" s="7">
        <v>17.399999999999999</v>
      </c>
      <c r="S5" s="7">
        <v>139</v>
      </c>
      <c r="T5" s="16">
        <f t="shared" si="1"/>
        <v>22</v>
      </c>
      <c r="U5" s="15">
        <v>145</v>
      </c>
      <c r="V5" s="16">
        <f t="shared" si="2"/>
        <v>3190</v>
      </c>
      <c r="W5" s="15">
        <v>30</v>
      </c>
      <c r="X5" s="15" t="s">
        <v>46</v>
      </c>
      <c r="Y5" s="177" t="s">
        <v>55</v>
      </c>
      <c r="Z5" s="177" t="s">
        <v>47</v>
      </c>
      <c r="AA5" s="177" t="s">
        <v>90</v>
      </c>
      <c r="AB5" s="39" t="s">
        <v>327</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324</v>
      </c>
      <c r="B6" s="15" t="s">
        <v>325</v>
      </c>
      <c r="C6" s="15">
        <v>2018</v>
      </c>
      <c r="D6" s="37" t="s">
        <v>329</v>
      </c>
      <c r="E6" s="15" t="s">
        <v>142</v>
      </c>
      <c r="F6" s="7" t="s">
        <v>151</v>
      </c>
      <c r="G6" s="7" t="s">
        <v>36</v>
      </c>
      <c r="H6" s="177" t="s">
        <v>167</v>
      </c>
      <c r="I6" s="169" t="s">
        <v>155</v>
      </c>
      <c r="J6" s="177" t="s">
        <v>38</v>
      </c>
      <c r="K6" s="169" t="s">
        <v>156</v>
      </c>
      <c r="L6" s="7">
        <v>2</v>
      </c>
      <c r="N6" s="7">
        <v>1</v>
      </c>
      <c r="O6" s="7">
        <v>0.6</v>
      </c>
      <c r="P6" s="7">
        <v>0.65</v>
      </c>
      <c r="Q6" s="52">
        <f t="shared" si="0"/>
        <v>0.625</v>
      </c>
      <c r="R6" s="7">
        <v>16.3</v>
      </c>
      <c r="S6" s="7">
        <v>139</v>
      </c>
      <c r="T6" s="16">
        <f t="shared" si="1"/>
        <v>22</v>
      </c>
      <c r="U6" s="177">
        <v>145</v>
      </c>
      <c r="V6" s="16">
        <f t="shared" si="2"/>
        <v>3190</v>
      </c>
      <c r="W6" s="15">
        <v>30</v>
      </c>
      <c r="X6" s="15" t="s">
        <v>46</v>
      </c>
      <c r="Y6" s="177" t="s">
        <v>55</v>
      </c>
      <c r="Z6" s="177" t="s">
        <v>47</v>
      </c>
      <c r="AA6" s="177" t="s">
        <v>90</v>
      </c>
      <c r="AB6" s="39" t="s">
        <v>327</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324</v>
      </c>
      <c r="B7" s="15" t="s">
        <v>325</v>
      </c>
      <c r="C7" s="15">
        <v>2018</v>
      </c>
      <c r="D7" s="37" t="s">
        <v>329</v>
      </c>
      <c r="E7" s="15" t="s">
        <v>142</v>
      </c>
      <c r="F7" s="7" t="s">
        <v>151</v>
      </c>
      <c r="G7" s="7" t="s">
        <v>36</v>
      </c>
      <c r="H7" s="177" t="s">
        <v>167</v>
      </c>
      <c r="I7" s="169" t="s">
        <v>155</v>
      </c>
      <c r="J7" s="177" t="s">
        <v>38</v>
      </c>
      <c r="K7" s="169" t="s">
        <v>156</v>
      </c>
      <c r="L7" s="7">
        <v>3</v>
      </c>
      <c r="N7" s="7">
        <v>1</v>
      </c>
      <c r="O7" s="7">
        <v>0.6</v>
      </c>
      <c r="P7" s="7">
        <v>0.75</v>
      </c>
      <c r="Q7" s="52">
        <f t="shared" si="0"/>
        <v>0.67500000000000004</v>
      </c>
      <c r="R7" s="34">
        <v>19.600000000000001</v>
      </c>
      <c r="S7" s="7">
        <v>137</v>
      </c>
      <c r="T7" s="16">
        <f t="shared" si="1"/>
        <v>25</v>
      </c>
      <c r="U7" s="177">
        <v>145</v>
      </c>
      <c r="V7" s="16">
        <f t="shared" si="2"/>
        <v>3625</v>
      </c>
      <c r="W7" s="15">
        <v>30</v>
      </c>
      <c r="X7" s="15" t="s">
        <v>46</v>
      </c>
      <c r="Y7" s="177" t="s">
        <v>55</v>
      </c>
      <c r="Z7" s="177" t="s">
        <v>47</v>
      </c>
      <c r="AA7" s="177" t="s">
        <v>90</v>
      </c>
      <c r="AB7" s="39" t="s">
        <v>327</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324</v>
      </c>
      <c r="B8" s="15" t="s">
        <v>325</v>
      </c>
      <c r="C8" s="15">
        <v>2018</v>
      </c>
      <c r="D8" s="37" t="s">
        <v>329</v>
      </c>
      <c r="E8" s="15" t="s">
        <v>133</v>
      </c>
      <c r="F8" s="7" t="s">
        <v>152</v>
      </c>
      <c r="G8" s="7" t="s">
        <v>36</v>
      </c>
      <c r="H8" s="15" t="s">
        <v>157</v>
      </c>
      <c r="I8" s="169" t="s">
        <v>155</v>
      </c>
      <c r="J8" s="15" t="s">
        <v>38</v>
      </c>
      <c r="K8" s="7" t="s">
        <v>156</v>
      </c>
      <c r="L8" s="7">
        <v>1</v>
      </c>
      <c r="N8" s="7">
        <v>1</v>
      </c>
      <c r="O8" s="7">
        <v>0.65</v>
      </c>
      <c r="P8" s="7">
        <v>0.8</v>
      </c>
      <c r="Q8" s="52">
        <f t="shared" si="0"/>
        <v>0.72500000000000009</v>
      </c>
      <c r="R8" s="34">
        <v>13.1</v>
      </c>
      <c r="S8" s="7">
        <v>145</v>
      </c>
      <c r="T8" s="16">
        <f t="shared" si="1"/>
        <v>22</v>
      </c>
      <c r="U8" s="15">
        <v>102</v>
      </c>
      <c r="V8" s="16">
        <f t="shared" si="2"/>
        <v>2244</v>
      </c>
      <c r="W8" s="15">
        <v>11</v>
      </c>
      <c r="X8" s="15" t="s">
        <v>46</v>
      </c>
      <c r="Y8" s="177" t="s">
        <v>55</v>
      </c>
      <c r="Z8" s="177" t="s">
        <v>69</v>
      </c>
      <c r="AA8" s="177" t="s">
        <v>47</v>
      </c>
      <c r="AB8" s="39" t="s">
        <v>327</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324</v>
      </c>
      <c r="B9" s="15" t="s">
        <v>325</v>
      </c>
      <c r="C9" s="15">
        <v>2018</v>
      </c>
      <c r="D9" s="37" t="s">
        <v>329</v>
      </c>
      <c r="E9" s="15" t="s">
        <v>133</v>
      </c>
      <c r="F9" s="7" t="s">
        <v>152</v>
      </c>
      <c r="G9" s="7" t="s">
        <v>36</v>
      </c>
      <c r="H9" s="177" t="s">
        <v>157</v>
      </c>
      <c r="I9" s="169" t="s">
        <v>155</v>
      </c>
      <c r="J9" s="177" t="s">
        <v>38</v>
      </c>
      <c r="K9" s="169" t="s">
        <v>156</v>
      </c>
      <c r="L9" s="7">
        <v>2</v>
      </c>
      <c r="N9" s="7">
        <v>1</v>
      </c>
      <c r="O9" s="7">
        <v>0.75</v>
      </c>
      <c r="P9" s="7">
        <v>0.75</v>
      </c>
      <c r="Q9" s="52">
        <f t="shared" si="0"/>
        <v>0.75</v>
      </c>
      <c r="R9" s="7">
        <v>15.5</v>
      </c>
      <c r="S9" s="7">
        <v>152</v>
      </c>
      <c r="T9" s="16">
        <f t="shared" si="1"/>
        <v>18</v>
      </c>
      <c r="U9" s="177">
        <v>102</v>
      </c>
      <c r="V9" s="16">
        <f t="shared" si="2"/>
        <v>1836</v>
      </c>
      <c r="W9" s="15">
        <v>11</v>
      </c>
      <c r="X9" s="15" t="s">
        <v>46</v>
      </c>
      <c r="Y9" s="177" t="s">
        <v>55</v>
      </c>
      <c r="Z9" s="177" t="s">
        <v>69</v>
      </c>
      <c r="AA9" s="177" t="s">
        <v>47</v>
      </c>
      <c r="AB9" s="39" t="s">
        <v>327</v>
      </c>
      <c r="AE9" s="22" t="s">
        <v>98</v>
      </c>
      <c r="AG9" s="49" t="s">
        <v>133</v>
      </c>
      <c r="AH9" s="49" t="s">
        <v>152</v>
      </c>
      <c r="AL9" s="34"/>
      <c r="AP9" s="23" t="s">
        <v>95</v>
      </c>
      <c r="AR9" s="30" t="s">
        <v>89</v>
      </c>
      <c r="AV9" s="23" t="s">
        <v>102</v>
      </c>
      <c r="AX9" s="24">
        <v>128</v>
      </c>
      <c r="AY9" s="25">
        <v>27</v>
      </c>
      <c r="AZ9" s="25">
        <v>129</v>
      </c>
      <c r="BA9" s="26">
        <v>25</v>
      </c>
    </row>
    <row r="10" spans="1:53" x14ac:dyDescent="0.15">
      <c r="A10" s="15" t="s">
        <v>324</v>
      </c>
      <c r="B10" s="15" t="s">
        <v>325</v>
      </c>
      <c r="C10" s="15">
        <v>2018</v>
      </c>
      <c r="D10" s="37" t="s">
        <v>329</v>
      </c>
      <c r="E10" s="15" t="s">
        <v>133</v>
      </c>
      <c r="F10" s="7" t="s">
        <v>152</v>
      </c>
      <c r="G10" s="7" t="s">
        <v>36</v>
      </c>
      <c r="H10" s="177" t="s">
        <v>157</v>
      </c>
      <c r="I10" s="169" t="s">
        <v>155</v>
      </c>
      <c r="J10" s="177" t="s">
        <v>38</v>
      </c>
      <c r="K10" s="169" t="s">
        <v>156</v>
      </c>
      <c r="L10" s="7">
        <v>3</v>
      </c>
      <c r="N10" s="7">
        <v>1</v>
      </c>
      <c r="O10" s="7">
        <v>0.7</v>
      </c>
      <c r="P10" s="7">
        <v>0.7</v>
      </c>
      <c r="Q10" s="52">
        <f t="shared" si="0"/>
        <v>0.7</v>
      </c>
      <c r="R10" s="7">
        <v>15.6</v>
      </c>
      <c r="S10" s="7">
        <v>148</v>
      </c>
      <c r="T10" s="16">
        <f t="shared" si="1"/>
        <v>22</v>
      </c>
      <c r="U10" s="177">
        <v>102</v>
      </c>
      <c r="V10" s="16">
        <f t="shared" si="2"/>
        <v>2244</v>
      </c>
      <c r="W10" s="15">
        <v>11</v>
      </c>
      <c r="X10" s="15" t="s">
        <v>46</v>
      </c>
      <c r="Y10" s="177" t="s">
        <v>55</v>
      </c>
      <c r="Z10" s="177" t="s">
        <v>69</v>
      </c>
      <c r="AA10" s="177" t="s">
        <v>47</v>
      </c>
      <c r="AB10" s="39" t="s">
        <v>327</v>
      </c>
      <c r="AE10" s="22" t="s">
        <v>103</v>
      </c>
      <c r="AG10" s="49" t="s">
        <v>143</v>
      </c>
      <c r="AH10" s="49" t="s">
        <v>153</v>
      </c>
      <c r="AP10" s="23" t="s">
        <v>100</v>
      </c>
      <c r="AR10" s="30" t="s">
        <v>123</v>
      </c>
      <c r="AV10" s="23" t="s">
        <v>106</v>
      </c>
      <c r="AX10" s="24">
        <v>138</v>
      </c>
      <c r="AY10" s="25">
        <v>25</v>
      </c>
      <c r="AZ10" s="25">
        <v>138</v>
      </c>
      <c r="BA10" s="26">
        <v>22</v>
      </c>
    </row>
    <row r="11" spans="1:53" x14ac:dyDescent="0.15">
      <c r="A11" s="15" t="s">
        <v>324</v>
      </c>
      <c r="B11" s="15" t="s">
        <v>325</v>
      </c>
      <c r="C11" s="15">
        <v>2018</v>
      </c>
      <c r="D11" s="37" t="s">
        <v>329</v>
      </c>
      <c r="E11" s="15" t="s">
        <v>133</v>
      </c>
      <c r="F11" s="7" t="s">
        <v>152</v>
      </c>
      <c r="G11" s="7" t="s">
        <v>36</v>
      </c>
      <c r="H11" s="177" t="s">
        <v>167</v>
      </c>
      <c r="I11" s="7" t="s">
        <v>155</v>
      </c>
      <c r="J11" s="15" t="s">
        <v>38</v>
      </c>
      <c r="K11" s="7" t="s">
        <v>156</v>
      </c>
      <c r="L11" s="7">
        <v>1</v>
      </c>
      <c r="N11" s="7">
        <v>1</v>
      </c>
      <c r="O11" s="7">
        <v>0.5</v>
      </c>
      <c r="P11" s="7">
        <v>0.6</v>
      </c>
      <c r="Q11" s="52">
        <f t="shared" si="0"/>
        <v>0.55000000000000004</v>
      </c>
      <c r="R11" s="7">
        <v>18</v>
      </c>
      <c r="S11" s="7">
        <v>145</v>
      </c>
      <c r="T11" s="16">
        <f t="shared" si="1"/>
        <v>22</v>
      </c>
      <c r="U11" s="7">
        <v>102</v>
      </c>
      <c r="V11" s="16">
        <f t="shared" si="2"/>
        <v>2244</v>
      </c>
      <c r="W11" s="7">
        <v>15</v>
      </c>
      <c r="X11" s="15" t="s">
        <v>46</v>
      </c>
      <c r="Y11" s="177" t="s">
        <v>55</v>
      </c>
      <c r="Z11" s="177" t="s">
        <v>69</v>
      </c>
      <c r="AA11" s="177" t="s">
        <v>47</v>
      </c>
      <c r="AB11" s="39" t="s">
        <v>327</v>
      </c>
      <c r="AE11" s="22" t="s">
        <v>65</v>
      </c>
      <c r="AG11" s="49" t="s">
        <v>144</v>
      </c>
      <c r="AH11" s="49" t="s">
        <v>154</v>
      </c>
      <c r="AP11" s="23" t="s">
        <v>104</v>
      </c>
      <c r="AR11" s="30" t="s">
        <v>87</v>
      </c>
      <c r="AV11" s="23" t="s">
        <v>69</v>
      </c>
      <c r="AX11" s="24">
        <v>151</v>
      </c>
      <c r="AY11" s="25">
        <v>22</v>
      </c>
      <c r="AZ11" s="25">
        <v>152</v>
      </c>
      <c r="BA11" s="26">
        <v>18</v>
      </c>
    </row>
    <row r="12" spans="1:53" x14ac:dyDescent="0.15">
      <c r="A12" s="15" t="s">
        <v>324</v>
      </c>
      <c r="B12" s="15" t="s">
        <v>325</v>
      </c>
      <c r="C12" s="15">
        <v>2018</v>
      </c>
      <c r="D12" s="37" t="s">
        <v>329</v>
      </c>
      <c r="E12" s="15" t="s">
        <v>133</v>
      </c>
      <c r="F12" s="7" t="s">
        <v>152</v>
      </c>
      <c r="G12" s="7" t="s">
        <v>36</v>
      </c>
      <c r="H12" s="177" t="s">
        <v>167</v>
      </c>
      <c r="I12" s="169" t="s">
        <v>155</v>
      </c>
      <c r="J12" s="177" t="s">
        <v>38</v>
      </c>
      <c r="K12" s="169" t="s">
        <v>156</v>
      </c>
      <c r="L12" s="7">
        <v>2</v>
      </c>
      <c r="N12" s="7">
        <v>1</v>
      </c>
      <c r="O12" s="7">
        <v>0.8</v>
      </c>
      <c r="P12" s="7">
        <v>0.8</v>
      </c>
      <c r="Q12" s="52">
        <f t="shared" si="0"/>
        <v>0.8</v>
      </c>
      <c r="R12" s="34">
        <v>14.9</v>
      </c>
      <c r="S12" s="7">
        <v>149</v>
      </c>
      <c r="T12" s="16">
        <f t="shared" si="1"/>
        <v>22</v>
      </c>
      <c r="U12" s="169">
        <v>102</v>
      </c>
      <c r="V12" s="16">
        <f t="shared" si="2"/>
        <v>2244</v>
      </c>
      <c r="W12" s="7">
        <v>15</v>
      </c>
      <c r="X12" s="15" t="s">
        <v>46</v>
      </c>
      <c r="Y12" s="177" t="s">
        <v>55</v>
      </c>
      <c r="Z12" s="177" t="s">
        <v>69</v>
      </c>
      <c r="AA12" s="177" t="s">
        <v>47</v>
      </c>
      <c r="AB12" s="39" t="s">
        <v>327</v>
      </c>
      <c r="AE12" s="22" t="s">
        <v>70</v>
      </c>
      <c r="AG12" s="40"/>
      <c r="AH12" s="40"/>
      <c r="AP12" s="23" t="s">
        <v>67</v>
      </c>
      <c r="AR12" s="30" t="s">
        <v>124</v>
      </c>
      <c r="AV12" s="23" t="s">
        <v>72</v>
      </c>
      <c r="AX12" s="31">
        <v>180</v>
      </c>
      <c r="AY12" s="32">
        <v>18</v>
      </c>
      <c r="AZ12" s="32">
        <v>181</v>
      </c>
      <c r="BA12" s="33">
        <v>16</v>
      </c>
    </row>
    <row r="13" spans="1:53" x14ac:dyDescent="0.15">
      <c r="A13" s="15" t="s">
        <v>324</v>
      </c>
      <c r="B13" s="15" t="s">
        <v>325</v>
      </c>
      <c r="C13" s="15">
        <v>2018</v>
      </c>
      <c r="D13" s="37" t="s">
        <v>329</v>
      </c>
      <c r="E13" s="15" t="s">
        <v>133</v>
      </c>
      <c r="F13" s="7" t="s">
        <v>152</v>
      </c>
      <c r="G13" s="7" t="s">
        <v>36</v>
      </c>
      <c r="H13" s="177" t="s">
        <v>167</v>
      </c>
      <c r="I13" s="169" t="s">
        <v>155</v>
      </c>
      <c r="J13" s="177" t="s">
        <v>38</v>
      </c>
      <c r="K13" s="169" t="s">
        <v>156</v>
      </c>
      <c r="L13" s="7">
        <v>3</v>
      </c>
      <c r="N13" s="7">
        <v>1</v>
      </c>
      <c r="O13" s="7">
        <v>0.5</v>
      </c>
      <c r="P13" s="7">
        <v>0.5</v>
      </c>
      <c r="Q13" s="52">
        <f t="shared" si="0"/>
        <v>0.5</v>
      </c>
      <c r="R13" s="7">
        <v>15.3</v>
      </c>
      <c r="S13" s="7">
        <v>150</v>
      </c>
      <c r="T13" s="16">
        <f t="shared" si="1"/>
        <v>22</v>
      </c>
      <c r="U13" s="169">
        <v>102</v>
      </c>
      <c r="V13" s="16">
        <f t="shared" si="2"/>
        <v>2244</v>
      </c>
      <c r="W13" s="7">
        <v>15</v>
      </c>
      <c r="X13" s="15" t="s">
        <v>46</v>
      </c>
      <c r="Y13" s="177" t="s">
        <v>55</v>
      </c>
      <c r="Z13" s="177" t="s">
        <v>69</v>
      </c>
      <c r="AA13" s="177" t="s">
        <v>47</v>
      </c>
      <c r="AB13" s="39" t="s">
        <v>327</v>
      </c>
      <c r="AE13" s="22" t="s">
        <v>73</v>
      </c>
      <c r="AG13" s="23"/>
      <c r="AH13" s="23"/>
      <c r="AP13" s="23" t="s">
        <v>71</v>
      </c>
      <c r="AR13" s="30" t="s">
        <v>103</v>
      </c>
      <c r="AV13" s="23" t="s">
        <v>75</v>
      </c>
    </row>
    <row r="14" spans="1:53" x14ac:dyDescent="0.15">
      <c r="A14" s="15" t="s">
        <v>324</v>
      </c>
      <c r="B14" s="15" t="s">
        <v>325</v>
      </c>
      <c r="C14" s="15">
        <v>2018</v>
      </c>
      <c r="D14" s="37" t="s">
        <v>329</v>
      </c>
      <c r="E14" s="15" t="s">
        <v>143</v>
      </c>
      <c r="F14" s="7" t="s">
        <v>153</v>
      </c>
      <c r="G14" s="7" t="s">
        <v>36</v>
      </c>
      <c r="H14" s="15" t="s">
        <v>157</v>
      </c>
      <c r="I14" s="7" t="s">
        <v>155</v>
      </c>
      <c r="J14" s="15" t="s">
        <v>38</v>
      </c>
      <c r="K14" s="7" t="s">
        <v>156</v>
      </c>
      <c r="L14" s="7">
        <v>1</v>
      </c>
      <c r="N14" s="7">
        <v>1</v>
      </c>
      <c r="O14" s="7">
        <v>0.7</v>
      </c>
      <c r="P14" s="7">
        <v>0.55000000000000004</v>
      </c>
      <c r="Q14" s="52">
        <f t="shared" si="0"/>
        <v>0.625</v>
      </c>
      <c r="R14" s="7">
        <v>13.1</v>
      </c>
      <c r="S14" s="7">
        <v>120</v>
      </c>
      <c r="T14" s="16">
        <f t="shared" si="1"/>
        <v>30</v>
      </c>
      <c r="U14" s="7">
        <v>138</v>
      </c>
      <c r="V14" s="16">
        <f t="shared" si="2"/>
        <v>4140</v>
      </c>
      <c r="W14" s="7">
        <v>5</v>
      </c>
      <c r="X14" s="15" t="s">
        <v>46</v>
      </c>
      <c r="Y14" s="15" t="s">
        <v>55</v>
      </c>
      <c r="Z14" s="15" t="s">
        <v>69</v>
      </c>
      <c r="AA14" s="15" t="s">
        <v>90</v>
      </c>
      <c r="AB14" s="39" t="s">
        <v>327</v>
      </c>
      <c r="AE14" s="22" t="s">
        <v>76</v>
      </c>
      <c r="AG14" s="23"/>
      <c r="AH14" s="23"/>
      <c r="AP14" s="23" t="s">
        <v>74</v>
      </c>
      <c r="AR14" s="30" t="s">
        <v>125</v>
      </c>
      <c r="AV14" s="23" t="s">
        <v>78</v>
      </c>
    </row>
    <row r="15" spans="1:53" x14ac:dyDescent="0.15">
      <c r="A15" s="15" t="s">
        <v>324</v>
      </c>
      <c r="B15" s="15" t="s">
        <v>325</v>
      </c>
      <c r="C15" s="15">
        <v>2018</v>
      </c>
      <c r="D15" s="37" t="s">
        <v>329</v>
      </c>
      <c r="E15" s="15" t="s">
        <v>143</v>
      </c>
      <c r="F15" s="7" t="s">
        <v>153</v>
      </c>
      <c r="G15" s="7" t="s">
        <v>36</v>
      </c>
      <c r="H15" s="177" t="s">
        <v>157</v>
      </c>
      <c r="I15" s="169" t="s">
        <v>155</v>
      </c>
      <c r="J15" s="177" t="s">
        <v>38</v>
      </c>
      <c r="K15" s="169" t="s">
        <v>156</v>
      </c>
      <c r="L15" s="7">
        <v>2</v>
      </c>
      <c r="N15" s="7">
        <v>1</v>
      </c>
      <c r="O15" s="7">
        <v>0.6</v>
      </c>
      <c r="P15" s="7">
        <v>0.5</v>
      </c>
      <c r="Q15" s="52">
        <f t="shared" si="0"/>
        <v>0.55000000000000004</v>
      </c>
      <c r="R15" s="7">
        <v>14.8</v>
      </c>
      <c r="S15" s="7">
        <v>119</v>
      </c>
      <c r="T15" s="16">
        <f t="shared" si="1"/>
        <v>30</v>
      </c>
      <c r="U15" s="169">
        <v>138</v>
      </c>
      <c r="V15" s="16">
        <f t="shared" si="2"/>
        <v>4140</v>
      </c>
      <c r="W15" s="7">
        <v>5</v>
      </c>
      <c r="X15" s="15" t="s">
        <v>46</v>
      </c>
      <c r="Y15" s="15" t="s">
        <v>55</v>
      </c>
      <c r="Z15" s="15" t="s">
        <v>69</v>
      </c>
      <c r="AA15" s="15" t="s">
        <v>90</v>
      </c>
      <c r="AB15" s="39" t="s">
        <v>327</v>
      </c>
      <c r="AE15" s="22" t="s">
        <v>79</v>
      </c>
      <c r="AG15" s="23"/>
      <c r="AH15" s="23"/>
      <c r="AP15" s="23" t="s">
        <v>77</v>
      </c>
      <c r="AR15" s="30" t="s">
        <v>94</v>
      </c>
      <c r="AV15" s="23" t="s">
        <v>107</v>
      </c>
    </row>
    <row r="16" spans="1:53" x14ac:dyDescent="0.15">
      <c r="A16" s="15" t="s">
        <v>324</v>
      </c>
      <c r="B16" s="15" t="s">
        <v>325</v>
      </c>
      <c r="C16" s="15">
        <v>2018</v>
      </c>
      <c r="D16" s="37" t="s">
        <v>329</v>
      </c>
      <c r="E16" s="15" t="s">
        <v>143</v>
      </c>
      <c r="F16" s="7" t="s">
        <v>153</v>
      </c>
      <c r="G16" s="7" t="s">
        <v>36</v>
      </c>
      <c r="H16" s="177" t="s">
        <v>157</v>
      </c>
      <c r="I16" s="169" t="s">
        <v>155</v>
      </c>
      <c r="J16" s="177" t="s">
        <v>38</v>
      </c>
      <c r="K16" s="169" t="s">
        <v>156</v>
      </c>
      <c r="L16" s="7">
        <v>3</v>
      </c>
      <c r="N16" s="7">
        <v>1</v>
      </c>
      <c r="O16" s="7">
        <v>0.5</v>
      </c>
      <c r="P16" s="7">
        <v>0.5</v>
      </c>
      <c r="Q16" s="52">
        <f t="shared" si="0"/>
        <v>0.5</v>
      </c>
      <c r="R16" s="7">
        <v>16.100000000000001</v>
      </c>
      <c r="S16" s="7">
        <v>123</v>
      </c>
      <c r="T16" s="16">
        <f t="shared" si="1"/>
        <v>27</v>
      </c>
      <c r="U16" s="169">
        <v>138</v>
      </c>
      <c r="V16" s="16">
        <f t="shared" si="2"/>
        <v>3726</v>
      </c>
      <c r="W16" s="7">
        <v>5</v>
      </c>
      <c r="X16" s="15" t="s">
        <v>46</v>
      </c>
      <c r="Y16" s="15" t="s">
        <v>55</v>
      </c>
      <c r="Z16" s="15" t="s">
        <v>69</v>
      </c>
      <c r="AA16" s="15" t="s">
        <v>90</v>
      </c>
      <c r="AB16" s="39" t="s">
        <v>327</v>
      </c>
      <c r="AE16" s="22" t="s">
        <v>82</v>
      </c>
      <c r="AG16" s="28"/>
      <c r="AH16" s="28"/>
      <c r="AP16" s="23" t="s">
        <v>80</v>
      </c>
      <c r="AR16" s="41" t="s">
        <v>63</v>
      </c>
      <c r="AV16" s="23" t="s">
        <v>84</v>
      </c>
    </row>
    <row r="17" spans="1:48" x14ac:dyDescent="0.15">
      <c r="A17" s="15" t="s">
        <v>324</v>
      </c>
      <c r="B17" s="15" t="s">
        <v>325</v>
      </c>
      <c r="C17" s="15">
        <v>2018</v>
      </c>
      <c r="D17" s="37" t="s">
        <v>329</v>
      </c>
      <c r="E17" s="15" t="s">
        <v>143</v>
      </c>
      <c r="F17" s="7" t="s">
        <v>153</v>
      </c>
      <c r="G17" s="7" t="s">
        <v>36</v>
      </c>
      <c r="H17" s="15" t="s">
        <v>167</v>
      </c>
      <c r="I17" s="169" t="s">
        <v>155</v>
      </c>
      <c r="J17" s="177" t="s">
        <v>38</v>
      </c>
      <c r="K17" s="169" t="s">
        <v>156</v>
      </c>
      <c r="L17" s="7">
        <v>1</v>
      </c>
      <c r="N17" s="7">
        <v>1</v>
      </c>
      <c r="O17" s="7">
        <v>0.5</v>
      </c>
      <c r="P17" s="7">
        <v>0.5</v>
      </c>
      <c r="Q17" s="52">
        <f t="shared" si="0"/>
        <v>0.5</v>
      </c>
      <c r="R17" s="7">
        <v>17</v>
      </c>
      <c r="S17" s="7">
        <v>140</v>
      </c>
      <c r="T17" s="16">
        <f t="shared" si="1"/>
        <v>22</v>
      </c>
      <c r="U17" s="7">
        <v>149</v>
      </c>
      <c r="V17" s="16">
        <f t="shared" si="2"/>
        <v>3278</v>
      </c>
      <c r="W17" s="7">
        <v>5</v>
      </c>
      <c r="X17" s="15" t="s">
        <v>46</v>
      </c>
      <c r="Y17" s="15" t="s">
        <v>55</v>
      </c>
      <c r="Z17" s="15" t="s">
        <v>69</v>
      </c>
      <c r="AA17" s="15" t="s">
        <v>90</v>
      </c>
      <c r="AB17" s="39" t="s">
        <v>327</v>
      </c>
      <c r="AE17" s="22" t="s">
        <v>85</v>
      </c>
      <c r="AP17" s="43" t="s">
        <v>110</v>
      </c>
      <c r="AR17" s="41" t="s">
        <v>96</v>
      </c>
      <c r="AV17" s="23" t="s">
        <v>86</v>
      </c>
    </row>
    <row r="18" spans="1:48" x14ac:dyDescent="0.15">
      <c r="A18" s="15" t="s">
        <v>324</v>
      </c>
      <c r="B18" s="15" t="s">
        <v>325</v>
      </c>
      <c r="C18" s="15">
        <v>2018</v>
      </c>
      <c r="D18" s="37" t="s">
        <v>329</v>
      </c>
      <c r="E18" s="15" t="s">
        <v>143</v>
      </c>
      <c r="F18" s="7" t="s">
        <v>153</v>
      </c>
      <c r="G18" s="7" t="s">
        <v>36</v>
      </c>
      <c r="H18" s="177" t="s">
        <v>167</v>
      </c>
      <c r="I18" s="169" t="s">
        <v>155</v>
      </c>
      <c r="J18" s="177" t="s">
        <v>38</v>
      </c>
      <c r="K18" s="169" t="s">
        <v>156</v>
      </c>
      <c r="L18" s="7">
        <v>2</v>
      </c>
      <c r="N18" s="7">
        <v>1</v>
      </c>
      <c r="O18" s="7">
        <v>0.5</v>
      </c>
      <c r="P18" s="7">
        <v>0.5</v>
      </c>
      <c r="Q18" s="52">
        <f t="shared" si="0"/>
        <v>0.5</v>
      </c>
      <c r="R18" s="7">
        <v>21</v>
      </c>
      <c r="S18" s="7">
        <v>137</v>
      </c>
      <c r="T18" s="16">
        <f t="shared" si="1"/>
        <v>25</v>
      </c>
      <c r="U18" s="169">
        <v>149</v>
      </c>
      <c r="V18" s="16">
        <f t="shared" si="2"/>
        <v>3725</v>
      </c>
      <c r="W18" s="7">
        <v>5</v>
      </c>
      <c r="X18" s="15" t="s">
        <v>46</v>
      </c>
      <c r="Y18" s="15" t="s">
        <v>55</v>
      </c>
      <c r="Z18" s="15" t="s">
        <v>69</v>
      </c>
      <c r="AA18" s="15" t="s">
        <v>90</v>
      </c>
      <c r="AB18" s="39" t="s">
        <v>327</v>
      </c>
      <c r="AE18" s="22" t="s">
        <v>87</v>
      </c>
      <c r="AP18" s="43" t="s">
        <v>111</v>
      </c>
      <c r="AR18" s="41" t="s">
        <v>101</v>
      </c>
      <c r="AV18" s="23" t="s">
        <v>88</v>
      </c>
    </row>
    <row r="19" spans="1:48" x14ac:dyDescent="0.15">
      <c r="A19" s="15" t="s">
        <v>324</v>
      </c>
      <c r="B19" s="15" t="s">
        <v>325</v>
      </c>
      <c r="C19" s="15">
        <v>2018</v>
      </c>
      <c r="D19" s="37" t="s">
        <v>329</v>
      </c>
      <c r="E19" s="15" t="s">
        <v>143</v>
      </c>
      <c r="F19" s="7" t="s">
        <v>153</v>
      </c>
      <c r="G19" s="7" t="s">
        <v>36</v>
      </c>
      <c r="H19" s="177" t="s">
        <v>167</v>
      </c>
      <c r="I19" s="169" t="s">
        <v>155</v>
      </c>
      <c r="J19" s="177" t="s">
        <v>38</v>
      </c>
      <c r="K19" s="169" t="s">
        <v>156</v>
      </c>
      <c r="L19" s="7">
        <v>3</v>
      </c>
      <c r="N19" s="7">
        <v>1</v>
      </c>
      <c r="O19" s="7">
        <v>0.5</v>
      </c>
      <c r="P19" s="7">
        <v>0.5</v>
      </c>
      <c r="Q19" s="52">
        <f t="shared" si="0"/>
        <v>0.5</v>
      </c>
      <c r="R19" s="7">
        <v>19.8</v>
      </c>
      <c r="S19" s="7">
        <v>150</v>
      </c>
      <c r="T19" s="16">
        <f t="shared" si="1"/>
        <v>22</v>
      </c>
      <c r="U19" s="169">
        <v>149</v>
      </c>
      <c r="V19" s="16">
        <f t="shared" si="2"/>
        <v>3278</v>
      </c>
      <c r="W19" s="7">
        <v>5</v>
      </c>
      <c r="X19" s="15" t="s">
        <v>46</v>
      </c>
      <c r="Y19" s="15" t="s">
        <v>55</v>
      </c>
      <c r="Z19" s="15" t="s">
        <v>69</v>
      </c>
      <c r="AA19" s="15" t="s">
        <v>90</v>
      </c>
      <c r="AB19" s="39" t="s">
        <v>327</v>
      </c>
      <c r="AE19" s="35" t="s">
        <v>89</v>
      </c>
      <c r="AP19" s="43" t="s">
        <v>112</v>
      </c>
      <c r="AR19" s="30" t="s">
        <v>126</v>
      </c>
      <c r="AV19" s="23" t="s">
        <v>90</v>
      </c>
    </row>
    <row r="20" spans="1:48" x14ac:dyDescent="0.15">
      <c r="A20" s="15" t="s">
        <v>324</v>
      </c>
      <c r="B20" s="15" t="s">
        <v>325</v>
      </c>
      <c r="C20" s="15">
        <v>2018</v>
      </c>
      <c r="D20" s="37" t="s">
        <v>329</v>
      </c>
      <c r="E20" s="15" t="s">
        <v>144</v>
      </c>
      <c r="F20" s="7" t="s">
        <v>154</v>
      </c>
      <c r="G20" s="7" t="s">
        <v>36</v>
      </c>
      <c r="H20" s="15" t="s">
        <v>157</v>
      </c>
      <c r="I20" s="169" t="s">
        <v>155</v>
      </c>
      <c r="J20" s="15" t="s">
        <v>38</v>
      </c>
      <c r="K20" s="7" t="s">
        <v>156</v>
      </c>
      <c r="L20" s="7">
        <v>1</v>
      </c>
      <c r="N20" s="7">
        <v>1</v>
      </c>
      <c r="O20" s="7">
        <v>0.6</v>
      </c>
      <c r="P20" s="34">
        <v>0.7</v>
      </c>
      <c r="Q20" s="52">
        <f t="shared" si="0"/>
        <v>0.64999999999999991</v>
      </c>
      <c r="R20" s="7">
        <v>12.3</v>
      </c>
      <c r="S20" s="7">
        <v>89</v>
      </c>
      <c r="T20" s="16">
        <f t="shared" si="1"/>
        <v>36</v>
      </c>
      <c r="U20" s="7">
        <v>51</v>
      </c>
      <c r="V20" s="16">
        <f t="shared" si="2"/>
        <v>1836</v>
      </c>
      <c r="W20" s="7">
        <v>3</v>
      </c>
      <c r="X20" s="15" t="s">
        <v>46</v>
      </c>
      <c r="Y20" s="15" t="s">
        <v>55</v>
      </c>
      <c r="Z20" s="15" t="s">
        <v>47</v>
      </c>
      <c r="AA20" s="15" t="s">
        <v>86</v>
      </c>
      <c r="AB20" s="39" t="s">
        <v>327</v>
      </c>
      <c r="AE20" s="22"/>
      <c r="AP20" s="43" t="s">
        <v>113</v>
      </c>
      <c r="AR20" s="41" t="s">
        <v>105</v>
      </c>
      <c r="AV20" s="27" t="s">
        <v>135</v>
      </c>
    </row>
    <row r="21" spans="1:48" x14ac:dyDescent="0.15">
      <c r="A21" s="15" t="s">
        <v>324</v>
      </c>
      <c r="B21" s="15" t="s">
        <v>325</v>
      </c>
      <c r="C21" s="15">
        <v>2018</v>
      </c>
      <c r="D21" s="37" t="s">
        <v>329</v>
      </c>
      <c r="E21" s="15" t="s">
        <v>144</v>
      </c>
      <c r="F21" s="7" t="s">
        <v>154</v>
      </c>
      <c r="G21" s="7" t="s">
        <v>36</v>
      </c>
      <c r="H21" s="177" t="s">
        <v>157</v>
      </c>
      <c r="I21" s="169" t="s">
        <v>155</v>
      </c>
      <c r="J21" s="177" t="s">
        <v>38</v>
      </c>
      <c r="K21" s="169" t="s">
        <v>156</v>
      </c>
      <c r="L21" s="7">
        <v>2</v>
      </c>
      <c r="N21" s="7">
        <v>1</v>
      </c>
      <c r="O21" s="7">
        <v>0.9</v>
      </c>
      <c r="P21" s="7">
        <v>0.75</v>
      </c>
      <c r="Q21" s="52">
        <f t="shared" si="0"/>
        <v>0.82499999999999996</v>
      </c>
      <c r="R21" s="7">
        <v>12.6</v>
      </c>
      <c r="S21" s="7">
        <v>90</v>
      </c>
      <c r="T21" s="16">
        <f t="shared" si="1"/>
        <v>36</v>
      </c>
      <c r="U21" s="169">
        <v>51</v>
      </c>
      <c r="V21" s="16">
        <f t="shared" si="2"/>
        <v>1836</v>
      </c>
      <c r="W21" s="7">
        <v>3</v>
      </c>
      <c r="X21" s="15" t="s">
        <v>46</v>
      </c>
      <c r="Y21" s="177" t="s">
        <v>55</v>
      </c>
      <c r="Z21" s="177" t="s">
        <v>47</v>
      </c>
      <c r="AA21" s="177" t="s">
        <v>86</v>
      </c>
      <c r="AB21" s="39" t="s">
        <v>327</v>
      </c>
      <c r="AE21" s="22"/>
      <c r="AP21" s="43" t="s">
        <v>114</v>
      </c>
      <c r="AR21" s="41" t="s">
        <v>68</v>
      </c>
      <c r="AV21" s="27" t="s">
        <v>136</v>
      </c>
    </row>
    <row r="22" spans="1:48" x14ac:dyDescent="0.15">
      <c r="A22" s="15" t="s">
        <v>324</v>
      </c>
      <c r="B22" s="15" t="s">
        <v>325</v>
      </c>
      <c r="C22" s="15">
        <v>2018</v>
      </c>
      <c r="D22" s="37" t="s">
        <v>329</v>
      </c>
      <c r="E22" s="15" t="s">
        <v>144</v>
      </c>
      <c r="F22" s="7" t="s">
        <v>154</v>
      </c>
      <c r="G22" s="7" t="s">
        <v>36</v>
      </c>
      <c r="H22" s="177" t="s">
        <v>157</v>
      </c>
      <c r="I22" s="169" t="s">
        <v>155</v>
      </c>
      <c r="J22" s="177" t="s">
        <v>38</v>
      </c>
      <c r="K22" s="169" t="s">
        <v>156</v>
      </c>
      <c r="L22" s="7">
        <v>3</v>
      </c>
      <c r="N22" s="7">
        <v>1</v>
      </c>
      <c r="O22" s="34">
        <v>0.7</v>
      </c>
      <c r="P22" s="7">
        <v>0.75</v>
      </c>
      <c r="Q22" s="52">
        <f t="shared" si="0"/>
        <v>0.72499999999999998</v>
      </c>
      <c r="R22" s="7">
        <v>12.8</v>
      </c>
      <c r="S22" s="7">
        <v>94</v>
      </c>
      <c r="T22" s="16">
        <f t="shared" si="1"/>
        <v>36</v>
      </c>
      <c r="U22" s="169">
        <v>51</v>
      </c>
      <c r="V22" s="16">
        <f t="shared" si="2"/>
        <v>1836</v>
      </c>
      <c r="W22" s="7">
        <v>3</v>
      </c>
      <c r="X22" s="15" t="s">
        <v>46</v>
      </c>
      <c r="Y22" s="177" t="s">
        <v>55</v>
      </c>
      <c r="Z22" s="177" t="s">
        <v>47</v>
      </c>
      <c r="AA22" s="177" t="s">
        <v>86</v>
      </c>
      <c r="AB22" s="39" t="s">
        <v>327</v>
      </c>
      <c r="AE22" s="35"/>
      <c r="AP22" s="43" t="s">
        <v>115</v>
      </c>
      <c r="AR22" s="41" t="s">
        <v>83</v>
      </c>
      <c r="AV22" s="27"/>
    </row>
    <row r="23" spans="1:48" x14ac:dyDescent="0.15">
      <c r="A23" s="15" t="s">
        <v>324</v>
      </c>
      <c r="B23" s="15" t="s">
        <v>325</v>
      </c>
      <c r="C23" s="15">
        <v>2018</v>
      </c>
      <c r="D23" s="37" t="s">
        <v>329</v>
      </c>
      <c r="E23" s="7" t="s">
        <v>144</v>
      </c>
      <c r="F23" s="7" t="s">
        <v>154</v>
      </c>
      <c r="G23" s="7" t="s">
        <v>36</v>
      </c>
      <c r="H23" s="15" t="s">
        <v>167</v>
      </c>
      <c r="I23" s="169" t="s">
        <v>155</v>
      </c>
      <c r="J23" s="15" t="s">
        <v>38</v>
      </c>
      <c r="K23" s="7" t="s">
        <v>156</v>
      </c>
      <c r="L23" s="7">
        <v>1</v>
      </c>
      <c r="N23" s="7">
        <v>1</v>
      </c>
      <c r="O23" s="34">
        <v>0.6</v>
      </c>
      <c r="P23" s="7">
        <v>0.55000000000000004</v>
      </c>
      <c r="Q23" s="52">
        <f t="shared" si="0"/>
        <v>0.57499999999999996</v>
      </c>
      <c r="R23" s="7">
        <v>16.3</v>
      </c>
      <c r="S23" s="7">
        <v>147</v>
      </c>
      <c r="T23" s="16">
        <f t="shared" si="1"/>
        <v>22</v>
      </c>
      <c r="U23" s="7">
        <v>149</v>
      </c>
      <c r="V23" s="16">
        <f t="shared" si="2"/>
        <v>3278</v>
      </c>
      <c r="W23" s="7">
        <v>5</v>
      </c>
      <c r="X23" s="15" t="s">
        <v>46</v>
      </c>
      <c r="Y23" s="177" t="s">
        <v>55</v>
      </c>
      <c r="Z23" s="177" t="s">
        <v>47</v>
      </c>
      <c r="AA23" s="177" t="s">
        <v>86</v>
      </c>
      <c r="AB23" s="39" t="s">
        <v>327</v>
      </c>
      <c r="AE23" s="22"/>
      <c r="AP23" s="43" t="s">
        <v>137</v>
      </c>
      <c r="AR23" s="41" t="s">
        <v>61</v>
      </c>
      <c r="AV23" s="27"/>
    </row>
    <row r="24" spans="1:48" x14ac:dyDescent="0.15">
      <c r="A24" s="15" t="s">
        <v>324</v>
      </c>
      <c r="B24" s="15" t="s">
        <v>325</v>
      </c>
      <c r="C24" s="15">
        <v>2018</v>
      </c>
      <c r="D24" s="37" t="s">
        <v>329</v>
      </c>
      <c r="E24" s="7" t="s">
        <v>144</v>
      </c>
      <c r="F24" s="7" t="s">
        <v>154</v>
      </c>
      <c r="G24" s="7" t="s">
        <v>36</v>
      </c>
      <c r="H24" s="177" t="s">
        <v>167</v>
      </c>
      <c r="I24" s="169" t="s">
        <v>155</v>
      </c>
      <c r="J24" s="15" t="s">
        <v>38</v>
      </c>
      <c r="K24" s="7" t="s">
        <v>156</v>
      </c>
      <c r="L24" s="7">
        <v>2</v>
      </c>
      <c r="N24" s="7">
        <v>1</v>
      </c>
      <c r="O24" s="7">
        <v>0.65</v>
      </c>
      <c r="P24" s="7">
        <v>0.65</v>
      </c>
      <c r="Q24" s="52">
        <f t="shared" si="0"/>
        <v>0.65</v>
      </c>
      <c r="R24" s="7">
        <v>17.399999999999999</v>
      </c>
      <c r="S24" s="7">
        <v>142</v>
      </c>
      <c r="T24" s="16">
        <f t="shared" si="1"/>
        <v>22</v>
      </c>
      <c r="U24" s="169">
        <v>149</v>
      </c>
      <c r="V24" s="16">
        <f t="shared" si="2"/>
        <v>3278</v>
      </c>
      <c r="W24" s="7">
        <v>5</v>
      </c>
      <c r="X24" s="15" t="s">
        <v>46</v>
      </c>
      <c r="Y24" s="177" t="s">
        <v>55</v>
      </c>
      <c r="Z24" s="177" t="s">
        <v>47</v>
      </c>
      <c r="AA24" s="177" t="s">
        <v>86</v>
      </c>
      <c r="AB24" s="39" t="s">
        <v>327</v>
      </c>
      <c r="AE24" s="22"/>
      <c r="AP24" s="43" t="s">
        <v>138</v>
      </c>
      <c r="AR24" s="41" t="s">
        <v>91</v>
      </c>
      <c r="AV24" s="27"/>
    </row>
    <row r="25" spans="1:48" x14ac:dyDescent="0.15">
      <c r="A25" s="15" t="s">
        <v>324</v>
      </c>
      <c r="B25" s="15" t="s">
        <v>325</v>
      </c>
      <c r="C25" s="15">
        <v>2018</v>
      </c>
      <c r="D25" s="37" t="s">
        <v>329</v>
      </c>
      <c r="E25" s="7" t="s">
        <v>144</v>
      </c>
      <c r="F25" s="7" t="s">
        <v>154</v>
      </c>
      <c r="G25" s="7" t="s">
        <v>36</v>
      </c>
      <c r="H25" s="177" t="s">
        <v>167</v>
      </c>
      <c r="I25" s="169" t="s">
        <v>155</v>
      </c>
      <c r="J25" s="15" t="s">
        <v>38</v>
      </c>
      <c r="K25" s="7" t="s">
        <v>156</v>
      </c>
      <c r="L25" s="7">
        <v>3</v>
      </c>
      <c r="N25" s="7">
        <v>1</v>
      </c>
      <c r="O25" s="7">
        <v>0.5</v>
      </c>
      <c r="P25" s="7">
        <v>0.5</v>
      </c>
      <c r="Q25" s="52">
        <f t="shared" si="0"/>
        <v>0.5</v>
      </c>
      <c r="R25" s="7">
        <v>16.2</v>
      </c>
      <c r="S25" s="7">
        <v>145</v>
      </c>
      <c r="T25" s="16">
        <f t="shared" si="1"/>
        <v>22</v>
      </c>
      <c r="U25" s="169">
        <v>149</v>
      </c>
      <c r="V25" s="16">
        <f t="shared" si="2"/>
        <v>3278</v>
      </c>
      <c r="W25" s="7">
        <v>5</v>
      </c>
      <c r="X25" s="15" t="s">
        <v>46</v>
      </c>
      <c r="Y25" s="177" t="s">
        <v>55</v>
      </c>
      <c r="Z25" s="177" t="s">
        <v>47</v>
      </c>
      <c r="AA25" s="177" t="s">
        <v>86</v>
      </c>
      <c r="AB25" s="39" t="s">
        <v>327</v>
      </c>
      <c r="AE25" s="35"/>
      <c r="AP25" s="43" t="s">
        <v>116</v>
      </c>
      <c r="AR25" s="42" t="s">
        <v>92</v>
      </c>
      <c r="AV25" s="27"/>
    </row>
    <row r="26" spans="1:48" x14ac:dyDescent="0.15">
      <c r="A26" s="15" t="s">
        <v>324</v>
      </c>
      <c r="B26" s="15" t="s">
        <v>325</v>
      </c>
      <c r="C26" s="15">
        <v>2018</v>
      </c>
      <c r="D26" s="37" t="s">
        <v>329</v>
      </c>
      <c r="E26" s="7" t="s">
        <v>131</v>
      </c>
      <c r="F26" s="7" t="s">
        <v>145</v>
      </c>
      <c r="G26" s="7" t="s">
        <v>36</v>
      </c>
      <c r="H26" s="15" t="s">
        <v>157</v>
      </c>
      <c r="I26" s="169" t="s">
        <v>155</v>
      </c>
      <c r="J26" s="15" t="s">
        <v>38</v>
      </c>
      <c r="K26" s="7" t="s">
        <v>156</v>
      </c>
      <c r="L26" s="7">
        <v>1</v>
      </c>
      <c r="N26" s="7">
        <v>1</v>
      </c>
      <c r="O26" s="7">
        <v>0.75</v>
      </c>
      <c r="P26" s="7">
        <v>0.75</v>
      </c>
      <c r="Q26" s="52">
        <f t="shared" si="0"/>
        <v>0.75</v>
      </c>
      <c r="R26" s="7">
        <v>14.7</v>
      </c>
      <c r="S26" s="7">
        <v>128</v>
      </c>
      <c r="T26" s="16">
        <f t="shared" si="1"/>
        <v>27</v>
      </c>
      <c r="U26" s="7">
        <v>149</v>
      </c>
      <c r="V26" s="16">
        <f t="shared" si="2"/>
        <v>4023</v>
      </c>
      <c r="W26" s="7">
        <v>3</v>
      </c>
      <c r="X26" s="15" t="s">
        <v>46</v>
      </c>
      <c r="Y26" s="177" t="s">
        <v>55</v>
      </c>
      <c r="Z26" s="177" t="s">
        <v>47</v>
      </c>
      <c r="AA26" s="177" t="s">
        <v>86</v>
      </c>
      <c r="AB26" s="39" t="s">
        <v>327</v>
      </c>
      <c r="AE26" s="35"/>
      <c r="AP26" s="43" t="s">
        <v>117</v>
      </c>
      <c r="AR26" s="23" t="s">
        <v>278</v>
      </c>
      <c r="AV26" s="28"/>
    </row>
    <row r="27" spans="1:48" x14ac:dyDescent="0.15">
      <c r="A27" s="15" t="s">
        <v>324</v>
      </c>
      <c r="B27" s="15" t="s">
        <v>325</v>
      </c>
      <c r="C27" s="15">
        <v>2018</v>
      </c>
      <c r="D27" s="37" t="s">
        <v>329</v>
      </c>
      <c r="E27" s="7" t="s">
        <v>131</v>
      </c>
      <c r="F27" s="7" t="s">
        <v>145</v>
      </c>
      <c r="G27" s="7" t="s">
        <v>36</v>
      </c>
      <c r="H27" s="177" t="s">
        <v>157</v>
      </c>
      <c r="I27" s="169" t="s">
        <v>155</v>
      </c>
      <c r="J27" s="15" t="s">
        <v>38</v>
      </c>
      <c r="K27" s="7" t="s">
        <v>156</v>
      </c>
      <c r="L27" s="7">
        <v>2</v>
      </c>
      <c r="N27" s="7">
        <v>1</v>
      </c>
      <c r="O27" s="7">
        <v>0.6</v>
      </c>
      <c r="P27" s="7">
        <v>0.75</v>
      </c>
      <c r="Q27" s="52">
        <f t="shared" si="0"/>
        <v>0.67500000000000004</v>
      </c>
      <c r="R27" s="7">
        <v>14.4</v>
      </c>
      <c r="S27" s="7">
        <v>125</v>
      </c>
      <c r="T27" s="16">
        <f t="shared" si="1"/>
        <v>27</v>
      </c>
      <c r="U27" s="169">
        <v>149</v>
      </c>
      <c r="V27" s="16">
        <f t="shared" si="2"/>
        <v>4023</v>
      </c>
      <c r="W27" s="7">
        <v>3</v>
      </c>
      <c r="X27" s="15" t="s">
        <v>46</v>
      </c>
      <c r="Y27" s="177" t="s">
        <v>55</v>
      </c>
      <c r="Z27" s="177" t="s">
        <v>47</v>
      </c>
      <c r="AA27" s="177" t="s">
        <v>86</v>
      </c>
      <c r="AB27" s="39" t="s">
        <v>327</v>
      </c>
      <c r="AE27" s="28"/>
      <c r="AP27" s="43" t="s">
        <v>118</v>
      </c>
      <c r="AR27" s="23"/>
    </row>
    <row r="28" spans="1:48" x14ac:dyDescent="0.15">
      <c r="A28" s="15" t="s">
        <v>324</v>
      </c>
      <c r="B28" s="15" t="s">
        <v>325</v>
      </c>
      <c r="C28" s="15">
        <v>2018</v>
      </c>
      <c r="D28" s="37" t="s">
        <v>329</v>
      </c>
      <c r="E28" s="7" t="s">
        <v>131</v>
      </c>
      <c r="F28" s="7" t="s">
        <v>145</v>
      </c>
      <c r="G28" s="7" t="s">
        <v>36</v>
      </c>
      <c r="H28" s="177" t="s">
        <v>157</v>
      </c>
      <c r="I28" s="169" t="s">
        <v>155</v>
      </c>
      <c r="J28" s="15" t="s">
        <v>38</v>
      </c>
      <c r="K28" s="7" t="s">
        <v>156</v>
      </c>
      <c r="L28" s="7">
        <v>3</v>
      </c>
      <c r="N28" s="7">
        <v>1</v>
      </c>
      <c r="O28" s="7">
        <v>0.65</v>
      </c>
      <c r="P28" s="7">
        <v>0.6</v>
      </c>
      <c r="Q28" s="52">
        <f t="shared" si="0"/>
        <v>0.625</v>
      </c>
      <c r="R28" s="7">
        <v>14.4</v>
      </c>
      <c r="S28" s="7">
        <v>138</v>
      </c>
      <c r="T28" s="16">
        <f t="shared" si="1"/>
        <v>22</v>
      </c>
      <c r="U28" s="169">
        <v>149</v>
      </c>
      <c r="V28" s="16">
        <f t="shared" si="2"/>
        <v>3278</v>
      </c>
      <c r="W28" s="7">
        <v>3</v>
      </c>
      <c r="X28" s="15" t="s">
        <v>46</v>
      </c>
      <c r="Y28" s="177" t="s">
        <v>55</v>
      </c>
      <c r="Z28" s="177" t="s">
        <v>47</v>
      </c>
      <c r="AA28" s="177" t="s">
        <v>86</v>
      </c>
      <c r="AB28" s="39" t="s">
        <v>327</v>
      </c>
      <c r="AP28" s="27"/>
      <c r="AR28" s="23"/>
    </row>
    <row r="29" spans="1:48" x14ac:dyDescent="0.15">
      <c r="A29" s="15" t="s">
        <v>324</v>
      </c>
      <c r="B29" s="15" t="s">
        <v>325</v>
      </c>
      <c r="C29" s="15">
        <v>2018</v>
      </c>
      <c r="D29" s="37" t="s">
        <v>329</v>
      </c>
      <c r="E29" s="7" t="s">
        <v>131</v>
      </c>
      <c r="F29" s="7" t="s">
        <v>145</v>
      </c>
      <c r="G29" s="7" t="s">
        <v>36</v>
      </c>
      <c r="H29" s="15" t="s">
        <v>167</v>
      </c>
      <c r="I29" s="169" t="s">
        <v>155</v>
      </c>
      <c r="J29" s="15" t="s">
        <v>38</v>
      </c>
      <c r="K29" s="7" t="s">
        <v>156</v>
      </c>
      <c r="L29" s="7">
        <v>1</v>
      </c>
      <c r="N29" s="7">
        <v>1</v>
      </c>
      <c r="O29" s="7">
        <v>0.6</v>
      </c>
      <c r="P29" s="7">
        <v>0.55000000000000004</v>
      </c>
      <c r="Q29" s="52">
        <f t="shared" si="0"/>
        <v>0.57499999999999996</v>
      </c>
      <c r="R29" s="7">
        <v>17.899999999999999</v>
      </c>
      <c r="S29" s="7">
        <v>146</v>
      </c>
      <c r="T29" s="16">
        <f t="shared" si="1"/>
        <v>22</v>
      </c>
      <c r="U29" s="7">
        <v>149</v>
      </c>
      <c r="V29" s="16">
        <f t="shared" si="2"/>
        <v>3278</v>
      </c>
      <c r="W29" s="7">
        <v>8</v>
      </c>
      <c r="X29" s="15" t="s">
        <v>46</v>
      </c>
      <c r="Y29" s="177" t="s">
        <v>55</v>
      </c>
      <c r="Z29" s="177" t="s">
        <v>47</v>
      </c>
      <c r="AA29" s="177" t="s">
        <v>86</v>
      </c>
      <c r="AB29" s="39" t="s">
        <v>327</v>
      </c>
      <c r="AP29" s="27"/>
      <c r="AR29" s="27"/>
      <c r="AV29" s="28"/>
    </row>
    <row r="30" spans="1:48" x14ac:dyDescent="0.15">
      <c r="A30" s="15" t="s">
        <v>324</v>
      </c>
      <c r="B30" s="15" t="s">
        <v>325</v>
      </c>
      <c r="C30" s="15">
        <v>2018</v>
      </c>
      <c r="D30" s="37" t="s">
        <v>329</v>
      </c>
      <c r="E30" s="7" t="s">
        <v>131</v>
      </c>
      <c r="F30" s="7" t="s">
        <v>145</v>
      </c>
      <c r="G30" s="7" t="s">
        <v>36</v>
      </c>
      <c r="H30" s="177" t="s">
        <v>167</v>
      </c>
      <c r="I30" s="169" t="s">
        <v>155</v>
      </c>
      <c r="J30" s="15" t="s">
        <v>38</v>
      </c>
      <c r="K30" s="7" t="s">
        <v>156</v>
      </c>
      <c r="L30" s="7">
        <v>2</v>
      </c>
      <c r="N30" s="7">
        <v>1</v>
      </c>
      <c r="O30" s="7">
        <v>0.6</v>
      </c>
      <c r="P30" s="7">
        <v>0.75</v>
      </c>
      <c r="Q30" s="52">
        <f t="shared" si="0"/>
        <v>0.67500000000000004</v>
      </c>
      <c r="R30" s="7">
        <v>17.2</v>
      </c>
      <c r="S30" s="7">
        <v>144</v>
      </c>
      <c r="T30" s="16">
        <f t="shared" si="1"/>
        <v>22</v>
      </c>
      <c r="U30" s="169">
        <v>149</v>
      </c>
      <c r="V30" s="16">
        <f t="shared" si="2"/>
        <v>3278</v>
      </c>
      <c r="W30" s="7">
        <v>8</v>
      </c>
      <c r="X30" s="15" t="s">
        <v>46</v>
      </c>
      <c r="Y30" s="177" t="s">
        <v>55</v>
      </c>
      <c r="Z30" s="177" t="s">
        <v>47</v>
      </c>
      <c r="AA30" s="177" t="s">
        <v>86</v>
      </c>
      <c r="AB30" s="39" t="s">
        <v>327</v>
      </c>
      <c r="AP30" s="27"/>
      <c r="AR30" s="27"/>
    </row>
    <row r="31" spans="1:48" x14ac:dyDescent="0.15">
      <c r="A31" s="15" t="s">
        <v>324</v>
      </c>
      <c r="B31" s="15" t="s">
        <v>325</v>
      </c>
      <c r="C31" s="15">
        <v>2018</v>
      </c>
      <c r="D31" s="37" t="s">
        <v>329</v>
      </c>
      <c r="E31" s="7" t="s">
        <v>131</v>
      </c>
      <c r="F31" s="7" t="s">
        <v>145</v>
      </c>
      <c r="G31" s="7" t="s">
        <v>36</v>
      </c>
      <c r="H31" s="177" t="s">
        <v>167</v>
      </c>
      <c r="I31" s="169" t="s">
        <v>155</v>
      </c>
      <c r="J31" s="15" t="s">
        <v>38</v>
      </c>
      <c r="K31" s="7" t="s">
        <v>156</v>
      </c>
      <c r="L31" s="7">
        <v>3</v>
      </c>
      <c r="N31" s="7">
        <v>1</v>
      </c>
      <c r="O31" s="7">
        <v>0.55000000000000004</v>
      </c>
      <c r="P31" s="7">
        <v>0.5</v>
      </c>
      <c r="Q31" s="52">
        <f t="shared" si="0"/>
        <v>0.52500000000000002</v>
      </c>
      <c r="R31" s="7">
        <v>18.2</v>
      </c>
      <c r="S31" s="7">
        <v>144</v>
      </c>
      <c r="T31" s="16">
        <f t="shared" si="1"/>
        <v>22</v>
      </c>
      <c r="U31" s="169">
        <v>149</v>
      </c>
      <c r="V31" s="16">
        <f t="shared" si="2"/>
        <v>3278</v>
      </c>
      <c r="W31" s="7">
        <v>8</v>
      </c>
      <c r="X31" s="15" t="s">
        <v>46</v>
      </c>
      <c r="Y31" s="177" t="s">
        <v>55</v>
      </c>
      <c r="Z31" s="177" t="s">
        <v>47</v>
      </c>
      <c r="AA31" s="177" t="s">
        <v>86</v>
      </c>
      <c r="AB31" s="39" t="s">
        <v>327</v>
      </c>
      <c r="AP31" s="27"/>
      <c r="AR31" s="27"/>
    </row>
    <row r="32" spans="1:48" x14ac:dyDescent="0.15">
      <c r="A32" s="15" t="s">
        <v>324</v>
      </c>
      <c r="B32" s="15" t="s">
        <v>325</v>
      </c>
      <c r="C32" s="15">
        <v>2018</v>
      </c>
      <c r="D32" s="37" t="s">
        <v>329</v>
      </c>
      <c r="E32" s="7" t="s">
        <v>139</v>
      </c>
      <c r="F32" s="7" t="s">
        <v>146</v>
      </c>
      <c r="G32" s="7" t="s">
        <v>36</v>
      </c>
      <c r="H32" s="15" t="s">
        <v>157</v>
      </c>
      <c r="I32" s="169" t="s">
        <v>155</v>
      </c>
      <c r="J32" s="15" t="s">
        <v>38</v>
      </c>
      <c r="K32" s="7" t="s">
        <v>156</v>
      </c>
      <c r="L32" s="7">
        <v>1</v>
      </c>
      <c r="N32" s="7">
        <v>1</v>
      </c>
      <c r="O32" s="7">
        <v>0.5</v>
      </c>
      <c r="P32" s="7">
        <v>0.55000000000000004</v>
      </c>
      <c r="Q32" s="52">
        <f t="shared" si="0"/>
        <v>0.52500000000000002</v>
      </c>
      <c r="R32" s="7">
        <v>15</v>
      </c>
      <c r="S32" s="7">
        <v>115</v>
      </c>
      <c r="T32" s="16">
        <f t="shared" si="1"/>
        <v>30</v>
      </c>
      <c r="U32" s="7">
        <v>100</v>
      </c>
      <c r="V32" s="16">
        <f t="shared" si="2"/>
        <v>3000</v>
      </c>
      <c r="W32" s="7">
        <v>4</v>
      </c>
      <c r="X32" s="15" t="s">
        <v>46</v>
      </c>
      <c r="Y32" s="177" t="s">
        <v>86</v>
      </c>
      <c r="Z32" s="177" t="s">
        <v>55</v>
      </c>
      <c r="AA32" s="15" t="s">
        <v>47</v>
      </c>
      <c r="AB32" s="39" t="s">
        <v>327</v>
      </c>
      <c r="AP32" s="28"/>
      <c r="AR32" s="28"/>
    </row>
    <row r="33" spans="1:44" x14ac:dyDescent="0.15">
      <c r="A33" s="15" t="s">
        <v>324</v>
      </c>
      <c r="B33" s="15" t="s">
        <v>325</v>
      </c>
      <c r="C33" s="15">
        <v>2018</v>
      </c>
      <c r="D33" s="37" t="s">
        <v>329</v>
      </c>
      <c r="E33" s="7" t="s">
        <v>139</v>
      </c>
      <c r="F33" s="7" t="s">
        <v>146</v>
      </c>
      <c r="G33" s="7" t="s">
        <v>36</v>
      </c>
      <c r="H33" s="177" t="s">
        <v>157</v>
      </c>
      <c r="I33" s="169" t="s">
        <v>155</v>
      </c>
      <c r="J33" s="15" t="s">
        <v>38</v>
      </c>
      <c r="K33" s="7" t="s">
        <v>156</v>
      </c>
      <c r="L33" s="7">
        <v>2</v>
      </c>
      <c r="N33" s="7">
        <v>1</v>
      </c>
      <c r="O33" s="7">
        <v>0.65</v>
      </c>
      <c r="P33" s="7">
        <v>0.5</v>
      </c>
      <c r="Q33" s="52">
        <f t="shared" si="0"/>
        <v>0.57499999999999996</v>
      </c>
      <c r="R33" s="7">
        <v>15.2</v>
      </c>
      <c r="S33" s="7">
        <v>111</v>
      </c>
      <c r="T33" s="16">
        <f t="shared" si="1"/>
        <v>33</v>
      </c>
      <c r="U33" s="169">
        <v>100</v>
      </c>
      <c r="V33" s="16">
        <f t="shared" si="2"/>
        <v>3300</v>
      </c>
      <c r="W33" s="7">
        <v>4</v>
      </c>
      <c r="X33" s="15" t="s">
        <v>46</v>
      </c>
      <c r="Y33" s="177" t="s">
        <v>86</v>
      </c>
      <c r="Z33" s="177" t="s">
        <v>55</v>
      </c>
      <c r="AA33" s="177" t="s">
        <v>47</v>
      </c>
      <c r="AB33" s="39" t="s">
        <v>327</v>
      </c>
    </row>
    <row r="34" spans="1:44" x14ac:dyDescent="0.15">
      <c r="A34" s="15" t="s">
        <v>324</v>
      </c>
      <c r="B34" s="15" t="s">
        <v>325</v>
      </c>
      <c r="C34" s="15">
        <v>2018</v>
      </c>
      <c r="D34" s="37" t="s">
        <v>329</v>
      </c>
      <c r="E34" s="7" t="s">
        <v>139</v>
      </c>
      <c r="F34" s="7" t="s">
        <v>146</v>
      </c>
      <c r="G34" s="7" t="s">
        <v>36</v>
      </c>
      <c r="H34" s="177" t="s">
        <v>157</v>
      </c>
      <c r="I34" s="169" t="s">
        <v>155</v>
      </c>
      <c r="J34" s="15" t="s">
        <v>38</v>
      </c>
      <c r="K34" s="7" t="s">
        <v>156</v>
      </c>
      <c r="L34" s="7">
        <v>3</v>
      </c>
      <c r="N34" s="7">
        <v>1</v>
      </c>
      <c r="O34" s="7">
        <v>0.6</v>
      </c>
      <c r="P34" s="7">
        <v>0.5</v>
      </c>
      <c r="Q34" s="52">
        <f t="shared" si="0"/>
        <v>0.55000000000000004</v>
      </c>
      <c r="R34" s="7">
        <v>15.4</v>
      </c>
      <c r="S34" s="7">
        <v>114</v>
      </c>
      <c r="T34" s="16">
        <f t="shared" si="1"/>
        <v>30</v>
      </c>
      <c r="U34" s="169">
        <v>100</v>
      </c>
      <c r="V34" s="16">
        <f t="shared" si="2"/>
        <v>3000</v>
      </c>
      <c r="W34" s="7">
        <v>4</v>
      </c>
      <c r="X34" s="15" t="s">
        <v>46</v>
      </c>
      <c r="Y34" s="177" t="s">
        <v>86</v>
      </c>
      <c r="Z34" s="177" t="s">
        <v>55</v>
      </c>
      <c r="AA34" s="177" t="s">
        <v>47</v>
      </c>
      <c r="AB34" s="39" t="s">
        <v>327</v>
      </c>
    </row>
    <row r="35" spans="1:44" x14ac:dyDescent="0.15">
      <c r="A35" s="15" t="s">
        <v>324</v>
      </c>
      <c r="B35" s="15" t="s">
        <v>325</v>
      </c>
      <c r="C35" s="15">
        <v>2018</v>
      </c>
      <c r="D35" s="37" t="s">
        <v>329</v>
      </c>
      <c r="E35" s="7" t="s">
        <v>139</v>
      </c>
      <c r="F35" s="7" t="s">
        <v>146</v>
      </c>
      <c r="G35" s="7" t="s">
        <v>36</v>
      </c>
      <c r="H35" s="177" t="s">
        <v>167</v>
      </c>
      <c r="I35" s="169" t="s">
        <v>155</v>
      </c>
      <c r="J35" s="15" t="s">
        <v>38</v>
      </c>
      <c r="K35" s="7" t="s">
        <v>156</v>
      </c>
      <c r="L35" s="7">
        <v>1</v>
      </c>
      <c r="N35" s="7">
        <v>1</v>
      </c>
      <c r="O35" s="7">
        <v>0.5</v>
      </c>
      <c r="P35" s="7">
        <v>0.5</v>
      </c>
      <c r="Q35" s="52">
        <f t="shared" si="0"/>
        <v>0.5</v>
      </c>
      <c r="R35" s="7">
        <v>16.7</v>
      </c>
      <c r="S35" s="7">
        <v>162</v>
      </c>
      <c r="T35" s="16">
        <f t="shared" si="1"/>
        <v>18</v>
      </c>
      <c r="U35" s="7">
        <v>171</v>
      </c>
      <c r="V35" s="16">
        <f t="shared" si="2"/>
        <v>3078</v>
      </c>
      <c r="W35" s="7">
        <v>14</v>
      </c>
      <c r="X35" s="15" t="s">
        <v>46</v>
      </c>
      <c r="Y35" s="177" t="s">
        <v>86</v>
      </c>
      <c r="Z35" s="177" t="s">
        <v>55</v>
      </c>
      <c r="AA35" s="177" t="s">
        <v>47</v>
      </c>
      <c r="AB35" s="39" t="s">
        <v>327</v>
      </c>
      <c r="AP35" s="28"/>
      <c r="AR35" s="28"/>
    </row>
    <row r="36" spans="1:44" x14ac:dyDescent="0.15">
      <c r="A36" s="15" t="s">
        <v>324</v>
      </c>
      <c r="B36" s="15" t="s">
        <v>325</v>
      </c>
      <c r="C36" s="15">
        <v>2018</v>
      </c>
      <c r="D36" s="37" t="s">
        <v>329</v>
      </c>
      <c r="E36" s="7" t="s">
        <v>139</v>
      </c>
      <c r="F36" s="7" t="s">
        <v>146</v>
      </c>
      <c r="G36" s="7" t="s">
        <v>36</v>
      </c>
      <c r="H36" s="177" t="s">
        <v>167</v>
      </c>
      <c r="I36" s="169" t="s">
        <v>155</v>
      </c>
      <c r="J36" s="15" t="s">
        <v>38</v>
      </c>
      <c r="K36" s="7" t="s">
        <v>156</v>
      </c>
      <c r="L36" s="7">
        <v>2</v>
      </c>
      <c r="N36" s="7">
        <v>1</v>
      </c>
      <c r="O36" s="7">
        <v>0.55000000000000004</v>
      </c>
      <c r="P36" s="7">
        <v>0.5</v>
      </c>
      <c r="Q36" s="52">
        <f t="shared" si="0"/>
        <v>0.52500000000000002</v>
      </c>
      <c r="R36" s="7">
        <v>16.5</v>
      </c>
      <c r="S36" s="7">
        <v>169</v>
      </c>
      <c r="T36" s="16">
        <f t="shared" si="1"/>
        <v>18</v>
      </c>
      <c r="U36" s="169">
        <v>171</v>
      </c>
      <c r="V36" s="16">
        <f t="shared" si="2"/>
        <v>3078</v>
      </c>
      <c r="W36" s="7">
        <v>14</v>
      </c>
      <c r="X36" s="15" t="s">
        <v>46</v>
      </c>
      <c r="Y36" s="177" t="s">
        <v>86</v>
      </c>
      <c r="Z36" s="177" t="s">
        <v>55</v>
      </c>
      <c r="AA36" s="177" t="s">
        <v>47</v>
      </c>
      <c r="AB36" s="39" t="s">
        <v>327</v>
      </c>
    </row>
    <row r="37" spans="1:44" x14ac:dyDescent="0.15">
      <c r="A37" s="15" t="s">
        <v>324</v>
      </c>
      <c r="B37" s="15" t="s">
        <v>325</v>
      </c>
      <c r="C37" s="15">
        <v>2018</v>
      </c>
      <c r="D37" s="37" t="s">
        <v>329</v>
      </c>
      <c r="E37" s="7" t="s">
        <v>139</v>
      </c>
      <c r="F37" s="7" t="s">
        <v>146</v>
      </c>
      <c r="G37" s="7" t="s">
        <v>36</v>
      </c>
      <c r="H37" s="177" t="s">
        <v>167</v>
      </c>
      <c r="I37" s="169" t="s">
        <v>155</v>
      </c>
      <c r="J37" s="15" t="s">
        <v>38</v>
      </c>
      <c r="K37" s="7" t="s">
        <v>156</v>
      </c>
      <c r="L37" s="7">
        <v>3</v>
      </c>
      <c r="N37" s="7">
        <v>1</v>
      </c>
      <c r="O37" s="34">
        <v>0.55000000000000004</v>
      </c>
      <c r="P37" s="34">
        <v>0.55000000000000004</v>
      </c>
      <c r="Q37" s="52">
        <f t="shared" si="0"/>
        <v>0.55000000000000004</v>
      </c>
      <c r="R37" s="7">
        <v>20.100000000000001</v>
      </c>
      <c r="S37" s="7">
        <v>174</v>
      </c>
      <c r="T37" s="16">
        <f t="shared" si="1"/>
        <v>18</v>
      </c>
      <c r="U37" s="169">
        <v>171</v>
      </c>
      <c r="V37" s="16">
        <f t="shared" si="2"/>
        <v>3078</v>
      </c>
      <c r="W37" s="7">
        <v>14</v>
      </c>
      <c r="X37" s="15" t="s">
        <v>46</v>
      </c>
      <c r="Y37" s="177" t="s">
        <v>86</v>
      </c>
      <c r="Z37" s="177" t="s">
        <v>55</v>
      </c>
      <c r="AA37" s="177" t="s">
        <v>47</v>
      </c>
      <c r="AB37" s="39" t="s">
        <v>327</v>
      </c>
    </row>
    <row r="38" spans="1:44" x14ac:dyDescent="0.15">
      <c r="A38" s="15" t="s">
        <v>324</v>
      </c>
      <c r="B38" s="15" t="s">
        <v>325</v>
      </c>
      <c r="C38" s="15">
        <v>2018</v>
      </c>
      <c r="D38" s="37" t="s">
        <v>329</v>
      </c>
      <c r="E38" s="7" t="s">
        <v>140</v>
      </c>
      <c r="F38" s="7" t="s">
        <v>147</v>
      </c>
      <c r="G38" s="7" t="s">
        <v>36</v>
      </c>
      <c r="H38" s="177" t="s">
        <v>157</v>
      </c>
      <c r="I38" s="7" t="s">
        <v>155</v>
      </c>
      <c r="J38" s="177" t="s">
        <v>38</v>
      </c>
      <c r="K38" s="169" t="s">
        <v>156</v>
      </c>
      <c r="L38" s="7">
        <v>1</v>
      </c>
      <c r="N38" s="7">
        <v>1</v>
      </c>
      <c r="O38" s="34">
        <v>0.5</v>
      </c>
      <c r="P38" s="34">
        <v>0.55000000000000004</v>
      </c>
      <c r="Q38" s="52">
        <f t="shared" si="0"/>
        <v>0.52500000000000002</v>
      </c>
      <c r="R38" s="7">
        <v>15.5</v>
      </c>
      <c r="S38" s="7">
        <v>152</v>
      </c>
      <c r="T38" s="16">
        <f t="shared" si="1"/>
        <v>18</v>
      </c>
      <c r="U38" s="7">
        <v>137</v>
      </c>
      <c r="V38" s="16">
        <f t="shared" si="2"/>
        <v>2466</v>
      </c>
      <c r="W38" s="7">
        <v>6</v>
      </c>
      <c r="X38" s="15" t="s">
        <v>46</v>
      </c>
      <c r="Y38" s="177" t="s">
        <v>86</v>
      </c>
      <c r="Z38" s="177" t="s">
        <v>55</v>
      </c>
      <c r="AA38" s="177" t="s">
        <v>69</v>
      </c>
      <c r="AB38" s="39" t="s">
        <v>327</v>
      </c>
    </row>
    <row r="39" spans="1:44" x14ac:dyDescent="0.15">
      <c r="A39" s="15" t="s">
        <v>324</v>
      </c>
      <c r="B39" s="15" t="s">
        <v>325</v>
      </c>
      <c r="C39" s="15">
        <v>2018</v>
      </c>
      <c r="D39" s="37" t="s">
        <v>329</v>
      </c>
      <c r="E39" s="7" t="s">
        <v>140</v>
      </c>
      <c r="F39" s="7" t="s">
        <v>147</v>
      </c>
      <c r="G39" s="7" t="s">
        <v>36</v>
      </c>
      <c r="H39" s="177" t="s">
        <v>157</v>
      </c>
      <c r="I39" s="169" t="s">
        <v>155</v>
      </c>
      <c r="J39" s="177" t="s">
        <v>38</v>
      </c>
      <c r="K39" s="169" t="s">
        <v>156</v>
      </c>
      <c r="L39" s="7">
        <v>2</v>
      </c>
      <c r="N39" s="7">
        <v>1</v>
      </c>
      <c r="O39" s="7">
        <v>0.7</v>
      </c>
      <c r="P39" s="7">
        <v>0.6</v>
      </c>
      <c r="Q39" s="52">
        <f t="shared" si="0"/>
        <v>0.64999999999999991</v>
      </c>
      <c r="R39" s="34">
        <v>15.4</v>
      </c>
      <c r="S39" s="7">
        <v>149</v>
      </c>
      <c r="T39" s="16">
        <f t="shared" si="1"/>
        <v>22</v>
      </c>
      <c r="U39" s="169">
        <v>137</v>
      </c>
      <c r="V39" s="16">
        <f t="shared" si="2"/>
        <v>3014</v>
      </c>
      <c r="W39" s="7">
        <v>6</v>
      </c>
      <c r="X39" s="15" t="s">
        <v>46</v>
      </c>
      <c r="Y39" s="177" t="s">
        <v>86</v>
      </c>
      <c r="Z39" s="177" t="s">
        <v>55</v>
      </c>
      <c r="AA39" s="177" t="s">
        <v>69</v>
      </c>
      <c r="AB39" s="39" t="s">
        <v>327</v>
      </c>
    </row>
    <row r="40" spans="1:44" x14ac:dyDescent="0.15">
      <c r="A40" s="15" t="s">
        <v>324</v>
      </c>
      <c r="B40" s="15" t="s">
        <v>325</v>
      </c>
      <c r="C40" s="15">
        <v>2018</v>
      </c>
      <c r="D40" s="37" t="s">
        <v>329</v>
      </c>
      <c r="E40" s="7" t="s">
        <v>140</v>
      </c>
      <c r="F40" s="7" t="s">
        <v>147</v>
      </c>
      <c r="G40" s="7" t="s">
        <v>36</v>
      </c>
      <c r="H40" s="177" t="s">
        <v>157</v>
      </c>
      <c r="I40" s="169" t="s">
        <v>155</v>
      </c>
      <c r="J40" s="177" t="s">
        <v>38</v>
      </c>
      <c r="K40" s="169" t="s">
        <v>156</v>
      </c>
      <c r="L40" s="7">
        <v>3</v>
      </c>
      <c r="N40" s="7">
        <v>1</v>
      </c>
      <c r="O40" s="7">
        <v>0.75</v>
      </c>
      <c r="P40" s="7">
        <v>0.75</v>
      </c>
      <c r="Q40" s="52">
        <f t="shared" si="0"/>
        <v>0.75</v>
      </c>
      <c r="R40" s="7">
        <v>15.5</v>
      </c>
      <c r="S40" s="7">
        <v>154</v>
      </c>
      <c r="T40" s="16">
        <f t="shared" si="1"/>
        <v>18</v>
      </c>
      <c r="U40" s="169">
        <v>137</v>
      </c>
      <c r="V40" s="16">
        <f t="shared" si="2"/>
        <v>2466</v>
      </c>
      <c r="W40" s="7">
        <v>6</v>
      </c>
      <c r="X40" s="15" t="s">
        <v>46</v>
      </c>
      <c r="Y40" s="177" t="s">
        <v>86</v>
      </c>
      <c r="Z40" s="177" t="s">
        <v>55</v>
      </c>
      <c r="AA40" s="177" t="s">
        <v>69</v>
      </c>
      <c r="AB40" s="39" t="s">
        <v>327</v>
      </c>
    </row>
    <row r="41" spans="1:44" ht="12.75" customHeight="1" x14ac:dyDescent="0.15">
      <c r="A41" s="15" t="s">
        <v>324</v>
      </c>
      <c r="B41" s="15" t="s">
        <v>325</v>
      </c>
      <c r="C41" s="15">
        <v>2018</v>
      </c>
      <c r="D41" s="37" t="s">
        <v>329</v>
      </c>
      <c r="E41" s="7" t="s">
        <v>140</v>
      </c>
      <c r="F41" s="7" t="s">
        <v>147</v>
      </c>
      <c r="G41" s="7" t="s">
        <v>36</v>
      </c>
      <c r="H41" s="15" t="s">
        <v>221</v>
      </c>
      <c r="I41" s="7" t="s">
        <v>155</v>
      </c>
      <c r="J41" s="15" t="s">
        <v>38</v>
      </c>
      <c r="K41" s="7" t="s">
        <v>156</v>
      </c>
      <c r="L41" s="7">
        <v>1</v>
      </c>
      <c r="N41" s="7">
        <v>4</v>
      </c>
      <c r="O41" s="7">
        <v>0.6</v>
      </c>
      <c r="P41" s="7">
        <v>0.75</v>
      </c>
      <c r="Q41" s="52">
        <f t="shared" si="0"/>
        <v>0.67500000000000004</v>
      </c>
      <c r="R41" s="7">
        <v>14.8</v>
      </c>
      <c r="S41" s="7">
        <v>102</v>
      </c>
      <c r="T41" s="16">
        <f t="shared" si="1"/>
        <v>33</v>
      </c>
      <c r="U41" s="7">
        <v>399</v>
      </c>
      <c r="V41" s="16">
        <f t="shared" si="2"/>
        <v>3291.75</v>
      </c>
      <c r="W41" s="7">
        <v>1</v>
      </c>
      <c r="X41" s="15" t="s">
        <v>46</v>
      </c>
      <c r="Y41" s="177" t="s">
        <v>86</v>
      </c>
      <c r="Z41" s="177" t="s">
        <v>55</v>
      </c>
      <c r="AA41" s="177" t="s">
        <v>69</v>
      </c>
      <c r="AB41" s="39" t="s">
        <v>327</v>
      </c>
    </row>
    <row r="42" spans="1:44" x14ac:dyDescent="0.15">
      <c r="A42" s="15" t="s">
        <v>324</v>
      </c>
      <c r="B42" s="15" t="s">
        <v>325</v>
      </c>
      <c r="C42" s="15">
        <v>2018</v>
      </c>
      <c r="D42" s="37" t="s">
        <v>329</v>
      </c>
      <c r="E42" s="7" t="s">
        <v>140</v>
      </c>
      <c r="F42" s="7" t="s">
        <v>147</v>
      </c>
      <c r="G42" s="7" t="s">
        <v>36</v>
      </c>
      <c r="H42" s="177" t="s">
        <v>221</v>
      </c>
      <c r="I42" s="169" t="s">
        <v>155</v>
      </c>
      <c r="J42" s="15" t="s">
        <v>38</v>
      </c>
      <c r="K42" s="7" t="s">
        <v>156</v>
      </c>
      <c r="L42" s="7">
        <v>2</v>
      </c>
      <c r="N42" s="7">
        <v>4</v>
      </c>
      <c r="O42" s="7">
        <v>0.65</v>
      </c>
      <c r="P42" s="7">
        <v>0.75</v>
      </c>
      <c r="Q42" s="52">
        <f t="shared" si="0"/>
        <v>0.7</v>
      </c>
      <c r="R42" s="7">
        <v>17.8</v>
      </c>
      <c r="S42" s="7">
        <v>99</v>
      </c>
      <c r="T42" s="16">
        <f t="shared" si="1"/>
        <v>33</v>
      </c>
      <c r="U42" s="169">
        <v>399</v>
      </c>
      <c r="V42" s="16">
        <f t="shared" si="2"/>
        <v>3291.75</v>
      </c>
      <c r="W42" s="7">
        <v>1</v>
      </c>
      <c r="X42" s="15" t="s">
        <v>46</v>
      </c>
      <c r="Y42" s="177" t="s">
        <v>86</v>
      </c>
      <c r="Z42" s="177" t="s">
        <v>55</v>
      </c>
      <c r="AA42" s="177" t="s">
        <v>69</v>
      </c>
      <c r="AB42" s="39" t="s">
        <v>327</v>
      </c>
    </row>
    <row r="43" spans="1:44" x14ac:dyDescent="0.15">
      <c r="A43" s="15" t="s">
        <v>324</v>
      </c>
      <c r="B43" s="15" t="s">
        <v>325</v>
      </c>
      <c r="C43" s="15">
        <v>2018</v>
      </c>
      <c r="D43" s="37" t="s">
        <v>329</v>
      </c>
      <c r="E43" s="7" t="s">
        <v>140</v>
      </c>
      <c r="F43" s="7" t="s">
        <v>147</v>
      </c>
      <c r="G43" s="7" t="s">
        <v>36</v>
      </c>
      <c r="H43" s="177" t="s">
        <v>221</v>
      </c>
      <c r="I43" s="169" t="s">
        <v>155</v>
      </c>
      <c r="J43" s="15" t="s">
        <v>38</v>
      </c>
      <c r="K43" s="7" t="s">
        <v>156</v>
      </c>
      <c r="L43" s="7">
        <v>3</v>
      </c>
      <c r="N43" s="7">
        <v>4</v>
      </c>
      <c r="O43" s="7">
        <v>0.7</v>
      </c>
      <c r="P43" s="7">
        <v>0.55000000000000004</v>
      </c>
      <c r="Q43" s="52">
        <f t="shared" si="0"/>
        <v>0.625</v>
      </c>
      <c r="R43" s="7">
        <v>20</v>
      </c>
      <c r="S43" s="7">
        <v>96</v>
      </c>
      <c r="T43" s="16">
        <f t="shared" si="1"/>
        <v>36</v>
      </c>
      <c r="U43" s="169">
        <v>399</v>
      </c>
      <c r="V43" s="16">
        <f t="shared" si="2"/>
        <v>3591</v>
      </c>
      <c r="W43" s="7">
        <v>1</v>
      </c>
      <c r="X43" s="15" t="s">
        <v>46</v>
      </c>
      <c r="Y43" s="177" t="s">
        <v>86</v>
      </c>
      <c r="Z43" s="177" t="s">
        <v>55</v>
      </c>
      <c r="AA43" s="177" t="s">
        <v>69</v>
      </c>
      <c r="AB43" s="39" t="s">
        <v>327</v>
      </c>
    </row>
    <row r="44" spans="1:44" x14ac:dyDescent="0.15">
      <c r="A44" s="15" t="s">
        <v>324</v>
      </c>
      <c r="B44" s="15" t="s">
        <v>325</v>
      </c>
      <c r="C44" s="15">
        <v>2018</v>
      </c>
      <c r="D44" s="37" t="s">
        <v>329</v>
      </c>
      <c r="E44" s="7" t="s">
        <v>140</v>
      </c>
      <c r="F44" s="7" t="s">
        <v>147</v>
      </c>
      <c r="G44" s="7" t="s">
        <v>36</v>
      </c>
      <c r="H44" s="15" t="s">
        <v>167</v>
      </c>
      <c r="I44" s="169" t="s">
        <v>155</v>
      </c>
      <c r="J44" s="15" t="s">
        <v>38</v>
      </c>
      <c r="K44" s="7" t="s">
        <v>156</v>
      </c>
      <c r="L44" s="7">
        <v>1</v>
      </c>
      <c r="N44" s="7">
        <v>1</v>
      </c>
      <c r="O44" s="7">
        <v>0.5</v>
      </c>
      <c r="P44" s="7">
        <v>0.5</v>
      </c>
      <c r="Q44" s="52">
        <f t="shared" si="0"/>
        <v>0.5</v>
      </c>
      <c r="R44" s="7">
        <v>16.8</v>
      </c>
      <c r="S44" s="7">
        <v>154</v>
      </c>
      <c r="T44" s="16">
        <f t="shared" si="1"/>
        <v>18</v>
      </c>
      <c r="U44" s="7">
        <v>137</v>
      </c>
      <c r="V44" s="16">
        <f t="shared" si="2"/>
        <v>2466</v>
      </c>
      <c r="W44" s="7">
        <v>4</v>
      </c>
      <c r="X44" s="15" t="s">
        <v>46</v>
      </c>
      <c r="Y44" s="177" t="s">
        <v>86</v>
      </c>
      <c r="Z44" s="177" t="s">
        <v>55</v>
      </c>
      <c r="AA44" s="177" t="s">
        <v>69</v>
      </c>
      <c r="AB44" s="39" t="s">
        <v>327</v>
      </c>
    </row>
    <row r="45" spans="1:44" x14ac:dyDescent="0.15">
      <c r="A45" s="15" t="s">
        <v>324</v>
      </c>
      <c r="B45" s="15" t="s">
        <v>325</v>
      </c>
      <c r="C45" s="15">
        <v>2018</v>
      </c>
      <c r="D45" s="37" t="s">
        <v>329</v>
      </c>
      <c r="E45" s="7" t="s">
        <v>140</v>
      </c>
      <c r="F45" s="7" t="s">
        <v>147</v>
      </c>
      <c r="G45" s="7" t="s">
        <v>36</v>
      </c>
      <c r="H45" s="177" t="s">
        <v>167</v>
      </c>
      <c r="I45" s="169" t="s">
        <v>155</v>
      </c>
      <c r="J45" s="15" t="s">
        <v>38</v>
      </c>
      <c r="K45" s="7" t="s">
        <v>156</v>
      </c>
      <c r="L45" s="7">
        <v>2</v>
      </c>
      <c r="N45" s="7">
        <v>1</v>
      </c>
      <c r="O45" s="7">
        <v>0.5</v>
      </c>
      <c r="P45" s="7">
        <v>0.5</v>
      </c>
      <c r="Q45" s="52">
        <f t="shared" si="0"/>
        <v>0.5</v>
      </c>
      <c r="R45" s="7">
        <v>17.3</v>
      </c>
      <c r="S45" s="7">
        <v>155</v>
      </c>
      <c r="T45" s="16">
        <f t="shared" si="1"/>
        <v>18</v>
      </c>
      <c r="U45" s="169">
        <v>137</v>
      </c>
      <c r="V45" s="16">
        <f t="shared" si="2"/>
        <v>2466</v>
      </c>
      <c r="W45" s="7">
        <v>4</v>
      </c>
      <c r="X45" s="15" t="s">
        <v>46</v>
      </c>
      <c r="Y45" s="177" t="s">
        <v>86</v>
      </c>
      <c r="Z45" s="177" t="s">
        <v>55</v>
      </c>
      <c r="AA45" s="177" t="s">
        <v>69</v>
      </c>
      <c r="AB45" s="39" t="s">
        <v>327</v>
      </c>
    </row>
    <row r="46" spans="1:44" x14ac:dyDescent="0.15">
      <c r="A46" s="15" t="s">
        <v>324</v>
      </c>
      <c r="B46" s="15" t="s">
        <v>325</v>
      </c>
      <c r="C46" s="15">
        <v>2018</v>
      </c>
      <c r="D46" s="37" t="s">
        <v>329</v>
      </c>
      <c r="E46" s="7" t="s">
        <v>140</v>
      </c>
      <c r="F46" s="7" t="s">
        <v>147</v>
      </c>
      <c r="G46" s="7" t="s">
        <v>36</v>
      </c>
      <c r="H46" s="177" t="s">
        <v>167</v>
      </c>
      <c r="I46" s="169" t="s">
        <v>155</v>
      </c>
      <c r="J46" s="15" t="s">
        <v>38</v>
      </c>
      <c r="K46" s="7" t="s">
        <v>156</v>
      </c>
      <c r="L46" s="7">
        <v>3</v>
      </c>
      <c r="N46" s="7">
        <v>1</v>
      </c>
      <c r="O46" s="7">
        <v>0.6</v>
      </c>
      <c r="P46" s="34">
        <v>0.5</v>
      </c>
      <c r="Q46" s="52">
        <f t="shared" si="0"/>
        <v>0.55000000000000004</v>
      </c>
      <c r="R46" s="7">
        <v>17.600000000000001</v>
      </c>
      <c r="S46" s="7">
        <v>150</v>
      </c>
      <c r="T46" s="16">
        <f t="shared" si="1"/>
        <v>22</v>
      </c>
      <c r="U46" s="169">
        <v>137</v>
      </c>
      <c r="V46" s="16">
        <f t="shared" si="2"/>
        <v>3014</v>
      </c>
      <c r="W46" s="7">
        <v>4</v>
      </c>
      <c r="X46" s="15" t="s">
        <v>46</v>
      </c>
      <c r="Y46" s="177" t="s">
        <v>86</v>
      </c>
      <c r="Z46" s="177" t="s">
        <v>55</v>
      </c>
      <c r="AA46" s="177" t="s">
        <v>69</v>
      </c>
      <c r="AB46" s="39" t="s">
        <v>327</v>
      </c>
    </row>
    <row r="47" spans="1:44" x14ac:dyDescent="0.15">
      <c r="A47" s="15" t="s">
        <v>324</v>
      </c>
      <c r="B47" s="15" t="s">
        <v>325</v>
      </c>
      <c r="C47" s="15">
        <v>2018</v>
      </c>
      <c r="D47" s="37" t="s">
        <v>329</v>
      </c>
      <c r="E47" s="7" t="s">
        <v>130</v>
      </c>
      <c r="F47" s="7" t="s">
        <v>148</v>
      </c>
      <c r="G47" s="7" t="s">
        <v>36</v>
      </c>
      <c r="H47" s="15" t="s">
        <v>157</v>
      </c>
      <c r="I47" s="169" t="s">
        <v>155</v>
      </c>
      <c r="J47" s="15" t="s">
        <v>38</v>
      </c>
      <c r="K47" s="7" t="s">
        <v>156</v>
      </c>
      <c r="L47" s="7">
        <v>1</v>
      </c>
      <c r="N47" s="7">
        <v>1</v>
      </c>
      <c r="O47" s="7">
        <v>1</v>
      </c>
      <c r="P47" s="7">
        <v>1</v>
      </c>
      <c r="Q47" s="52">
        <f t="shared" si="0"/>
        <v>1</v>
      </c>
      <c r="R47" s="7">
        <v>11.5</v>
      </c>
      <c r="S47" s="7">
        <v>87</v>
      </c>
      <c r="T47" s="16">
        <f t="shared" si="1"/>
        <v>36</v>
      </c>
      <c r="U47" s="7">
        <v>51</v>
      </c>
      <c r="V47" s="16">
        <f t="shared" si="2"/>
        <v>1836</v>
      </c>
      <c r="W47" s="7">
        <v>7</v>
      </c>
      <c r="X47" s="15" t="s">
        <v>46</v>
      </c>
      <c r="Y47" s="15" t="s">
        <v>55</v>
      </c>
      <c r="Z47" s="15" t="s">
        <v>86</v>
      </c>
      <c r="AA47" s="15" t="s">
        <v>47</v>
      </c>
      <c r="AB47" s="39" t="s">
        <v>327</v>
      </c>
    </row>
    <row r="48" spans="1:44" x14ac:dyDescent="0.15">
      <c r="A48" s="15" t="s">
        <v>324</v>
      </c>
      <c r="B48" s="15" t="s">
        <v>325</v>
      </c>
      <c r="C48" s="15">
        <v>2018</v>
      </c>
      <c r="D48" s="37" t="s">
        <v>329</v>
      </c>
      <c r="E48" s="7" t="s">
        <v>130</v>
      </c>
      <c r="F48" s="7" t="s">
        <v>148</v>
      </c>
      <c r="G48" s="7" t="s">
        <v>36</v>
      </c>
      <c r="H48" s="177" t="s">
        <v>157</v>
      </c>
      <c r="I48" s="169" t="s">
        <v>155</v>
      </c>
      <c r="J48" s="15" t="s">
        <v>38</v>
      </c>
      <c r="K48" s="7" t="s">
        <v>156</v>
      </c>
      <c r="L48" s="7">
        <v>2</v>
      </c>
      <c r="N48" s="7">
        <v>1</v>
      </c>
      <c r="O48" s="7">
        <v>0.95</v>
      </c>
      <c r="P48" s="7">
        <v>0.85</v>
      </c>
      <c r="Q48" s="52">
        <f t="shared" si="0"/>
        <v>0.89999999999999991</v>
      </c>
      <c r="R48" s="7">
        <v>11.6</v>
      </c>
      <c r="S48" s="7">
        <v>92</v>
      </c>
      <c r="T48" s="16">
        <f t="shared" si="1"/>
        <v>36</v>
      </c>
      <c r="U48" s="169">
        <v>51</v>
      </c>
      <c r="V48" s="16">
        <f t="shared" si="2"/>
        <v>1836</v>
      </c>
      <c r="W48" s="7">
        <v>7</v>
      </c>
      <c r="X48" s="15" t="s">
        <v>46</v>
      </c>
      <c r="Y48" s="177" t="s">
        <v>55</v>
      </c>
      <c r="Z48" s="177" t="s">
        <v>86</v>
      </c>
      <c r="AA48" s="177" t="s">
        <v>47</v>
      </c>
      <c r="AB48" s="39" t="s">
        <v>327</v>
      </c>
    </row>
    <row r="49" spans="1:29" x14ac:dyDescent="0.15">
      <c r="A49" s="15" t="s">
        <v>324</v>
      </c>
      <c r="B49" s="15" t="s">
        <v>325</v>
      </c>
      <c r="C49" s="15">
        <v>2018</v>
      </c>
      <c r="D49" s="37" t="s">
        <v>329</v>
      </c>
      <c r="E49" s="7" t="s">
        <v>130</v>
      </c>
      <c r="F49" s="7" t="s">
        <v>148</v>
      </c>
      <c r="G49" s="7" t="s">
        <v>36</v>
      </c>
      <c r="H49" s="177" t="s">
        <v>157</v>
      </c>
      <c r="I49" s="169" t="s">
        <v>155</v>
      </c>
      <c r="J49" s="15" t="s">
        <v>38</v>
      </c>
      <c r="K49" s="7" t="s">
        <v>156</v>
      </c>
      <c r="L49" s="7">
        <v>3</v>
      </c>
      <c r="N49" s="7">
        <v>1</v>
      </c>
      <c r="O49" s="7">
        <v>0.75</v>
      </c>
      <c r="P49" s="34">
        <v>0.85</v>
      </c>
      <c r="Q49" s="52">
        <f t="shared" si="0"/>
        <v>0.8</v>
      </c>
      <c r="R49" s="7">
        <v>12</v>
      </c>
      <c r="S49" s="7">
        <v>90</v>
      </c>
      <c r="T49" s="16">
        <f t="shared" si="1"/>
        <v>36</v>
      </c>
      <c r="U49" s="169">
        <v>51</v>
      </c>
      <c r="V49" s="16">
        <f t="shared" si="2"/>
        <v>1836</v>
      </c>
      <c r="W49" s="7">
        <v>7</v>
      </c>
      <c r="X49" s="15" t="s">
        <v>46</v>
      </c>
      <c r="Y49" s="177" t="s">
        <v>55</v>
      </c>
      <c r="Z49" s="177" t="s">
        <v>86</v>
      </c>
      <c r="AA49" s="177" t="s">
        <v>47</v>
      </c>
      <c r="AB49" s="39" t="s">
        <v>327</v>
      </c>
    </row>
    <row r="50" spans="1:29" x14ac:dyDescent="0.15">
      <c r="A50" s="15" t="s">
        <v>324</v>
      </c>
      <c r="B50" s="15" t="s">
        <v>325</v>
      </c>
      <c r="C50" s="15">
        <v>2018</v>
      </c>
      <c r="D50" s="37" t="s">
        <v>329</v>
      </c>
      <c r="E50" s="7" t="s">
        <v>130</v>
      </c>
      <c r="F50" s="7" t="s">
        <v>148</v>
      </c>
      <c r="G50" s="7" t="s">
        <v>36</v>
      </c>
      <c r="H50" s="15" t="s">
        <v>167</v>
      </c>
      <c r="I50" s="169" t="s">
        <v>155</v>
      </c>
      <c r="J50" s="15" t="s">
        <v>38</v>
      </c>
      <c r="K50" s="7" t="s">
        <v>156</v>
      </c>
      <c r="L50" s="7">
        <v>1</v>
      </c>
      <c r="N50" s="7">
        <v>1</v>
      </c>
      <c r="O50" s="7">
        <v>0.5</v>
      </c>
      <c r="P50" s="7">
        <v>0.55000000000000004</v>
      </c>
      <c r="Q50" s="52">
        <f t="shared" si="0"/>
        <v>0.52500000000000002</v>
      </c>
      <c r="R50" s="7">
        <v>19.7</v>
      </c>
      <c r="S50" s="7">
        <v>138</v>
      </c>
      <c r="T50" s="16">
        <f t="shared" si="1"/>
        <v>22</v>
      </c>
      <c r="U50" s="169">
        <v>145</v>
      </c>
      <c r="V50" s="16">
        <f t="shared" si="2"/>
        <v>3190</v>
      </c>
      <c r="W50" s="7">
        <v>18</v>
      </c>
      <c r="X50" s="15" t="s">
        <v>46</v>
      </c>
      <c r="Y50" s="177" t="s">
        <v>55</v>
      </c>
      <c r="Z50" s="177" t="s">
        <v>86</v>
      </c>
      <c r="AA50" s="177" t="s">
        <v>47</v>
      </c>
      <c r="AB50" s="39" t="s">
        <v>327</v>
      </c>
    </row>
    <row r="51" spans="1:29" x14ac:dyDescent="0.15">
      <c r="A51" s="15" t="s">
        <v>324</v>
      </c>
      <c r="B51" s="15" t="s">
        <v>325</v>
      </c>
      <c r="C51" s="15">
        <v>2018</v>
      </c>
      <c r="D51" s="37" t="s">
        <v>329</v>
      </c>
      <c r="E51" s="7" t="s">
        <v>130</v>
      </c>
      <c r="F51" s="7" t="s">
        <v>148</v>
      </c>
      <c r="G51" s="7" t="s">
        <v>36</v>
      </c>
      <c r="H51" s="177" t="s">
        <v>167</v>
      </c>
      <c r="I51" s="169" t="s">
        <v>155</v>
      </c>
      <c r="J51" s="15" t="s">
        <v>38</v>
      </c>
      <c r="K51" s="7" t="s">
        <v>156</v>
      </c>
      <c r="L51" s="7">
        <v>2</v>
      </c>
      <c r="N51" s="7">
        <v>1</v>
      </c>
      <c r="O51" s="7">
        <v>0.6</v>
      </c>
      <c r="P51" s="7">
        <v>0.65</v>
      </c>
      <c r="Q51" s="52">
        <f t="shared" si="0"/>
        <v>0.625</v>
      </c>
      <c r="R51" s="7">
        <v>19.899999999999999</v>
      </c>
      <c r="S51" s="7">
        <v>137</v>
      </c>
      <c r="T51" s="16">
        <f t="shared" si="1"/>
        <v>25</v>
      </c>
      <c r="U51" s="169">
        <v>145</v>
      </c>
      <c r="V51" s="16">
        <f t="shared" si="2"/>
        <v>3625</v>
      </c>
      <c r="W51" s="7">
        <v>18</v>
      </c>
      <c r="X51" s="15" t="s">
        <v>46</v>
      </c>
      <c r="Y51" s="177" t="s">
        <v>55</v>
      </c>
      <c r="Z51" s="177" t="s">
        <v>86</v>
      </c>
      <c r="AA51" s="177" t="s">
        <v>47</v>
      </c>
      <c r="AB51" s="39" t="s">
        <v>327</v>
      </c>
    </row>
    <row r="52" spans="1:29" x14ac:dyDescent="0.15">
      <c r="A52" s="15" t="s">
        <v>324</v>
      </c>
      <c r="B52" s="15" t="s">
        <v>325</v>
      </c>
      <c r="C52" s="15">
        <v>2018</v>
      </c>
      <c r="D52" s="37" t="s">
        <v>329</v>
      </c>
      <c r="E52" s="7" t="s">
        <v>130</v>
      </c>
      <c r="F52" s="7" t="s">
        <v>148</v>
      </c>
      <c r="G52" s="7" t="s">
        <v>36</v>
      </c>
      <c r="H52" s="177" t="s">
        <v>167</v>
      </c>
      <c r="I52" s="169" t="s">
        <v>155</v>
      </c>
      <c r="J52" s="15" t="s">
        <v>38</v>
      </c>
      <c r="K52" s="7" t="s">
        <v>156</v>
      </c>
      <c r="L52" s="7">
        <v>3</v>
      </c>
      <c r="N52" s="7">
        <v>1</v>
      </c>
      <c r="O52" s="7">
        <v>0.55000000000000004</v>
      </c>
      <c r="P52" s="7">
        <v>0.7</v>
      </c>
      <c r="Q52" s="52">
        <f t="shared" si="0"/>
        <v>0.625</v>
      </c>
      <c r="R52" s="7">
        <v>17.3</v>
      </c>
      <c r="S52" s="7">
        <v>137</v>
      </c>
      <c r="T52" s="16">
        <f t="shared" si="1"/>
        <v>25</v>
      </c>
      <c r="U52" s="169">
        <v>145</v>
      </c>
      <c r="V52" s="16">
        <f t="shared" si="2"/>
        <v>3625</v>
      </c>
      <c r="W52" s="7">
        <v>18</v>
      </c>
      <c r="X52" s="15" t="s">
        <v>46</v>
      </c>
      <c r="Y52" s="177" t="s">
        <v>55</v>
      </c>
      <c r="Z52" s="177" t="s">
        <v>86</v>
      </c>
      <c r="AA52" s="177" t="s">
        <v>47</v>
      </c>
      <c r="AB52" s="39" t="s">
        <v>327</v>
      </c>
    </row>
    <row r="53" spans="1:29" x14ac:dyDescent="0.15">
      <c r="A53" s="15" t="s">
        <v>324</v>
      </c>
      <c r="B53" s="15" t="s">
        <v>325</v>
      </c>
      <c r="C53" s="15">
        <v>2018</v>
      </c>
      <c r="D53" s="37" t="s">
        <v>329</v>
      </c>
      <c r="E53" s="7" t="s">
        <v>132</v>
      </c>
      <c r="F53" s="7" t="s">
        <v>149</v>
      </c>
      <c r="G53" s="7" t="s">
        <v>36</v>
      </c>
      <c r="H53" s="15" t="s">
        <v>157</v>
      </c>
      <c r="I53" s="169" t="s">
        <v>155</v>
      </c>
      <c r="J53" s="15" t="s">
        <v>38</v>
      </c>
      <c r="K53" s="7" t="s">
        <v>156</v>
      </c>
      <c r="L53" s="7">
        <v>1</v>
      </c>
      <c r="N53" s="7">
        <v>1</v>
      </c>
      <c r="O53" s="7">
        <v>0.7</v>
      </c>
      <c r="P53" s="7">
        <v>0.7</v>
      </c>
      <c r="Q53" s="52">
        <f t="shared" si="0"/>
        <v>0.7</v>
      </c>
      <c r="R53" s="7">
        <v>16</v>
      </c>
      <c r="S53" s="7">
        <v>125</v>
      </c>
      <c r="T53" s="16">
        <f t="shared" si="1"/>
        <v>27</v>
      </c>
      <c r="U53" s="7">
        <v>105</v>
      </c>
      <c r="V53" s="16">
        <f t="shared" si="2"/>
        <v>2835</v>
      </c>
      <c r="W53" s="7">
        <v>14</v>
      </c>
      <c r="X53" s="15" t="s">
        <v>46</v>
      </c>
      <c r="Y53" s="177" t="s">
        <v>55</v>
      </c>
      <c r="Z53" s="177" t="s">
        <v>86</v>
      </c>
      <c r="AA53" s="177" t="s">
        <v>47</v>
      </c>
      <c r="AB53" s="39" t="s">
        <v>327</v>
      </c>
      <c r="AC53" s="36"/>
    </row>
    <row r="54" spans="1:29" x14ac:dyDescent="0.15">
      <c r="A54" s="15" t="s">
        <v>324</v>
      </c>
      <c r="B54" s="15" t="s">
        <v>325</v>
      </c>
      <c r="C54" s="15">
        <v>2018</v>
      </c>
      <c r="D54" s="37" t="s">
        <v>329</v>
      </c>
      <c r="E54" s="7" t="s">
        <v>132</v>
      </c>
      <c r="F54" s="7" t="s">
        <v>149</v>
      </c>
      <c r="G54" s="7" t="s">
        <v>36</v>
      </c>
      <c r="H54" s="177" t="s">
        <v>157</v>
      </c>
      <c r="I54" s="169" t="s">
        <v>155</v>
      </c>
      <c r="J54" s="177" t="s">
        <v>38</v>
      </c>
      <c r="K54" s="7" t="s">
        <v>156</v>
      </c>
      <c r="L54" s="7">
        <v>2</v>
      </c>
      <c r="N54" s="7">
        <v>1</v>
      </c>
      <c r="O54" s="7">
        <v>0.75</v>
      </c>
      <c r="P54" s="7">
        <v>0.6</v>
      </c>
      <c r="Q54" s="52">
        <f t="shared" si="0"/>
        <v>0.67500000000000004</v>
      </c>
      <c r="R54" s="7">
        <v>13.6</v>
      </c>
      <c r="S54" s="7">
        <v>119</v>
      </c>
      <c r="T54" s="16">
        <f t="shared" si="1"/>
        <v>30</v>
      </c>
      <c r="U54" s="169">
        <v>105</v>
      </c>
      <c r="V54" s="16">
        <f t="shared" si="2"/>
        <v>3150</v>
      </c>
      <c r="W54" s="7">
        <v>14</v>
      </c>
      <c r="X54" s="15" t="s">
        <v>46</v>
      </c>
      <c r="Y54" s="177" t="s">
        <v>55</v>
      </c>
      <c r="Z54" s="177" t="s">
        <v>86</v>
      </c>
      <c r="AA54" s="177" t="s">
        <v>47</v>
      </c>
      <c r="AB54" s="39" t="s">
        <v>327</v>
      </c>
      <c r="AC54" s="36"/>
    </row>
    <row r="55" spans="1:29" x14ac:dyDescent="0.15">
      <c r="A55" s="15" t="s">
        <v>324</v>
      </c>
      <c r="B55" s="15" t="s">
        <v>325</v>
      </c>
      <c r="C55" s="15">
        <v>2018</v>
      </c>
      <c r="D55" s="37" t="s">
        <v>329</v>
      </c>
      <c r="E55" s="7" t="s">
        <v>132</v>
      </c>
      <c r="F55" s="7" t="s">
        <v>149</v>
      </c>
      <c r="G55" s="7" t="s">
        <v>36</v>
      </c>
      <c r="H55" s="177" t="s">
        <v>157</v>
      </c>
      <c r="I55" s="169" t="s">
        <v>155</v>
      </c>
      <c r="J55" s="177" t="s">
        <v>38</v>
      </c>
      <c r="K55" s="7" t="s">
        <v>156</v>
      </c>
      <c r="L55" s="7">
        <v>3</v>
      </c>
      <c r="N55" s="7">
        <v>1</v>
      </c>
      <c r="O55" s="7">
        <v>0.95</v>
      </c>
      <c r="P55" s="7">
        <v>1.05</v>
      </c>
      <c r="Q55" s="52">
        <f t="shared" si="0"/>
        <v>1</v>
      </c>
      <c r="R55" s="7">
        <v>14</v>
      </c>
      <c r="S55" s="7">
        <v>118</v>
      </c>
      <c r="T55" s="16">
        <f t="shared" si="1"/>
        <v>30</v>
      </c>
      <c r="U55" s="169">
        <v>105</v>
      </c>
      <c r="V55" s="16">
        <f t="shared" si="2"/>
        <v>3150</v>
      </c>
      <c r="W55" s="7">
        <v>14</v>
      </c>
      <c r="X55" s="15" t="s">
        <v>46</v>
      </c>
      <c r="Y55" s="177" t="s">
        <v>55</v>
      </c>
      <c r="Z55" s="177" t="s">
        <v>86</v>
      </c>
      <c r="AA55" s="177" t="s">
        <v>47</v>
      </c>
      <c r="AB55" s="39" t="s">
        <v>327</v>
      </c>
      <c r="AC55" s="36"/>
    </row>
    <row r="56" spans="1:29" x14ac:dyDescent="0.15">
      <c r="A56" s="15" t="s">
        <v>324</v>
      </c>
      <c r="B56" s="15" t="s">
        <v>325</v>
      </c>
      <c r="C56" s="15">
        <v>2018</v>
      </c>
      <c r="D56" s="37" t="s">
        <v>329</v>
      </c>
      <c r="E56" s="7" t="s">
        <v>132</v>
      </c>
      <c r="F56" s="7" t="s">
        <v>149</v>
      </c>
      <c r="G56" s="7" t="s">
        <v>36</v>
      </c>
      <c r="H56" s="15" t="s">
        <v>221</v>
      </c>
      <c r="I56" s="169" t="s">
        <v>155</v>
      </c>
      <c r="J56" s="15" t="s">
        <v>38</v>
      </c>
      <c r="K56" s="7" t="s">
        <v>156</v>
      </c>
      <c r="L56" s="7">
        <v>1</v>
      </c>
      <c r="N56" s="7">
        <v>5</v>
      </c>
      <c r="O56" s="7">
        <v>0.5</v>
      </c>
      <c r="P56" s="7">
        <v>0.5</v>
      </c>
      <c r="Q56" s="52">
        <f t="shared" si="0"/>
        <v>0.5</v>
      </c>
      <c r="R56" s="7">
        <v>13.7</v>
      </c>
      <c r="S56" s="7">
        <v>90</v>
      </c>
      <c r="T56" s="16">
        <f t="shared" si="1"/>
        <v>36</v>
      </c>
      <c r="U56" s="169">
        <v>429</v>
      </c>
      <c r="V56" s="16">
        <f t="shared" si="2"/>
        <v>3088.7999999999997</v>
      </c>
      <c r="W56" s="7">
        <v>4</v>
      </c>
      <c r="X56" s="15" t="s">
        <v>46</v>
      </c>
      <c r="Y56" s="177" t="s">
        <v>55</v>
      </c>
      <c r="Z56" s="177" t="s">
        <v>86</v>
      </c>
      <c r="AA56" s="177" t="s">
        <v>47</v>
      </c>
      <c r="AB56" s="39" t="s">
        <v>327</v>
      </c>
    </row>
    <row r="57" spans="1:29" x14ac:dyDescent="0.15">
      <c r="A57" s="15" t="s">
        <v>324</v>
      </c>
      <c r="B57" s="15" t="s">
        <v>325</v>
      </c>
      <c r="C57" s="15">
        <v>2018</v>
      </c>
      <c r="D57" s="37" t="s">
        <v>329</v>
      </c>
      <c r="E57" s="7" t="s">
        <v>132</v>
      </c>
      <c r="F57" s="7" t="s">
        <v>149</v>
      </c>
      <c r="G57" s="7" t="s">
        <v>36</v>
      </c>
      <c r="H57" s="177" t="s">
        <v>221</v>
      </c>
      <c r="I57" s="169" t="s">
        <v>155</v>
      </c>
      <c r="J57" s="15" t="s">
        <v>38</v>
      </c>
      <c r="K57" s="7" t="s">
        <v>156</v>
      </c>
      <c r="L57" s="7">
        <v>2</v>
      </c>
      <c r="N57" s="7">
        <v>5</v>
      </c>
      <c r="O57" s="7">
        <v>0.5</v>
      </c>
      <c r="P57" s="7">
        <v>0.5</v>
      </c>
      <c r="Q57" s="52">
        <f t="shared" si="0"/>
        <v>0.5</v>
      </c>
      <c r="R57" s="7">
        <v>18.600000000000001</v>
      </c>
      <c r="S57" s="7">
        <v>86</v>
      </c>
      <c r="T57" s="16">
        <f t="shared" si="1"/>
        <v>36</v>
      </c>
      <c r="U57" s="169">
        <v>429</v>
      </c>
      <c r="V57" s="16">
        <f t="shared" si="2"/>
        <v>3088.7999999999997</v>
      </c>
      <c r="W57" s="7">
        <v>4</v>
      </c>
      <c r="X57" s="15" t="s">
        <v>46</v>
      </c>
      <c r="Y57" s="177" t="s">
        <v>55</v>
      </c>
      <c r="Z57" s="177" t="s">
        <v>86</v>
      </c>
      <c r="AA57" s="177" t="s">
        <v>47</v>
      </c>
      <c r="AB57" s="39" t="s">
        <v>327</v>
      </c>
    </row>
    <row r="58" spans="1:29" x14ac:dyDescent="0.15">
      <c r="A58" s="15" t="s">
        <v>324</v>
      </c>
      <c r="B58" s="15" t="s">
        <v>325</v>
      </c>
      <c r="C58" s="15">
        <v>2018</v>
      </c>
      <c r="D58" s="37" t="s">
        <v>329</v>
      </c>
      <c r="E58" s="7" t="s">
        <v>132</v>
      </c>
      <c r="F58" s="7" t="s">
        <v>149</v>
      </c>
      <c r="G58" s="7" t="s">
        <v>36</v>
      </c>
      <c r="H58" s="177" t="s">
        <v>221</v>
      </c>
      <c r="I58" s="169" t="s">
        <v>155</v>
      </c>
      <c r="J58" s="15" t="s">
        <v>38</v>
      </c>
      <c r="K58" s="7" t="s">
        <v>156</v>
      </c>
      <c r="L58" s="7">
        <v>3</v>
      </c>
      <c r="N58" s="7">
        <v>5</v>
      </c>
      <c r="O58" s="7">
        <v>0.5</v>
      </c>
      <c r="P58" s="7">
        <v>0.5</v>
      </c>
      <c r="Q58" s="52">
        <f t="shared" si="0"/>
        <v>0.5</v>
      </c>
      <c r="R58" s="7">
        <v>20</v>
      </c>
      <c r="S58" s="7">
        <v>91</v>
      </c>
      <c r="T58" s="16">
        <f t="shared" si="1"/>
        <v>36</v>
      </c>
      <c r="U58" s="169">
        <v>429</v>
      </c>
      <c r="V58" s="16">
        <f t="shared" si="2"/>
        <v>3088.7999999999997</v>
      </c>
      <c r="W58" s="7">
        <v>4</v>
      </c>
      <c r="X58" s="15" t="s">
        <v>46</v>
      </c>
      <c r="Y58" s="177" t="s">
        <v>55</v>
      </c>
      <c r="Z58" s="177" t="s">
        <v>86</v>
      </c>
      <c r="AA58" s="177" t="s">
        <v>47</v>
      </c>
      <c r="AB58" s="39" t="s">
        <v>327</v>
      </c>
    </row>
    <row r="59" spans="1:29" x14ac:dyDescent="0.15">
      <c r="A59" s="15" t="s">
        <v>324</v>
      </c>
      <c r="B59" s="15" t="s">
        <v>325</v>
      </c>
      <c r="C59" s="15">
        <v>2018</v>
      </c>
      <c r="D59" s="37" t="s">
        <v>329</v>
      </c>
      <c r="E59" s="7" t="s">
        <v>132</v>
      </c>
      <c r="F59" s="7" t="s">
        <v>149</v>
      </c>
      <c r="G59" s="7" t="s">
        <v>36</v>
      </c>
      <c r="H59" s="15" t="s">
        <v>167</v>
      </c>
      <c r="I59" s="169" t="s">
        <v>155</v>
      </c>
      <c r="J59" s="15" t="s">
        <v>38</v>
      </c>
      <c r="K59" s="7" t="s">
        <v>156</v>
      </c>
      <c r="L59" s="7">
        <v>1</v>
      </c>
      <c r="N59" s="7">
        <v>1</v>
      </c>
      <c r="O59" s="7">
        <v>0.5</v>
      </c>
      <c r="P59" s="7">
        <v>0.5</v>
      </c>
      <c r="Q59" s="52">
        <f t="shared" si="0"/>
        <v>0.5</v>
      </c>
      <c r="R59" s="7">
        <v>18.399999999999999</v>
      </c>
      <c r="S59" s="7">
        <v>148</v>
      </c>
      <c r="T59" s="16">
        <f t="shared" si="1"/>
        <v>22</v>
      </c>
      <c r="U59" s="7">
        <v>138</v>
      </c>
      <c r="V59" s="16">
        <f t="shared" si="2"/>
        <v>3036</v>
      </c>
      <c r="W59" s="7">
        <v>11</v>
      </c>
      <c r="X59" s="15" t="s">
        <v>46</v>
      </c>
      <c r="Y59" s="177" t="s">
        <v>55</v>
      </c>
      <c r="Z59" s="177" t="s">
        <v>86</v>
      </c>
      <c r="AA59" s="177" t="s">
        <v>47</v>
      </c>
      <c r="AB59" s="39" t="s">
        <v>327</v>
      </c>
    </row>
    <row r="60" spans="1:29" x14ac:dyDescent="0.15">
      <c r="A60" s="15" t="s">
        <v>324</v>
      </c>
      <c r="B60" s="15" t="s">
        <v>325</v>
      </c>
      <c r="C60" s="15">
        <v>2018</v>
      </c>
      <c r="D60" s="37" t="s">
        <v>329</v>
      </c>
      <c r="E60" s="7" t="s">
        <v>132</v>
      </c>
      <c r="F60" s="7" t="s">
        <v>149</v>
      </c>
      <c r="G60" s="7" t="s">
        <v>36</v>
      </c>
      <c r="H60" s="177" t="s">
        <v>167</v>
      </c>
      <c r="I60" s="169" t="s">
        <v>155</v>
      </c>
      <c r="J60" s="15" t="s">
        <v>38</v>
      </c>
      <c r="K60" s="7" t="s">
        <v>156</v>
      </c>
      <c r="L60" s="7">
        <v>2</v>
      </c>
      <c r="N60" s="7">
        <v>1</v>
      </c>
      <c r="O60" s="7">
        <v>0.6</v>
      </c>
      <c r="P60" s="7">
        <v>0.5</v>
      </c>
      <c r="Q60" s="52">
        <f t="shared" si="0"/>
        <v>0.55000000000000004</v>
      </c>
      <c r="R60" s="7">
        <v>15.4</v>
      </c>
      <c r="S60" s="7">
        <v>147</v>
      </c>
      <c r="T60" s="16">
        <f>IF(H60="","",IF(OR(H60="GREEN",H60="GK"),IF(S60&gt;=$AX$2,VLOOKUP(S60,$AX$2:$AY$12,2,1),""),IF(S60&gt;=$AZ$2,VLOOKUP(S60,$AZ$2:$BA$12,2,1),"")))</f>
        <v>22</v>
      </c>
      <c r="U60" s="169">
        <v>138</v>
      </c>
      <c r="V60" s="16">
        <f t="shared" si="2"/>
        <v>3036</v>
      </c>
      <c r="W60" s="7">
        <v>11</v>
      </c>
      <c r="X60" s="15" t="s">
        <v>46</v>
      </c>
      <c r="Y60" s="177" t="s">
        <v>55</v>
      </c>
      <c r="Z60" s="177" t="s">
        <v>86</v>
      </c>
      <c r="AA60" s="177" t="s">
        <v>47</v>
      </c>
      <c r="AB60" s="39" t="s">
        <v>327</v>
      </c>
    </row>
    <row r="61" spans="1:29" x14ac:dyDescent="0.15">
      <c r="A61" s="15" t="s">
        <v>324</v>
      </c>
      <c r="B61" s="15" t="s">
        <v>325</v>
      </c>
      <c r="C61" s="15">
        <v>2018</v>
      </c>
      <c r="D61" s="37" t="s">
        <v>329</v>
      </c>
      <c r="E61" s="7" t="s">
        <v>132</v>
      </c>
      <c r="F61" s="7" t="s">
        <v>149</v>
      </c>
      <c r="G61" s="7" t="s">
        <v>36</v>
      </c>
      <c r="H61" s="177" t="s">
        <v>167</v>
      </c>
      <c r="I61" s="169" t="s">
        <v>155</v>
      </c>
      <c r="J61" s="15" t="s">
        <v>38</v>
      </c>
      <c r="K61" s="7" t="s">
        <v>156</v>
      </c>
      <c r="L61" s="7">
        <v>3</v>
      </c>
      <c r="N61" s="7">
        <v>1</v>
      </c>
      <c r="O61" s="7">
        <v>0.5</v>
      </c>
      <c r="P61" s="7">
        <v>0.5</v>
      </c>
      <c r="Q61" s="52">
        <f t="shared" si="0"/>
        <v>0.5</v>
      </c>
      <c r="R61" s="7">
        <v>18.8</v>
      </c>
      <c r="S61" s="7">
        <v>145</v>
      </c>
      <c r="T61" s="16">
        <f>IF(H61="","",IF(OR(H61="GREEN",H61="GK"),IF(S61&gt;=$AX$2,VLOOKUP(S61,$AX$2:$AY$12,2,1),""),IF(S61&gt;=$AZ$2,VLOOKUP(S61,$AZ$2:$BA$12,2,1),"")))</f>
        <v>22</v>
      </c>
      <c r="U61" s="169">
        <v>138</v>
      </c>
      <c r="V61" s="16">
        <f t="shared" si="2"/>
        <v>3036</v>
      </c>
      <c r="W61" s="7">
        <v>11</v>
      </c>
      <c r="X61" s="15" t="s">
        <v>46</v>
      </c>
      <c r="Y61" s="177" t="s">
        <v>55</v>
      </c>
      <c r="Z61" s="177" t="s">
        <v>86</v>
      </c>
      <c r="AA61" s="177" t="s">
        <v>47</v>
      </c>
      <c r="AB61" s="39" t="s">
        <v>327</v>
      </c>
    </row>
    <row r="62" spans="1:29" x14ac:dyDescent="0.15">
      <c r="A62" s="15" t="s">
        <v>324</v>
      </c>
      <c r="B62" s="15" t="s">
        <v>325</v>
      </c>
      <c r="C62" s="15">
        <v>2018</v>
      </c>
      <c r="D62" s="37" t="s">
        <v>329</v>
      </c>
      <c r="E62" s="7" t="s">
        <v>141</v>
      </c>
      <c r="F62" s="7" t="s">
        <v>150</v>
      </c>
      <c r="G62" s="7" t="s">
        <v>36</v>
      </c>
      <c r="H62" s="15" t="s">
        <v>157</v>
      </c>
      <c r="I62" s="169" t="s">
        <v>155</v>
      </c>
      <c r="J62" s="15" t="s">
        <v>38</v>
      </c>
      <c r="K62" s="7" t="s">
        <v>156</v>
      </c>
      <c r="L62" s="7">
        <v>1</v>
      </c>
      <c r="N62" s="7">
        <v>4</v>
      </c>
      <c r="O62" s="7">
        <v>0.6</v>
      </c>
      <c r="P62" s="7">
        <v>0.5</v>
      </c>
      <c r="Q62" s="52">
        <f t="shared" si="0"/>
        <v>0.55000000000000004</v>
      </c>
      <c r="R62" s="7">
        <v>14.7</v>
      </c>
      <c r="S62" s="7">
        <v>104</v>
      </c>
      <c r="T62" s="16">
        <f t="shared" ref="T62:T120" si="3">IF(H62="","",IF(OR(H62="GREEN",H62="GK"),IF(S62&gt;=$AX$2,VLOOKUP(S62,$AX$2:$AY$12,2,1),""),IF(S62&gt;=$AZ$2,VLOOKUP(S62,$AZ$2:$BA$12,2,1),"")))</f>
        <v>33</v>
      </c>
      <c r="U62" s="7">
        <v>486</v>
      </c>
      <c r="V62" s="16">
        <f t="shared" si="2"/>
        <v>4009.5</v>
      </c>
      <c r="W62" s="7">
        <v>5</v>
      </c>
      <c r="X62" s="15" t="s">
        <v>46</v>
      </c>
      <c r="Y62" s="177" t="s">
        <v>55</v>
      </c>
      <c r="Z62" s="177" t="s">
        <v>86</v>
      </c>
      <c r="AA62" s="177" t="s">
        <v>47</v>
      </c>
      <c r="AB62" s="39" t="s">
        <v>327</v>
      </c>
    </row>
    <row r="63" spans="1:29" x14ac:dyDescent="0.15">
      <c r="A63" s="15" t="s">
        <v>324</v>
      </c>
      <c r="B63" s="15" t="s">
        <v>325</v>
      </c>
      <c r="C63" s="15">
        <v>2018</v>
      </c>
      <c r="D63" s="37" t="s">
        <v>329</v>
      </c>
      <c r="E63" s="7" t="s">
        <v>141</v>
      </c>
      <c r="F63" s="7" t="s">
        <v>150</v>
      </c>
      <c r="G63" s="7" t="s">
        <v>36</v>
      </c>
      <c r="H63" s="177" t="s">
        <v>157</v>
      </c>
      <c r="I63" s="169" t="s">
        <v>155</v>
      </c>
      <c r="J63" s="15" t="s">
        <v>38</v>
      </c>
      <c r="K63" s="7" t="s">
        <v>156</v>
      </c>
      <c r="L63" s="7">
        <v>2</v>
      </c>
      <c r="N63" s="7">
        <v>4</v>
      </c>
      <c r="O63" s="7">
        <v>0.65</v>
      </c>
      <c r="P63" s="7">
        <v>0.8</v>
      </c>
      <c r="Q63" s="52">
        <f t="shared" si="0"/>
        <v>0.72500000000000009</v>
      </c>
      <c r="R63" s="7">
        <v>12.7</v>
      </c>
      <c r="S63" s="7">
        <v>93</v>
      </c>
      <c r="T63" s="16">
        <f t="shared" si="3"/>
        <v>36</v>
      </c>
      <c r="U63" s="169">
        <v>486</v>
      </c>
      <c r="V63" s="16">
        <f t="shared" si="2"/>
        <v>4374</v>
      </c>
      <c r="W63" s="7">
        <v>5</v>
      </c>
      <c r="X63" s="15" t="s">
        <v>46</v>
      </c>
      <c r="Y63" s="177" t="s">
        <v>55</v>
      </c>
      <c r="Z63" s="177" t="s">
        <v>86</v>
      </c>
      <c r="AA63" s="177" t="s">
        <v>47</v>
      </c>
      <c r="AB63" s="39" t="s">
        <v>327</v>
      </c>
    </row>
    <row r="64" spans="1:29" x14ac:dyDescent="0.15">
      <c r="A64" s="15" t="s">
        <v>324</v>
      </c>
      <c r="B64" s="15" t="s">
        <v>325</v>
      </c>
      <c r="C64" s="15">
        <v>2018</v>
      </c>
      <c r="D64" s="37" t="s">
        <v>329</v>
      </c>
      <c r="E64" s="7" t="s">
        <v>141</v>
      </c>
      <c r="F64" s="7" t="s">
        <v>150</v>
      </c>
      <c r="G64" s="7" t="s">
        <v>36</v>
      </c>
      <c r="H64" s="177" t="s">
        <v>157</v>
      </c>
      <c r="I64" s="169" t="s">
        <v>155</v>
      </c>
      <c r="J64" s="15" t="s">
        <v>38</v>
      </c>
      <c r="K64" s="7" t="s">
        <v>156</v>
      </c>
      <c r="L64" s="7">
        <v>3</v>
      </c>
      <c r="N64" s="7">
        <v>4</v>
      </c>
      <c r="O64" s="7">
        <v>0.75</v>
      </c>
      <c r="P64" s="7">
        <v>0.65</v>
      </c>
      <c r="Q64" s="52">
        <f t="shared" si="0"/>
        <v>0.7</v>
      </c>
      <c r="R64" s="7">
        <v>13.1</v>
      </c>
      <c r="S64" s="7">
        <v>105</v>
      </c>
      <c r="T64" s="16">
        <f t="shared" si="3"/>
        <v>33</v>
      </c>
      <c r="U64" s="169">
        <v>486</v>
      </c>
      <c r="V64" s="16">
        <f t="shared" si="2"/>
        <v>4009.5</v>
      </c>
      <c r="W64" s="7">
        <v>5</v>
      </c>
      <c r="X64" s="15" t="s">
        <v>46</v>
      </c>
      <c r="Y64" s="177" t="s">
        <v>55</v>
      </c>
      <c r="Z64" s="177" t="s">
        <v>86</v>
      </c>
      <c r="AA64" s="177" t="s">
        <v>47</v>
      </c>
      <c r="AB64" s="39" t="s">
        <v>327</v>
      </c>
    </row>
    <row r="65" spans="1:28" x14ac:dyDescent="0.15">
      <c r="A65" s="15" t="s">
        <v>324</v>
      </c>
      <c r="B65" s="15" t="s">
        <v>325</v>
      </c>
      <c r="C65" s="15">
        <v>2018</v>
      </c>
      <c r="D65" s="37" t="s">
        <v>329</v>
      </c>
      <c r="E65" s="7" t="s">
        <v>141</v>
      </c>
      <c r="F65" s="7" t="s">
        <v>150</v>
      </c>
      <c r="G65" s="7" t="s">
        <v>36</v>
      </c>
      <c r="H65" s="15" t="s">
        <v>221</v>
      </c>
      <c r="I65" s="169" t="s">
        <v>155</v>
      </c>
      <c r="J65" s="15" t="s">
        <v>38</v>
      </c>
      <c r="K65" s="7" t="s">
        <v>156</v>
      </c>
      <c r="L65" s="7">
        <v>1</v>
      </c>
      <c r="N65" s="7">
        <v>1</v>
      </c>
      <c r="O65" s="7">
        <v>0.5</v>
      </c>
      <c r="P65" s="7">
        <v>0.5</v>
      </c>
      <c r="Q65" s="52">
        <f t="shared" si="0"/>
        <v>0.5</v>
      </c>
      <c r="R65" s="7">
        <v>19.8</v>
      </c>
      <c r="S65" s="7">
        <v>110</v>
      </c>
      <c r="T65" s="16">
        <f t="shared" si="3"/>
        <v>33</v>
      </c>
      <c r="U65" s="7">
        <v>59</v>
      </c>
      <c r="V65" s="16">
        <f t="shared" si="2"/>
        <v>1947</v>
      </c>
      <c r="W65" s="7">
        <v>7</v>
      </c>
      <c r="X65" s="177" t="s">
        <v>46</v>
      </c>
      <c r="Y65" s="177" t="s">
        <v>55</v>
      </c>
      <c r="Z65" s="177" t="s">
        <v>86</v>
      </c>
      <c r="AA65" s="177" t="s">
        <v>47</v>
      </c>
      <c r="AB65" s="39" t="s">
        <v>327</v>
      </c>
    </row>
    <row r="66" spans="1:28" x14ac:dyDescent="0.15">
      <c r="A66" s="15" t="s">
        <v>324</v>
      </c>
      <c r="B66" s="15" t="s">
        <v>325</v>
      </c>
      <c r="C66" s="15">
        <v>2018</v>
      </c>
      <c r="D66" s="37" t="s">
        <v>329</v>
      </c>
      <c r="E66" s="7" t="s">
        <v>141</v>
      </c>
      <c r="F66" s="7" t="s">
        <v>150</v>
      </c>
      <c r="G66" s="7" t="s">
        <v>36</v>
      </c>
      <c r="H66" s="177" t="s">
        <v>221</v>
      </c>
      <c r="I66" s="169" t="s">
        <v>155</v>
      </c>
      <c r="J66" s="15" t="s">
        <v>38</v>
      </c>
      <c r="K66" s="7" t="s">
        <v>156</v>
      </c>
      <c r="L66" s="7">
        <v>2</v>
      </c>
      <c r="N66" s="7">
        <v>1</v>
      </c>
      <c r="O66" s="7">
        <v>0.5</v>
      </c>
      <c r="P66" s="7">
        <v>0.5</v>
      </c>
      <c r="Q66" s="52">
        <f t="shared" ref="Q66:Q77" si="4">IF(OR(O66="",P66=""),"",AVERAGE(O66,P66))</f>
        <v>0.5</v>
      </c>
      <c r="R66" s="7">
        <v>17.8</v>
      </c>
      <c r="S66" s="7">
        <v>92</v>
      </c>
      <c r="T66" s="16">
        <f t="shared" si="3"/>
        <v>36</v>
      </c>
      <c r="U66" s="169">
        <v>59</v>
      </c>
      <c r="V66" s="16">
        <f t="shared" ref="V66:V70" si="5">IF(OR(N66="",U66="",T66=""),"",U66/N66*T66)</f>
        <v>2124</v>
      </c>
      <c r="W66" s="7">
        <v>7</v>
      </c>
      <c r="X66" s="177" t="s">
        <v>46</v>
      </c>
      <c r="Y66" s="177" t="s">
        <v>55</v>
      </c>
      <c r="Z66" s="177" t="s">
        <v>86</v>
      </c>
      <c r="AA66" s="177" t="s">
        <v>47</v>
      </c>
      <c r="AB66" s="39" t="s">
        <v>327</v>
      </c>
    </row>
    <row r="67" spans="1:28" x14ac:dyDescent="0.15">
      <c r="A67" s="15" t="s">
        <v>324</v>
      </c>
      <c r="B67" s="15" t="s">
        <v>325</v>
      </c>
      <c r="C67" s="15">
        <v>2018</v>
      </c>
      <c r="D67" s="37" t="s">
        <v>329</v>
      </c>
      <c r="E67" s="7" t="s">
        <v>141</v>
      </c>
      <c r="F67" s="7" t="s">
        <v>150</v>
      </c>
      <c r="G67" s="7" t="s">
        <v>36</v>
      </c>
      <c r="H67" s="177" t="s">
        <v>221</v>
      </c>
      <c r="I67" s="169" t="s">
        <v>155</v>
      </c>
      <c r="J67" s="15" t="s">
        <v>38</v>
      </c>
      <c r="K67" s="7" t="s">
        <v>156</v>
      </c>
      <c r="L67" s="7">
        <v>3</v>
      </c>
      <c r="N67" s="7">
        <v>1</v>
      </c>
      <c r="O67" s="7">
        <v>0.5</v>
      </c>
      <c r="P67" s="7">
        <v>0.5</v>
      </c>
      <c r="Q67" s="52">
        <f t="shared" si="4"/>
        <v>0.5</v>
      </c>
      <c r="R67" s="7">
        <v>18</v>
      </c>
      <c r="S67" s="7">
        <v>90</v>
      </c>
      <c r="T67" s="16">
        <f t="shared" si="3"/>
        <v>36</v>
      </c>
      <c r="U67" s="169">
        <v>59</v>
      </c>
      <c r="V67" s="16">
        <f t="shared" si="5"/>
        <v>2124</v>
      </c>
      <c r="W67" s="7">
        <v>7</v>
      </c>
      <c r="X67" s="177" t="s">
        <v>46</v>
      </c>
      <c r="Y67" s="177" t="s">
        <v>55</v>
      </c>
      <c r="Z67" s="177" t="s">
        <v>86</v>
      </c>
      <c r="AA67" s="177" t="s">
        <v>47</v>
      </c>
      <c r="AB67" s="39" t="s">
        <v>327</v>
      </c>
    </row>
    <row r="68" spans="1:28" x14ac:dyDescent="0.15">
      <c r="A68" s="15" t="s">
        <v>324</v>
      </c>
      <c r="B68" s="15" t="s">
        <v>325</v>
      </c>
      <c r="C68" s="15">
        <v>2018</v>
      </c>
      <c r="D68" s="37" t="s">
        <v>329</v>
      </c>
      <c r="E68" s="7" t="s">
        <v>141</v>
      </c>
      <c r="F68" s="7" t="s">
        <v>150</v>
      </c>
      <c r="G68" s="7" t="s">
        <v>36</v>
      </c>
      <c r="H68" s="15" t="s">
        <v>167</v>
      </c>
      <c r="I68" s="169" t="s">
        <v>155</v>
      </c>
      <c r="J68" s="15" t="s">
        <v>38</v>
      </c>
      <c r="K68" s="7" t="s">
        <v>156</v>
      </c>
      <c r="L68" s="7">
        <v>1</v>
      </c>
      <c r="N68" s="7">
        <v>1</v>
      </c>
      <c r="O68" s="7">
        <v>0.5</v>
      </c>
      <c r="P68" s="7">
        <v>0.5</v>
      </c>
      <c r="Q68" s="52">
        <f t="shared" si="4"/>
        <v>0.5</v>
      </c>
      <c r="R68" s="7">
        <v>16.600000000000001</v>
      </c>
      <c r="S68" s="7">
        <v>146</v>
      </c>
      <c r="T68" s="16">
        <f t="shared" si="3"/>
        <v>22</v>
      </c>
      <c r="U68" s="7">
        <v>167</v>
      </c>
      <c r="V68" s="16">
        <f t="shared" si="5"/>
        <v>3674</v>
      </c>
      <c r="W68" s="7">
        <v>7</v>
      </c>
      <c r="X68" s="177" t="s">
        <v>46</v>
      </c>
      <c r="Y68" s="177" t="s">
        <v>55</v>
      </c>
      <c r="Z68" s="177" t="s">
        <v>86</v>
      </c>
      <c r="AA68" s="177" t="s">
        <v>47</v>
      </c>
      <c r="AB68" s="39" t="s">
        <v>327</v>
      </c>
    </row>
    <row r="69" spans="1:28" x14ac:dyDescent="0.15">
      <c r="A69" s="15" t="s">
        <v>324</v>
      </c>
      <c r="B69" s="15" t="s">
        <v>325</v>
      </c>
      <c r="C69" s="15">
        <v>2018</v>
      </c>
      <c r="D69" s="37" t="s">
        <v>329</v>
      </c>
      <c r="E69" s="7" t="s">
        <v>141</v>
      </c>
      <c r="F69" s="7" t="s">
        <v>150</v>
      </c>
      <c r="G69" s="7" t="s">
        <v>36</v>
      </c>
      <c r="H69" s="177" t="s">
        <v>167</v>
      </c>
      <c r="I69" s="169" t="s">
        <v>155</v>
      </c>
      <c r="J69" s="15" t="s">
        <v>38</v>
      </c>
      <c r="K69" s="7" t="s">
        <v>156</v>
      </c>
      <c r="L69" s="7">
        <v>2</v>
      </c>
      <c r="N69" s="169">
        <v>1</v>
      </c>
      <c r="O69" s="7">
        <v>0.5</v>
      </c>
      <c r="P69" s="7">
        <v>0.55000000000000004</v>
      </c>
      <c r="Q69" s="52">
        <f t="shared" si="4"/>
        <v>0.52500000000000002</v>
      </c>
      <c r="R69" s="7">
        <v>18.2</v>
      </c>
      <c r="S69" s="7">
        <v>146</v>
      </c>
      <c r="T69" s="16">
        <f t="shared" si="3"/>
        <v>22</v>
      </c>
      <c r="U69" s="169">
        <v>167</v>
      </c>
      <c r="V69" s="16">
        <f t="shared" si="5"/>
        <v>3674</v>
      </c>
      <c r="W69" s="7">
        <v>7</v>
      </c>
      <c r="X69" s="177" t="s">
        <v>46</v>
      </c>
      <c r="Y69" s="177" t="s">
        <v>55</v>
      </c>
      <c r="Z69" s="177" t="s">
        <v>86</v>
      </c>
      <c r="AA69" s="177" t="s">
        <v>47</v>
      </c>
      <c r="AB69" s="39" t="s">
        <v>327</v>
      </c>
    </row>
    <row r="70" spans="1:28" x14ac:dyDescent="0.15">
      <c r="A70" s="15" t="s">
        <v>324</v>
      </c>
      <c r="B70" s="15" t="s">
        <v>325</v>
      </c>
      <c r="C70" s="15">
        <v>2018</v>
      </c>
      <c r="D70" s="37" t="s">
        <v>329</v>
      </c>
      <c r="E70" s="7" t="s">
        <v>141</v>
      </c>
      <c r="F70" s="7" t="s">
        <v>150</v>
      </c>
      <c r="G70" s="7" t="s">
        <v>36</v>
      </c>
      <c r="H70" s="177" t="s">
        <v>167</v>
      </c>
      <c r="I70" s="169" t="s">
        <v>155</v>
      </c>
      <c r="J70" s="15" t="s">
        <v>38</v>
      </c>
      <c r="K70" s="7" t="s">
        <v>156</v>
      </c>
      <c r="L70" s="7">
        <v>3</v>
      </c>
      <c r="N70" s="169">
        <v>1</v>
      </c>
      <c r="O70" s="7">
        <v>0.55000000000000004</v>
      </c>
      <c r="P70" s="7">
        <v>0.5</v>
      </c>
      <c r="Q70" s="52">
        <f t="shared" si="4"/>
        <v>0.52500000000000002</v>
      </c>
      <c r="R70" s="7">
        <v>15.4</v>
      </c>
      <c r="S70" s="7">
        <v>136</v>
      </c>
      <c r="T70" s="16">
        <f t="shared" si="3"/>
        <v>25</v>
      </c>
      <c r="U70" s="169">
        <v>167</v>
      </c>
      <c r="V70" s="16">
        <f t="shared" si="5"/>
        <v>4175</v>
      </c>
      <c r="W70" s="7">
        <v>7</v>
      </c>
      <c r="X70" s="177" t="s">
        <v>46</v>
      </c>
      <c r="Y70" s="177" t="s">
        <v>55</v>
      </c>
      <c r="Z70" s="177" t="s">
        <v>86</v>
      </c>
      <c r="AA70" s="177" t="s">
        <v>47</v>
      </c>
      <c r="AB70" s="39" t="s">
        <v>327</v>
      </c>
    </row>
    <row r="71" spans="1:28" x14ac:dyDescent="0.15">
      <c r="A71" s="15"/>
      <c r="B71" s="15"/>
      <c r="C71" s="15"/>
      <c r="D71" s="37"/>
      <c r="H71" s="15"/>
      <c r="I71" s="169"/>
      <c r="J71" s="15"/>
      <c r="N71" s="169"/>
      <c r="Q71" s="52" t="str">
        <f t="shared" si="4"/>
        <v/>
      </c>
      <c r="T71" s="16" t="str">
        <f t="shared" si="3"/>
        <v/>
      </c>
      <c r="V71" s="16" t="str">
        <f>IF(OR(N71="",U71="",T71=""),"",U71/N71*T71)</f>
        <v/>
      </c>
      <c r="X71" s="15"/>
      <c r="Y71" s="15"/>
      <c r="Z71" s="15"/>
      <c r="AA71" s="15"/>
      <c r="AB71" s="39"/>
    </row>
    <row r="72" spans="1:28" x14ac:dyDescent="0.15">
      <c r="A72" s="15"/>
      <c r="B72" s="15"/>
      <c r="C72" s="15"/>
      <c r="D72" s="37"/>
      <c r="H72" s="177"/>
      <c r="I72" s="169"/>
      <c r="J72" s="177"/>
      <c r="K72" s="169"/>
      <c r="N72" s="169"/>
      <c r="Q72" s="52" t="str">
        <f t="shared" si="4"/>
        <v/>
      </c>
      <c r="T72" s="16" t="str">
        <f t="shared" si="3"/>
        <v/>
      </c>
      <c r="U72" s="169"/>
      <c r="V72" s="16" t="str">
        <f t="shared" ref="V72:V74" si="6">IF(OR(N72="",U72="",T72=""),"",U72/N72*T72)</f>
        <v/>
      </c>
      <c r="X72" s="15"/>
      <c r="Y72" s="177"/>
      <c r="Z72" s="177"/>
      <c r="AA72" s="177"/>
      <c r="AB72" s="39"/>
    </row>
    <row r="73" spans="1:28" x14ac:dyDescent="0.15">
      <c r="A73" s="15"/>
      <c r="B73" s="15"/>
      <c r="C73" s="15"/>
      <c r="D73" s="37"/>
      <c r="H73" s="177"/>
      <c r="I73" s="169"/>
      <c r="J73" s="177"/>
      <c r="K73" s="169"/>
      <c r="N73" s="169"/>
      <c r="Q73" s="52" t="str">
        <f t="shared" si="4"/>
        <v/>
      </c>
      <c r="T73" s="16" t="str">
        <f t="shared" si="3"/>
        <v/>
      </c>
      <c r="U73" s="169"/>
      <c r="V73" s="16" t="str">
        <f>IF(OR(N73="",U73="",T73=""),"",U73/N73*T73)</f>
        <v/>
      </c>
      <c r="X73" s="15"/>
      <c r="Y73" s="177"/>
      <c r="Z73" s="177"/>
      <c r="AA73" s="177"/>
      <c r="AB73" s="39"/>
    </row>
    <row r="74" spans="1:28" x14ac:dyDescent="0.15">
      <c r="A74" s="15"/>
      <c r="B74" s="15"/>
      <c r="C74" s="15"/>
      <c r="D74" s="37"/>
      <c r="H74" s="15"/>
      <c r="I74" s="169"/>
      <c r="J74" s="15"/>
      <c r="N74" s="169"/>
      <c r="Q74" s="52" t="str">
        <f t="shared" si="4"/>
        <v/>
      </c>
      <c r="T74" s="16" t="str">
        <f t="shared" si="3"/>
        <v/>
      </c>
      <c r="V74" s="16" t="str">
        <f t="shared" si="6"/>
        <v/>
      </c>
      <c r="X74" s="15"/>
      <c r="Y74" s="177"/>
      <c r="Z74" s="177"/>
      <c r="AA74" s="177"/>
      <c r="AB74" s="39"/>
    </row>
    <row r="75" spans="1:28" x14ac:dyDescent="0.15">
      <c r="A75" s="15"/>
      <c r="B75" s="15"/>
      <c r="C75" s="15"/>
      <c r="D75" s="37"/>
      <c r="H75" s="177"/>
      <c r="I75" s="169"/>
      <c r="J75" s="15"/>
      <c r="N75" s="169"/>
      <c r="Q75" s="52" t="str">
        <f t="shared" si="4"/>
        <v/>
      </c>
      <c r="T75" s="16" t="str">
        <f t="shared" si="3"/>
        <v/>
      </c>
      <c r="U75" s="169"/>
      <c r="V75" s="16" t="str">
        <f>IF(OR(N75="",U75="",T75=""),"",U75/N75*T75)</f>
        <v/>
      </c>
      <c r="X75" s="15"/>
      <c r="Y75" s="177"/>
      <c r="Z75" s="177"/>
      <c r="AA75" s="177"/>
      <c r="AB75" s="39"/>
    </row>
    <row r="76" spans="1:28" x14ac:dyDescent="0.15">
      <c r="A76" s="15"/>
      <c r="B76" s="15"/>
      <c r="C76" s="15"/>
      <c r="D76" s="37"/>
      <c r="H76" s="177"/>
      <c r="I76" s="169"/>
      <c r="J76" s="15"/>
      <c r="N76" s="169"/>
      <c r="Q76" s="52" t="str">
        <f t="shared" si="4"/>
        <v/>
      </c>
      <c r="T76" s="16" t="str">
        <f t="shared" si="3"/>
        <v/>
      </c>
      <c r="U76" s="169"/>
      <c r="V76" s="16" t="str">
        <f>IF(OR(N76="",U76="",T76=""),"",U76/N76*T76)</f>
        <v/>
      </c>
      <c r="X76" s="15"/>
      <c r="Y76" s="177"/>
      <c r="Z76" s="177"/>
      <c r="AA76" s="177"/>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63"/>
  <sheetViews>
    <sheetView zoomScale="70" zoomScaleNormal="70" workbookViewId="0">
      <selection activeCell="AB77" sqref="AB77"/>
    </sheetView>
  </sheetViews>
  <sheetFormatPr defaultColWidth="9" defaultRowHeight="13.5" x14ac:dyDescent="0.15"/>
  <cols>
    <col min="1" max="3" width="9" style="198"/>
    <col min="4" max="4" width="11" style="198" bestFit="1" customWidth="1"/>
    <col min="5" max="5" width="10.875" style="198" bestFit="1" customWidth="1"/>
    <col min="6" max="16" width="9" style="198"/>
    <col min="17" max="17" width="9" style="57"/>
    <col min="18" max="18" width="9" style="198"/>
    <col min="19" max="19" width="11.625" style="198" bestFit="1" customWidth="1"/>
    <col min="20" max="20" width="9" style="57"/>
    <col min="21" max="21" width="9" style="198"/>
    <col min="22" max="22" width="9" style="58"/>
    <col min="23" max="32" width="9" style="198"/>
    <col min="33" max="33" width="14.375" style="198" bestFit="1" customWidth="1"/>
    <col min="34" max="34" width="11.375" style="198" bestFit="1" customWidth="1"/>
    <col min="35" max="16384" width="9" style="198"/>
  </cols>
  <sheetData>
    <row r="1" spans="1:53" ht="45" x14ac:dyDescent="0.15">
      <c r="A1" s="201" t="s">
        <v>0</v>
      </c>
      <c r="B1" s="163" t="s">
        <v>1</v>
      </c>
      <c r="C1" s="163" t="s">
        <v>159</v>
      </c>
      <c r="D1" s="164" t="s">
        <v>3</v>
      </c>
      <c r="E1" s="202" t="s">
        <v>4</v>
      </c>
      <c r="F1" s="202" t="s">
        <v>5</v>
      </c>
      <c r="G1" s="202" t="s">
        <v>6</v>
      </c>
      <c r="H1" s="202" t="s">
        <v>7</v>
      </c>
      <c r="I1" s="202" t="s">
        <v>8</v>
      </c>
      <c r="J1" s="202" t="s">
        <v>9</v>
      </c>
      <c r="K1" s="202" t="s">
        <v>10</v>
      </c>
      <c r="L1" s="164" t="s">
        <v>160</v>
      </c>
      <c r="M1" s="164" t="s">
        <v>12</v>
      </c>
      <c r="N1" s="164" t="s">
        <v>13</v>
      </c>
      <c r="O1" s="164" t="s">
        <v>161</v>
      </c>
      <c r="P1" s="164" t="s">
        <v>15</v>
      </c>
      <c r="Q1" s="53" t="s">
        <v>16</v>
      </c>
      <c r="R1" s="164" t="s">
        <v>17</v>
      </c>
      <c r="S1" s="164" t="s">
        <v>18</v>
      </c>
      <c r="T1" s="53" t="s">
        <v>19</v>
      </c>
      <c r="U1" s="166" t="s">
        <v>108</v>
      </c>
      <c r="V1" s="54" t="s">
        <v>20</v>
      </c>
      <c r="W1" s="164" t="s">
        <v>21</v>
      </c>
      <c r="X1" s="202" t="s">
        <v>22</v>
      </c>
      <c r="Y1" s="202" t="s">
        <v>23</v>
      </c>
      <c r="Z1" s="202" t="s">
        <v>24</v>
      </c>
      <c r="AA1" s="202" t="s">
        <v>25</v>
      </c>
      <c r="AB1" s="203" t="s">
        <v>162</v>
      </c>
      <c r="AE1" s="170" t="s">
        <v>0</v>
      </c>
      <c r="AF1" s="171"/>
      <c r="AG1" s="170" t="s">
        <v>4</v>
      </c>
      <c r="AH1" s="170" t="s">
        <v>5</v>
      </c>
      <c r="AI1" s="171"/>
      <c r="AJ1" s="170" t="s">
        <v>6</v>
      </c>
      <c r="AK1" s="171"/>
      <c r="AL1" s="172" t="s">
        <v>7</v>
      </c>
      <c r="AM1" s="171"/>
      <c r="AN1" s="172" t="s">
        <v>8</v>
      </c>
      <c r="AO1" s="171"/>
      <c r="AP1" s="172" t="s">
        <v>27</v>
      </c>
      <c r="AQ1" s="171"/>
      <c r="AR1" s="172" t="s">
        <v>10</v>
      </c>
      <c r="AS1" s="171"/>
      <c r="AT1" s="173" t="s">
        <v>28</v>
      </c>
      <c r="AU1" s="171"/>
      <c r="AV1" s="172" t="s">
        <v>29</v>
      </c>
      <c r="AX1" s="174" t="s">
        <v>163</v>
      </c>
      <c r="AY1" s="175" t="s">
        <v>164</v>
      </c>
      <c r="AZ1" s="175" t="s">
        <v>165</v>
      </c>
      <c r="BA1" s="176" t="s">
        <v>166</v>
      </c>
    </row>
    <row r="2" spans="1:53" s="55" customFormat="1" x14ac:dyDescent="0.15">
      <c r="A2" s="55" t="s">
        <v>41</v>
      </c>
      <c r="B2" s="198" t="s">
        <v>325</v>
      </c>
      <c r="C2" s="139">
        <v>2018</v>
      </c>
      <c r="D2" s="56" t="s">
        <v>331</v>
      </c>
      <c r="E2" s="198" t="s">
        <v>133</v>
      </c>
      <c r="F2" s="198" t="s">
        <v>284</v>
      </c>
      <c r="G2" s="55" t="s">
        <v>42</v>
      </c>
      <c r="H2" s="55" t="s">
        <v>221</v>
      </c>
      <c r="I2" s="55" t="s">
        <v>155</v>
      </c>
      <c r="J2" s="55" t="s">
        <v>38</v>
      </c>
      <c r="K2" s="55" t="s">
        <v>156</v>
      </c>
      <c r="L2" s="198">
        <v>1</v>
      </c>
      <c r="M2" s="198"/>
      <c r="N2" s="55">
        <v>1</v>
      </c>
      <c r="O2" s="55">
        <v>0.2</v>
      </c>
      <c r="P2" s="217">
        <v>0.15</v>
      </c>
      <c r="Q2" s="218">
        <f t="shared" ref="Q2:Q65" si="0">IF(OR(O2="",P2=""),"",AVERAGE(O2,P2))</f>
        <v>0.17499999999999999</v>
      </c>
      <c r="R2" s="55">
        <v>12.4</v>
      </c>
      <c r="S2" s="55">
        <v>100</v>
      </c>
      <c r="T2" s="57">
        <f t="shared" ref="T2:T65" si="1">IF(H2="","",IF(OR(H2="GREEN",H2="GK"),IF(S2&gt;=$AX$2,VLOOKUP(S2,$AX$2:$AY$10,2,1),""),IF(S2&gt;=$AZ$2,VLOOKUP(S2,$AZ$2:$BA$10,2,1),"")))</f>
        <v>33</v>
      </c>
      <c r="U2" s="198">
        <v>105</v>
      </c>
      <c r="V2" s="58">
        <f t="shared" ref="V2:V65" si="2">IF(OR(N2="",U2="",T2=""),"",U2/N2*T2)</f>
        <v>3465</v>
      </c>
      <c r="W2" s="198">
        <v>5</v>
      </c>
      <c r="X2" s="55" t="s">
        <v>46</v>
      </c>
      <c r="Y2" s="55" t="s">
        <v>55</v>
      </c>
      <c r="Z2" s="55" t="s">
        <v>69</v>
      </c>
      <c r="AA2" s="55" t="s">
        <v>106</v>
      </c>
      <c r="AB2" s="39" t="s">
        <v>328</v>
      </c>
      <c r="AE2" s="179" t="s">
        <v>35</v>
      </c>
      <c r="AG2" s="59" t="s">
        <v>133</v>
      </c>
      <c r="AH2" s="60" t="s">
        <v>284</v>
      </c>
      <c r="AJ2" s="204" t="s">
        <v>36</v>
      </c>
      <c r="AL2" s="204" t="s">
        <v>127</v>
      </c>
      <c r="AN2" s="204" t="s">
        <v>37</v>
      </c>
      <c r="AP2" s="204" t="s">
        <v>38</v>
      </c>
      <c r="AR2" s="204" t="s">
        <v>120</v>
      </c>
      <c r="AT2" s="204" t="s">
        <v>39</v>
      </c>
      <c r="AV2" s="204" t="s">
        <v>40</v>
      </c>
      <c r="AX2" s="61">
        <v>1</v>
      </c>
      <c r="AY2" s="62">
        <v>50</v>
      </c>
      <c r="AZ2" s="62">
        <v>1</v>
      </c>
      <c r="BA2" s="63">
        <v>50</v>
      </c>
    </row>
    <row r="3" spans="1:53" x14ac:dyDescent="0.15">
      <c r="A3" s="55" t="s">
        <v>41</v>
      </c>
      <c r="B3" s="198" t="s">
        <v>325</v>
      </c>
      <c r="C3" s="139">
        <v>2018</v>
      </c>
      <c r="D3" s="56" t="s">
        <v>331</v>
      </c>
      <c r="E3" s="198" t="s">
        <v>133</v>
      </c>
      <c r="F3" s="198" t="s">
        <v>284</v>
      </c>
      <c r="G3" s="55" t="s">
        <v>42</v>
      </c>
      <c r="H3" s="55" t="s">
        <v>221</v>
      </c>
      <c r="I3" s="55" t="s">
        <v>155</v>
      </c>
      <c r="J3" s="55" t="s">
        <v>38</v>
      </c>
      <c r="K3" s="55" t="s">
        <v>156</v>
      </c>
      <c r="L3" s="198">
        <v>2</v>
      </c>
      <c r="N3" s="55">
        <v>1</v>
      </c>
      <c r="O3" s="55">
        <v>0.15</v>
      </c>
      <c r="P3" s="55">
        <v>0.2</v>
      </c>
      <c r="Q3" s="218">
        <f t="shared" si="0"/>
        <v>0.17499999999999999</v>
      </c>
      <c r="R3" s="55">
        <v>15.8</v>
      </c>
      <c r="S3" s="55">
        <v>105</v>
      </c>
      <c r="T3" s="57">
        <f t="shared" si="1"/>
        <v>33</v>
      </c>
      <c r="U3" s="198">
        <v>105</v>
      </c>
      <c r="V3" s="58">
        <f t="shared" si="2"/>
        <v>3465</v>
      </c>
      <c r="W3" s="198">
        <v>5</v>
      </c>
      <c r="X3" s="55" t="s">
        <v>46</v>
      </c>
      <c r="Y3" s="55" t="s">
        <v>55</v>
      </c>
      <c r="Z3" s="55" t="s">
        <v>69</v>
      </c>
      <c r="AA3" s="55" t="s">
        <v>106</v>
      </c>
      <c r="AB3" s="39" t="s">
        <v>328</v>
      </c>
      <c r="AE3" s="184" t="s">
        <v>41</v>
      </c>
      <c r="AG3" s="64" t="s">
        <v>279</v>
      </c>
      <c r="AH3" s="64" t="s">
        <v>284</v>
      </c>
      <c r="AJ3" s="65" t="s">
        <v>42</v>
      </c>
      <c r="AL3" s="65" t="s">
        <v>128</v>
      </c>
      <c r="AN3" s="65" t="s">
        <v>43</v>
      </c>
      <c r="AP3" s="65" t="s">
        <v>44</v>
      </c>
      <c r="AR3" s="192" t="s">
        <v>45</v>
      </c>
      <c r="AT3" s="65" t="s">
        <v>46</v>
      </c>
      <c r="AV3" s="65" t="s">
        <v>47</v>
      </c>
      <c r="AX3" s="66">
        <v>72</v>
      </c>
      <c r="AY3" s="67">
        <v>46</v>
      </c>
      <c r="AZ3" s="67">
        <v>71</v>
      </c>
      <c r="BA3" s="68">
        <v>42</v>
      </c>
    </row>
    <row r="4" spans="1:53" x14ac:dyDescent="0.15">
      <c r="A4" s="55" t="s">
        <v>41</v>
      </c>
      <c r="B4" s="198" t="s">
        <v>325</v>
      </c>
      <c r="C4" s="139">
        <v>2018</v>
      </c>
      <c r="D4" s="56" t="s">
        <v>332</v>
      </c>
      <c r="E4" s="198" t="s">
        <v>133</v>
      </c>
      <c r="F4" s="198" t="s">
        <v>284</v>
      </c>
      <c r="G4" s="55" t="s">
        <v>42</v>
      </c>
      <c r="H4" s="55" t="s">
        <v>221</v>
      </c>
      <c r="I4" s="55" t="s">
        <v>155</v>
      </c>
      <c r="J4" s="55" t="s">
        <v>38</v>
      </c>
      <c r="K4" s="55" t="s">
        <v>156</v>
      </c>
      <c r="L4" s="198">
        <v>3</v>
      </c>
      <c r="N4" s="55">
        <v>1</v>
      </c>
      <c r="O4" s="55">
        <v>0.2</v>
      </c>
      <c r="P4" s="55">
        <v>0.25</v>
      </c>
      <c r="Q4" s="218">
        <f t="shared" si="0"/>
        <v>0.22500000000000001</v>
      </c>
      <c r="R4" s="55">
        <v>16.100000000000001</v>
      </c>
      <c r="S4" s="55">
        <v>98</v>
      </c>
      <c r="T4" s="57">
        <f t="shared" si="1"/>
        <v>36</v>
      </c>
      <c r="U4" s="198">
        <v>105</v>
      </c>
      <c r="V4" s="58">
        <f t="shared" si="2"/>
        <v>3780</v>
      </c>
      <c r="W4" s="198">
        <v>5</v>
      </c>
      <c r="X4" s="55" t="s">
        <v>46</v>
      </c>
      <c r="Y4" s="55" t="s">
        <v>55</v>
      </c>
      <c r="Z4" s="55" t="s">
        <v>69</v>
      </c>
      <c r="AA4" s="55" t="s">
        <v>106</v>
      </c>
      <c r="AB4" s="39" t="s">
        <v>328</v>
      </c>
      <c r="AE4" s="184" t="s">
        <v>34</v>
      </c>
      <c r="AG4" s="64" t="s">
        <v>279</v>
      </c>
      <c r="AH4" s="64" t="s">
        <v>285</v>
      </c>
      <c r="AJ4" s="69" t="s">
        <v>48</v>
      </c>
      <c r="AL4" s="69" t="s">
        <v>129</v>
      </c>
      <c r="AN4" s="205" t="s">
        <v>49</v>
      </c>
      <c r="AP4" s="65" t="s">
        <v>93</v>
      </c>
      <c r="AR4" s="192" t="s">
        <v>121</v>
      </c>
      <c r="AT4" s="205"/>
      <c r="AV4" s="65" t="s">
        <v>50</v>
      </c>
      <c r="AX4" s="66">
        <v>75</v>
      </c>
      <c r="AY4" s="67">
        <v>42</v>
      </c>
      <c r="AZ4" s="67">
        <v>76</v>
      </c>
      <c r="BA4" s="68">
        <v>39</v>
      </c>
    </row>
    <row r="5" spans="1:53" s="55" customFormat="1" ht="13.5" customHeight="1" x14ac:dyDescent="0.15">
      <c r="A5" s="55" t="s">
        <v>41</v>
      </c>
      <c r="B5" s="198" t="s">
        <v>325</v>
      </c>
      <c r="C5" s="139">
        <v>2018</v>
      </c>
      <c r="D5" s="56" t="s">
        <v>332</v>
      </c>
      <c r="E5" s="198" t="s">
        <v>133</v>
      </c>
      <c r="F5" s="198" t="s">
        <v>284</v>
      </c>
      <c r="G5" s="55" t="s">
        <v>42</v>
      </c>
      <c r="H5" s="55" t="s">
        <v>221</v>
      </c>
      <c r="I5" s="55" t="s">
        <v>155</v>
      </c>
      <c r="J5" s="55" t="s">
        <v>38</v>
      </c>
      <c r="K5" s="55" t="s">
        <v>156</v>
      </c>
      <c r="L5" s="198">
        <v>1</v>
      </c>
      <c r="M5" s="198"/>
      <c r="N5" s="198">
        <v>8</v>
      </c>
      <c r="O5" s="55">
        <v>0.7</v>
      </c>
      <c r="P5" s="55">
        <v>0.6</v>
      </c>
      <c r="Q5" s="82">
        <f t="shared" si="0"/>
        <v>0.64999999999999991</v>
      </c>
      <c r="R5" s="55">
        <v>120</v>
      </c>
      <c r="S5" s="55">
        <v>97</v>
      </c>
      <c r="T5" s="57">
        <f t="shared" si="1"/>
        <v>36</v>
      </c>
      <c r="U5" s="198">
        <v>753</v>
      </c>
      <c r="V5" s="58">
        <f t="shared" si="2"/>
        <v>3388.5</v>
      </c>
      <c r="W5" s="198">
        <v>3</v>
      </c>
      <c r="X5" s="55" t="s">
        <v>46</v>
      </c>
      <c r="Y5" s="55" t="s">
        <v>55</v>
      </c>
      <c r="Z5" s="55" t="s">
        <v>69</v>
      </c>
      <c r="AA5" s="55" t="s">
        <v>106</v>
      </c>
      <c r="AB5" s="39" t="s">
        <v>328</v>
      </c>
      <c r="AC5" s="198"/>
      <c r="AD5" s="198"/>
      <c r="AE5" s="70" t="s">
        <v>168</v>
      </c>
      <c r="AG5" s="64" t="s">
        <v>280</v>
      </c>
      <c r="AH5" s="64" t="s">
        <v>284</v>
      </c>
      <c r="AJ5" s="71"/>
      <c r="AL5" s="72" t="s">
        <v>169</v>
      </c>
      <c r="AN5" s="72" t="s">
        <v>170</v>
      </c>
      <c r="AP5" s="192" t="s">
        <v>119</v>
      </c>
      <c r="AR5" s="192" t="s">
        <v>54</v>
      </c>
      <c r="AV5" s="192" t="s">
        <v>55</v>
      </c>
      <c r="AX5" s="73">
        <v>84</v>
      </c>
      <c r="AY5" s="74">
        <v>39</v>
      </c>
      <c r="AZ5" s="74">
        <v>84</v>
      </c>
      <c r="BA5" s="75">
        <v>36</v>
      </c>
    </row>
    <row r="6" spans="1:53" x14ac:dyDescent="0.15">
      <c r="A6" s="55" t="s">
        <v>41</v>
      </c>
      <c r="B6" s="198" t="s">
        <v>325</v>
      </c>
      <c r="C6" s="139">
        <v>2018</v>
      </c>
      <c r="D6" s="56" t="s">
        <v>332</v>
      </c>
      <c r="E6" s="198" t="s">
        <v>133</v>
      </c>
      <c r="F6" s="198" t="s">
        <v>284</v>
      </c>
      <c r="G6" s="55" t="s">
        <v>42</v>
      </c>
      <c r="H6" s="55" t="s">
        <v>221</v>
      </c>
      <c r="I6" s="55" t="s">
        <v>155</v>
      </c>
      <c r="J6" s="55" t="s">
        <v>38</v>
      </c>
      <c r="K6" s="55" t="s">
        <v>156</v>
      </c>
      <c r="L6" s="198">
        <v>2</v>
      </c>
      <c r="N6" s="198">
        <v>8</v>
      </c>
      <c r="O6" s="55">
        <v>0.75</v>
      </c>
      <c r="P6" s="55">
        <v>0.6</v>
      </c>
      <c r="Q6" s="82">
        <f t="shared" si="0"/>
        <v>0.67500000000000004</v>
      </c>
      <c r="R6" s="55">
        <v>13.9</v>
      </c>
      <c r="S6" s="55">
        <v>95</v>
      </c>
      <c r="T6" s="57">
        <f t="shared" si="1"/>
        <v>36</v>
      </c>
      <c r="U6" s="198">
        <v>753</v>
      </c>
      <c r="V6" s="58">
        <f t="shared" si="2"/>
        <v>3388.5</v>
      </c>
      <c r="W6" s="198">
        <v>3</v>
      </c>
      <c r="X6" s="55" t="s">
        <v>46</v>
      </c>
      <c r="Y6" s="55" t="s">
        <v>55</v>
      </c>
      <c r="Z6" s="55" t="s">
        <v>69</v>
      </c>
      <c r="AA6" s="55" t="s">
        <v>106</v>
      </c>
      <c r="AB6" s="39" t="s">
        <v>328</v>
      </c>
      <c r="AE6" s="184" t="s">
        <v>56</v>
      </c>
      <c r="AG6" s="64" t="s">
        <v>280</v>
      </c>
      <c r="AH6" s="64" t="s">
        <v>286</v>
      </c>
      <c r="AL6" s="72" t="s">
        <v>99</v>
      </c>
      <c r="AN6" s="72" t="s">
        <v>171</v>
      </c>
      <c r="AP6" s="65" t="s">
        <v>53</v>
      </c>
      <c r="AR6" s="192" t="s">
        <v>59</v>
      </c>
      <c r="AV6" s="65" t="s">
        <v>60</v>
      </c>
      <c r="AX6" s="66">
        <v>97</v>
      </c>
      <c r="AY6" s="67">
        <v>36</v>
      </c>
      <c r="AZ6" s="67">
        <v>99</v>
      </c>
      <c r="BA6" s="68">
        <v>33</v>
      </c>
    </row>
    <row r="7" spans="1:53" x14ac:dyDescent="0.15">
      <c r="A7" s="55" t="s">
        <v>41</v>
      </c>
      <c r="B7" s="198" t="s">
        <v>325</v>
      </c>
      <c r="C7" s="139">
        <v>2018</v>
      </c>
      <c r="D7" s="56" t="s">
        <v>332</v>
      </c>
      <c r="E7" s="198" t="s">
        <v>133</v>
      </c>
      <c r="F7" s="198" t="s">
        <v>284</v>
      </c>
      <c r="G7" s="55" t="s">
        <v>42</v>
      </c>
      <c r="H7" s="55" t="s">
        <v>221</v>
      </c>
      <c r="I7" s="55" t="s">
        <v>155</v>
      </c>
      <c r="J7" s="55" t="s">
        <v>38</v>
      </c>
      <c r="K7" s="55" t="s">
        <v>156</v>
      </c>
      <c r="L7" s="198">
        <v>3</v>
      </c>
      <c r="N7" s="198">
        <v>8</v>
      </c>
      <c r="O7" s="55">
        <v>0.6</v>
      </c>
      <c r="P7" s="55">
        <v>0.6</v>
      </c>
      <c r="Q7" s="82">
        <f t="shared" si="0"/>
        <v>0.6</v>
      </c>
      <c r="R7" s="55">
        <v>14.2</v>
      </c>
      <c r="S7" s="55">
        <v>91</v>
      </c>
      <c r="T7" s="57">
        <f t="shared" si="1"/>
        <v>36</v>
      </c>
      <c r="U7" s="198">
        <v>753</v>
      </c>
      <c r="V7" s="58">
        <f t="shared" si="2"/>
        <v>3388.5</v>
      </c>
      <c r="W7" s="198">
        <v>3</v>
      </c>
      <c r="X7" s="55" t="s">
        <v>46</v>
      </c>
      <c r="Y7" s="55" t="s">
        <v>55</v>
      </c>
      <c r="Z7" s="55" t="s">
        <v>69</v>
      </c>
      <c r="AA7" s="55" t="s">
        <v>106</v>
      </c>
      <c r="AB7" s="39" t="s">
        <v>328</v>
      </c>
      <c r="AE7" s="184" t="s">
        <v>61</v>
      </c>
      <c r="AG7" s="64" t="s">
        <v>281</v>
      </c>
      <c r="AH7" s="64" t="s">
        <v>286</v>
      </c>
      <c r="AL7" s="76" t="s">
        <v>172</v>
      </c>
      <c r="AP7" s="65" t="s">
        <v>58</v>
      </c>
      <c r="AR7" s="192" t="s">
        <v>122</v>
      </c>
      <c r="AV7" s="65" t="s">
        <v>64</v>
      </c>
      <c r="AX7" s="66">
        <v>109</v>
      </c>
      <c r="AY7" s="67">
        <v>33</v>
      </c>
      <c r="AZ7" s="67">
        <v>113</v>
      </c>
      <c r="BA7" s="68">
        <v>30</v>
      </c>
    </row>
    <row r="8" spans="1:53" x14ac:dyDescent="0.15">
      <c r="A8" s="55" t="s">
        <v>41</v>
      </c>
      <c r="B8" s="198" t="s">
        <v>325</v>
      </c>
      <c r="C8" s="139">
        <v>2018</v>
      </c>
      <c r="D8" s="56" t="s">
        <v>332</v>
      </c>
      <c r="E8" s="198" t="s">
        <v>133</v>
      </c>
      <c r="F8" s="198" t="s">
        <v>284</v>
      </c>
      <c r="G8" s="55" t="s">
        <v>42</v>
      </c>
      <c r="H8" s="55" t="s">
        <v>167</v>
      </c>
      <c r="I8" s="55" t="s">
        <v>155</v>
      </c>
      <c r="J8" s="55" t="s">
        <v>38</v>
      </c>
      <c r="K8" s="55" t="s">
        <v>156</v>
      </c>
      <c r="L8" s="198">
        <v>1</v>
      </c>
      <c r="M8" s="55"/>
      <c r="N8" s="55">
        <v>1</v>
      </c>
      <c r="O8" s="55">
        <v>0.55000000000000004</v>
      </c>
      <c r="P8" s="55">
        <v>0.45</v>
      </c>
      <c r="Q8" s="82">
        <f t="shared" si="0"/>
        <v>0.5</v>
      </c>
      <c r="R8" s="55">
        <v>14.1</v>
      </c>
      <c r="S8" s="55">
        <v>125</v>
      </c>
      <c r="T8" s="77">
        <f t="shared" si="1"/>
        <v>27</v>
      </c>
      <c r="U8" s="55">
        <v>149</v>
      </c>
      <c r="V8" s="78">
        <f t="shared" si="2"/>
        <v>4023</v>
      </c>
      <c r="W8" s="55">
        <v>8</v>
      </c>
      <c r="X8" s="55" t="s">
        <v>46</v>
      </c>
      <c r="Y8" s="55" t="s">
        <v>55</v>
      </c>
      <c r="Z8" s="55" t="s">
        <v>69</v>
      </c>
      <c r="AA8" s="55" t="s">
        <v>106</v>
      </c>
      <c r="AB8" s="39" t="s">
        <v>328</v>
      </c>
      <c r="AC8" s="55"/>
      <c r="AD8" s="55"/>
      <c r="AE8" s="184" t="s">
        <v>59</v>
      </c>
      <c r="AG8" s="64" t="s">
        <v>282</v>
      </c>
      <c r="AH8" s="64" t="s">
        <v>287</v>
      </c>
      <c r="AL8" s="76" t="s">
        <v>333</v>
      </c>
      <c r="AP8" s="65" t="s">
        <v>62</v>
      </c>
      <c r="AR8" s="192" t="s">
        <v>81</v>
      </c>
      <c r="AV8" s="65" t="s">
        <v>97</v>
      </c>
      <c r="AX8" s="66">
        <v>119</v>
      </c>
      <c r="AY8" s="67">
        <v>30</v>
      </c>
      <c r="AZ8" s="67">
        <v>121</v>
      </c>
      <c r="BA8" s="68">
        <v>27</v>
      </c>
    </row>
    <row r="9" spans="1:53" x14ac:dyDescent="0.15">
      <c r="A9" s="55" t="s">
        <v>41</v>
      </c>
      <c r="B9" s="198" t="s">
        <v>325</v>
      </c>
      <c r="C9" s="139">
        <v>2018</v>
      </c>
      <c r="D9" s="56" t="s">
        <v>332</v>
      </c>
      <c r="E9" s="198" t="s">
        <v>133</v>
      </c>
      <c r="F9" s="198" t="s">
        <v>284</v>
      </c>
      <c r="G9" s="55" t="s">
        <v>42</v>
      </c>
      <c r="H9" s="55" t="s">
        <v>167</v>
      </c>
      <c r="I9" s="55" t="s">
        <v>155</v>
      </c>
      <c r="J9" s="55" t="s">
        <v>38</v>
      </c>
      <c r="K9" s="55" t="s">
        <v>156</v>
      </c>
      <c r="L9" s="198">
        <v>2</v>
      </c>
      <c r="N9" s="55">
        <v>1</v>
      </c>
      <c r="O9" s="55">
        <v>0.65</v>
      </c>
      <c r="P9" s="55">
        <v>0.6</v>
      </c>
      <c r="Q9" s="82">
        <f t="shared" si="0"/>
        <v>0.625</v>
      </c>
      <c r="R9" s="55">
        <v>16.8</v>
      </c>
      <c r="S9" s="55">
        <v>121</v>
      </c>
      <c r="T9" s="77">
        <f t="shared" si="1"/>
        <v>27</v>
      </c>
      <c r="U9" s="55">
        <v>149</v>
      </c>
      <c r="V9" s="58">
        <f t="shared" si="2"/>
        <v>4023</v>
      </c>
      <c r="W9" s="198">
        <v>8</v>
      </c>
      <c r="X9" s="55" t="s">
        <v>46</v>
      </c>
      <c r="Y9" s="55" t="s">
        <v>55</v>
      </c>
      <c r="Z9" s="55" t="s">
        <v>69</v>
      </c>
      <c r="AA9" s="55" t="s">
        <v>106</v>
      </c>
      <c r="AB9" s="39" t="s">
        <v>328</v>
      </c>
      <c r="AE9" s="184" t="s">
        <v>98</v>
      </c>
      <c r="AG9" s="64" t="s">
        <v>282</v>
      </c>
      <c r="AH9" s="64" t="s">
        <v>288</v>
      </c>
      <c r="AL9" s="72"/>
      <c r="AP9" s="65" t="s">
        <v>95</v>
      </c>
      <c r="AR9" s="192" t="s">
        <v>89</v>
      </c>
      <c r="AV9" s="65" t="s">
        <v>102</v>
      </c>
      <c r="AX9" s="66">
        <v>128</v>
      </c>
      <c r="AY9" s="67">
        <v>27</v>
      </c>
      <c r="AZ9" s="67">
        <v>129</v>
      </c>
      <c r="BA9" s="68">
        <v>25</v>
      </c>
    </row>
    <row r="10" spans="1:53" x14ac:dyDescent="0.15">
      <c r="A10" s="55" t="s">
        <v>41</v>
      </c>
      <c r="B10" s="198" t="s">
        <v>325</v>
      </c>
      <c r="C10" s="139">
        <v>2018</v>
      </c>
      <c r="D10" s="56" t="s">
        <v>332</v>
      </c>
      <c r="E10" s="198" t="s">
        <v>133</v>
      </c>
      <c r="F10" s="198" t="s">
        <v>284</v>
      </c>
      <c r="G10" s="55" t="s">
        <v>42</v>
      </c>
      <c r="H10" s="55" t="s">
        <v>167</v>
      </c>
      <c r="I10" s="55" t="s">
        <v>155</v>
      </c>
      <c r="J10" s="55" t="s">
        <v>38</v>
      </c>
      <c r="K10" s="55" t="s">
        <v>156</v>
      </c>
      <c r="L10" s="198">
        <v>3</v>
      </c>
      <c r="N10" s="55">
        <v>1</v>
      </c>
      <c r="O10" s="55">
        <v>0.6</v>
      </c>
      <c r="P10" s="55">
        <v>0.6</v>
      </c>
      <c r="Q10" s="82">
        <f t="shared" si="0"/>
        <v>0.6</v>
      </c>
      <c r="R10" s="55">
        <v>13.6</v>
      </c>
      <c r="S10" s="55">
        <v>131</v>
      </c>
      <c r="T10" s="77">
        <f t="shared" si="1"/>
        <v>25</v>
      </c>
      <c r="U10" s="55">
        <v>149</v>
      </c>
      <c r="V10" s="58">
        <f t="shared" si="2"/>
        <v>3725</v>
      </c>
      <c r="W10" s="198">
        <v>8</v>
      </c>
      <c r="X10" s="55" t="s">
        <v>46</v>
      </c>
      <c r="Y10" s="55" t="s">
        <v>55</v>
      </c>
      <c r="Z10" s="55" t="s">
        <v>69</v>
      </c>
      <c r="AA10" s="55" t="s">
        <v>106</v>
      </c>
      <c r="AB10" s="39" t="s">
        <v>328</v>
      </c>
      <c r="AE10" s="184" t="s">
        <v>103</v>
      </c>
      <c r="AG10" s="64" t="s">
        <v>283</v>
      </c>
      <c r="AH10" s="64" t="s">
        <v>289</v>
      </c>
      <c r="AL10" s="76"/>
      <c r="AP10" s="65" t="s">
        <v>100</v>
      </c>
      <c r="AR10" s="192" t="s">
        <v>123</v>
      </c>
      <c r="AV10" s="65" t="s">
        <v>106</v>
      </c>
      <c r="AX10" s="66">
        <v>138</v>
      </c>
      <c r="AY10" s="67">
        <v>25</v>
      </c>
      <c r="AZ10" s="67">
        <v>138</v>
      </c>
      <c r="BA10" s="68">
        <v>22</v>
      </c>
    </row>
    <row r="11" spans="1:53" x14ac:dyDescent="0.15">
      <c r="A11" s="55" t="s">
        <v>41</v>
      </c>
      <c r="B11" s="198" t="s">
        <v>325</v>
      </c>
      <c r="C11" s="139">
        <v>2018</v>
      </c>
      <c r="D11" s="56" t="s">
        <v>332</v>
      </c>
      <c r="E11" s="198" t="s">
        <v>133</v>
      </c>
      <c r="F11" s="198" t="s">
        <v>284</v>
      </c>
      <c r="G11" s="55" t="s">
        <v>42</v>
      </c>
      <c r="H11" s="55" t="s">
        <v>167</v>
      </c>
      <c r="I11" s="55" t="s">
        <v>155</v>
      </c>
      <c r="J11" s="55" t="s">
        <v>38</v>
      </c>
      <c r="K11" s="55" t="s">
        <v>156</v>
      </c>
      <c r="L11" s="198">
        <v>1</v>
      </c>
      <c r="M11" s="55"/>
      <c r="N11" s="55">
        <v>8</v>
      </c>
      <c r="O11" s="55">
        <v>0.75</v>
      </c>
      <c r="P11" s="55">
        <v>0.6</v>
      </c>
      <c r="Q11" s="82">
        <f t="shared" si="0"/>
        <v>0.67500000000000004</v>
      </c>
      <c r="R11" s="55">
        <v>18.899999999999999</v>
      </c>
      <c r="S11" s="55">
        <v>120</v>
      </c>
      <c r="T11" s="77">
        <f t="shared" si="1"/>
        <v>30</v>
      </c>
      <c r="U11" s="55">
        <v>1058</v>
      </c>
      <c r="V11" s="78">
        <f t="shared" si="2"/>
        <v>3967.5</v>
      </c>
      <c r="W11" s="55">
        <v>3</v>
      </c>
      <c r="X11" s="55" t="s">
        <v>46</v>
      </c>
      <c r="Y11" s="55" t="s">
        <v>55</v>
      </c>
      <c r="Z11" s="55" t="s">
        <v>69</v>
      </c>
      <c r="AA11" s="55" t="s">
        <v>106</v>
      </c>
      <c r="AB11" s="39" t="s">
        <v>328</v>
      </c>
      <c r="AE11" s="184" t="s">
        <v>65</v>
      </c>
      <c r="AG11" s="64" t="s">
        <v>175</v>
      </c>
      <c r="AH11" s="64" t="s">
        <v>290</v>
      </c>
      <c r="AL11" s="76"/>
      <c r="AP11" s="65" t="s">
        <v>104</v>
      </c>
      <c r="AR11" s="192" t="s">
        <v>87</v>
      </c>
      <c r="AV11" s="65" t="s">
        <v>69</v>
      </c>
      <c r="AX11" s="66">
        <v>151</v>
      </c>
      <c r="AY11" s="67">
        <v>22</v>
      </c>
      <c r="AZ11" s="67">
        <v>152</v>
      </c>
      <c r="BA11" s="68">
        <v>18</v>
      </c>
    </row>
    <row r="12" spans="1:53" x14ac:dyDescent="0.15">
      <c r="A12" s="55" t="s">
        <v>41</v>
      </c>
      <c r="B12" s="198" t="s">
        <v>325</v>
      </c>
      <c r="C12" s="139">
        <v>2018</v>
      </c>
      <c r="D12" s="56" t="s">
        <v>332</v>
      </c>
      <c r="E12" s="198" t="s">
        <v>133</v>
      </c>
      <c r="F12" s="198" t="s">
        <v>284</v>
      </c>
      <c r="G12" s="55" t="s">
        <v>42</v>
      </c>
      <c r="H12" s="55" t="s">
        <v>167</v>
      </c>
      <c r="I12" s="55" t="s">
        <v>155</v>
      </c>
      <c r="J12" s="55" t="s">
        <v>38</v>
      </c>
      <c r="K12" s="55" t="s">
        <v>156</v>
      </c>
      <c r="L12" s="198">
        <v>2</v>
      </c>
      <c r="N12" s="55">
        <v>8</v>
      </c>
      <c r="O12" s="55">
        <v>0.6</v>
      </c>
      <c r="P12" s="55">
        <v>0.45</v>
      </c>
      <c r="Q12" s="82">
        <f t="shared" si="0"/>
        <v>0.52500000000000002</v>
      </c>
      <c r="R12" s="55">
        <v>14.7</v>
      </c>
      <c r="S12" s="55">
        <v>124</v>
      </c>
      <c r="T12" s="77">
        <f t="shared" si="1"/>
        <v>27</v>
      </c>
      <c r="U12" s="55">
        <v>1058</v>
      </c>
      <c r="V12" s="58">
        <f t="shared" si="2"/>
        <v>3570.75</v>
      </c>
      <c r="W12" s="198">
        <v>3</v>
      </c>
      <c r="X12" s="55" t="s">
        <v>46</v>
      </c>
      <c r="Y12" s="55" t="s">
        <v>55</v>
      </c>
      <c r="Z12" s="55" t="s">
        <v>69</v>
      </c>
      <c r="AA12" s="55" t="s">
        <v>106</v>
      </c>
      <c r="AB12" s="39" t="s">
        <v>328</v>
      </c>
      <c r="AE12" s="184" t="s">
        <v>70</v>
      </c>
      <c r="AG12" s="70"/>
      <c r="AH12" s="70"/>
      <c r="AL12" s="76"/>
      <c r="AP12" s="65" t="s">
        <v>67</v>
      </c>
      <c r="AR12" s="192" t="s">
        <v>124</v>
      </c>
      <c r="AV12" s="65" t="s">
        <v>72</v>
      </c>
      <c r="AX12" s="79">
        <v>180</v>
      </c>
      <c r="AY12" s="80">
        <v>18</v>
      </c>
      <c r="AZ12" s="80">
        <v>181</v>
      </c>
      <c r="BA12" s="81">
        <v>16</v>
      </c>
    </row>
    <row r="13" spans="1:53" x14ac:dyDescent="0.15">
      <c r="A13" s="55" t="s">
        <v>41</v>
      </c>
      <c r="B13" s="198" t="s">
        <v>325</v>
      </c>
      <c r="C13" s="139">
        <v>2018</v>
      </c>
      <c r="D13" s="56" t="s">
        <v>332</v>
      </c>
      <c r="E13" s="198" t="s">
        <v>133</v>
      </c>
      <c r="F13" s="198" t="s">
        <v>284</v>
      </c>
      <c r="G13" s="55" t="s">
        <v>42</v>
      </c>
      <c r="H13" s="55" t="s">
        <v>167</v>
      </c>
      <c r="I13" s="55" t="s">
        <v>155</v>
      </c>
      <c r="J13" s="55" t="s">
        <v>38</v>
      </c>
      <c r="K13" s="55" t="s">
        <v>156</v>
      </c>
      <c r="L13" s="198">
        <v>3</v>
      </c>
      <c r="N13" s="55">
        <v>8</v>
      </c>
      <c r="O13" s="55">
        <v>0.45</v>
      </c>
      <c r="P13" s="55">
        <v>0.5</v>
      </c>
      <c r="Q13" s="82">
        <f t="shared" si="0"/>
        <v>0.47499999999999998</v>
      </c>
      <c r="R13" s="55">
        <v>13.6</v>
      </c>
      <c r="S13" s="55">
        <v>118</v>
      </c>
      <c r="T13" s="77">
        <f t="shared" si="1"/>
        <v>30</v>
      </c>
      <c r="U13" s="55">
        <v>1058</v>
      </c>
      <c r="V13" s="58">
        <f t="shared" si="2"/>
        <v>3967.5</v>
      </c>
      <c r="W13" s="198">
        <v>3</v>
      </c>
      <c r="X13" s="55" t="s">
        <v>46</v>
      </c>
      <c r="Y13" s="55" t="s">
        <v>55</v>
      </c>
      <c r="Z13" s="55" t="s">
        <v>69</v>
      </c>
      <c r="AA13" s="55" t="s">
        <v>106</v>
      </c>
      <c r="AB13" s="39" t="s">
        <v>328</v>
      </c>
      <c r="AE13" s="184" t="s">
        <v>73</v>
      </c>
      <c r="AG13" s="192"/>
      <c r="AH13" s="192"/>
      <c r="AP13" s="65" t="s">
        <v>71</v>
      </c>
      <c r="AR13" s="192" t="s">
        <v>103</v>
      </c>
      <c r="AV13" s="65" t="s">
        <v>75</v>
      </c>
    </row>
    <row r="14" spans="1:53" x14ac:dyDescent="0.15">
      <c r="A14" s="55" t="s">
        <v>41</v>
      </c>
      <c r="B14" s="198" t="s">
        <v>325</v>
      </c>
      <c r="C14" s="139">
        <v>2018</v>
      </c>
      <c r="D14" s="56" t="s">
        <v>332</v>
      </c>
      <c r="E14" s="198" t="s">
        <v>279</v>
      </c>
      <c r="F14" s="198" t="s">
        <v>284</v>
      </c>
      <c r="G14" s="55" t="s">
        <v>42</v>
      </c>
      <c r="H14" s="55" t="s">
        <v>157</v>
      </c>
      <c r="I14" s="55" t="s">
        <v>155</v>
      </c>
      <c r="J14" s="55" t="s">
        <v>38</v>
      </c>
      <c r="K14" s="55" t="s">
        <v>156</v>
      </c>
      <c r="L14" s="198">
        <v>1</v>
      </c>
      <c r="M14" s="55"/>
      <c r="N14" s="55">
        <v>1</v>
      </c>
      <c r="O14" s="55">
        <v>0.55000000000000004</v>
      </c>
      <c r="P14" s="55">
        <v>0.65</v>
      </c>
      <c r="Q14" s="82">
        <f t="shared" si="0"/>
        <v>0.60000000000000009</v>
      </c>
      <c r="R14" s="55">
        <v>15.1</v>
      </c>
      <c r="S14" s="55">
        <v>125</v>
      </c>
      <c r="T14" s="77">
        <f t="shared" si="1"/>
        <v>27</v>
      </c>
      <c r="U14" s="55">
        <v>149</v>
      </c>
      <c r="V14" s="78">
        <f t="shared" si="2"/>
        <v>4023</v>
      </c>
      <c r="W14" s="55">
        <v>2</v>
      </c>
      <c r="X14" s="55" t="s">
        <v>46</v>
      </c>
      <c r="Y14" s="55" t="s">
        <v>55</v>
      </c>
      <c r="Z14" s="55" t="s">
        <v>69</v>
      </c>
      <c r="AA14" s="55" t="s">
        <v>86</v>
      </c>
      <c r="AB14" s="39" t="s">
        <v>328</v>
      </c>
      <c r="AE14" s="184" t="s">
        <v>76</v>
      </c>
      <c r="AG14" s="192"/>
      <c r="AH14" s="192"/>
      <c r="AP14" s="65" t="s">
        <v>74</v>
      </c>
      <c r="AR14" s="192" t="s">
        <v>125</v>
      </c>
      <c r="AV14" s="65" t="s">
        <v>78</v>
      </c>
    </row>
    <row r="15" spans="1:53" x14ac:dyDescent="0.15">
      <c r="A15" s="55" t="s">
        <v>41</v>
      </c>
      <c r="B15" s="198" t="s">
        <v>325</v>
      </c>
      <c r="C15" s="139">
        <v>2018</v>
      </c>
      <c r="D15" s="56" t="s">
        <v>332</v>
      </c>
      <c r="E15" s="198" t="s">
        <v>279</v>
      </c>
      <c r="F15" s="198" t="s">
        <v>284</v>
      </c>
      <c r="G15" s="55" t="s">
        <v>42</v>
      </c>
      <c r="H15" s="55" t="s">
        <v>157</v>
      </c>
      <c r="I15" s="55" t="s">
        <v>155</v>
      </c>
      <c r="J15" s="55" t="s">
        <v>38</v>
      </c>
      <c r="K15" s="55" t="s">
        <v>156</v>
      </c>
      <c r="L15" s="198">
        <v>2</v>
      </c>
      <c r="N15" s="55">
        <v>1</v>
      </c>
      <c r="O15" s="55">
        <v>0.65</v>
      </c>
      <c r="P15" s="55">
        <v>0.6</v>
      </c>
      <c r="Q15" s="82">
        <f t="shared" si="0"/>
        <v>0.625</v>
      </c>
      <c r="R15" s="55">
        <v>14.2</v>
      </c>
      <c r="S15" s="55">
        <v>128</v>
      </c>
      <c r="T15" s="77">
        <f t="shared" si="1"/>
        <v>27</v>
      </c>
      <c r="U15" s="55">
        <v>149</v>
      </c>
      <c r="V15" s="58">
        <f t="shared" si="2"/>
        <v>4023</v>
      </c>
      <c r="W15" s="198">
        <v>2</v>
      </c>
      <c r="X15" s="55" t="s">
        <v>46</v>
      </c>
      <c r="Y15" s="55" t="s">
        <v>55</v>
      </c>
      <c r="Z15" s="55" t="s">
        <v>69</v>
      </c>
      <c r="AA15" s="55" t="s">
        <v>86</v>
      </c>
      <c r="AB15" s="39" t="s">
        <v>328</v>
      </c>
      <c r="AE15" s="184" t="s">
        <v>79</v>
      </c>
      <c r="AG15" s="192"/>
      <c r="AH15" s="192"/>
      <c r="AP15" s="65" t="s">
        <v>77</v>
      </c>
      <c r="AR15" s="192" t="s">
        <v>94</v>
      </c>
      <c r="AV15" s="65" t="s">
        <v>107</v>
      </c>
    </row>
    <row r="16" spans="1:53" x14ac:dyDescent="0.15">
      <c r="A16" s="55" t="s">
        <v>41</v>
      </c>
      <c r="B16" s="198" t="s">
        <v>325</v>
      </c>
      <c r="C16" s="139">
        <v>2018</v>
      </c>
      <c r="D16" s="56" t="s">
        <v>332</v>
      </c>
      <c r="E16" s="198" t="s">
        <v>279</v>
      </c>
      <c r="F16" s="198" t="s">
        <v>284</v>
      </c>
      <c r="G16" s="55" t="s">
        <v>42</v>
      </c>
      <c r="H16" s="55" t="s">
        <v>157</v>
      </c>
      <c r="I16" s="55" t="s">
        <v>155</v>
      </c>
      <c r="J16" s="55" t="s">
        <v>38</v>
      </c>
      <c r="K16" s="55" t="s">
        <v>156</v>
      </c>
      <c r="L16" s="198">
        <v>3</v>
      </c>
      <c r="N16" s="55">
        <v>1</v>
      </c>
      <c r="O16" s="55">
        <v>0.65</v>
      </c>
      <c r="P16" s="55">
        <v>0.5</v>
      </c>
      <c r="Q16" s="82">
        <f t="shared" si="0"/>
        <v>0.57499999999999996</v>
      </c>
      <c r="R16" s="55">
        <v>14.7</v>
      </c>
      <c r="S16" s="55">
        <v>130</v>
      </c>
      <c r="T16" s="77">
        <f t="shared" si="1"/>
        <v>25</v>
      </c>
      <c r="U16" s="55">
        <v>149</v>
      </c>
      <c r="V16" s="58">
        <f t="shared" si="2"/>
        <v>3725</v>
      </c>
      <c r="W16" s="198">
        <v>2</v>
      </c>
      <c r="X16" s="55" t="s">
        <v>46</v>
      </c>
      <c r="Y16" s="55" t="s">
        <v>55</v>
      </c>
      <c r="Z16" s="55" t="s">
        <v>69</v>
      </c>
      <c r="AA16" s="55" t="s">
        <v>86</v>
      </c>
      <c r="AB16" s="39" t="s">
        <v>328</v>
      </c>
      <c r="AE16" s="184" t="s">
        <v>82</v>
      </c>
      <c r="AG16" s="71"/>
      <c r="AH16" s="71"/>
      <c r="AP16" s="65" t="s">
        <v>80</v>
      </c>
      <c r="AR16" s="192" t="s">
        <v>63</v>
      </c>
      <c r="AV16" s="65" t="s">
        <v>84</v>
      </c>
    </row>
    <row r="17" spans="1:48" x14ac:dyDescent="0.15">
      <c r="A17" s="55" t="s">
        <v>41</v>
      </c>
      <c r="B17" s="198" t="s">
        <v>325</v>
      </c>
      <c r="C17" s="139">
        <v>2018</v>
      </c>
      <c r="D17" s="56" t="s">
        <v>332</v>
      </c>
      <c r="E17" s="198" t="s">
        <v>279</v>
      </c>
      <c r="F17" s="55" t="s">
        <v>284</v>
      </c>
      <c r="G17" s="55" t="s">
        <v>42</v>
      </c>
      <c r="H17" s="55" t="s">
        <v>157</v>
      </c>
      <c r="I17" s="55" t="s">
        <v>155</v>
      </c>
      <c r="J17" s="55" t="s">
        <v>38</v>
      </c>
      <c r="K17" s="55" t="s">
        <v>156</v>
      </c>
      <c r="L17" s="198">
        <v>1</v>
      </c>
      <c r="M17" s="55"/>
      <c r="N17" s="55">
        <v>3</v>
      </c>
      <c r="O17" s="55">
        <v>0.7</v>
      </c>
      <c r="P17" s="55">
        <v>0.7</v>
      </c>
      <c r="Q17" s="82">
        <f t="shared" si="0"/>
        <v>0.7</v>
      </c>
      <c r="R17" s="55">
        <v>17.100000000000001</v>
      </c>
      <c r="S17" s="55">
        <v>121</v>
      </c>
      <c r="T17" s="77">
        <f t="shared" si="1"/>
        <v>27</v>
      </c>
      <c r="U17" s="55">
        <v>429</v>
      </c>
      <c r="V17" s="78">
        <f t="shared" si="2"/>
        <v>3861</v>
      </c>
      <c r="W17" s="55">
        <v>3</v>
      </c>
      <c r="X17" s="55" t="s">
        <v>46</v>
      </c>
      <c r="Y17" s="55" t="s">
        <v>55</v>
      </c>
      <c r="Z17" s="55" t="s">
        <v>69</v>
      </c>
      <c r="AA17" s="55" t="s">
        <v>86</v>
      </c>
      <c r="AB17" s="39" t="s">
        <v>328</v>
      </c>
      <c r="AE17" s="184" t="s">
        <v>85</v>
      </c>
      <c r="AP17" s="200" t="s">
        <v>110</v>
      </c>
      <c r="AR17" s="192" t="s">
        <v>96</v>
      </c>
      <c r="AV17" s="65" t="s">
        <v>86</v>
      </c>
    </row>
    <row r="18" spans="1:48" x14ac:dyDescent="0.15">
      <c r="A18" s="55" t="s">
        <v>41</v>
      </c>
      <c r="B18" s="198" t="s">
        <v>325</v>
      </c>
      <c r="C18" s="139">
        <v>2018</v>
      </c>
      <c r="D18" s="56" t="s">
        <v>332</v>
      </c>
      <c r="E18" s="198" t="s">
        <v>279</v>
      </c>
      <c r="F18" s="55" t="s">
        <v>284</v>
      </c>
      <c r="G18" s="55" t="s">
        <v>42</v>
      </c>
      <c r="H18" s="55" t="s">
        <v>157</v>
      </c>
      <c r="I18" s="55" t="s">
        <v>155</v>
      </c>
      <c r="J18" s="55" t="s">
        <v>38</v>
      </c>
      <c r="K18" s="55" t="s">
        <v>156</v>
      </c>
      <c r="L18" s="198">
        <v>2</v>
      </c>
      <c r="N18" s="55">
        <v>3</v>
      </c>
      <c r="O18" s="55">
        <v>0.7</v>
      </c>
      <c r="P18" s="55">
        <v>0.6</v>
      </c>
      <c r="Q18" s="82">
        <f t="shared" si="0"/>
        <v>0.64999999999999991</v>
      </c>
      <c r="R18" s="55">
        <v>16.5</v>
      </c>
      <c r="S18" s="55">
        <v>130</v>
      </c>
      <c r="T18" s="77">
        <f t="shared" si="1"/>
        <v>25</v>
      </c>
      <c r="U18" s="55">
        <v>429</v>
      </c>
      <c r="V18" s="78">
        <f t="shared" si="2"/>
        <v>3575</v>
      </c>
      <c r="W18" s="55">
        <v>3</v>
      </c>
      <c r="X18" s="55" t="s">
        <v>46</v>
      </c>
      <c r="Y18" s="55" t="s">
        <v>55</v>
      </c>
      <c r="Z18" s="55" t="s">
        <v>69</v>
      </c>
      <c r="AA18" s="55" t="s">
        <v>86</v>
      </c>
      <c r="AB18" s="39" t="s">
        <v>328</v>
      </c>
      <c r="AE18" s="184" t="s">
        <v>87</v>
      </c>
      <c r="AP18" s="200" t="s">
        <v>111</v>
      </c>
      <c r="AR18" s="192" t="s">
        <v>101</v>
      </c>
      <c r="AV18" s="65" t="s">
        <v>88</v>
      </c>
    </row>
    <row r="19" spans="1:48" x14ac:dyDescent="0.15">
      <c r="A19" s="55" t="s">
        <v>41</v>
      </c>
      <c r="B19" s="198" t="s">
        <v>325</v>
      </c>
      <c r="C19" s="139">
        <v>2018</v>
      </c>
      <c r="D19" s="56" t="s">
        <v>332</v>
      </c>
      <c r="E19" s="198" t="s">
        <v>279</v>
      </c>
      <c r="F19" s="55" t="s">
        <v>284</v>
      </c>
      <c r="G19" s="55" t="s">
        <v>42</v>
      </c>
      <c r="H19" s="55" t="s">
        <v>157</v>
      </c>
      <c r="I19" s="55" t="s">
        <v>155</v>
      </c>
      <c r="J19" s="55" t="s">
        <v>38</v>
      </c>
      <c r="K19" s="55" t="s">
        <v>156</v>
      </c>
      <c r="L19" s="198">
        <v>3</v>
      </c>
      <c r="N19" s="55">
        <v>3</v>
      </c>
      <c r="O19" s="55">
        <v>0.8</v>
      </c>
      <c r="P19" s="55">
        <v>0.65</v>
      </c>
      <c r="Q19" s="82">
        <f t="shared" si="0"/>
        <v>0.72500000000000009</v>
      </c>
      <c r="R19" s="55">
        <v>13.7</v>
      </c>
      <c r="S19" s="55">
        <v>119</v>
      </c>
      <c r="T19" s="77">
        <f t="shared" si="1"/>
        <v>30</v>
      </c>
      <c r="U19" s="55">
        <v>429</v>
      </c>
      <c r="V19" s="78">
        <f t="shared" si="2"/>
        <v>4290</v>
      </c>
      <c r="W19" s="198">
        <v>3</v>
      </c>
      <c r="X19" s="55" t="s">
        <v>46</v>
      </c>
      <c r="Y19" s="55" t="s">
        <v>55</v>
      </c>
      <c r="Z19" s="55" t="s">
        <v>69</v>
      </c>
      <c r="AA19" s="55" t="s">
        <v>86</v>
      </c>
      <c r="AB19" s="39" t="s">
        <v>328</v>
      </c>
      <c r="AE19" s="197" t="s">
        <v>89</v>
      </c>
      <c r="AP19" s="200" t="s">
        <v>112</v>
      </c>
      <c r="AR19" s="192" t="s">
        <v>126</v>
      </c>
      <c r="AV19" s="65" t="s">
        <v>90</v>
      </c>
    </row>
    <row r="20" spans="1:48" x14ac:dyDescent="0.15">
      <c r="A20" s="55" t="s">
        <v>41</v>
      </c>
      <c r="B20" s="198" t="s">
        <v>325</v>
      </c>
      <c r="C20" s="139">
        <v>2018</v>
      </c>
      <c r="D20" s="56" t="s">
        <v>332</v>
      </c>
      <c r="E20" s="198" t="s">
        <v>279</v>
      </c>
      <c r="F20" s="55" t="s">
        <v>284</v>
      </c>
      <c r="G20" s="55" t="s">
        <v>42</v>
      </c>
      <c r="H20" s="55" t="s">
        <v>167</v>
      </c>
      <c r="I20" s="55" t="s">
        <v>158</v>
      </c>
      <c r="J20" s="55" t="s">
        <v>38</v>
      </c>
      <c r="K20" s="55" t="s">
        <v>156</v>
      </c>
      <c r="L20" s="198">
        <v>1</v>
      </c>
      <c r="M20" s="55"/>
      <c r="N20" s="55">
        <v>4</v>
      </c>
      <c r="O20" s="55">
        <v>0.85</v>
      </c>
      <c r="P20" s="55">
        <v>0.8</v>
      </c>
      <c r="Q20" s="82">
        <f t="shared" si="0"/>
        <v>0.82499999999999996</v>
      </c>
      <c r="R20" s="55">
        <v>14.8</v>
      </c>
      <c r="S20" s="55">
        <v>127</v>
      </c>
      <c r="T20" s="77">
        <f t="shared" si="1"/>
        <v>27</v>
      </c>
      <c r="U20" s="55">
        <v>537</v>
      </c>
      <c r="V20" s="78">
        <f t="shared" si="2"/>
        <v>3624.75</v>
      </c>
      <c r="W20" s="55">
        <v>1</v>
      </c>
      <c r="X20" s="55" t="s">
        <v>46</v>
      </c>
      <c r="Y20" s="55" t="s">
        <v>55</v>
      </c>
      <c r="Z20" s="55" t="s">
        <v>69</v>
      </c>
      <c r="AA20" s="55" t="s">
        <v>86</v>
      </c>
      <c r="AB20" s="39" t="s">
        <v>328</v>
      </c>
      <c r="AE20" s="197"/>
      <c r="AP20" s="200" t="s">
        <v>113</v>
      </c>
      <c r="AR20" s="192" t="s">
        <v>105</v>
      </c>
      <c r="AV20" s="69" t="s">
        <v>334</v>
      </c>
    </row>
    <row r="21" spans="1:48" x14ac:dyDescent="0.15">
      <c r="A21" s="55" t="s">
        <v>41</v>
      </c>
      <c r="B21" s="198" t="s">
        <v>325</v>
      </c>
      <c r="C21" s="139">
        <v>2018</v>
      </c>
      <c r="D21" s="56" t="s">
        <v>332</v>
      </c>
      <c r="E21" s="198" t="s">
        <v>279</v>
      </c>
      <c r="F21" s="55" t="s">
        <v>284</v>
      </c>
      <c r="G21" s="55" t="s">
        <v>42</v>
      </c>
      <c r="H21" s="55" t="s">
        <v>167</v>
      </c>
      <c r="I21" s="55" t="s">
        <v>158</v>
      </c>
      <c r="J21" s="55" t="s">
        <v>38</v>
      </c>
      <c r="K21" s="55" t="s">
        <v>156</v>
      </c>
      <c r="L21" s="198">
        <v>2</v>
      </c>
      <c r="N21" s="55">
        <v>4</v>
      </c>
      <c r="O21" s="55">
        <v>0.7</v>
      </c>
      <c r="P21" s="55">
        <v>0.85</v>
      </c>
      <c r="Q21" s="82">
        <f t="shared" si="0"/>
        <v>0.77499999999999991</v>
      </c>
      <c r="R21" s="55">
        <v>15.9</v>
      </c>
      <c r="S21" s="55">
        <v>119</v>
      </c>
      <c r="T21" s="77">
        <f t="shared" si="1"/>
        <v>30</v>
      </c>
      <c r="U21" s="55">
        <v>537</v>
      </c>
      <c r="V21" s="78">
        <f t="shared" si="2"/>
        <v>4027.5</v>
      </c>
      <c r="W21" s="55">
        <v>1</v>
      </c>
      <c r="X21" s="55" t="s">
        <v>46</v>
      </c>
      <c r="Y21" s="55" t="s">
        <v>55</v>
      </c>
      <c r="Z21" s="55" t="s">
        <v>69</v>
      </c>
      <c r="AA21" s="55" t="s">
        <v>86</v>
      </c>
      <c r="AB21" s="39" t="s">
        <v>328</v>
      </c>
      <c r="AE21" s="205"/>
      <c r="AP21" s="200" t="s">
        <v>114</v>
      </c>
      <c r="AR21" s="192" t="s">
        <v>68</v>
      </c>
      <c r="AV21" s="69" t="s">
        <v>335</v>
      </c>
    </row>
    <row r="22" spans="1:48" x14ac:dyDescent="0.15">
      <c r="A22" s="55" t="s">
        <v>41</v>
      </c>
      <c r="B22" s="198" t="s">
        <v>325</v>
      </c>
      <c r="C22" s="139">
        <v>2018</v>
      </c>
      <c r="D22" s="56" t="s">
        <v>332</v>
      </c>
      <c r="E22" s="198" t="s">
        <v>279</v>
      </c>
      <c r="F22" s="55" t="s">
        <v>284</v>
      </c>
      <c r="G22" s="55" t="s">
        <v>42</v>
      </c>
      <c r="H22" s="55" t="s">
        <v>167</v>
      </c>
      <c r="I22" s="55" t="s">
        <v>158</v>
      </c>
      <c r="J22" s="55" t="s">
        <v>38</v>
      </c>
      <c r="K22" s="55" t="s">
        <v>156</v>
      </c>
      <c r="L22" s="198">
        <v>3</v>
      </c>
      <c r="N22" s="55">
        <v>4</v>
      </c>
      <c r="O22" s="55">
        <v>0.9</v>
      </c>
      <c r="P22" s="55">
        <v>0.8</v>
      </c>
      <c r="Q22" s="82">
        <f t="shared" si="0"/>
        <v>0.85000000000000009</v>
      </c>
      <c r="R22" s="55">
        <v>14</v>
      </c>
      <c r="S22" s="55">
        <v>124</v>
      </c>
      <c r="T22" s="77">
        <f t="shared" si="1"/>
        <v>27</v>
      </c>
      <c r="U22" s="55">
        <v>537</v>
      </c>
      <c r="V22" s="78">
        <f t="shared" si="2"/>
        <v>3624.75</v>
      </c>
      <c r="W22" s="198">
        <v>1</v>
      </c>
      <c r="X22" s="55" t="s">
        <v>46</v>
      </c>
      <c r="Y22" s="55" t="s">
        <v>55</v>
      </c>
      <c r="Z22" s="55" t="s">
        <v>69</v>
      </c>
      <c r="AA22" s="55" t="s">
        <v>86</v>
      </c>
      <c r="AB22" s="39" t="s">
        <v>328</v>
      </c>
      <c r="AP22" s="200" t="s">
        <v>115</v>
      </c>
      <c r="AR22" s="192" t="s">
        <v>83</v>
      </c>
      <c r="AV22" s="69"/>
    </row>
    <row r="23" spans="1:48" x14ac:dyDescent="0.15">
      <c r="A23" s="55" t="s">
        <v>41</v>
      </c>
      <c r="B23" s="198" t="s">
        <v>325</v>
      </c>
      <c r="C23" s="139">
        <v>2018</v>
      </c>
      <c r="D23" s="56" t="s">
        <v>332</v>
      </c>
      <c r="E23" s="198" t="s">
        <v>279</v>
      </c>
      <c r="F23" s="55" t="s">
        <v>284</v>
      </c>
      <c r="G23" s="55" t="s">
        <v>42</v>
      </c>
      <c r="H23" s="55" t="s">
        <v>157</v>
      </c>
      <c r="I23" s="55" t="s">
        <v>155</v>
      </c>
      <c r="J23" s="55" t="s">
        <v>38</v>
      </c>
      <c r="K23" s="55" t="s">
        <v>156</v>
      </c>
      <c r="L23" s="198">
        <v>1</v>
      </c>
      <c r="M23" s="55"/>
      <c r="N23" s="55">
        <v>8</v>
      </c>
      <c r="O23" s="55">
        <v>0.55000000000000004</v>
      </c>
      <c r="P23" s="55">
        <v>0.4</v>
      </c>
      <c r="Q23" s="82">
        <f t="shared" si="0"/>
        <v>0.47500000000000003</v>
      </c>
      <c r="R23" s="55">
        <v>16.399999999999999</v>
      </c>
      <c r="S23" s="55">
        <v>108</v>
      </c>
      <c r="T23" s="77">
        <f t="shared" si="1"/>
        <v>33</v>
      </c>
      <c r="U23" s="55">
        <v>1058</v>
      </c>
      <c r="V23" s="78">
        <f t="shared" si="2"/>
        <v>4364.25</v>
      </c>
      <c r="W23" s="55">
        <v>1</v>
      </c>
      <c r="X23" s="55" t="s">
        <v>46</v>
      </c>
      <c r="Y23" s="55" t="s">
        <v>55</v>
      </c>
      <c r="Z23" s="55" t="s">
        <v>69</v>
      </c>
      <c r="AA23" s="55" t="s">
        <v>86</v>
      </c>
      <c r="AB23" s="39" t="s">
        <v>328</v>
      </c>
      <c r="AP23" s="200" t="s">
        <v>117</v>
      </c>
      <c r="AR23" s="205" t="s">
        <v>278</v>
      </c>
      <c r="AV23" s="205"/>
    </row>
    <row r="24" spans="1:48" x14ac:dyDescent="0.15">
      <c r="A24" s="55" t="s">
        <v>41</v>
      </c>
      <c r="B24" s="198" t="s">
        <v>325</v>
      </c>
      <c r="C24" s="139">
        <v>2018</v>
      </c>
      <c r="D24" s="56" t="s">
        <v>332</v>
      </c>
      <c r="E24" s="198" t="s">
        <v>279</v>
      </c>
      <c r="F24" s="55" t="s">
        <v>284</v>
      </c>
      <c r="G24" s="55" t="s">
        <v>42</v>
      </c>
      <c r="H24" s="55" t="s">
        <v>157</v>
      </c>
      <c r="I24" s="55" t="s">
        <v>155</v>
      </c>
      <c r="J24" s="55" t="s">
        <v>38</v>
      </c>
      <c r="K24" s="55" t="s">
        <v>156</v>
      </c>
      <c r="L24" s="198">
        <v>2</v>
      </c>
      <c r="N24" s="55">
        <v>8</v>
      </c>
      <c r="O24" s="55">
        <v>0.25</v>
      </c>
      <c r="P24" s="55">
        <v>0.3</v>
      </c>
      <c r="Q24" s="82">
        <f t="shared" si="0"/>
        <v>0.27500000000000002</v>
      </c>
      <c r="R24" s="55">
        <v>15</v>
      </c>
      <c r="S24" s="55">
        <v>118</v>
      </c>
      <c r="T24" s="77">
        <f t="shared" si="1"/>
        <v>30</v>
      </c>
      <c r="U24" s="55">
        <v>1058</v>
      </c>
      <c r="V24" s="78">
        <f t="shared" si="2"/>
        <v>3967.5</v>
      </c>
      <c r="W24" s="55">
        <v>1</v>
      </c>
      <c r="X24" s="55" t="s">
        <v>46</v>
      </c>
      <c r="Y24" s="55" t="s">
        <v>55</v>
      </c>
      <c r="Z24" s="55" t="s">
        <v>69</v>
      </c>
      <c r="AA24" s="55" t="s">
        <v>86</v>
      </c>
      <c r="AB24" s="39" t="s">
        <v>328</v>
      </c>
      <c r="AP24" s="200" t="s">
        <v>118</v>
      </c>
    </row>
    <row r="25" spans="1:48" x14ac:dyDescent="0.15">
      <c r="A25" s="55" t="s">
        <v>41</v>
      </c>
      <c r="B25" s="198" t="s">
        <v>325</v>
      </c>
      <c r="C25" s="139">
        <v>2018</v>
      </c>
      <c r="D25" s="56" t="s">
        <v>332</v>
      </c>
      <c r="E25" s="198" t="s">
        <v>279</v>
      </c>
      <c r="F25" s="55" t="s">
        <v>284</v>
      </c>
      <c r="G25" s="55" t="s">
        <v>42</v>
      </c>
      <c r="H25" s="55" t="s">
        <v>157</v>
      </c>
      <c r="I25" s="55" t="s">
        <v>155</v>
      </c>
      <c r="J25" s="55" t="s">
        <v>38</v>
      </c>
      <c r="K25" s="55" t="s">
        <v>156</v>
      </c>
      <c r="L25" s="198">
        <v>3</v>
      </c>
      <c r="N25" s="55">
        <v>8</v>
      </c>
      <c r="O25" s="55">
        <v>0.35</v>
      </c>
      <c r="P25" s="55">
        <v>0.3</v>
      </c>
      <c r="Q25" s="82">
        <f t="shared" si="0"/>
        <v>0.32499999999999996</v>
      </c>
      <c r="R25" s="55">
        <v>16.8</v>
      </c>
      <c r="S25" s="55">
        <v>114</v>
      </c>
      <c r="T25" s="77">
        <f t="shared" si="1"/>
        <v>30</v>
      </c>
      <c r="U25" s="55">
        <v>1058</v>
      </c>
      <c r="V25" s="78">
        <f t="shared" si="2"/>
        <v>3967.5</v>
      </c>
      <c r="W25" s="198">
        <v>1</v>
      </c>
      <c r="X25" s="55" t="s">
        <v>46</v>
      </c>
      <c r="Y25" s="55" t="s">
        <v>55</v>
      </c>
      <c r="Z25" s="55" t="s">
        <v>69</v>
      </c>
      <c r="AA25" s="55" t="s">
        <v>86</v>
      </c>
      <c r="AB25" s="39" t="s">
        <v>328</v>
      </c>
    </row>
    <row r="26" spans="1:48" x14ac:dyDescent="0.15">
      <c r="A26" s="55" t="s">
        <v>41</v>
      </c>
      <c r="B26" s="198" t="s">
        <v>325</v>
      </c>
      <c r="C26" s="139">
        <v>2018</v>
      </c>
      <c r="D26" s="56" t="s">
        <v>332</v>
      </c>
      <c r="E26" s="198" t="s">
        <v>279</v>
      </c>
      <c r="F26" s="55" t="s">
        <v>284</v>
      </c>
      <c r="G26" s="55" t="s">
        <v>42</v>
      </c>
      <c r="H26" s="55" t="s">
        <v>167</v>
      </c>
      <c r="I26" s="55" t="s">
        <v>155</v>
      </c>
      <c r="J26" s="55" t="s">
        <v>38</v>
      </c>
      <c r="K26" s="55" t="s">
        <v>156</v>
      </c>
      <c r="L26" s="198">
        <v>1</v>
      </c>
      <c r="M26" s="55"/>
      <c r="N26" s="55">
        <v>1</v>
      </c>
      <c r="O26" s="198">
        <v>0.15</v>
      </c>
      <c r="P26" s="198">
        <v>0.2</v>
      </c>
      <c r="Q26" s="57">
        <f t="shared" si="0"/>
        <v>0.17499999999999999</v>
      </c>
      <c r="R26" s="198">
        <v>17</v>
      </c>
      <c r="S26" s="198">
        <v>124</v>
      </c>
      <c r="T26" s="77">
        <f t="shared" si="1"/>
        <v>27</v>
      </c>
      <c r="U26" s="55">
        <v>149</v>
      </c>
      <c r="V26" s="78">
        <f t="shared" si="2"/>
        <v>4023</v>
      </c>
      <c r="W26" s="55">
        <v>3</v>
      </c>
      <c r="X26" s="55" t="s">
        <v>46</v>
      </c>
      <c r="Y26" s="55" t="s">
        <v>55</v>
      </c>
      <c r="Z26" s="55" t="s">
        <v>69</v>
      </c>
      <c r="AA26" s="55" t="s">
        <v>86</v>
      </c>
      <c r="AB26" s="39" t="s">
        <v>328</v>
      </c>
    </row>
    <row r="27" spans="1:48" x14ac:dyDescent="0.15">
      <c r="A27" s="55" t="s">
        <v>41</v>
      </c>
      <c r="B27" s="198" t="s">
        <v>325</v>
      </c>
      <c r="C27" s="139">
        <v>2018</v>
      </c>
      <c r="D27" s="56" t="s">
        <v>332</v>
      </c>
      <c r="E27" s="198" t="s">
        <v>279</v>
      </c>
      <c r="F27" s="55" t="s">
        <v>284</v>
      </c>
      <c r="G27" s="55" t="s">
        <v>42</v>
      </c>
      <c r="H27" s="55" t="s">
        <v>167</v>
      </c>
      <c r="I27" s="55" t="s">
        <v>155</v>
      </c>
      <c r="J27" s="55" t="s">
        <v>38</v>
      </c>
      <c r="K27" s="55" t="s">
        <v>156</v>
      </c>
      <c r="L27" s="198">
        <v>2</v>
      </c>
      <c r="N27" s="55">
        <v>1</v>
      </c>
      <c r="O27" s="198">
        <v>0.2</v>
      </c>
      <c r="P27" s="198">
        <v>0.2</v>
      </c>
      <c r="Q27" s="57">
        <f t="shared" si="0"/>
        <v>0.2</v>
      </c>
      <c r="R27" s="198">
        <v>14.2</v>
      </c>
      <c r="S27" s="198">
        <v>128</v>
      </c>
      <c r="T27" s="77">
        <f t="shared" si="1"/>
        <v>27</v>
      </c>
      <c r="U27" s="55">
        <v>149</v>
      </c>
      <c r="V27" s="58">
        <f t="shared" si="2"/>
        <v>4023</v>
      </c>
      <c r="W27" s="198">
        <v>3</v>
      </c>
      <c r="X27" s="55" t="s">
        <v>46</v>
      </c>
      <c r="Y27" s="55" t="s">
        <v>55</v>
      </c>
      <c r="Z27" s="55" t="s">
        <v>69</v>
      </c>
      <c r="AA27" s="55" t="s">
        <v>86</v>
      </c>
      <c r="AB27" s="39" t="s">
        <v>328</v>
      </c>
    </row>
    <row r="28" spans="1:48" x14ac:dyDescent="0.15">
      <c r="A28" s="55" t="s">
        <v>41</v>
      </c>
      <c r="B28" s="198" t="s">
        <v>325</v>
      </c>
      <c r="C28" s="139">
        <v>2018</v>
      </c>
      <c r="D28" s="56" t="s">
        <v>332</v>
      </c>
      <c r="E28" s="198" t="s">
        <v>279</v>
      </c>
      <c r="F28" s="55" t="s">
        <v>284</v>
      </c>
      <c r="G28" s="55" t="s">
        <v>42</v>
      </c>
      <c r="H28" s="55" t="s">
        <v>167</v>
      </c>
      <c r="I28" s="55" t="s">
        <v>155</v>
      </c>
      <c r="J28" s="55" t="s">
        <v>38</v>
      </c>
      <c r="K28" s="55" t="s">
        <v>156</v>
      </c>
      <c r="L28" s="198">
        <v>3</v>
      </c>
      <c r="N28" s="55">
        <v>1</v>
      </c>
      <c r="O28" s="198">
        <v>0.25</v>
      </c>
      <c r="P28" s="198">
        <v>0.25</v>
      </c>
      <c r="Q28" s="57">
        <f t="shared" si="0"/>
        <v>0.25</v>
      </c>
      <c r="R28" s="198">
        <v>16.5</v>
      </c>
      <c r="S28" s="198">
        <v>126</v>
      </c>
      <c r="T28" s="77">
        <f t="shared" si="1"/>
        <v>27</v>
      </c>
      <c r="U28" s="55">
        <v>149</v>
      </c>
      <c r="V28" s="58">
        <f t="shared" si="2"/>
        <v>4023</v>
      </c>
      <c r="W28" s="198">
        <v>3</v>
      </c>
      <c r="X28" s="55" t="s">
        <v>46</v>
      </c>
      <c r="Y28" s="55" t="s">
        <v>55</v>
      </c>
      <c r="Z28" s="55" t="s">
        <v>69</v>
      </c>
      <c r="AA28" s="55" t="s">
        <v>86</v>
      </c>
      <c r="AB28" s="39" t="s">
        <v>328</v>
      </c>
    </row>
    <row r="29" spans="1:48" x14ac:dyDescent="0.15">
      <c r="A29" s="55" t="s">
        <v>41</v>
      </c>
      <c r="B29" s="198" t="s">
        <v>325</v>
      </c>
      <c r="C29" s="139">
        <v>2018</v>
      </c>
      <c r="D29" s="56" t="s">
        <v>332</v>
      </c>
      <c r="E29" s="198" t="s">
        <v>279</v>
      </c>
      <c r="F29" s="55" t="s">
        <v>284</v>
      </c>
      <c r="G29" s="55" t="s">
        <v>42</v>
      </c>
      <c r="H29" s="55" t="s">
        <v>167</v>
      </c>
      <c r="I29" s="55" t="s">
        <v>155</v>
      </c>
      <c r="J29" s="55" t="s">
        <v>38</v>
      </c>
      <c r="K29" s="55" t="s">
        <v>156</v>
      </c>
      <c r="L29" s="198">
        <v>1</v>
      </c>
      <c r="N29" s="55">
        <v>3</v>
      </c>
      <c r="O29" s="198">
        <v>0.35</v>
      </c>
      <c r="P29" s="198">
        <v>0.35</v>
      </c>
      <c r="Q29" s="57">
        <f t="shared" si="0"/>
        <v>0.35</v>
      </c>
      <c r="R29" s="198">
        <v>14.8</v>
      </c>
      <c r="S29" s="198">
        <v>132</v>
      </c>
      <c r="T29" s="57">
        <f t="shared" si="1"/>
        <v>25</v>
      </c>
      <c r="U29" s="55">
        <v>429</v>
      </c>
      <c r="V29" s="58">
        <f t="shared" si="2"/>
        <v>3575</v>
      </c>
      <c r="W29" s="198">
        <v>2</v>
      </c>
      <c r="X29" s="55" t="s">
        <v>46</v>
      </c>
      <c r="Y29" s="55" t="s">
        <v>55</v>
      </c>
      <c r="Z29" s="55" t="s">
        <v>69</v>
      </c>
      <c r="AA29" s="55" t="s">
        <v>86</v>
      </c>
      <c r="AB29" s="39" t="s">
        <v>328</v>
      </c>
    </row>
    <row r="30" spans="1:48" x14ac:dyDescent="0.15">
      <c r="A30" s="55" t="s">
        <v>41</v>
      </c>
      <c r="B30" s="198" t="s">
        <v>325</v>
      </c>
      <c r="C30" s="139">
        <v>2018</v>
      </c>
      <c r="D30" s="56" t="s">
        <v>332</v>
      </c>
      <c r="E30" s="198" t="s">
        <v>279</v>
      </c>
      <c r="F30" s="55" t="s">
        <v>284</v>
      </c>
      <c r="G30" s="55" t="s">
        <v>42</v>
      </c>
      <c r="H30" s="55" t="s">
        <v>167</v>
      </c>
      <c r="I30" s="55" t="s">
        <v>155</v>
      </c>
      <c r="J30" s="55" t="s">
        <v>38</v>
      </c>
      <c r="K30" s="55" t="s">
        <v>156</v>
      </c>
      <c r="L30" s="198">
        <v>2</v>
      </c>
      <c r="N30" s="55">
        <v>3</v>
      </c>
      <c r="O30" s="198">
        <v>0.4</v>
      </c>
      <c r="P30" s="198">
        <v>0.35</v>
      </c>
      <c r="Q30" s="57">
        <f t="shared" si="0"/>
        <v>0.375</v>
      </c>
      <c r="R30" s="198">
        <v>15</v>
      </c>
      <c r="S30" s="198">
        <v>126</v>
      </c>
      <c r="T30" s="57">
        <f t="shared" si="1"/>
        <v>27</v>
      </c>
      <c r="U30" s="55">
        <v>429</v>
      </c>
      <c r="V30" s="58">
        <f t="shared" si="2"/>
        <v>3861</v>
      </c>
      <c r="W30" s="198">
        <v>2</v>
      </c>
      <c r="X30" s="55" t="s">
        <v>46</v>
      </c>
      <c r="Y30" s="55" t="s">
        <v>55</v>
      </c>
      <c r="Z30" s="55" t="s">
        <v>69</v>
      </c>
      <c r="AA30" s="55" t="s">
        <v>86</v>
      </c>
      <c r="AB30" s="39" t="s">
        <v>328</v>
      </c>
    </row>
    <row r="31" spans="1:48" x14ac:dyDescent="0.15">
      <c r="A31" s="55" t="s">
        <v>41</v>
      </c>
      <c r="B31" s="198" t="s">
        <v>325</v>
      </c>
      <c r="C31" s="139">
        <v>2018</v>
      </c>
      <c r="D31" s="56" t="s">
        <v>332</v>
      </c>
      <c r="E31" s="198" t="s">
        <v>279</v>
      </c>
      <c r="F31" s="55" t="s">
        <v>284</v>
      </c>
      <c r="G31" s="55" t="s">
        <v>42</v>
      </c>
      <c r="H31" s="55" t="s">
        <v>167</v>
      </c>
      <c r="I31" s="55" t="s">
        <v>155</v>
      </c>
      <c r="J31" s="55" t="s">
        <v>38</v>
      </c>
      <c r="K31" s="55" t="s">
        <v>156</v>
      </c>
      <c r="L31" s="198">
        <v>3</v>
      </c>
      <c r="N31" s="55">
        <v>3</v>
      </c>
      <c r="O31" s="198">
        <v>0.65</v>
      </c>
      <c r="P31" s="198">
        <v>0.55000000000000004</v>
      </c>
      <c r="Q31" s="57">
        <f t="shared" si="0"/>
        <v>0.60000000000000009</v>
      </c>
      <c r="R31" s="198">
        <v>15.1</v>
      </c>
      <c r="S31" s="198">
        <v>135</v>
      </c>
      <c r="T31" s="57">
        <f t="shared" si="1"/>
        <v>25</v>
      </c>
      <c r="U31" s="55">
        <v>429</v>
      </c>
      <c r="V31" s="58">
        <f t="shared" si="2"/>
        <v>3575</v>
      </c>
      <c r="W31" s="198">
        <v>2</v>
      </c>
      <c r="X31" s="55" t="s">
        <v>46</v>
      </c>
      <c r="Y31" s="55" t="s">
        <v>55</v>
      </c>
      <c r="Z31" s="55" t="s">
        <v>69</v>
      </c>
      <c r="AA31" s="55" t="s">
        <v>86</v>
      </c>
      <c r="AB31" s="39" t="s">
        <v>328</v>
      </c>
    </row>
    <row r="32" spans="1:48" x14ac:dyDescent="0.15">
      <c r="A32" s="55" t="s">
        <v>41</v>
      </c>
      <c r="B32" s="198" t="s">
        <v>325</v>
      </c>
      <c r="C32" s="139">
        <v>2018</v>
      </c>
      <c r="D32" s="56" t="s">
        <v>332</v>
      </c>
      <c r="E32" s="198" t="s">
        <v>279</v>
      </c>
      <c r="F32" s="55" t="s">
        <v>284</v>
      </c>
      <c r="G32" s="55" t="s">
        <v>42</v>
      </c>
      <c r="H32" s="55" t="s">
        <v>167</v>
      </c>
      <c r="I32" s="55" t="s">
        <v>155</v>
      </c>
      <c r="J32" s="55" t="s">
        <v>38</v>
      </c>
      <c r="K32" s="55" t="s">
        <v>156</v>
      </c>
      <c r="L32" s="198">
        <v>1</v>
      </c>
      <c r="M32" s="55"/>
      <c r="N32" s="55">
        <v>6</v>
      </c>
      <c r="O32" s="55">
        <v>0.75</v>
      </c>
      <c r="P32" s="55">
        <v>0.85</v>
      </c>
      <c r="Q32" s="82">
        <f t="shared" si="0"/>
        <v>0.8</v>
      </c>
      <c r="R32" s="55">
        <v>13.1</v>
      </c>
      <c r="S32" s="55">
        <v>127</v>
      </c>
      <c r="T32" s="77">
        <f t="shared" si="1"/>
        <v>27</v>
      </c>
      <c r="U32" s="55">
        <v>734</v>
      </c>
      <c r="V32" s="78">
        <f t="shared" si="2"/>
        <v>3303</v>
      </c>
      <c r="W32" s="55">
        <v>2</v>
      </c>
      <c r="X32" s="55" t="s">
        <v>46</v>
      </c>
      <c r="Y32" s="55" t="s">
        <v>55</v>
      </c>
      <c r="Z32" s="55" t="s">
        <v>69</v>
      </c>
      <c r="AA32" s="55" t="s">
        <v>86</v>
      </c>
      <c r="AB32" s="39" t="s">
        <v>328</v>
      </c>
    </row>
    <row r="33" spans="1:49" x14ac:dyDescent="0.15">
      <c r="A33" s="55" t="s">
        <v>41</v>
      </c>
      <c r="B33" s="198" t="s">
        <v>325</v>
      </c>
      <c r="C33" s="139">
        <v>2018</v>
      </c>
      <c r="D33" s="56" t="s">
        <v>332</v>
      </c>
      <c r="E33" s="198" t="s">
        <v>279</v>
      </c>
      <c r="F33" s="55" t="s">
        <v>284</v>
      </c>
      <c r="G33" s="55" t="s">
        <v>42</v>
      </c>
      <c r="H33" s="55" t="s">
        <v>167</v>
      </c>
      <c r="I33" s="55" t="s">
        <v>155</v>
      </c>
      <c r="J33" s="55" t="s">
        <v>38</v>
      </c>
      <c r="K33" s="55" t="s">
        <v>156</v>
      </c>
      <c r="L33" s="198">
        <v>2</v>
      </c>
      <c r="N33" s="55">
        <v>6</v>
      </c>
      <c r="O33" s="55">
        <v>0.8</v>
      </c>
      <c r="P33" s="55">
        <v>0.9</v>
      </c>
      <c r="Q33" s="82">
        <f t="shared" si="0"/>
        <v>0.85000000000000009</v>
      </c>
      <c r="R33" s="55">
        <v>16.5</v>
      </c>
      <c r="S33" s="55">
        <v>130</v>
      </c>
      <c r="T33" s="77">
        <f t="shared" si="1"/>
        <v>25</v>
      </c>
      <c r="U33" s="55">
        <v>734</v>
      </c>
      <c r="V33" s="58">
        <f t="shared" si="2"/>
        <v>3058.333333333333</v>
      </c>
      <c r="W33" s="198">
        <v>2</v>
      </c>
      <c r="X33" s="55" t="s">
        <v>46</v>
      </c>
      <c r="Y33" s="55" t="s">
        <v>55</v>
      </c>
      <c r="Z33" s="55" t="s">
        <v>69</v>
      </c>
      <c r="AA33" s="55" t="s">
        <v>86</v>
      </c>
      <c r="AB33" s="39" t="s">
        <v>328</v>
      </c>
      <c r="AE33" s="214"/>
      <c r="AF33" s="214"/>
      <c r="AG33" s="214"/>
      <c r="AH33" s="214"/>
      <c r="AI33" s="214"/>
      <c r="AJ33" s="214"/>
      <c r="AK33" s="214"/>
      <c r="AL33" s="214"/>
      <c r="AM33" s="214"/>
      <c r="AN33" s="214"/>
      <c r="AO33" s="214"/>
      <c r="AP33" s="214"/>
      <c r="AQ33" s="214"/>
      <c r="AR33" s="214"/>
      <c r="AS33" s="214"/>
      <c r="AT33" s="214"/>
      <c r="AU33" s="214"/>
      <c r="AV33" s="214"/>
      <c r="AW33" s="214"/>
    </row>
    <row r="34" spans="1:49" x14ac:dyDescent="0.15">
      <c r="A34" s="55" t="s">
        <v>41</v>
      </c>
      <c r="B34" s="198" t="s">
        <v>325</v>
      </c>
      <c r="C34" s="139">
        <v>2018</v>
      </c>
      <c r="D34" s="56" t="s">
        <v>332</v>
      </c>
      <c r="E34" s="198" t="s">
        <v>279</v>
      </c>
      <c r="F34" s="55" t="s">
        <v>284</v>
      </c>
      <c r="G34" s="55" t="s">
        <v>42</v>
      </c>
      <c r="H34" s="55" t="s">
        <v>167</v>
      </c>
      <c r="I34" s="55" t="s">
        <v>155</v>
      </c>
      <c r="J34" s="55" t="s">
        <v>38</v>
      </c>
      <c r="K34" s="55" t="s">
        <v>156</v>
      </c>
      <c r="L34" s="198">
        <v>3</v>
      </c>
      <c r="N34" s="55">
        <v>6</v>
      </c>
      <c r="O34" s="55">
        <v>0.9</v>
      </c>
      <c r="P34" s="55">
        <v>1.05</v>
      </c>
      <c r="Q34" s="82">
        <f t="shared" si="0"/>
        <v>0.97500000000000009</v>
      </c>
      <c r="R34" s="55">
        <v>14.5</v>
      </c>
      <c r="S34" s="55">
        <v>131</v>
      </c>
      <c r="T34" s="77">
        <f t="shared" si="1"/>
        <v>25</v>
      </c>
      <c r="U34" s="55">
        <v>734</v>
      </c>
      <c r="V34" s="58">
        <f t="shared" si="2"/>
        <v>3058.333333333333</v>
      </c>
      <c r="W34" s="198">
        <v>2</v>
      </c>
      <c r="X34" s="55" t="s">
        <v>46</v>
      </c>
      <c r="Y34" s="55" t="s">
        <v>55</v>
      </c>
      <c r="Z34" s="55" t="s">
        <v>69</v>
      </c>
      <c r="AA34" s="55" t="s">
        <v>86</v>
      </c>
      <c r="AB34" s="39" t="s">
        <v>328</v>
      </c>
      <c r="AE34" s="214"/>
      <c r="AF34" s="214"/>
      <c r="AG34" s="214"/>
      <c r="AH34" s="214"/>
      <c r="AI34" s="214"/>
      <c r="AJ34" s="214"/>
      <c r="AK34" s="214"/>
      <c r="AL34" s="214"/>
      <c r="AM34" s="214"/>
      <c r="AN34" s="214"/>
      <c r="AO34" s="214"/>
      <c r="AP34" s="214"/>
      <c r="AQ34" s="214"/>
      <c r="AR34" s="214"/>
      <c r="AS34" s="214"/>
      <c r="AT34" s="214"/>
      <c r="AU34" s="214"/>
      <c r="AV34" s="214"/>
      <c r="AW34" s="214"/>
    </row>
    <row r="35" spans="1:49" x14ac:dyDescent="0.15">
      <c r="A35" s="55" t="s">
        <v>41</v>
      </c>
      <c r="B35" s="198" t="s">
        <v>325</v>
      </c>
      <c r="C35" s="139">
        <v>2018</v>
      </c>
      <c r="D35" s="56" t="s">
        <v>332</v>
      </c>
      <c r="E35" s="198" t="s">
        <v>279</v>
      </c>
      <c r="F35" s="55" t="s">
        <v>284</v>
      </c>
      <c r="G35" s="55" t="s">
        <v>42</v>
      </c>
      <c r="H35" s="55" t="s">
        <v>167</v>
      </c>
      <c r="I35" s="55" t="s">
        <v>155</v>
      </c>
      <c r="J35" s="55" t="s">
        <v>38</v>
      </c>
      <c r="K35" s="55" t="s">
        <v>156</v>
      </c>
      <c r="L35" s="198">
        <v>1</v>
      </c>
      <c r="N35" s="55">
        <v>8</v>
      </c>
      <c r="O35" s="55">
        <v>1</v>
      </c>
      <c r="P35" s="55">
        <v>1</v>
      </c>
      <c r="Q35" s="82">
        <f t="shared" si="0"/>
        <v>1</v>
      </c>
      <c r="R35" s="55">
        <v>13.4</v>
      </c>
      <c r="S35" s="55">
        <v>124</v>
      </c>
      <c r="T35" s="57">
        <f t="shared" si="1"/>
        <v>27</v>
      </c>
      <c r="U35" s="55">
        <v>1058</v>
      </c>
      <c r="V35" s="58">
        <f t="shared" si="2"/>
        <v>3570.75</v>
      </c>
      <c r="W35" s="198">
        <v>2</v>
      </c>
      <c r="X35" s="55" t="s">
        <v>46</v>
      </c>
      <c r="Y35" s="55" t="s">
        <v>55</v>
      </c>
      <c r="Z35" s="55" t="s">
        <v>69</v>
      </c>
      <c r="AA35" s="55" t="s">
        <v>86</v>
      </c>
      <c r="AB35" s="39" t="s">
        <v>328</v>
      </c>
      <c r="AE35" s="214"/>
      <c r="AF35" s="214"/>
      <c r="AG35" s="214"/>
      <c r="AH35" s="214"/>
      <c r="AI35" s="214"/>
      <c r="AJ35" s="214"/>
      <c r="AK35" s="214"/>
      <c r="AL35" s="214"/>
      <c r="AM35" s="214"/>
      <c r="AN35" s="214"/>
      <c r="AO35" s="214"/>
      <c r="AP35" s="214"/>
      <c r="AQ35" s="214"/>
      <c r="AR35" s="214"/>
      <c r="AS35" s="214"/>
      <c r="AT35" s="214"/>
      <c r="AU35" s="214"/>
      <c r="AV35" s="214"/>
      <c r="AW35" s="214"/>
    </row>
    <row r="36" spans="1:49" x14ac:dyDescent="0.15">
      <c r="A36" s="55" t="s">
        <v>41</v>
      </c>
      <c r="B36" s="198" t="s">
        <v>325</v>
      </c>
      <c r="C36" s="139">
        <v>2018</v>
      </c>
      <c r="D36" s="56" t="s">
        <v>332</v>
      </c>
      <c r="E36" s="198" t="s">
        <v>279</v>
      </c>
      <c r="F36" s="55" t="s">
        <v>284</v>
      </c>
      <c r="G36" s="55" t="s">
        <v>42</v>
      </c>
      <c r="H36" s="55" t="s">
        <v>167</v>
      </c>
      <c r="I36" s="55" t="s">
        <v>155</v>
      </c>
      <c r="J36" s="55" t="s">
        <v>38</v>
      </c>
      <c r="K36" s="55" t="s">
        <v>156</v>
      </c>
      <c r="L36" s="198">
        <v>2</v>
      </c>
      <c r="N36" s="55">
        <v>8</v>
      </c>
      <c r="O36" s="55">
        <v>1</v>
      </c>
      <c r="P36" s="55">
        <v>0.95</v>
      </c>
      <c r="Q36" s="82">
        <f t="shared" si="0"/>
        <v>0.97499999999999998</v>
      </c>
      <c r="R36" s="55">
        <v>15.7</v>
      </c>
      <c r="S36" s="55">
        <v>137</v>
      </c>
      <c r="T36" s="57">
        <f t="shared" si="1"/>
        <v>25</v>
      </c>
      <c r="U36" s="55">
        <v>1058</v>
      </c>
      <c r="V36" s="58">
        <f t="shared" si="2"/>
        <v>3306.25</v>
      </c>
      <c r="W36" s="198">
        <v>2</v>
      </c>
      <c r="X36" s="55" t="s">
        <v>46</v>
      </c>
      <c r="Y36" s="55" t="s">
        <v>55</v>
      </c>
      <c r="Z36" s="55" t="s">
        <v>69</v>
      </c>
      <c r="AA36" s="55" t="s">
        <v>86</v>
      </c>
      <c r="AB36" s="39" t="s">
        <v>328</v>
      </c>
      <c r="AE36" s="214"/>
      <c r="AF36" s="214"/>
      <c r="AG36" s="214"/>
      <c r="AH36" s="214"/>
      <c r="AI36" s="214"/>
      <c r="AJ36" s="214"/>
      <c r="AK36" s="214"/>
      <c r="AL36" s="214"/>
      <c r="AM36" s="214"/>
      <c r="AN36" s="214"/>
      <c r="AO36" s="214"/>
      <c r="AP36" s="214"/>
      <c r="AQ36" s="214"/>
      <c r="AR36" s="214"/>
      <c r="AS36" s="214"/>
      <c r="AT36" s="214"/>
      <c r="AU36" s="214"/>
      <c r="AV36" s="214"/>
      <c r="AW36" s="214"/>
    </row>
    <row r="37" spans="1:49" x14ac:dyDescent="0.15">
      <c r="A37" s="55" t="s">
        <v>41</v>
      </c>
      <c r="B37" s="198" t="s">
        <v>325</v>
      </c>
      <c r="C37" s="139">
        <v>2018</v>
      </c>
      <c r="D37" s="56" t="s">
        <v>332</v>
      </c>
      <c r="E37" s="198" t="s">
        <v>279</v>
      </c>
      <c r="F37" s="55" t="s">
        <v>284</v>
      </c>
      <c r="G37" s="55" t="s">
        <v>42</v>
      </c>
      <c r="H37" s="55" t="s">
        <v>167</v>
      </c>
      <c r="I37" s="55" t="s">
        <v>155</v>
      </c>
      <c r="J37" s="55" t="s">
        <v>38</v>
      </c>
      <c r="K37" s="55" t="s">
        <v>156</v>
      </c>
      <c r="L37" s="198">
        <v>3</v>
      </c>
      <c r="N37" s="55">
        <v>8</v>
      </c>
      <c r="O37" s="55">
        <v>1</v>
      </c>
      <c r="P37" s="55">
        <v>0.95</v>
      </c>
      <c r="Q37" s="82">
        <f t="shared" si="0"/>
        <v>0.97499999999999998</v>
      </c>
      <c r="R37" s="55">
        <v>14.8</v>
      </c>
      <c r="S37" s="55">
        <v>128</v>
      </c>
      <c r="T37" s="57">
        <f t="shared" si="1"/>
        <v>27</v>
      </c>
      <c r="U37" s="55">
        <v>1058</v>
      </c>
      <c r="V37" s="58">
        <f t="shared" si="2"/>
        <v>3570.75</v>
      </c>
      <c r="W37" s="198">
        <v>2</v>
      </c>
      <c r="X37" s="55" t="s">
        <v>46</v>
      </c>
      <c r="Y37" s="55" t="s">
        <v>55</v>
      </c>
      <c r="Z37" s="55" t="s">
        <v>69</v>
      </c>
      <c r="AA37" s="55" t="s">
        <v>86</v>
      </c>
      <c r="AB37" s="39" t="s">
        <v>328</v>
      </c>
      <c r="AE37" s="214"/>
      <c r="AF37" s="214"/>
      <c r="AG37" s="214"/>
      <c r="AH37" s="214"/>
      <c r="AI37" s="214"/>
      <c r="AJ37" s="214"/>
      <c r="AK37" s="214"/>
      <c r="AL37" s="214"/>
      <c r="AM37" s="214"/>
      <c r="AN37" s="214"/>
      <c r="AO37" s="214"/>
      <c r="AP37" s="214"/>
      <c r="AQ37" s="214"/>
      <c r="AR37" s="214"/>
      <c r="AS37" s="214"/>
      <c r="AT37" s="214"/>
      <c r="AU37" s="214"/>
      <c r="AV37" s="214"/>
      <c r="AW37" s="214"/>
    </row>
    <row r="38" spans="1:49" x14ac:dyDescent="0.15">
      <c r="A38" s="55" t="s">
        <v>41</v>
      </c>
      <c r="B38" s="198" t="s">
        <v>325</v>
      </c>
      <c r="C38" s="139">
        <v>2018</v>
      </c>
      <c r="D38" s="56" t="s">
        <v>332</v>
      </c>
      <c r="E38" s="198" t="s">
        <v>279</v>
      </c>
      <c r="F38" s="198" t="s">
        <v>285</v>
      </c>
      <c r="G38" s="55" t="s">
        <v>42</v>
      </c>
      <c r="H38" s="55" t="s">
        <v>157</v>
      </c>
      <c r="I38" s="55" t="s">
        <v>155</v>
      </c>
      <c r="J38" s="55" t="s">
        <v>38</v>
      </c>
      <c r="K38" s="55" t="s">
        <v>156</v>
      </c>
      <c r="L38" s="198">
        <v>1</v>
      </c>
      <c r="M38" s="55"/>
      <c r="N38" s="55">
        <v>1</v>
      </c>
      <c r="O38" s="55">
        <v>0.7</v>
      </c>
      <c r="P38" s="55">
        <v>0.65</v>
      </c>
      <c r="Q38" s="82">
        <f t="shared" si="0"/>
        <v>0.67500000000000004</v>
      </c>
      <c r="R38" s="55">
        <v>16.5</v>
      </c>
      <c r="S38" s="55">
        <v>128</v>
      </c>
      <c r="T38" s="77">
        <f t="shared" si="1"/>
        <v>27</v>
      </c>
      <c r="U38" s="55">
        <v>149</v>
      </c>
      <c r="V38" s="78">
        <f t="shared" si="2"/>
        <v>4023</v>
      </c>
      <c r="W38" s="55">
        <v>4</v>
      </c>
      <c r="X38" s="55" t="s">
        <v>46</v>
      </c>
      <c r="Y38" s="55" t="s">
        <v>69</v>
      </c>
      <c r="Z38" s="55" t="s">
        <v>97</v>
      </c>
      <c r="AA38" s="55" t="s">
        <v>86</v>
      </c>
      <c r="AB38" s="39" t="s">
        <v>328</v>
      </c>
      <c r="AE38" s="219"/>
      <c r="AF38" s="214"/>
      <c r="AG38" s="220"/>
      <c r="AH38" s="220"/>
      <c r="AI38" s="214"/>
      <c r="AJ38" s="214"/>
      <c r="AK38" s="214"/>
      <c r="AL38" s="214"/>
      <c r="AM38" s="214"/>
      <c r="AN38" s="214"/>
      <c r="AO38" s="214"/>
      <c r="AP38" s="214"/>
      <c r="AQ38" s="214"/>
      <c r="AR38" s="220"/>
      <c r="AS38" s="214"/>
      <c r="AT38" s="214"/>
      <c r="AU38" s="214"/>
      <c r="AV38" s="214"/>
      <c r="AW38" s="214"/>
    </row>
    <row r="39" spans="1:49" x14ac:dyDescent="0.15">
      <c r="A39" s="55" t="s">
        <v>41</v>
      </c>
      <c r="B39" s="198" t="s">
        <v>325</v>
      </c>
      <c r="C39" s="139">
        <v>2018</v>
      </c>
      <c r="D39" s="56" t="s">
        <v>332</v>
      </c>
      <c r="E39" s="198" t="s">
        <v>279</v>
      </c>
      <c r="F39" s="198" t="s">
        <v>285</v>
      </c>
      <c r="G39" s="55" t="s">
        <v>42</v>
      </c>
      <c r="H39" s="55" t="s">
        <v>157</v>
      </c>
      <c r="I39" s="55" t="s">
        <v>155</v>
      </c>
      <c r="J39" s="55" t="s">
        <v>38</v>
      </c>
      <c r="K39" s="55" t="s">
        <v>156</v>
      </c>
      <c r="L39" s="198">
        <v>2</v>
      </c>
      <c r="N39" s="55">
        <v>1</v>
      </c>
      <c r="O39" s="55">
        <v>0.65</v>
      </c>
      <c r="P39" s="55">
        <v>0.45</v>
      </c>
      <c r="Q39" s="82">
        <f t="shared" si="0"/>
        <v>0.55000000000000004</v>
      </c>
      <c r="R39" s="55">
        <v>14.5</v>
      </c>
      <c r="S39" s="55">
        <v>117</v>
      </c>
      <c r="T39" s="77">
        <f t="shared" si="1"/>
        <v>30</v>
      </c>
      <c r="U39" s="55">
        <v>149</v>
      </c>
      <c r="V39" s="58">
        <f t="shared" si="2"/>
        <v>4470</v>
      </c>
      <c r="W39" s="198">
        <v>4</v>
      </c>
      <c r="X39" s="55" t="s">
        <v>46</v>
      </c>
      <c r="Y39" s="55" t="s">
        <v>69</v>
      </c>
      <c r="Z39" s="55" t="s">
        <v>97</v>
      </c>
      <c r="AA39" s="55" t="s">
        <v>86</v>
      </c>
      <c r="AB39" s="39" t="s">
        <v>328</v>
      </c>
      <c r="AE39" s="219"/>
      <c r="AF39" s="214"/>
      <c r="AG39" s="220"/>
      <c r="AH39" s="220"/>
      <c r="AI39" s="214"/>
      <c r="AJ39" s="214"/>
      <c r="AK39" s="214"/>
      <c r="AL39" s="214"/>
      <c r="AM39" s="214"/>
      <c r="AN39" s="214"/>
      <c r="AO39" s="214"/>
      <c r="AP39" s="214"/>
      <c r="AQ39" s="214"/>
      <c r="AR39" s="220"/>
      <c r="AS39" s="214"/>
      <c r="AT39" s="214"/>
      <c r="AU39" s="214"/>
      <c r="AV39" s="214"/>
      <c r="AW39" s="214"/>
    </row>
    <row r="40" spans="1:49" x14ac:dyDescent="0.15">
      <c r="A40" s="55" t="s">
        <v>41</v>
      </c>
      <c r="B40" s="198" t="s">
        <v>325</v>
      </c>
      <c r="C40" s="139">
        <v>2018</v>
      </c>
      <c r="D40" s="56" t="s">
        <v>332</v>
      </c>
      <c r="E40" s="198" t="s">
        <v>279</v>
      </c>
      <c r="F40" s="198" t="s">
        <v>285</v>
      </c>
      <c r="G40" s="55" t="s">
        <v>42</v>
      </c>
      <c r="H40" s="55" t="s">
        <v>157</v>
      </c>
      <c r="I40" s="55" t="s">
        <v>155</v>
      </c>
      <c r="J40" s="55" t="s">
        <v>38</v>
      </c>
      <c r="K40" s="55" t="s">
        <v>156</v>
      </c>
      <c r="L40" s="198">
        <v>3</v>
      </c>
      <c r="N40" s="55">
        <v>1</v>
      </c>
      <c r="O40" s="55">
        <v>0.5</v>
      </c>
      <c r="P40" s="55">
        <v>0.45</v>
      </c>
      <c r="Q40" s="82">
        <f t="shared" si="0"/>
        <v>0.47499999999999998</v>
      </c>
      <c r="R40" s="55">
        <v>12.8</v>
      </c>
      <c r="S40" s="55">
        <v>120</v>
      </c>
      <c r="T40" s="77">
        <f t="shared" si="1"/>
        <v>30</v>
      </c>
      <c r="U40" s="55">
        <v>149</v>
      </c>
      <c r="V40" s="58">
        <f t="shared" si="2"/>
        <v>4470</v>
      </c>
      <c r="W40" s="198">
        <v>4</v>
      </c>
      <c r="X40" s="55" t="s">
        <v>46</v>
      </c>
      <c r="Y40" s="55" t="s">
        <v>69</v>
      </c>
      <c r="Z40" s="55" t="s">
        <v>97</v>
      </c>
      <c r="AA40" s="55" t="s">
        <v>86</v>
      </c>
      <c r="AB40" s="39" t="s">
        <v>328</v>
      </c>
      <c r="AE40" s="219"/>
      <c r="AF40" s="214"/>
      <c r="AG40" s="220"/>
      <c r="AH40" s="220"/>
      <c r="AI40" s="214"/>
      <c r="AJ40" s="214"/>
      <c r="AK40" s="214"/>
      <c r="AL40" s="214"/>
      <c r="AM40" s="214"/>
      <c r="AN40" s="214"/>
      <c r="AO40" s="214"/>
      <c r="AP40" s="214"/>
      <c r="AQ40" s="214"/>
      <c r="AR40" s="220"/>
      <c r="AS40" s="214"/>
      <c r="AT40" s="214"/>
      <c r="AU40" s="214"/>
      <c r="AV40" s="214"/>
      <c r="AW40" s="214"/>
    </row>
    <row r="41" spans="1:49" x14ac:dyDescent="0.15">
      <c r="A41" s="55" t="s">
        <v>41</v>
      </c>
      <c r="B41" s="198" t="s">
        <v>325</v>
      </c>
      <c r="C41" s="139">
        <v>2018</v>
      </c>
      <c r="D41" s="56" t="s">
        <v>332</v>
      </c>
      <c r="E41" s="198" t="s">
        <v>279</v>
      </c>
      <c r="F41" s="198" t="s">
        <v>285</v>
      </c>
      <c r="G41" s="55" t="s">
        <v>42</v>
      </c>
      <c r="H41" s="55" t="s">
        <v>157</v>
      </c>
      <c r="I41" s="55" t="s">
        <v>155</v>
      </c>
      <c r="J41" s="55" t="s">
        <v>38</v>
      </c>
      <c r="K41" s="55" t="s">
        <v>156</v>
      </c>
      <c r="L41" s="198">
        <v>1</v>
      </c>
      <c r="M41" s="55"/>
      <c r="N41" s="55">
        <v>3</v>
      </c>
      <c r="O41" s="55">
        <v>0.95</v>
      </c>
      <c r="P41" s="55">
        <v>0.95</v>
      </c>
      <c r="Q41" s="82">
        <f t="shared" si="0"/>
        <v>0.95</v>
      </c>
      <c r="R41" s="55">
        <v>16.100000000000001</v>
      </c>
      <c r="S41" s="55">
        <v>135</v>
      </c>
      <c r="T41" s="77">
        <f t="shared" si="1"/>
        <v>25</v>
      </c>
      <c r="U41" s="55">
        <v>429</v>
      </c>
      <c r="V41" s="78">
        <f t="shared" si="2"/>
        <v>3575</v>
      </c>
      <c r="W41" s="55">
        <v>3</v>
      </c>
      <c r="X41" s="55" t="s">
        <v>46</v>
      </c>
      <c r="Y41" s="55" t="s">
        <v>69</v>
      </c>
      <c r="Z41" s="55" t="s">
        <v>97</v>
      </c>
      <c r="AA41" s="55" t="s">
        <v>86</v>
      </c>
      <c r="AB41" s="39" t="s">
        <v>328</v>
      </c>
      <c r="AE41" s="219"/>
      <c r="AF41" s="214"/>
      <c r="AG41" s="214"/>
      <c r="AH41" s="214"/>
      <c r="AI41" s="214"/>
      <c r="AJ41" s="214"/>
      <c r="AK41" s="214"/>
      <c r="AL41" s="214"/>
      <c r="AM41" s="214"/>
      <c r="AN41" s="214"/>
      <c r="AO41" s="214"/>
      <c r="AP41" s="220"/>
      <c r="AQ41" s="214"/>
      <c r="AR41" s="220"/>
      <c r="AS41" s="214"/>
      <c r="AT41" s="214"/>
      <c r="AU41" s="214"/>
      <c r="AV41" s="214"/>
      <c r="AW41" s="214"/>
    </row>
    <row r="42" spans="1:49" x14ac:dyDescent="0.15">
      <c r="A42" s="55" t="s">
        <v>41</v>
      </c>
      <c r="B42" s="198" t="s">
        <v>325</v>
      </c>
      <c r="C42" s="139">
        <v>2018</v>
      </c>
      <c r="D42" s="56" t="s">
        <v>332</v>
      </c>
      <c r="E42" s="198" t="s">
        <v>279</v>
      </c>
      <c r="F42" s="198" t="s">
        <v>285</v>
      </c>
      <c r="G42" s="55" t="s">
        <v>42</v>
      </c>
      <c r="H42" s="55" t="s">
        <v>157</v>
      </c>
      <c r="I42" s="55" t="s">
        <v>155</v>
      </c>
      <c r="J42" s="55" t="s">
        <v>38</v>
      </c>
      <c r="K42" s="55" t="s">
        <v>156</v>
      </c>
      <c r="L42" s="198">
        <v>2</v>
      </c>
      <c r="N42" s="55">
        <v>3</v>
      </c>
      <c r="O42" s="55">
        <v>1</v>
      </c>
      <c r="P42" s="55">
        <v>0.9</v>
      </c>
      <c r="Q42" s="82">
        <f t="shared" si="0"/>
        <v>0.95</v>
      </c>
      <c r="R42" s="55">
        <v>13.8</v>
      </c>
      <c r="S42" s="55">
        <v>137</v>
      </c>
      <c r="T42" s="77">
        <f t="shared" si="1"/>
        <v>25</v>
      </c>
      <c r="U42" s="55">
        <v>429</v>
      </c>
      <c r="V42" s="78">
        <f t="shared" si="2"/>
        <v>3575</v>
      </c>
      <c r="W42" s="55">
        <v>3</v>
      </c>
      <c r="X42" s="55" t="s">
        <v>46</v>
      </c>
      <c r="Y42" s="55" t="s">
        <v>69</v>
      </c>
      <c r="Z42" s="55" t="s">
        <v>97</v>
      </c>
      <c r="AA42" s="55" t="s">
        <v>86</v>
      </c>
      <c r="AB42" s="39" t="s">
        <v>328</v>
      </c>
      <c r="AE42" s="219"/>
      <c r="AF42" s="214"/>
      <c r="AG42" s="214"/>
      <c r="AH42" s="214"/>
      <c r="AI42" s="214"/>
      <c r="AJ42" s="214"/>
      <c r="AK42" s="214"/>
      <c r="AL42" s="214"/>
      <c r="AM42" s="214"/>
      <c r="AN42" s="214"/>
      <c r="AO42" s="214"/>
      <c r="AP42" s="220"/>
      <c r="AQ42" s="214"/>
      <c r="AR42" s="220"/>
      <c r="AS42" s="214"/>
      <c r="AT42" s="214"/>
      <c r="AU42" s="214"/>
      <c r="AV42" s="214"/>
      <c r="AW42" s="214"/>
    </row>
    <row r="43" spans="1:49" x14ac:dyDescent="0.15">
      <c r="A43" s="55" t="s">
        <v>41</v>
      </c>
      <c r="B43" s="198" t="s">
        <v>325</v>
      </c>
      <c r="C43" s="139">
        <v>2018</v>
      </c>
      <c r="D43" s="56" t="s">
        <v>332</v>
      </c>
      <c r="E43" s="198" t="s">
        <v>279</v>
      </c>
      <c r="F43" s="198" t="s">
        <v>285</v>
      </c>
      <c r="G43" s="55" t="s">
        <v>42</v>
      </c>
      <c r="H43" s="55" t="s">
        <v>157</v>
      </c>
      <c r="I43" s="55" t="s">
        <v>155</v>
      </c>
      <c r="J43" s="55" t="s">
        <v>38</v>
      </c>
      <c r="K43" s="55" t="s">
        <v>156</v>
      </c>
      <c r="L43" s="198">
        <v>3</v>
      </c>
      <c r="N43" s="55">
        <v>3</v>
      </c>
      <c r="O43" s="55">
        <v>0.85</v>
      </c>
      <c r="P43" s="55">
        <v>0.85</v>
      </c>
      <c r="Q43" s="82">
        <f t="shared" si="0"/>
        <v>0.85</v>
      </c>
      <c r="R43" s="55">
        <v>14.1</v>
      </c>
      <c r="S43" s="55">
        <v>145</v>
      </c>
      <c r="T43" s="77">
        <f t="shared" si="1"/>
        <v>22</v>
      </c>
      <c r="U43" s="55">
        <v>429</v>
      </c>
      <c r="V43" s="78">
        <f t="shared" si="2"/>
        <v>3146</v>
      </c>
      <c r="W43" s="198">
        <v>3</v>
      </c>
      <c r="X43" s="55" t="s">
        <v>46</v>
      </c>
      <c r="Y43" s="55" t="s">
        <v>69</v>
      </c>
      <c r="Z43" s="55" t="s">
        <v>97</v>
      </c>
      <c r="AA43" s="55" t="s">
        <v>86</v>
      </c>
      <c r="AB43" s="39" t="s">
        <v>328</v>
      </c>
      <c r="AE43" s="219"/>
      <c r="AF43" s="214"/>
      <c r="AG43" s="214"/>
      <c r="AH43" s="214"/>
      <c r="AI43" s="214"/>
      <c r="AJ43" s="214"/>
      <c r="AK43" s="214"/>
      <c r="AL43" s="214"/>
      <c r="AM43" s="214"/>
      <c r="AN43" s="214"/>
      <c r="AO43" s="214"/>
      <c r="AP43" s="220"/>
      <c r="AQ43" s="214"/>
      <c r="AR43" s="220"/>
      <c r="AS43" s="214"/>
      <c r="AT43" s="214"/>
      <c r="AU43" s="214"/>
      <c r="AV43" s="214"/>
      <c r="AW43" s="214"/>
    </row>
    <row r="44" spans="1:49" x14ac:dyDescent="0.15">
      <c r="A44" s="55" t="s">
        <v>41</v>
      </c>
      <c r="B44" s="198" t="s">
        <v>325</v>
      </c>
      <c r="C44" s="139">
        <v>2018</v>
      </c>
      <c r="D44" s="56" t="s">
        <v>332</v>
      </c>
      <c r="E44" s="198" t="s">
        <v>279</v>
      </c>
      <c r="F44" s="198" t="s">
        <v>285</v>
      </c>
      <c r="G44" s="55" t="s">
        <v>42</v>
      </c>
      <c r="H44" s="55" t="s">
        <v>167</v>
      </c>
      <c r="I44" s="55" t="s">
        <v>155</v>
      </c>
      <c r="J44" s="55" t="s">
        <v>38</v>
      </c>
      <c r="K44" s="55" t="s">
        <v>156</v>
      </c>
      <c r="L44" s="198">
        <v>1</v>
      </c>
      <c r="M44" s="55"/>
      <c r="N44" s="55">
        <v>1</v>
      </c>
      <c r="O44" s="55">
        <v>0.25</v>
      </c>
      <c r="P44" s="55">
        <v>0.3</v>
      </c>
      <c r="Q44" s="82">
        <f t="shared" si="0"/>
        <v>0.27500000000000002</v>
      </c>
      <c r="R44" s="55">
        <v>14.4</v>
      </c>
      <c r="S44" s="55">
        <v>129</v>
      </c>
      <c r="T44" s="77">
        <f t="shared" si="1"/>
        <v>25</v>
      </c>
      <c r="U44" s="55">
        <v>149</v>
      </c>
      <c r="V44" s="78">
        <f t="shared" si="2"/>
        <v>3725</v>
      </c>
      <c r="W44" s="55">
        <v>1</v>
      </c>
      <c r="X44" s="55" t="s">
        <v>46</v>
      </c>
      <c r="Y44" s="55" t="s">
        <v>69</v>
      </c>
      <c r="Z44" s="55" t="s">
        <v>97</v>
      </c>
      <c r="AA44" s="55" t="s">
        <v>86</v>
      </c>
      <c r="AB44" s="39" t="s">
        <v>328</v>
      </c>
      <c r="AE44" s="214"/>
      <c r="AF44" s="214"/>
      <c r="AG44" s="214"/>
      <c r="AH44" s="214"/>
      <c r="AI44" s="214"/>
      <c r="AJ44" s="214"/>
      <c r="AK44" s="214"/>
      <c r="AL44" s="214"/>
      <c r="AM44" s="214"/>
      <c r="AN44" s="214"/>
      <c r="AO44" s="214"/>
      <c r="AP44" s="214"/>
      <c r="AQ44" s="214"/>
      <c r="AR44" s="214"/>
      <c r="AS44" s="214"/>
      <c r="AT44" s="214"/>
      <c r="AU44" s="214"/>
      <c r="AV44" s="214"/>
      <c r="AW44" s="214"/>
    </row>
    <row r="45" spans="1:49" x14ac:dyDescent="0.15">
      <c r="A45" s="55" t="s">
        <v>41</v>
      </c>
      <c r="B45" s="198" t="s">
        <v>325</v>
      </c>
      <c r="C45" s="139">
        <v>2018</v>
      </c>
      <c r="D45" s="56" t="s">
        <v>332</v>
      </c>
      <c r="E45" s="198" t="s">
        <v>279</v>
      </c>
      <c r="F45" s="198" t="s">
        <v>285</v>
      </c>
      <c r="G45" s="55" t="s">
        <v>42</v>
      </c>
      <c r="H45" s="55" t="s">
        <v>167</v>
      </c>
      <c r="I45" s="55" t="s">
        <v>155</v>
      </c>
      <c r="J45" s="55" t="s">
        <v>38</v>
      </c>
      <c r="K45" s="55" t="s">
        <v>156</v>
      </c>
      <c r="L45" s="198">
        <v>2</v>
      </c>
      <c r="N45" s="55">
        <v>1</v>
      </c>
      <c r="O45" s="55">
        <v>0.6</v>
      </c>
      <c r="P45" s="55">
        <v>0.65</v>
      </c>
      <c r="Q45" s="82">
        <f t="shared" si="0"/>
        <v>0.625</v>
      </c>
      <c r="R45" s="55">
        <v>12.8</v>
      </c>
      <c r="S45" s="55">
        <v>137</v>
      </c>
      <c r="T45" s="77">
        <f t="shared" si="1"/>
        <v>25</v>
      </c>
      <c r="U45" s="55">
        <v>149</v>
      </c>
      <c r="V45" s="58">
        <f t="shared" si="2"/>
        <v>3725</v>
      </c>
      <c r="W45" s="198">
        <v>1</v>
      </c>
      <c r="X45" s="55" t="s">
        <v>46</v>
      </c>
      <c r="Y45" s="55" t="s">
        <v>69</v>
      </c>
      <c r="Z45" s="55" t="s">
        <v>97</v>
      </c>
      <c r="AA45" s="55" t="s">
        <v>86</v>
      </c>
      <c r="AB45" s="39" t="s">
        <v>328</v>
      </c>
      <c r="AE45" s="214"/>
      <c r="AF45" s="214"/>
      <c r="AG45" s="214"/>
      <c r="AH45" s="214"/>
      <c r="AI45" s="214"/>
      <c r="AJ45" s="214"/>
      <c r="AK45" s="214"/>
      <c r="AL45" s="214"/>
      <c r="AM45" s="214"/>
      <c r="AN45" s="214"/>
      <c r="AO45" s="214"/>
      <c r="AP45" s="214"/>
      <c r="AQ45" s="214"/>
      <c r="AR45" s="214"/>
      <c r="AS45" s="214"/>
      <c r="AT45" s="214"/>
      <c r="AU45" s="214"/>
      <c r="AV45" s="214"/>
      <c r="AW45" s="214"/>
    </row>
    <row r="46" spans="1:49" x14ac:dyDescent="0.15">
      <c r="A46" s="55" t="s">
        <v>41</v>
      </c>
      <c r="B46" s="198" t="s">
        <v>325</v>
      </c>
      <c r="C46" s="139">
        <v>2018</v>
      </c>
      <c r="D46" s="56" t="s">
        <v>332</v>
      </c>
      <c r="E46" s="198" t="s">
        <v>279</v>
      </c>
      <c r="F46" s="198" t="s">
        <v>285</v>
      </c>
      <c r="G46" s="55" t="s">
        <v>42</v>
      </c>
      <c r="H46" s="55" t="s">
        <v>167</v>
      </c>
      <c r="I46" s="55" t="s">
        <v>155</v>
      </c>
      <c r="J46" s="55" t="s">
        <v>38</v>
      </c>
      <c r="K46" s="55" t="s">
        <v>156</v>
      </c>
      <c r="L46" s="198">
        <v>3</v>
      </c>
      <c r="N46" s="55">
        <v>1</v>
      </c>
      <c r="O46" s="55">
        <v>0.5</v>
      </c>
      <c r="P46" s="55">
        <v>0.55000000000000004</v>
      </c>
      <c r="Q46" s="82">
        <f t="shared" si="0"/>
        <v>0.52500000000000002</v>
      </c>
      <c r="R46" s="55">
        <v>16.8</v>
      </c>
      <c r="S46" s="55">
        <v>134</v>
      </c>
      <c r="T46" s="77">
        <f t="shared" si="1"/>
        <v>25</v>
      </c>
      <c r="U46" s="55">
        <v>149</v>
      </c>
      <c r="V46" s="58">
        <f t="shared" si="2"/>
        <v>3725</v>
      </c>
      <c r="W46" s="198">
        <v>1</v>
      </c>
      <c r="X46" s="55" t="s">
        <v>46</v>
      </c>
      <c r="Y46" s="55" t="s">
        <v>69</v>
      </c>
      <c r="Z46" s="55" t="s">
        <v>97</v>
      </c>
      <c r="AA46" s="55" t="s">
        <v>86</v>
      </c>
      <c r="AB46" s="39" t="s">
        <v>328</v>
      </c>
      <c r="AE46" s="214"/>
      <c r="AF46" s="214"/>
      <c r="AG46" s="214"/>
      <c r="AH46" s="214"/>
      <c r="AI46" s="214"/>
      <c r="AJ46" s="214"/>
      <c r="AK46" s="214"/>
      <c r="AL46" s="214"/>
      <c r="AM46" s="214"/>
      <c r="AN46" s="214"/>
      <c r="AO46" s="214"/>
      <c r="AP46" s="214"/>
      <c r="AQ46" s="214"/>
      <c r="AR46" s="214"/>
      <c r="AS46" s="214"/>
      <c r="AT46" s="214"/>
      <c r="AU46" s="214"/>
      <c r="AV46" s="214"/>
      <c r="AW46" s="214"/>
    </row>
    <row r="47" spans="1:49" x14ac:dyDescent="0.15">
      <c r="A47" s="55" t="s">
        <v>41</v>
      </c>
      <c r="B47" s="198" t="s">
        <v>325</v>
      </c>
      <c r="C47" s="139">
        <v>2018</v>
      </c>
      <c r="D47" s="56" t="s">
        <v>332</v>
      </c>
      <c r="E47" s="198" t="s">
        <v>279</v>
      </c>
      <c r="F47" s="198" t="s">
        <v>285</v>
      </c>
      <c r="G47" s="55" t="s">
        <v>42</v>
      </c>
      <c r="H47" s="55" t="s">
        <v>167</v>
      </c>
      <c r="I47" s="55" t="s">
        <v>155</v>
      </c>
      <c r="J47" s="55" t="s">
        <v>38</v>
      </c>
      <c r="K47" s="55" t="s">
        <v>156</v>
      </c>
      <c r="L47" s="198">
        <v>1</v>
      </c>
      <c r="N47" s="55">
        <v>3</v>
      </c>
      <c r="O47" s="55">
        <v>0.25</v>
      </c>
      <c r="P47" s="55">
        <v>0.2</v>
      </c>
      <c r="Q47" s="82">
        <f t="shared" si="0"/>
        <v>0.22500000000000001</v>
      </c>
      <c r="R47" s="55">
        <v>17.399999999999999</v>
      </c>
      <c r="S47" s="55">
        <v>140</v>
      </c>
      <c r="T47" s="57">
        <f t="shared" si="1"/>
        <v>22</v>
      </c>
      <c r="U47" s="55">
        <v>537</v>
      </c>
      <c r="V47" s="58">
        <f t="shared" si="2"/>
        <v>3938</v>
      </c>
      <c r="W47" s="198">
        <v>2</v>
      </c>
      <c r="X47" s="55" t="s">
        <v>46</v>
      </c>
      <c r="Y47" s="55" t="s">
        <v>69</v>
      </c>
      <c r="Z47" s="55" t="s">
        <v>97</v>
      </c>
      <c r="AA47" s="55" t="s">
        <v>86</v>
      </c>
      <c r="AB47" s="39" t="s">
        <v>328</v>
      </c>
      <c r="AE47" s="214"/>
      <c r="AF47" s="214"/>
      <c r="AG47" s="214"/>
      <c r="AH47" s="214"/>
      <c r="AI47" s="214"/>
      <c r="AJ47" s="214"/>
      <c r="AK47" s="214"/>
      <c r="AL47" s="214"/>
      <c r="AM47" s="214"/>
      <c r="AN47" s="214"/>
      <c r="AO47" s="214"/>
      <c r="AP47" s="214"/>
      <c r="AQ47" s="214"/>
      <c r="AR47" s="214"/>
      <c r="AS47" s="214"/>
      <c r="AT47" s="214"/>
      <c r="AU47" s="214"/>
      <c r="AV47" s="214"/>
      <c r="AW47" s="214"/>
    </row>
    <row r="48" spans="1:49" x14ac:dyDescent="0.15">
      <c r="A48" s="55" t="s">
        <v>41</v>
      </c>
      <c r="B48" s="198" t="s">
        <v>325</v>
      </c>
      <c r="C48" s="139">
        <v>2018</v>
      </c>
      <c r="D48" s="56" t="s">
        <v>332</v>
      </c>
      <c r="E48" s="198" t="s">
        <v>279</v>
      </c>
      <c r="F48" s="198" t="s">
        <v>285</v>
      </c>
      <c r="G48" s="55" t="s">
        <v>42</v>
      </c>
      <c r="H48" s="55" t="s">
        <v>167</v>
      </c>
      <c r="I48" s="55" t="s">
        <v>155</v>
      </c>
      <c r="J48" s="55" t="s">
        <v>38</v>
      </c>
      <c r="K48" s="55" t="s">
        <v>156</v>
      </c>
      <c r="L48" s="198">
        <v>2</v>
      </c>
      <c r="N48" s="55">
        <v>3</v>
      </c>
      <c r="O48" s="55">
        <v>0.25</v>
      </c>
      <c r="P48" s="55">
        <v>0.2</v>
      </c>
      <c r="Q48" s="82">
        <f t="shared" si="0"/>
        <v>0.22500000000000001</v>
      </c>
      <c r="R48" s="55">
        <v>15.8</v>
      </c>
      <c r="S48" s="55">
        <v>141</v>
      </c>
      <c r="T48" s="57">
        <f t="shared" si="1"/>
        <v>22</v>
      </c>
      <c r="U48" s="55">
        <v>537</v>
      </c>
      <c r="V48" s="58">
        <f t="shared" si="2"/>
        <v>3938</v>
      </c>
      <c r="W48" s="198">
        <v>2</v>
      </c>
      <c r="X48" s="55" t="s">
        <v>46</v>
      </c>
      <c r="Y48" s="55" t="s">
        <v>69</v>
      </c>
      <c r="Z48" s="55" t="s">
        <v>97</v>
      </c>
      <c r="AA48" s="55" t="s">
        <v>86</v>
      </c>
      <c r="AB48" s="39" t="s">
        <v>328</v>
      </c>
    </row>
    <row r="49" spans="1:30" x14ac:dyDescent="0.15">
      <c r="A49" s="55" t="s">
        <v>41</v>
      </c>
      <c r="B49" s="198" t="s">
        <v>325</v>
      </c>
      <c r="C49" s="139">
        <v>2018</v>
      </c>
      <c r="D49" s="56" t="s">
        <v>332</v>
      </c>
      <c r="E49" s="198" t="s">
        <v>279</v>
      </c>
      <c r="F49" s="198" t="s">
        <v>285</v>
      </c>
      <c r="G49" s="55" t="s">
        <v>42</v>
      </c>
      <c r="H49" s="55" t="s">
        <v>167</v>
      </c>
      <c r="I49" s="55" t="s">
        <v>155</v>
      </c>
      <c r="J49" s="55" t="s">
        <v>38</v>
      </c>
      <c r="K49" s="55" t="s">
        <v>156</v>
      </c>
      <c r="L49" s="198">
        <v>3</v>
      </c>
      <c r="N49" s="55">
        <v>3</v>
      </c>
      <c r="O49" s="55">
        <v>0.3</v>
      </c>
      <c r="P49" s="55">
        <v>0.25</v>
      </c>
      <c r="Q49" s="82">
        <f t="shared" si="0"/>
        <v>0.27500000000000002</v>
      </c>
      <c r="R49" s="55">
        <v>15.7</v>
      </c>
      <c r="S49" s="55">
        <v>134</v>
      </c>
      <c r="T49" s="57">
        <f t="shared" si="1"/>
        <v>25</v>
      </c>
      <c r="U49" s="55">
        <v>537</v>
      </c>
      <c r="V49" s="58">
        <f t="shared" si="2"/>
        <v>4475</v>
      </c>
      <c r="W49" s="198">
        <v>2</v>
      </c>
      <c r="X49" s="55" t="s">
        <v>46</v>
      </c>
      <c r="Y49" s="55" t="s">
        <v>69</v>
      </c>
      <c r="Z49" s="55" t="s">
        <v>97</v>
      </c>
      <c r="AA49" s="55" t="s">
        <v>86</v>
      </c>
      <c r="AB49" s="39" t="s">
        <v>328</v>
      </c>
    </row>
    <row r="50" spans="1:30" x14ac:dyDescent="0.15">
      <c r="A50" s="55" t="s">
        <v>41</v>
      </c>
      <c r="B50" s="198" t="s">
        <v>325</v>
      </c>
      <c r="C50" s="139">
        <v>2018</v>
      </c>
      <c r="D50" s="56" t="s">
        <v>332</v>
      </c>
      <c r="E50" s="198" t="s">
        <v>280</v>
      </c>
      <c r="F50" s="198" t="s">
        <v>284</v>
      </c>
      <c r="G50" s="55" t="s">
        <v>42</v>
      </c>
      <c r="H50" s="55" t="s">
        <v>167</v>
      </c>
      <c r="I50" s="55" t="s">
        <v>155</v>
      </c>
      <c r="J50" s="55" t="s">
        <v>38</v>
      </c>
      <c r="K50" s="55" t="s">
        <v>156</v>
      </c>
      <c r="L50" s="198">
        <v>1</v>
      </c>
      <c r="N50" s="198">
        <v>4</v>
      </c>
      <c r="O50" s="55">
        <v>0.25</v>
      </c>
      <c r="P50" s="55">
        <v>0.3</v>
      </c>
      <c r="Q50" s="82">
        <f t="shared" si="0"/>
        <v>0.27500000000000002</v>
      </c>
      <c r="R50" s="55">
        <v>15.8</v>
      </c>
      <c r="S50" s="55">
        <v>125</v>
      </c>
      <c r="T50" s="57">
        <f t="shared" si="1"/>
        <v>27</v>
      </c>
      <c r="U50" s="198">
        <v>645</v>
      </c>
      <c r="V50" s="58">
        <f t="shared" si="2"/>
        <v>4353.75</v>
      </c>
      <c r="W50" s="198">
        <v>4</v>
      </c>
      <c r="X50" s="55" t="s">
        <v>46</v>
      </c>
      <c r="Y50" s="55" t="s">
        <v>55</v>
      </c>
      <c r="Z50" s="55" t="s">
        <v>69</v>
      </c>
      <c r="AA50" s="55" t="s">
        <v>47</v>
      </c>
      <c r="AB50" s="39" t="s">
        <v>328</v>
      </c>
    </row>
    <row r="51" spans="1:30" x14ac:dyDescent="0.15">
      <c r="A51" s="55" t="s">
        <v>41</v>
      </c>
      <c r="B51" s="198" t="s">
        <v>325</v>
      </c>
      <c r="C51" s="139">
        <v>2018</v>
      </c>
      <c r="D51" s="56" t="s">
        <v>332</v>
      </c>
      <c r="E51" s="198" t="s">
        <v>280</v>
      </c>
      <c r="F51" s="198" t="s">
        <v>284</v>
      </c>
      <c r="G51" s="55" t="s">
        <v>42</v>
      </c>
      <c r="H51" s="55" t="s">
        <v>167</v>
      </c>
      <c r="I51" s="55" t="s">
        <v>155</v>
      </c>
      <c r="J51" s="55" t="s">
        <v>38</v>
      </c>
      <c r="K51" s="55" t="s">
        <v>156</v>
      </c>
      <c r="L51" s="198">
        <v>2</v>
      </c>
      <c r="N51" s="198">
        <v>4</v>
      </c>
      <c r="O51" s="55">
        <v>0.3</v>
      </c>
      <c r="P51" s="55">
        <v>0.35</v>
      </c>
      <c r="Q51" s="82">
        <f t="shared" si="0"/>
        <v>0.32499999999999996</v>
      </c>
      <c r="R51" s="55">
        <v>16.100000000000001</v>
      </c>
      <c r="S51" s="55">
        <v>131</v>
      </c>
      <c r="T51" s="57">
        <f t="shared" si="1"/>
        <v>25</v>
      </c>
      <c r="U51" s="198">
        <v>645</v>
      </c>
      <c r="V51" s="58">
        <f t="shared" si="2"/>
        <v>4031.25</v>
      </c>
      <c r="W51" s="198">
        <v>4</v>
      </c>
      <c r="X51" s="55" t="s">
        <v>46</v>
      </c>
      <c r="Y51" s="55" t="s">
        <v>55</v>
      </c>
      <c r="Z51" s="55" t="s">
        <v>69</v>
      </c>
      <c r="AA51" s="55" t="s">
        <v>47</v>
      </c>
      <c r="AB51" s="39" t="s">
        <v>328</v>
      </c>
    </row>
    <row r="52" spans="1:30" x14ac:dyDescent="0.15">
      <c r="A52" s="55" t="s">
        <v>41</v>
      </c>
      <c r="B52" s="198" t="s">
        <v>325</v>
      </c>
      <c r="C52" s="139">
        <v>2018</v>
      </c>
      <c r="D52" s="56" t="s">
        <v>332</v>
      </c>
      <c r="E52" s="198" t="s">
        <v>280</v>
      </c>
      <c r="F52" s="198" t="s">
        <v>284</v>
      </c>
      <c r="G52" s="55" t="s">
        <v>42</v>
      </c>
      <c r="H52" s="55" t="s">
        <v>167</v>
      </c>
      <c r="I52" s="55" t="s">
        <v>155</v>
      </c>
      <c r="J52" s="55" t="s">
        <v>38</v>
      </c>
      <c r="K52" s="55" t="s">
        <v>156</v>
      </c>
      <c r="L52" s="198">
        <v>3</v>
      </c>
      <c r="N52" s="198">
        <v>4</v>
      </c>
      <c r="O52" s="55">
        <v>0.45</v>
      </c>
      <c r="P52" s="55">
        <v>0.3</v>
      </c>
      <c r="Q52" s="82">
        <f t="shared" si="0"/>
        <v>0.375</v>
      </c>
      <c r="R52" s="55">
        <v>12.8</v>
      </c>
      <c r="S52" s="55">
        <v>134</v>
      </c>
      <c r="T52" s="57">
        <f t="shared" si="1"/>
        <v>25</v>
      </c>
      <c r="U52" s="198">
        <v>645</v>
      </c>
      <c r="V52" s="58">
        <f t="shared" si="2"/>
        <v>4031.25</v>
      </c>
      <c r="W52" s="198">
        <v>4</v>
      </c>
      <c r="X52" s="55" t="s">
        <v>46</v>
      </c>
      <c r="Y52" s="55" t="s">
        <v>55</v>
      </c>
      <c r="Z52" s="55" t="s">
        <v>69</v>
      </c>
      <c r="AA52" s="55" t="s">
        <v>47</v>
      </c>
      <c r="AB52" s="39" t="s">
        <v>328</v>
      </c>
    </row>
    <row r="53" spans="1:30" x14ac:dyDescent="0.15">
      <c r="A53" s="55" t="s">
        <v>41</v>
      </c>
      <c r="B53" s="198" t="s">
        <v>325</v>
      </c>
      <c r="C53" s="139">
        <v>2018</v>
      </c>
      <c r="D53" s="56" t="s">
        <v>332</v>
      </c>
      <c r="E53" s="198" t="s">
        <v>280</v>
      </c>
      <c r="F53" s="198" t="s">
        <v>284</v>
      </c>
      <c r="G53" s="55" t="s">
        <v>42</v>
      </c>
      <c r="H53" s="55" t="s">
        <v>167</v>
      </c>
      <c r="I53" s="55" t="s">
        <v>155</v>
      </c>
      <c r="J53" s="55" t="s">
        <v>38</v>
      </c>
      <c r="K53" s="55" t="s">
        <v>156</v>
      </c>
      <c r="L53" s="198">
        <v>1</v>
      </c>
      <c r="N53" s="55">
        <v>1</v>
      </c>
      <c r="O53" s="55">
        <v>0.95</v>
      </c>
      <c r="P53" s="55">
        <v>0.9</v>
      </c>
      <c r="Q53" s="82">
        <f t="shared" si="0"/>
        <v>0.92500000000000004</v>
      </c>
      <c r="R53" s="55">
        <v>16.399999999999999</v>
      </c>
      <c r="S53" s="55">
        <v>134</v>
      </c>
      <c r="T53" s="57">
        <f t="shared" si="1"/>
        <v>25</v>
      </c>
      <c r="U53" s="198">
        <v>138</v>
      </c>
      <c r="V53" s="58">
        <f t="shared" si="2"/>
        <v>3450</v>
      </c>
      <c r="W53" s="198">
        <v>1</v>
      </c>
      <c r="X53" s="55" t="s">
        <v>46</v>
      </c>
      <c r="Y53" s="55" t="s">
        <v>55</v>
      </c>
      <c r="Z53" s="55" t="s">
        <v>69</v>
      </c>
      <c r="AA53" s="55" t="s">
        <v>47</v>
      </c>
      <c r="AB53" s="39" t="s">
        <v>328</v>
      </c>
      <c r="AC53" s="55"/>
      <c r="AD53" s="55"/>
    </row>
    <row r="54" spans="1:30" x14ac:dyDescent="0.15">
      <c r="A54" s="55" t="s">
        <v>41</v>
      </c>
      <c r="B54" s="198" t="s">
        <v>325</v>
      </c>
      <c r="C54" s="139">
        <v>2018</v>
      </c>
      <c r="D54" s="56" t="s">
        <v>332</v>
      </c>
      <c r="E54" s="198" t="s">
        <v>280</v>
      </c>
      <c r="F54" s="198" t="s">
        <v>284</v>
      </c>
      <c r="G54" s="55" t="s">
        <v>42</v>
      </c>
      <c r="H54" s="55" t="s">
        <v>167</v>
      </c>
      <c r="I54" s="55" t="s">
        <v>155</v>
      </c>
      <c r="J54" s="55" t="s">
        <v>38</v>
      </c>
      <c r="K54" s="55" t="s">
        <v>156</v>
      </c>
      <c r="L54" s="198">
        <v>2</v>
      </c>
      <c r="N54" s="55">
        <v>1</v>
      </c>
      <c r="O54" s="55">
        <v>0.8</v>
      </c>
      <c r="P54" s="55">
        <v>0.85</v>
      </c>
      <c r="Q54" s="82">
        <f t="shared" si="0"/>
        <v>0.82499999999999996</v>
      </c>
      <c r="R54" s="55">
        <v>17.5</v>
      </c>
      <c r="S54" s="55">
        <v>128</v>
      </c>
      <c r="T54" s="57">
        <f t="shared" si="1"/>
        <v>27</v>
      </c>
      <c r="U54" s="198">
        <v>138</v>
      </c>
      <c r="V54" s="58">
        <f t="shared" si="2"/>
        <v>3726</v>
      </c>
      <c r="W54" s="198">
        <v>1</v>
      </c>
      <c r="X54" s="55" t="s">
        <v>46</v>
      </c>
      <c r="Y54" s="55" t="s">
        <v>55</v>
      </c>
      <c r="Z54" s="55" t="s">
        <v>69</v>
      </c>
      <c r="AA54" s="55" t="s">
        <v>47</v>
      </c>
      <c r="AB54" s="39" t="s">
        <v>328</v>
      </c>
    </row>
    <row r="55" spans="1:30" x14ac:dyDescent="0.15">
      <c r="A55" s="55" t="s">
        <v>41</v>
      </c>
      <c r="B55" s="198" t="s">
        <v>325</v>
      </c>
      <c r="C55" s="139">
        <v>2018</v>
      </c>
      <c r="D55" s="56" t="s">
        <v>332</v>
      </c>
      <c r="E55" s="198" t="s">
        <v>280</v>
      </c>
      <c r="F55" s="198" t="s">
        <v>284</v>
      </c>
      <c r="G55" s="55" t="s">
        <v>42</v>
      </c>
      <c r="H55" s="55" t="s">
        <v>167</v>
      </c>
      <c r="I55" s="55" t="s">
        <v>155</v>
      </c>
      <c r="J55" s="55" t="s">
        <v>38</v>
      </c>
      <c r="K55" s="55" t="s">
        <v>156</v>
      </c>
      <c r="L55" s="198">
        <v>3</v>
      </c>
      <c r="N55" s="55">
        <v>1</v>
      </c>
      <c r="O55" s="55">
        <v>0.8</v>
      </c>
      <c r="P55" s="55">
        <v>0.85</v>
      </c>
      <c r="Q55" s="82">
        <f t="shared" si="0"/>
        <v>0.82499999999999996</v>
      </c>
      <c r="R55" s="55">
        <v>15.4</v>
      </c>
      <c r="S55" s="55">
        <v>120</v>
      </c>
      <c r="T55" s="57">
        <f t="shared" si="1"/>
        <v>30</v>
      </c>
      <c r="U55" s="198">
        <v>138</v>
      </c>
      <c r="V55" s="58">
        <f t="shared" si="2"/>
        <v>4140</v>
      </c>
      <c r="W55" s="198">
        <v>1</v>
      </c>
      <c r="X55" s="55" t="s">
        <v>46</v>
      </c>
      <c r="Y55" s="55" t="s">
        <v>55</v>
      </c>
      <c r="Z55" s="55" t="s">
        <v>69</v>
      </c>
      <c r="AA55" s="55" t="s">
        <v>47</v>
      </c>
      <c r="AB55" s="39" t="s">
        <v>328</v>
      </c>
    </row>
    <row r="56" spans="1:30" x14ac:dyDescent="0.15">
      <c r="A56" s="55" t="s">
        <v>41</v>
      </c>
      <c r="B56" s="198" t="s">
        <v>325</v>
      </c>
      <c r="C56" s="139">
        <v>2018</v>
      </c>
      <c r="D56" s="56" t="s">
        <v>332</v>
      </c>
      <c r="E56" s="198" t="s">
        <v>280</v>
      </c>
      <c r="F56" s="198" t="s">
        <v>284</v>
      </c>
      <c r="G56" s="55" t="s">
        <v>42</v>
      </c>
      <c r="H56" s="55" t="s">
        <v>167</v>
      </c>
      <c r="I56" s="55" t="s">
        <v>155</v>
      </c>
      <c r="J56" s="55" t="s">
        <v>38</v>
      </c>
      <c r="K56" s="55" t="s">
        <v>156</v>
      </c>
      <c r="L56" s="198">
        <v>1</v>
      </c>
      <c r="N56" s="55">
        <v>8</v>
      </c>
      <c r="O56" s="55">
        <v>0.35</v>
      </c>
      <c r="P56" s="55">
        <v>0.45</v>
      </c>
      <c r="Q56" s="82">
        <f t="shared" si="0"/>
        <v>0.4</v>
      </c>
      <c r="R56" s="55">
        <v>14.2</v>
      </c>
      <c r="S56" s="55">
        <v>120</v>
      </c>
      <c r="T56" s="57">
        <f t="shared" si="1"/>
        <v>30</v>
      </c>
      <c r="U56" s="198">
        <v>1058</v>
      </c>
      <c r="V56" s="58">
        <f t="shared" si="2"/>
        <v>3967.5</v>
      </c>
      <c r="W56" s="198">
        <v>1</v>
      </c>
      <c r="X56" s="55" t="s">
        <v>46</v>
      </c>
      <c r="Y56" s="55" t="s">
        <v>55</v>
      </c>
      <c r="Z56" s="55" t="s">
        <v>69</v>
      </c>
      <c r="AA56" s="55" t="s">
        <v>47</v>
      </c>
      <c r="AB56" s="39" t="s">
        <v>328</v>
      </c>
      <c r="AC56" s="55"/>
      <c r="AD56" s="55"/>
    </row>
    <row r="57" spans="1:30" x14ac:dyDescent="0.15">
      <c r="A57" s="55" t="s">
        <v>41</v>
      </c>
      <c r="B57" s="198" t="s">
        <v>325</v>
      </c>
      <c r="C57" s="139">
        <v>2018</v>
      </c>
      <c r="D57" s="56" t="s">
        <v>332</v>
      </c>
      <c r="E57" s="198" t="s">
        <v>280</v>
      </c>
      <c r="F57" s="198" t="s">
        <v>284</v>
      </c>
      <c r="G57" s="55" t="s">
        <v>42</v>
      </c>
      <c r="H57" s="55" t="s">
        <v>167</v>
      </c>
      <c r="I57" s="55" t="s">
        <v>155</v>
      </c>
      <c r="J57" s="55" t="s">
        <v>38</v>
      </c>
      <c r="K57" s="55" t="s">
        <v>156</v>
      </c>
      <c r="L57" s="198">
        <v>2</v>
      </c>
      <c r="N57" s="55">
        <v>8</v>
      </c>
      <c r="O57" s="55">
        <v>0.45</v>
      </c>
      <c r="P57" s="55">
        <v>0.3</v>
      </c>
      <c r="Q57" s="82">
        <f t="shared" si="0"/>
        <v>0.375</v>
      </c>
      <c r="R57" s="55">
        <v>14.1</v>
      </c>
      <c r="S57" s="55">
        <v>119</v>
      </c>
      <c r="T57" s="57">
        <f t="shared" si="1"/>
        <v>30</v>
      </c>
      <c r="U57" s="198">
        <v>1058</v>
      </c>
      <c r="V57" s="58">
        <f t="shared" si="2"/>
        <v>3967.5</v>
      </c>
      <c r="W57" s="198">
        <v>1</v>
      </c>
      <c r="X57" s="55" t="s">
        <v>46</v>
      </c>
      <c r="Y57" s="55" t="s">
        <v>55</v>
      </c>
      <c r="Z57" s="55" t="s">
        <v>69</v>
      </c>
      <c r="AA57" s="55" t="s">
        <v>47</v>
      </c>
      <c r="AB57" s="39" t="s">
        <v>328</v>
      </c>
    </row>
    <row r="58" spans="1:30" x14ac:dyDescent="0.15">
      <c r="A58" s="55" t="s">
        <v>41</v>
      </c>
      <c r="B58" s="198" t="s">
        <v>325</v>
      </c>
      <c r="C58" s="139">
        <v>2018</v>
      </c>
      <c r="D58" s="56" t="s">
        <v>332</v>
      </c>
      <c r="E58" s="198" t="s">
        <v>280</v>
      </c>
      <c r="F58" s="198" t="s">
        <v>284</v>
      </c>
      <c r="G58" s="55" t="s">
        <v>42</v>
      </c>
      <c r="H58" s="55" t="s">
        <v>167</v>
      </c>
      <c r="I58" s="55" t="s">
        <v>155</v>
      </c>
      <c r="J58" s="55" t="s">
        <v>38</v>
      </c>
      <c r="K58" s="55" t="s">
        <v>156</v>
      </c>
      <c r="L58" s="198">
        <v>3</v>
      </c>
      <c r="N58" s="55">
        <v>8</v>
      </c>
      <c r="O58" s="55">
        <v>0.45</v>
      </c>
      <c r="P58" s="55">
        <v>0.3</v>
      </c>
      <c r="Q58" s="82">
        <f t="shared" si="0"/>
        <v>0.375</v>
      </c>
      <c r="R58" s="55">
        <v>14</v>
      </c>
      <c r="S58" s="55">
        <v>124</v>
      </c>
      <c r="T58" s="57">
        <f t="shared" si="1"/>
        <v>27</v>
      </c>
      <c r="U58" s="198">
        <v>1058</v>
      </c>
      <c r="V58" s="58">
        <f t="shared" si="2"/>
        <v>3570.75</v>
      </c>
      <c r="W58" s="198">
        <v>1</v>
      </c>
      <c r="X58" s="55" t="s">
        <v>46</v>
      </c>
      <c r="Y58" s="55" t="s">
        <v>55</v>
      </c>
      <c r="Z58" s="55" t="s">
        <v>69</v>
      </c>
      <c r="AA58" s="55" t="s">
        <v>47</v>
      </c>
      <c r="AB58" s="39" t="s">
        <v>328</v>
      </c>
    </row>
    <row r="59" spans="1:30" x14ac:dyDescent="0.15">
      <c r="A59" s="55" t="s">
        <v>41</v>
      </c>
      <c r="B59" s="198" t="s">
        <v>325</v>
      </c>
      <c r="C59" s="139">
        <v>2018</v>
      </c>
      <c r="D59" s="56" t="s">
        <v>332</v>
      </c>
      <c r="E59" s="198" t="s">
        <v>280</v>
      </c>
      <c r="F59" s="198" t="s">
        <v>284</v>
      </c>
      <c r="G59" s="55" t="s">
        <v>42</v>
      </c>
      <c r="H59" s="55" t="s">
        <v>157</v>
      </c>
      <c r="I59" s="55" t="s">
        <v>155</v>
      </c>
      <c r="J59" s="55" t="s">
        <v>38</v>
      </c>
      <c r="K59" s="55" t="s">
        <v>156</v>
      </c>
      <c r="L59" s="198">
        <v>1</v>
      </c>
      <c r="N59" s="198">
        <v>1</v>
      </c>
      <c r="O59" s="55">
        <v>0.2</v>
      </c>
      <c r="P59" s="55">
        <v>0.2</v>
      </c>
      <c r="Q59" s="82">
        <f t="shared" si="0"/>
        <v>0.2</v>
      </c>
      <c r="R59" s="55">
        <v>14</v>
      </c>
      <c r="S59" s="55">
        <v>124</v>
      </c>
      <c r="T59" s="57">
        <f t="shared" si="1"/>
        <v>27</v>
      </c>
      <c r="U59" s="198">
        <v>108</v>
      </c>
      <c r="V59" s="58">
        <f t="shared" si="2"/>
        <v>2916</v>
      </c>
      <c r="W59" s="198">
        <v>3</v>
      </c>
      <c r="X59" s="55" t="s">
        <v>46</v>
      </c>
      <c r="Y59" s="55" t="s">
        <v>55</v>
      </c>
      <c r="Z59" s="55" t="s">
        <v>69</v>
      </c>
      <c r="AA59" s="55" t="s">
        <v>47</v>
      </c>
      <c r="AB59" s="39" t="s">
        <v>328</v>
      </c>
      <c r="AC59" s="55"/>
      <c r="AD59" s="55"/>
    </row>
    <row r="60" spans="1:30" x14ac:dyDescent="0.15">
      <c r="A60" s="55" t="s">
        <v>41</v>
      </c>
      <c r="B60" s="198" t="s">
        <v>325</v>
      </c>
      <c r="C60" s="139">
        <v>2018</v>
      </c>
      <c r="D60" s="56" t="s">
        <v>332</v>
      </c>
      <c r="E60" s="198" t="s">
        <v>280</v>
      </c>
      <c r="F60" s="198" t="s">
        <v>284</v>
      </c>
      <c r="G60" s="55" t="s">
        <v>42</v>
      </c>
      <c r="H60" s="55" t="s">
        <v>157</v>
      </c>
      <c r="I60" s="55" t="s">
        <v>155</v>
      </c>
      <c r="J60" s="55" t="s">
        <v>38</v>
      </c>
      <c r="K60" s="55" t="s">
        <v>156</v>
      </c>
      <c r="L60" s="198">
        <v>2</v>
      </c>
      <c r="N60" s="198">
        <v>1</v>
      </c>
      <c r="O60" s="55">
        <v>0.15</v>
      </c>
      <c r="P60" s="55">
        <v>0.1</v>
      </c>
      <c r="Q60" s="82">
        <f t="shared" si="0"/>
        <v>0.125</v>
      </c>
      <c r="R60" s="55">
        <v>12.8</v>
      </c>
      <c r="S60" s="55">
        <v>131</v>
      </c>
      <c r="T60" s="57">
        <f t="shared" si="1"/>
        <v>25</v>
      </c>
      <c r="U60" s="198">
        <v>108</v>
      </c>
      <c r="V60" s="58">
        <f t="shared" si="2"/>
        <v>2700</v>
      </c>
      <c r="W60" s="198">
        <v>3</v>
      </c>
      <c r="X60" s="55" t="s">
        <v>46</v>
      </c>
      <c r="Y60" s="55" t="s">
        <v>55</v>
      </c>
      <c r="Z60" s="55" t="s">
        <v>69</v>
      </c>
      <c r="AA60" s="55" t="s">
        <v>47</v>
      </c>
      <c r="AB60" s="39" t="s">
        <v>328</v>
      </c>
    </row>
    <row r="61" spans="1:30" x14ac:dyDescent="0.15">
      <c r="A61" s="55" t="s">
        <v>41</v>
      </c>
      <c r="B61" s="198" t="s">
        <v>325</v>
      </c>
      <c r="C61" s="139">
        <v>2018</v>
      </c>
      <c r="D61" s="56" t="s">
        <v>332</v>
      </c>
      <c r="E61" s="198" t="s">
        <v>280</v>
      </c>
      <c r="F61" s="198" t="s">
        <v>284</v>
      </c>
      <c r="G61" s="55" t="s">
        <v>42</v>
      </c>
      <c r="H61" s="55" t="s">
        <v>157</v>
      </c>
      <c r="I61" s="55" t="s">
        <v>155</v>
      </c>
      <c r="J61" s="55" t="s">
        <v>38</v>
      </c>
      <c r="K61" s="55" t="s">
        <v>156</v>
      </c>
      <c r="L61" s="198">
        <v>3</v>
      </c>
      <c r="N61" s="198">
        <v>1</v>
      </c>
      <c r="O61" s="55">
        <v>0.1</v>
      </c>
      <c r="P61" s="55">
        <v>0.1</v>
      </c>
      <c r="Q61" s="82">
        <f t="shared" si="0"/>
        <v>0.1</v>
      </c>
      <c r="R61" s="55">
        <v>14.2</v>
      </c>
      <c r="S61" s="55">
        <v>120</v>
      </c>
      <c r="T61" s="57">
        <f t="shared" si="1"/>
        <v>30</v>
      </c>
      <c r="U61" s="198">
        <v>108</v>
      </c>
      <c r="V61" s="58">
        <f t="shared" si="2"/>
        <v>3240</v>
      </c>
      <c r="W61" s="198">
        <v>3</v>
      </c>
      <c r="X61" s="55" t="s">
        <v>46</v>
      </c>
      <c r="Y61" s="55" t="s">
        <v>55</v>
      </c>
      <c r="Z61" s="55" t="s">
        <v>69</v>
      </c>
      <c r="AA61" s="55" t="s">
        <v>47</v>
      </c>
      <c r="AB61" s="39" t="s">
        <v>328</v>
      </c>
    </row>
    <row r="62" spans="1:30" x14ac:dyDescent="0.15">
      <c r="A62" s="55" t="s">
        <v>41</v>
      </c>
      <c r="B62" s="198" t="s">
        <v>325</v>
      </c>
      <c r="C62" s="139">
        <v>2018</v>
      </c>
      <c r="D62" s="56" t="s">
        <v>332</v>
      </c>
      <c r="E62" s="198" t="s">
        <v>280</v>
      </c>
      <c r="F62" s="198" t="s">
        <v>284</v>
      </c>
      <c r="G62" s="55" t="s">
        <v>42</v>
      </c>
      <c r="H62" s="55" t="s">
        <v>157</v>
      </c>
      <c r="I62" s="55" t="s">
        <v>155</v>
      </c>
      <c r="J62" s="55" t="s">
        <v>38</v>
      </c>
      <c r="K62" s="55" t="s">
        <v>156</v>
      </c>
      <c r="L62" s="198">
        <v>1</v>
      </c>
      <c r="N62" s="198">
        <v>4</v>
      </c>
      <c r="O62" s="55">
        <v>0.55000000000000004</v>
      </c>
      <c r="P62" s="55">
        <v>0.65</v>
      </c>
      <c r="Q62" s="82">
        <f t="shared" si="0"/>
        <v>0.60000000000000009</v>
      </c>
      <c r="R62" s="55">
        <v>15</v>
      </c>
      <c r="S62" s="55">
        <v>134</v>
      </c>
      <c r="T62" s="57">
        <f t="shared" si="1"/>
        <v>25</v>
      </c>
      <c r="U62" s="198">
        <v>429</v>
      </c>
      <c r="V62" s="58">
        <f t="shared" si="2"/>
        <v>2681.25</v>
      </c>
      <c r="W62" s="198">
        <v>3</v>
      </c>
      <c r="X62" s="55" t="s">
        <v>46</v>
      </c>
      <c r="Y62" s="55" t="s">
        <v>55</v>
      </c>
      <c r="Z62" s="55" t="s">
        <v>69</v>
      </c>
      <c r="AA62" s="55" t="s">
        <v>47</v>
      </c>
      <c r="AB62" s="39" t="s">
        <v>328</v>
      </c>
    </row>
    <row r="63" spans="1:30" x14ac:dyDescent="0.15">
      <c r="A63" s="55" t="s">
        <v>41</v>
      </c>
      <c r="B63" s="198" t="s">
        <v>325</v>
      </c>
      <c r="C63" s="139">
        <v>2018</v>
      </c>
      <c r="D63" s="56" t="s">
        <v>332</v>
      </c>
      <c r="E63" s="198" t="s">
        <v>280</v>
      </c>
      <c r="F63" s="198" t="s">
        <v>284</v>
      </c>
      <c r="G63" s="55" t="s">
        <v>42</v>
      </c>
      <c r="H63" s="55" t="s">
        <v>157</v>
      </c>
      <c r="I63" s="55" t="s">
        <v>155</v>
      </c>
      <c r="J63" s="55" t="s">
        <v>38</v>
      </c>
      <c r="K63" s="55" t="s">
        <v>156</v>
      </c>
      <c r="L63" s="198">
        <v>2</v>
      </c>
      <c r="N63" s="198">
        <v>4</v>
      </c>
      <c r="O63" s="55">
        <v>0.45</v>
      </c>
      <c r="P63" s="55">
        <v>0.4</v>
      </c>
      <c r="Q63" s="82">
        <f t="shared" si="0"/>
        <v>0.42500000000000004</v>
      </c>
      <c r="R63" s="55">
        <v>14.2</v>
      </c>
      <c r="S63" s="55">
        <v>125</v>
      </c>
      <c r="T63" s="57">
        <f t="shared" si="1"/>
        <v>27</v>
      </c>
      <c r="U63" s="198">
        <v>429</v>
      </c>
      <c r="V63" s="58">
        <f t="shared" si="2"/>
        <v>2895.75</v>
      </c>
      <c r="W63" s="198">
        <v>3</v>
      </c>
      <c r="X63" s="55" t="s">
        <v>46</v>
      </c>
      <c r="Y63" s="55" t="s">
        <v>55</v>
      </c>
      <c r="Z63" s="55" t="s">
        <v>69</v>
      </c>
      <c r="AA63" s="55" t="s">
        <v>47</v>
      </c>
      <c r="AB63" s="39" t="s">
        <v>328</v>
      </c>
    </row>
    <row r="64" spans="1:30" x14ac:dyDescent="0.15">
      <c r="A64" s="55" t="s">
        <v>41</v>
      </c>
      <c r="B64" s="198" t="s">
        <v>325</v>
      </c>
      <c r="C64" s="139">
        <v>2018</v>
      </c>
      <c r="D64" s="56" t="s">
        <v>332</v>
      </c>
      <c r="E64" s="198" t="s">
        <v>280</v>
      </c>
      <c r="F64" s="198" t="s">
        <v>284</v>
      </c>
      <c r="G64" s="55" t="s">
        <v>42</v>
      </c>
      <c r="H64" s="55" t="s">
        <v>157</v>
      </c>
      <c r="I64" s="55" t="s">
        <v>155</v>
      </c>
      <c r="J64" s="55" t="s">
        <v>38</v>
      </c>
      <c r="K64" s="55" t="s">
        <v>156</v>
      </c>
      <c r="L64" s="198">
        <v>3</v>
      </c>
      <c r="N64" s="198">
        <v>4</v>
      </c>
      <c r="O64" s="55">
        <v>0.4</v>
      </c>
      <c r="P64" s="55">
        <v>0.5</v>
      </c>
      <c r="Q64" s="82">
        <f t="shared" si="0"/>
        <v>0.45</v>
      </c>
      <c r="R64" s="55">
        <v>14.7</v>
      </c>
      <c r="S64" s="55">
        <v>140</v>
      </c>
      <c r="T64" s="57">
        <f t="shared" si="1"/>
        <v>22</v>
      </c>
      <c r="U64" s="198">
        <v>429</v>
      </c>
      <c r="V64" s="58">
        <f t="shared" si="2"/>
        <v>2359.5</v>
      </c>
      <c r="W64" s="198">
        <v>3</v>
      </c>
      <c r="X64" s="55" t="s">
        <v>46</v>
      </c>
      <c r="Y64" s="55" t="s">
        <v>55</v>
      </c>
      <c r="Z64" s="55" t="s">
        <v>69</v>
      </c>
      <c r="AA64" s="55" t="s">
        <v>47</v>
      </c>
      <c r="AB64" s="39" t="s">
        <v>328</v>
      </c>
    </row>
    <row r="65" spans="1:30" x14ac:dyDescent="0.15">
      <c r="A65" s="55" t="s">
        <v>41</v>
      </c>
      <c r="B65" s="198" t="s">
        <v>325</v>
      </c>
      <c r="C65" s="139">
        <v>2018</v>
      </c>
      <c r="D65" s="56" t="s">
        <v>332</v>
      </c>
      <c r="E65" s="198" t="s">
        <v>280</v>
      </c>
      <c r="F65" s="198" t="s">
        <v>284</v>
      </c>
      <c r="G65" s="55" t="s">
        <v>42</v>
      </c>
      <c r="H65" s="55" t="s">
        <v>157</v>
      </c>
      <c r="I65" s="55" t="s">
        <v>155</v>
      </c>
      <c r="J65" s="55" t="s">
        <v>38</v>
      </c>
      <c r="K65" s="55" t="s">
        <v>156</v>
      </c>
      <c r="L65" s="198">
        <v>1</v>
      </c>
      <c r="N65" s="198">
        <v>10</v>
      </c>
      <c r="O65" s="55">
        <v>0.7</v>
      </c>
      <c r="P65" s="55">
        <v>0.8</v>
      </c>
      <c r="Q65" s="82">
        <f t="shared" si="0"/>
        <v>0.75</v>
      </c>
      <c r="R65" s="55">
        <v>13.8</v>
      </c>
      <c r="S65" s="55">
        <v>125</v>
      </c>
      <c r="T65" s="57">
        <f t="shared" si="1"/>
        <v>27</v>
      </c>
      <c r="U65" s="198">
        <v>1058</v>
      </c>
      <c r="V65" s="58">
        <f t="shared" si="2"/>
        <v>2856.6</v>
      </c>
      <c r="W65" s="198">
        <v>1</v>
      </c>
      <c r="X65" s="55" t="s">
        <v>46</v>
      </c>
      <c r="Y65" s="55" t="s">
        <v>55</v>
      </c>
      <c r="Z65" s="55" t="s">
        <v>69</v>
      </c>
      <c r="AA65" s="55" t="s">
        <v>47</v>
      </c>
      <c r="AB65" s="39" t="s">
        <v>328</v>
      </c>
    </row>
    <row r="66" spans="1:30" x14ac:dyDescent="0.15">
      <c r="A66" s="55" t="s">
        <v>41</v>
      </c>
      <c r="B66" s="198" t="s">
        <v>325</v>
      </c>
      <c r="C66" s="139">
        <v>2018</v>
      </c>
      <c r="D66" s="56" t="s">
        <v>332</v>
      </c>
      <c r="E66" s="198" t="s">
        <v>280</v>
      </c>
      <c r="F66" s="198" t="s">
        <v>284</v>
      </c>
      <c r="G66" s="55" t="s">
        <v>42</v>
      </c>
      <c r="H66" s="55" t="s">
        <v>157</v>
      </c>
      <c r="I66" s="55" t="s">
        <v>155</v>
      </c>
      <c r="J66" s="55" t="s">
        <v>38</v>
      </c>
      <c r="K66" s="55" t="s">
        <v>156</v>
      </c>
      <c r="L66" s="198">
        <v>2</v>
      </c>
      <c r="N66" s="198">
        <v>10</v>
      </c>
      <c r="O66" s="55">
        <v>0.85</v>
      </c>
      <c r="P66" s="55">
        <v>0.65</v>
      </c>
      <c r="Q66" s="82">
        <f t="shared" ref="Q66:Q129" si="3">IF(OR(O66="",P66=""),"",AVERAGE(O66,P66))</f>
        <v>0.75</v>
      </c>
      <c r="R66" s="55">
        <v>14.8</v>
      </c>
      <c r="S66" s="55">
        <v>127</v>
      </c>
      <c r="T66" s="57">
        <f t="shared" ref="T66:T139" si="4">IF(H66="","",IF(OR(H66="GREEN",H66="GK"),IF(S66&gt;=$AX$2,VLOOKUP(S66,$AX$2:$AY$10,2,1),""),IF(S66&gt;=$AZ$2,VLOOKUP(S66,$AZ$2:$BA$10,2,1),"")))</f>
        <v>27</v>
      </c>
      <c r="U66" s="198">
        <v>1058</v>
      </c>
      <c r="V66" s="58">
        <f t="shared" ref="V66:V139" si="5">IF(OR(N66="",U66="",T66=""),"",U66/N66*T66)</f>
        <v>2856.6</v>
      </c>
      <c r="W66" s="198">
        <v>1</v>
      </c>
      <c r="X66" s="55" t="s">
        <v>46</v>
      </c>
      <c r="Y66" s="55" t="s">
        <v>55</v>
      </c>
      <c r="Z66" s="55" t="s">
        <v>69</v>
      </c>
      <c r="AA66" s="55" t="s">
        <v>47</v>
      </c>
      <c r="AB66" s="39" t="s">
        <v>328</v>
      </c>
    </row>
    <row r="67" spans="1:30" x14ac:dyDescent="0.15">
      <c r="A67" s="55" t="s">
        <v>41</v>
      </c>
      <c r="B67" s="198" t="s">
        <v>325</v>
      </c>
      <c r="C67" s="139">
        <v>2018</v>
      </c>
      <c r="D67" s="56" t="s">
        <v>332</v>
      </c>
      <c r="E67" s="198" t="s">
        <v>280</v>
      </c>
      <c r="F67" s="198" t="s">
        <v>284</v>
      </c>
      <c r="G67" s="55" t="s">
        <v>42</v>
      </c>
      <c r="H67" s="55" t="s">
        <v>157</v>
      </c>
      <c r="I67" s="55" t="s">
        <v>155</v>
      </c>
      <c r="J67" s="55" t="s">
        <v>38</v>
      </c>
      <c r="K67" s="55" t="s">
        <v>156</v>
      </c>
      <c r="L67" s="198">
        <v>3</v>
      </c>
      <c r="N67" s="198">
        <v>10</v>
      </c>
      <c r="O67" s="55">
        <v>0.8</v>
      </c>
      <c r="P67" s="55">
        <v>0.55000000000000004</v>
      </c>
      <c r="Q67" s="82">
        <f t="shared" si="3"/>
        <v>0.67500000000000004</v>
      </c>
      <c r="R67" s="55">
        <v>16.7</v>
      </c>
      <c r="S67" s="55">
        <v>123</v>
      </c>
      <c r="T67" s="57">
        <f t="shared" si="4"/>
        <v>27</v>
      </c>
      <c r="U67" s="198">
        <v>1058</v>
      </c>
      <c r="V67" s="58">
        <f t="shared" si="5"/>
        <v>2856.6</v>
      </c>
      <c r="W67" s="198">
        <v>1</v>
      </c>
      <c r="X67" s="55" t="s">
        <v>46</v>
      </c>
      <c r="Y67" s="55" t="s">
        <v>55</v>
      </c>
      <c r="Z67" s="55" t="s">
        <v>69</v>
      </c>
      <c r="AA67" s="55" t="s">
        <v>47</v>
      </c>
      <c r="AB67" s="39" t="s">
        <v>328</v>
      </c>
    </row>
    <row r="68" spans="1:30" x14ac:dyDescent="0.15">
      <c r="A68" s="55" t="s">
        <v>41</v>
      </c>
      <c r="B68" s="198" t="s">
        <v>325</v>
      </c>
      <c r="C68" s="139">
        <v>2018</v>
      </c>
      <c r="D68" s="56" t="s">
        <v>332</v>
      </c>
      <c r="E68" s="198" t="s">
        <v>280</v>
      </c>
      <c r="F68" s="198" t="s">
        <v>286</v>
      </c>
      <c r="G68" s="55" t="s">
        <v>42</v>
      </c>
      <c r="H68" s="55" t="s">
        <v>157</v>
      </c>
      <c r="I68" s="55" t="s">
        <v>155</v>
      </c>
      <c r="J68" s="55" t="s">
        <v>38</v>
      </c>
      <c r="K68" s="55" t="s">
        <v>156</v>
      </c>
      <c r="L68" s="198">
        <v>1</v>
      </c>
      <c r="N68" s="55">
        <v>1</v>
      </c>
      <c r="O68" s="55">
        <v>0.25</v>
      </c>
      <c r="P68" s="55">
        <v>0.3</v>
      </c>
      <c r="Q68" s="82">
        <f t="shared" si="3"/>
        <v>0.27500000000000002</v>
      </c>
      <c r="R68" s="55">
        <v>15.8</v>
      </c>
      <c r="S68" s="55">
        <v>117</v>
      </c>
      <c r="T68" s="57">
        <f t="shared" si="4"/>
        <v>30</v>
      </c>
      <c r="U68" s="198">
        <v>108</v>
      </c>
      <c r="V68" s="58">
        <f t="shared" si="5"/>
        <v>3240</v>
      </c>
      <c r="W68" s="198">
        <v>1</v>
      </c>
      <c r="X68" s="55" t="s">
        <v>46</v>
      </c>
      <c r="Y68" s="55" t="s">
        <v>69</v>
      </c>
      <c r="Z68" s="55" t="s">
        <v>55</v>
      </c>
      <c r="AA68" s="55" t="s">
        <v>60</v>
      </c>
      <c r="AB68" s="39" t="s">
        <v>328</v>
      </c>
    </row>
    <row r="69" spans="1:30" x14ac:dyDescent="0.15">
      <c r="A69" s="55" t="s">
        <v>41</v>
      </c>
      <c r="B69" s="198" t="s">
        <v>325</v>
      </c>
      <c r="C69" s="139">
        <v>2018</v>
      </c>
      <c r="D69" s="56" t="s">
        <v>332</v>
      </c>
      <c r="E69" s="198" t="s">
        <v>280</v>
      </c>
      <c r="F69" s="198" t="s">
        <v>286</v>
      </c>
      <c r="G69" s="55" t="s">
        <v>42</v>
      </c>
      <c r="H69" s="55" t="s">
        <v>157</v>
      </c>
      <c r="I69" s="55" t="s">
        <v>155</v>
      </c>
      <c r="J69" s="55" t="s">
        <v>38</v>
      </c>
      <c r="K69" s="55" t="s">
        <v>156</v>
      </c>
      <c r="L69" s="198">
        <v>2</v>
      </c>
      <c r="N69" s="55">
        <v>1</v>
      </c>
      <c r="O69" s="55">
        <v>0.3</v>
      </c>
      <c r="P69" s="55">
        <v>0.3</v>
      </c>
      <c r="Q69" s="82">
        <f t="shared" si="3"/>
        <v>0.3</v>
      </c>
      <c r="R69" s="55">
        <v>14.4</v>
      </c>
      <c r="S69" s="55">
        <v>120</v>
      </c>
      <c r="T69" s="57">
        <f t="shared" si="4"/>
        <v>30</v>
      </c>
      <c r="U69" s="198">
        <v>108</v>
      </c>
      <c r="V69" s="58">
        <f t="shared" si="5"/>
        <v>3240</v>
      </c>
      <c r="W69" s="198">
        <v>1</v>
      </c>
      <c r="X69" s="55" t="s">
        <v>46</v>
      </c>
      <c r="Y69" s="55" t="s">
        <v>69</v>
      </c>
      <c r="Z69" s="55" t="s">
        <v>55</v>
      </c>
      <c r="AA69" s="55" t="s">
        <v>60</v>
      </c>
      <c r="AB69" s="39" t="s">
        <v>328</v>
      </c>
    </row>
    <row r="70" spans="1:30" x14ac:dyDescent="0.15">
      <c r="A70" s="55" t="s">
        <v>41</v>
      </c>
      <c r="B70" s="198" t="s">
        <v>325</v>
      </c>
      <c r="C70" s="139">
        <v>2018</v>
      </c>
      <c r="D70" s="56" t="s">
        <v>332</v>
      </c>
      <c r="E70" s="198" t="s">
        <v>280</v>
      </c>
      <c r="F70" s="198" t="s">
        <v>286</v>
      </c>
      <c r="G70" s="55" t="s">
        <v>42</v>
      </c>
      <c r="H70" s="55" t="s">
        <v>157</v>
      </c>
      <c r="I70" s="55" t="s">
        <v>155</v>
      </c>
      <c r="J70" s="55" t="s">
        <v>38</v>
      </c>
      <c r="K70" s="55" t="s">
        <v>156</v>
      </c>
      <c r="L70" s="198">
        <v>3</v>
      </c>
      <c r="N70" s="55">
        <v>1</v>
      </c>
      <c r="O70" s="55">
        <v>0.25</v>
      </c>
      <c r="P70" s="55">
        <v>0.3</v>
      </c>
      <c r="Q70" s="82">
        <f t="shared" si="3"/>
        <v>0.27500000000000002</v>
      </c>
      <c r="R70" s="55">
        <v>14.1</v>
      </c>
      <c r="S70" s="55">
        <v>114</v>
      </c>
      <c r="T70" s="57">
        <f t="shared" si="4"/>
        <v>30</v>
      </c>
      <c r="U70" s="55">
        <v>108</v>
      </c>
      <c r="V70" s="58">
        <f t="shared" si="5"/>
        <v>3240</v>
      </c>
      <c r="W70" s="198">
        <v>1</v>
      </c>
      <c r="X70" s="55" t="s">
        <v>46</v>
      </c>
      <c r="Y70" s="55" t="s">
        <v>69</v>
      </c>
      <c r="Z70" s="55" t="s">
        <v>55</v>
      </c>
      <c r="AA70" s="55" t="s">
        <v>60</v>
      </c>
      <c r="AB70" s="39" t="s">
        <v>328</v>
      </c>
    </row>
    <row r="71" spans="1:30" x14ac:dyDescent="0.15">
      <c r="A71" s="55" t="s">
        <v>41</v>
      </c>
      <c r="B71" s="198" t="s">
        <v>325</v>
      </c>
      <c r="C71" s="139">
        <v>2018</v>
      </c>
      <c r="D71" s="56" t="s">
        <v>332</v>
      </c>
      <c r="E71" s="198" t="s">
        <v>280</v>
      </c>
      <c r="F71" s="198" t="s">
        <v>286</v>
      </c>
      <c r="G71" s="55" t="s">
        <v>42</v>
      </c>
      <c r="H71" s="55" t="s">
        <v>167</v>
      </c>
      <c r="I71" s="55" t="s">
        <v>155</v>
      </c>
      <c r="J71" s="55" t="s">
        <v>38</v>
      </c>
      <c r="K71" s="55" t="s">
        <v>156</v>
      </c>
      <c r="L71" s="198">
        <v>1</v>
      </c>
      <c r="N71" s="55">
        <v>1</v>
      </c>
      <c r="O71" s="55">
        <v>0.25</v>
      </c>
      <c r="P71" s="55">
        <v>0.35</v>
      </c>
      <c r="Q71" s="57">
        <f t="shared" si="3"/>
        <v>0.3</v>
      </c>
      <c r="R71" s="55">
        <v>13.8</v>
      </c>
      <c r="S71" s="55">
        <v>129</v>
      </c>
      <c r="T71" s="57">
        <f t="shared" si="4"/>
        <v>25</v>
      </c>
      <c r="U71" s="198">
        <v>159</v>
      </c>
      <c r="V71" s="58">
        <f t="shared" si="5"/>
        <v>3975</v>
      </c>
      <c r="W71" s="198">
        <v>1</v>
      </c>
      <c r="X71" s="55" t="s">
        <v>46</v>
      </c>
      <c r="Y71" s="55" t="s">
        <v>69</v>
      </c>
      <c r="Z71" s="55" t="s">
        <v>55</v>
      </c>
      <c r="AA71" s="55" t="s">
        <v>60</v>
      </c>
      <c r="AB71" s="39" t="s">
        <v>328</v>
      </c>
    </row>
    <row r="72" spans="1:30" x14ac:dyDescent="0.15">
      <c r="A72" s="55" t="s">
        <v>41</v>
      </c>
      <c r="B72" s="198" t="s">
        <v>325</v>
      </c>
      <c r="C72" s="139">
        <v>2018</v>
      </c>
      <c r="D72" s="56" t="s">
        <v>332</v>
      </c>
      <c r="E72" s="198" t="s">
        <v>280</v>
      </c>
      <c r="F72" s="198" t="s">
        <v>286</v>
      </c>
      <c r="G72" s="55" t="s">
        <v>42</v>
      </c>
      <c r="H72" s="55" t="s">
        <v>167</v>
      </c>
      <c r="I72" s="55" t="s">
        <v>155</v>
      </c>
      <c r="J72" s="55" t="s">
        <v>38</v>
      </c>
      <c r="K72" s="55" t="s">
        <v>156</v>
      </c>
      <c r="L72" s="198">
        <v>2</v>
      </c>
      <c r="N72" s="55">
        <v>1</v>
      </c>
      <c r="O72" s="55">
        <v>0.65</v>
      </c>
      <c r="P72" s="55">
        <v>0.55000000000000004</v>
      </c>
      <c r="Q72" s="57">
        <f t="shared" si="3"/>
        <v>0.60000000000000009</v>
      </c>
      <c r="R72" s="55">
        <v>16.5</v>
      </c>
      <c r="S72" s="55">
        <v>131</v>
      </c>
      <c r="T72" s="57">
        <f t="shared" si="4"/>
        <v>25</v>
      </c>
      <c r="U72" s="198">
        <v>159</v>
      </c>
      <c r="V72" s="58">
        <f t="shared" si="5"/>
        <v>3975</v>
      </c>
      <c r="W72" s="198">
        <v>1</v>
      </c>
      <c r="X72" s="55" t="s">
        <v>46</v>
      </c>
      <c r="Y72" s="55" t="s">
        <v>69</v>
      </c>
      <c r="Z72" s="55" t="s">
        <v>55</v>
      </c>
      <c r="AA72" s="55" t="s">
        <v>60</v>
      </c>
      <c r="AB72" s="39" t="s">
        <v>328</v>
      </c>
    </row>
    <row r="73" spans="1:30" x14ac:dyDescent="0.15">
      <c r="A73" s="55" t="s">
        <v>41</v>
      </c>
      <c r="B73" s="198" t="s">
        <v>325</v>
      </c>
      <c r="C73" s="139">
        <v>2018</v>
      </c>
      <c r="D73" s="56" t="s">
        <v>332</v>
      </c>
      <c r="E73" s="198" t="s">
        <v>280</v>
      </c>
      <c r="F73" s="198" t="s">
        <v>286</v>
      </c>
      <c r="G73" s="55" t="s">
        <v>42</v>
      </c>
      <c r="H73" s="55" t="s">
        <v>167</v>
      </c>
      <c r="I73" s="55" t="s">
        <v>155</v>
      </c>
      <c r="J73" s="55" t="s">
        <v>38</v>
      </c>
      <c r="K73" s="55" t="s">
        <v>156</v>
      </c>
      <c r="L73" s="198">
        <v>3</v>
      </c>
      <c r="N73" s="55">
        <v>1</v>
      </c>
      <c r="O73" s="55">
        <v>0.65</v>
      </c>
      <c r="P73" s="55">
        <v>0.45</v>
      </c>
      <c r="Q73" s="57">
        <f t="shared" si="3"/>
        <v>0.55000000000000004</v>
      </c>
      <c r="R73" s="55">
        <v>15.7</v>
      </c>
      <c r="S73" s="55">
        <v>137</v>
      </c>
      <c r="T73" s="57">
        <f t="shared" si="4"/>
        <v>25</v>
      </c>
      <c r="U73" s="55">
        <v>159</v>
      </c>
      <c r="V73" s="58">
        <f t="shared" si="5"/>
        <v>3975</v>
      </c>
      <c r="W73" s="198">
        <v>1</v>
      </c>
      <c r="X73" s="55" t="s">
        <v>46</v>
      </c>
      <c r="Y73" s="55" t="s">
        <v>69</v>
      </c>
      <c r="Z73" s="55" t="s">
        <v>55</v>
      </c>
      <c r="AA73" s="55" t="s">
        <v>60</v>
      </c>
      <c r="AB73" s="39" t="s">
        <v>328</v>
      </c>
    </row>
    <row r="74" spans="1:30" x14ac:dyDescent="0.15">
      <c r="A74" s="55" t="s">
        <v>41</v>
      </c>
      <c r="B74" s="198" t="s">
        <v>325</v>
      </c>
      <c r="C74" s="139">
        <v>2018</v>
      </c>
      <c r="D74" s="56" t="s">
        <v>332</v>
      </c>
      <c r="E74" s="198" t="s">
        <v>280</v>
      </c>
      <c r="F74" s="198" t="s">
        <v>286</v>
      </c>
      <c r="G74" s="55" t="s">
        <v>42</v>
      </c>
      <c r="H74" s="55" t="s">
        <v>167</v>
      </c>
      <c r="I74" s="55" t="s">
        <v>155</v>
      </c>
      <c r="J74" s="55" t="s">
        <v>38</v>
      </c>
      <c r="K74" s="55" t="s">
        <v>156</v>
      </c>
      <c r="L74" s="198">
        <v>1</v>
      </c>
      <c r="N74" s="198">
        <v>8</v>
      </c>
      <c r="O74" s="55">
        <v>1</v>
      </c>
      <c r="P74" s="55">
        <v>0.95</v>
      </c>
      <c r="Q74" s="57">
        <f t="shared" si="3"/>
        <v>0.97499999999999998</v>
      </c>
      <c r="R74" s="55">
        <v>14.1</v>
      </c>
      <c r="S74" s="55">
        <v>118</v>
      </c>
      <c r="T74" s="57">
        <f t="shared" si="4"/>
        <v>30</v>
      </c>
      <c r="U74" s="198">
        <v>1069</v>
      </c>
      <c r="V74" s="58">
        <f t="shared" si="5"/>
        <v>4008.75</v>
      </c>
      <c r="W74" s="198">
        <v>1</v>
      </c>
      <c r="X74" s="55" t="s">
        <v>46</v>
      </c>
      <c r="Y74" s="55" t="s">
        <v>69</v>
      </c>
      <c r="Z74" s="55" t="s">
        <v>55</v>
      </c>
      <c r="AA74" s="55" t="s">
        <v>60</v>
      </c>
      <c r="AB74" s="39" t="s">
        <v>328</v>
      </c>
      <c r="AC74" s="55"/>
      <c r="AD74" s="55"/>
    </row>
    <row r="75" spans="1:30" x14ac:dyDescent="0.15">
      <c r="A75" s="55" t="s">
        <v>41</v>
      </c>
      <c r="B75" s="198" t="s">
        <v>325</v>
      </c>
      <c r="C75" s="139">
        <v>2018</v>
      </c>
      <c r="D75" s="56" t="s">
        <v>332</v>
      </c>
      <c r="E75" s="198" t="s">
        <v>280</v>
      </c>
      <c r="F75" s="198" t="s">
        <v>286</v>
      </c>
      <c r="G75" s="55" t="s">
        <v>42</v>
      </c>
      <c r="H75" s="55" t="s">
        <v>167</v>
      </c>
      <c r="I75" s="55" t="s">
        <v>155</v>
      </c>
      <c r="J75" s="55" t="s">
        <v>38</v>
      </c>
      <c r="K75" s="55" t="s">
        <v>156</v>
      </c>
      <c r="L75" s="198">
        <v>2</v>
      </c>
      <c r="N75" s="198">
        <v>8</v>
      </c>
      <c r="O75" s="55">
        <v>0.85</v>
      </c>
      <c r="P75" s="55">
        <v>0.8</v>
      </c>
      <c r="Q75" s="57">
        <f t="shared" si="3"/>
        <v>0.82499999999999996</v>
      </c>
      <c r="R75" s="55">
        <v>16.2</v>
      </c>
      <c r="S75" s="55">
        <v>127</v>
      </c>
      <c r="T75" s="57">
        <f t="shared" si="4"/>
        <v>27</v>
      </c>
      <c r="U75" s="198">
        <v>1069</v>
      </c>
      <c r="V75" s="58">
        <f t="shared" si="5"/>
        <v>3607.875</v>
      </c>
      <c r="W75" s="198">
        <v>1</v>
      </c>
      <c r="X75" s="55" t="s">
        <v>46</v>
      </c>
      <c r="Y75" s="55" t="s">
        <v>69</v>
      </c>
      <c r="Z75" s="55" t="s">
        <v>55</v>
      </c>
      <c r="AA75" s="55" t="s">
        <v>60</v>
      </c>
      <c r="AB75" s="39" t="s">
        <v>328</v>
      </c>
      <c r="AC75" s="55"/>
      <c r="AD75" s="55"/>
    </row>
    <row r="76" spans="1:30" x14ac:dyDescent="0.15">
      <c r="A76" s="55" t="s">
        <v>41</v>
      </c>
      <c r="B76" s="198" t="s">
        <v>325</v>
      </c>
      <c r="C76" s="139">
        <v>2018</v>
      </c>
      <c r="D76" s="56" t="s">
        <v>332</v>
      </c>
      <c r="E76" s="198" t="s">
        <v>280</v>
      </c>
      <c r="F76" s="198" t="s">
        <v>286</v>
      </c>
      <c r="G76" s="55" t="s">
        <v>42</v>
      </c>
      <c r="H76" s="55" t="s">
        <v>167</v>
      </c>
      <c r="I76" s="55" t="s">
        <v>155</v>
      </c>
      <c r="J76" s="55" t="s">
        <v>38</v>
      </c>
      <c r="K76" s="55" t="s">
        <v>156</v>
      </c>
      <c r="L76" s="198">
        <v>3</v>
      </c>
      <c r="N76" s="198">
        <v>8</v>
      </c>
      <c r="O76" s="55">
        <v>0.75</v>
      </c>
      <c r="P76" s="55">
        <v>0.9</v>
      </c>
      <c r="Q76" s="57">
        <f t="shared" si="3"/>
        <v>0.82499999999999996</v>
      </c>
      <c r="R76" s="55">
        <v>17</v>
      </c>
      <c r="S76" s="55">
        <v>124</v>
      </c>
      <c r="T76" s="57">
        <f t="shared" si="4"/>
        <v>27</v>
      </c>
      <c r="U76" s="198">
        <v>1069</v>
      </c>
      <c r="V76" s="58">
        <f t="shared" si="5"/>
        <v>3607.875</v>
      </c>
      <c r="W76" s="198">
        <v>1</v>
      </c>
      <c r="X76" s="55" t="s">
        <v>46</v>
      </c>
      <c r="Y76" s="55" t="s">
        <v>69</v>
      </c>
      <c r="Z76" s="55" t="s">
        <v>55</v>
      </c>
      <c r="AA76" s="55" t="s">
        <v>60</v>
      </c>
      <c r="AB76" s="39" t="s">
        <v>328</v>
      </c>
      <c r="AC76" s="55"/>
      <c r="AD76" s="55"/>
    </row>
    <row r="77" spans="1:30" x14ac:dyDescent="0.15">
      <c r="A77" s="55" t="s">
        <v>41</v>
      </c>
      <c r="B77" s="198" t="s">
        <v>325</v>
      </c>
      <c r="C77" s="139">
        <v>2018</v>
      </c>
      <c r="D77" s="56" t="s">
        <v>332</v>
      </c>
      <c r="E77" s="198" t="s">
        <v>280</v>
      </c>
      <c r="F77" s="198" t="s">
        <v>286</v>
      </c>
      <c r="G77" s="55" t="s">
        <v>42</v>
      </c>
      <c r="H77" s="55" t="s">
        <v>157</v>
      </c>
      <c r="I77" s="55" t="s">
        <v>155</v>
      </c>
      <c r="J77" s="55" t="s">
        <v>38</v>
      </c>
      <c r="K77" s="55" t="s">
        <v>156</v>
      </c>
      <c r="L77" s="198">
        <v>1</v>
      </c>
      <c r="N77" s="55">
        <v>4</v>
      </c>
      <c r="O77" s="55">
        <v>0.65</v>
      </c>
      <c r="P77" s="55">
        <v>0.45</v>
      </c>
      <c r="Q77" s="57">
        <f t="shared" si="3"/>
        <v>0.55000000000000004</v>
      </c>
      <c r="R77" s="55">
        <v>14.1</v>
      </c>
      <c r="S77" s="55">
        <v>108</v>
      </c>
      <c r="T77" s="57">
        <f t="shared" si="4"/>
        <v>33</v>
      </c>
      <c r="U77" s="198">
        <v>429</v>
      </c>
      <c r="V77" s="58">
        <f t="shared" si="5"/>
        <v>3539.25</v>
      </c>
      <c r="W77" s="198">
        <v>2</v>
      </c>
      <c r="X77" s="55" t="s">
        <v>46</v>
      </c>
      <c r="Y77" s="55" t="s">
        <v>69</v>
      </c>
      <c r="Z77" s="55" t="s">
        <v>55</v>
      </c>
      <c r="AA77" s="55" t="s">
        <v>60</v>
      </c>
      <c r="AB77" s="39" t="s">
        <v>328</v>
      </c>
    </row>
    <row r="78" spans="1:30" x14ac:dyDescent="0.15">
      <c r="A78" s="55" t="s">
        <v>41</v>
      </c>
      <c r="B78" s="198" t="s">
        <v>325</v>
      </c>
      <c r="C78" s="139">
        <v>2018</v>
      </c>
      <c r="D78" s="56" t="s">
        <v>332</v>
      </c>
      <c r="E78" s="198" t="s">
        <v>280</v>
      </c>
      <c r="F78" s="198" t="s">
        <v>286</v>
      </c>
      <c r="G78" s="55" t="s">
        <v>42</v>
      </c>
      <c r="H78" s="55" t="s">
        <v>157</v>
      </c>
      <c r="I78" s="55" t="s">
        <v>155</v>
      </c>
      <c r="J78" s="55" t="s">
        <v>38</v>
      </c>
      <c r="K78" s="55" t="s">
        <v>156</v>
      </c>
      <c r="L78" s="198">
        <v>2</v>
      </c>
      <c r="N78" s="55">
        <v>4</v>
      </c>
      <c r="O78" s="55">
        <v>0.55000000000000004</v>
      </c>
      <c r="P78" s="55">
        <v>0.4</v>
      </c>
      <c r="Q78" s="57">
        <f t="shared" si="3"/>
        <v>0.47500000000000003</v>
      </c>
      <c r="R78" s="55">
        <v>14.8</v>
      </c>
      <c r="S78" s="55">
        <v>110</v>
      </c>
      <c r="T78" s="57">
        <f t="shared" si="4"/>
        <v>33</v>
      </c>
      <c r="U78" s="198">
        <v>429</v>
      </c>
      <c r="V78" s="58">
        <f t="shared" si="5"/>
        <v>3539.25</v>
      </c>
      <c r="W78" s="198">
        <v>2</v>
      </c>
      <c r="X78" s="55" t="s">
        <v>46</v>
      </c>
      <c r="Y78" s="55" t="s">
        <v>69</v>
      </c>
      <c r="Z78" s="55" t="s">
        <v>55</v>
      </c>
      <c r="AA78" s="55" t="s">
        <v>60</v>
      </c>
      <c r="AB78" s="39" t="s">
        <v>328</v>
      </c>
    </row>
    <row r="79" spans="1:30" x14ac:dyDescent="0.15">
      <c r="A79" s="55" t="s">
        <v>41</v>
      </c>
      <c r="B79" s="198" t="s">
        <v>325</v>
      </c>
      <c r="C79" s="139">
        <v>2018</v>
      </c>
      <c r="D79" s="56" t="s">
        <v>332</v>
      </c>
      <c r="E79" s="198" t="s">
        <v>280</v>
      </c>
      <c r="F79" s="198" t="s">
        <v>286</v>
      </c>
      <c r="G79" s="55" t="s">
        <v>42</v>
      </c>
      <c r="H79" s="55" t="s">
        <v>157</v>
      </c>
      <c r="I79" s="55" t="s">
        <v>155</v>
      </c>
      <c r="J79" s="55" t="s">
        <v>38</v>
      </c>
      <c r="K79" s="55" t="s">
        <v>156</v>
      </c>
      <c r="L79" s="198">
        <v>3</v>
      </c>
      <c r="N79" s="55">
        <v>4</v>
      </c>
      <c r="O79" s="55">
        <v>0.45</v>
      </c>
      <c r="P79" s="55">
        <v>0.4</v>
      </c>
      <c r="Q79" s="57">
        <f t="shared" si="3"/>
        <v>0.42500000000000004</v>
      </c>
      <c r="R79" s="55">
        <v>15.1</v>
      </c>
      <c r="S79" s="55">
        <v>117</v>
      </c>
      <c r="T79" s="57">
        <f t="shared" si="4"/>
        <v>30</v>
      </c>
      <c r="U79" s="55">
        <v>429</v>
      </c>
      <c r="V79" s="58">
        <f t="shared" si="5"/>
        <v>3217.5</v>
      </c>
      <c r="W79" s="198">
        <v>2</v>
      </c>
      <c r="X79" s="55" t="s">
        <v>46</v>
      </c>
      <c r="Y79" s="55" t="s">
        <v>69</v>
      </c>
      <c r="Z79" s="55" t="s">
        <v>55</v>
      </c>
      <c r="AA79" s="55" t="s">
        <v>60</v>
      </c>
      <c r="AB79" s="39" t="s">
        <v>328</v>
      </c>
    </row>
    <row r="80" spans="1:30" x14ac:dyDescent="0.15">
      <c r="A80" s="55" t="s">
        <v>41</v>
      </c>
      <c r="B80" s="198" t="s">
        <v>325</v>
      </c>
      <c r="C80" s="139">
        <v>2018</v>
      </c>
      <c r="D80" s="56" t="s">
        <v>332</v>
      </c>
      <c r="E80" s="198" t="s">
        <v>280</v>
      </c>
      <c r="F80" s="198" t="s">
        <v>286</v>
      </c>
      <c r="G80" s="55" t="s">
        <v>42</v>
      </c>
      <c r="H80" s="55" t="s">
        <v>167</v>
      </c>
      <c r="I80" s="55" t="s">
        <v>155</v>
      </c>
      <c r="J80" s="55" t="s">
        <v>38</v>
      </c>
      <c r="K80" s="55" t="s">
        <v>156</v>
      </c>
      <c r="L80" s="198">
        <v>1</v>
      </c>
      <c r="N80" s="198">
        <v>4</v>
      </c>
      <c r="O80" s="55">
        <v>0.55000000000000004</v>
      </c>
      <c r="P80" s="55">
        <v>0.4</v>
      </c>
      <c r="Q80" s="57">
        <f t="shared" si="3"/>
        <v>0.47500000000000003</v>
      </c>
      <c r="R80" s="55">
        <v>15</v>
      </c>
      <c r="S80" s="55">
        <v>118</v>
      </c>
      <c r="T80" s="57">
        <f t="shared" si="4"/>
        <v>30</v>
      </c>
      <c r="U80" s="198">
        <v>626</v>
      </c>
      <c r="V80" s="58">
        <f t="shared" si="5"/>
        <v>4695</v>
      </c>
      <c r="W80" s="198">
        <v>2</v>
      </c>
      <c r="X80" s="55" t="s">
        <v>46</v>
      </c>
      <c r="Y80" s="55" t="s">
        <v>69</v>
      </c>
      <c r="Z80" s="55" t="s">
        <v>55</v>
      </c>
      <c r="AA80" s="55" t="s">
        <v>60</v>
      </c>
      <c r="AB80" s="39" t="s">
        <v>328</v>
      </c>
      <c r="AC80" s="55"/>
      <c r="AD80" s="55"/>
    </row>
    <row r="81" spans="1:30" x14ac:dyDescent="0.15">
      <c r="A81" s="55" t="s">
        <v>41</v>
      </c>
      <c r="B81" s="198" t="s">
        <v>325</v>
      </c>
      <c r="C81" s="139">
        <v>2018</v>
      </c>
      <c r="D81" s="56" t="s">
        <v>332</v>
      </c>
      <c r="E81" s="198" t="s">
        <v>280</v>
      </c>
      <c r="F81" s="198" t="s">
        <v>286</v>
      </c>
      <c r="G81" s="55" t="s">
        <v>42</v>
      </c>
      <c r="H81" s="55" t="s">
        <v>167</v>
      </c>
      <c r="I81" s="55" t="s">
        <v>155</v>
      </c>
      <c r="J81" s="55" t="s">
        <v>38</v>
      </c>
      <c r="K81" s="55" t="s">
        <v>156</v>
      </c>
      <c r="L81" s="198">
        <v>2</v>
      </c>
      <c r="N81" s="198">
        <v>4</v>
      </c>
      <c r="O81" s="55">
        <v>0.45</v>
      </c>
      <c r="P81" s="55">
        <v>0.4</v>
      </c>
      <c r="Q81" s="57">
        <f t="shared" si="3"/>
        <v>0.42500000000000004</v>
      </c>
      <c r="R81" s="55">
        <v>16</v>
      </c>
      <c r="S81" s="55">
        <v>124</v>
      </c>
      <c r="T81" s="57">
        <f t="shared" si="4"/>
        <v>27</v>
      </c>
      <c r="U81" s="198">
        <v>626</v>
      </c>
      <c r="V81" s="58">
        <f t="shared" si="5"/>
        <v>4225.5</v>
      </c>
      <c r="W81" s="198">
        <v>2</v>
      </c>
      <c r="X81" s="55" t="s">
        <v>46</v>
      </c>
      <c r="Y81" s="55" t="s">
        <v>69</v>
      </c>
      <c r="Z81" s="55" t="s">
        <v>55</v>
      </c>
      <c r="AA81" s="55" t="s">
        <v>60</v>
      </c>
      <c r="AB81" s="39" t="s">
        <v>328</v>
      </c>
      <c r="AC81" s="55"/>
      <c r="AD81" s="55"/>
    </row>
    <row r="82" spans="1:30" x14ac:dyDescent="0.15">
      <c r="A82" s="55" t="s">
        <v>41</v>
      </c>
      <c r="B82" s="198" t="s">
        <v>325</v>
      </c>
      <c r="C82" s="139">
        <v>2018</v>
      </c>
      <c r="D82" s="56" t="s">
        <v>332</v>
      </c>
      <c r="E82" s="198" t="s">
        <v>280</v>
      </c>
      <c r="F82" s="198" t="s">
        <v>286</v>
      </c>
      <c r="G82" s="55" t="s">
        <v>42</v>
      </c>
      <c r="H82" s="55" t="s">
        <v>167</v>
      </c>
      <c r="I82" s="55" t="s">
        <v>155</v>
      </c>
      <c r="J82" s="55" t="s">
        <v>38</v>
      </c>
      <c r="K82" s="55" t="s">
        <v>156</v>
      </c>
      <c r="L82" s="198">
        <v>3</v>
      </c>
      <c r="N82" s="198">
        <v>4</v>
      </c>
      <c r="O82" s="55">
        <v>0.35</v>
      </c>
      <c r="P82" s="55">
        <v>0.3</v>
      </c>
      <c r="Q82" s="57">
        <f t="shared" si="3"/>
        <v>0.32499999999999996</v>
      </c>
      <c r="R82" s="55">
        <v>14.7</v>
      </c>
      <c r="S82" s="55">
        <v>120</v>
      </c>
      <c r="T82" s="57">
        <f t="shared" si="4"/>
        <v>30</v>
      </c>
      <c r="U82" s="198">
        <v>626</v>
      </c>
      <c r="V82" s="58">
        <f t="shared" si="5"/>
        <v>4695</v>
      </c>
      <c r="W82" s="198">
        <v>2</v>
      </c>
      <c r="X82" s="55" t="s">
        <v>46</v>
      </c>
      <c r="Y82" s="55" t="s">
        <v>69</v>
      </c>
      <c r="Z82" s="55" t="s">
        <v>55</v>
      </c>
      <c r="AA82" s="55" t="s">
        <v>60</v>
      </c>
      <c r="AB82" s="39" t="s">
        <v>328</v>
      </c>
      <c r="AC82" s="55"/>
      <c r="AD82" s="55"/>
    </row>
    <row r="83" spans="1:30" x14ac:dyDescent="0.15">
      <c r="A83" s="55" t="s">
        <v>41</v>
      </c>
      <c r="B83" s="198" t="s">
        <v>325</v>
      </c>
      <c r="C83" s="139">
        <v>2018</v>
      </c>
      <c r="D83" s="56" t="s">
        <v>332</v>
      </c>
      <c r="E83" s="55" t="s">
        <v>282</v>
      </c>
      <c r="F83" s="198" t="s">
        <v>287</v>
      </c>
      <c r="G83" s="55" t="s">
        <v>42</v>
      </c>
      <c r="H83" s="55" t="s">
        <v>157</v>
      </c>
      <c r="I83" s="55" t="s">
        <v>155</v>
      </c>
      <c r="J83" s="55" t="s">
        <v>38</v>
      </c>
      <c r="K83" s="55" t="s">
        <v>156</v>
      </c>
      <c r="L83" s="198">
        <v>1</v>
      </c>
      <c r="N83" s="198">
        <v>1</v>
      </c>
      <c r="O83" s="198">
        <v>0.8</v>
      </c>
      <c r="P83" s="198">
        <v>0.6</v>
      </c>
      <c r="Q83" s="57">
        <f t="shared" si="3"/>
        <v>0.7</v>
      </c>
      <c r="R83" s="198">
        <v>15</v>
      </c>
      <c r="S83" s="198">
        <v>131</v>
      </c>
      <c r="T83" s="57">
        <f t="shared" si="4"/>
        <v>25</v>
      </c>
      <c r="U83" s="198">
        <v>159</v>
      </c>
      <c r="V83" s="58">
        <f t="shared" si="5"/>
        <v>3975</v>
      </c>
      <c r="W83" s="198">
        <v>1</v>
      </c>
      <c r="X83" s="55" t="s">
        <v>46</v>
      </c>
      <c r="Y83" s="55" t="s">
        <v>69</v>
      </c>
      <c r="Z83" s="55" t="s">
        <v>86</v>
      </c>
      <c r="AA83" s="55" t="s">
        <v>55</v>
      </c>
      <c r="AB83" s="39" t="s">
        <v>328</v>
      </c>
      <c r="AC83" s="55"/>
      <c r="AD83" s="55"/>
    </row>
    <row r="84" spans="1:30" x14ac:dyDescent="0.15">
      <c r="A84" s="55" t="s">
        <v>41</v>
      </c>
      <c r="B84" s="198" t="s">
        <v>325</v>
      </c>
      <c r="C84" s="139">
        <v>2018</v>
      </c>
      <c r="D84" s="56" t="s">
        <v>332</v>
      </c>
      <c r="E84" s="55" t="s">
        <v>282</v>
      </c>
      <c r="F84" s="198" t="s">
        <v>287</v>
      </c>
      <c r="G84" s="55" t="s">
        <v>42</v>
      </c>
      <c r="H84" s="55" t="s">
        <v>157</v>
      </c>
      <c r="I84" s="55" t="s">
        <v>155</v>
      </c>
      <c r="J84" s="55" t="s">
        <v>38</v>
      </c>
      <c r="K84" s="55" t="s">
        <v>156</v>
      </c>
      <c r="L84" s="198">
        <v>2</v>
      </c>
      <c r="N84" s="198">
        <v>1</v>
      </c>
      <c r="O84" s="198">
        <v>0.75</v>
      </c>
      <c r="P84" s="198">
        <v>0.6</v>
      </c>
      <c r="Q84" s="57">
        <f t="shared" si="3"/>
        <v>0.67500000000000004</v>
      </c>
      <c r="R84" s="198">
        <v>15.1</v>
      </c>
      <c r="S84" s="198">
        <v>138</v>
      </c>
      <c r="T84" s="57">
        <f t="shared" si="4"/>
        <v>22</v>
      </c>
      <c r="U84" s="198">
        <v>159</v>
      </c>
      <c r="V84" s="58">
        <f t="shared" si="5"/>
        <v>3498</v>
      </c>
      <c r="W84" s="198">
        <v>1</v>
      </c>
      <c r="X84" s="55" t="s">
        <v>46</v>
      </c>
      <c r="Y84" s="55" t="s">
        <v>69</v>
      </c>
      <c r="Z84" s="55" t="s">
        <v>86</v>
      </c>
      <c r="AA84" s="55" t="s">
        <v>55</v>
      </c>
      <c r="AB84" s="39" t="s">
        <v>328</v>
      </c>
      <c r="AC84" s="55"/>
      <c r="AD84" s="55"/>
    </row>
    <row r="85" spans="1:30" x14ac:dyDescent="0.15">
      <c r="A85" s="55" t="s">
        <v>41</v>
      </c>
      <c r="B85" s="198" t="s">
        <v>325</v>
      </c>
      <c r="C85" s="139">
        <v>2018</v>
      </c>
      <c r="D85" s="56" t="s">
        <v>332</v>
      </c>
      <c r="E85" s="55" t="s">
        <v>282</v>
      </c>
      <c r="F85" s="198" t="s">
        <v>287</v>
      </c>
      <c r="G85" s="55" t="s">
        <v>42</v>
      </c>
      <c r="H85" s="55" t="s">
        <v>157</v>
      </c>
      <c r="I85" s="55" t="s">
        <v>155</v>
      </c>
      <c r="J85" s="55" t="s">
        <v>38</v>
      </c>
      <c r="K85" s="55" t="s">
        <v>156</v>
      </c>
      <c r="L85" s="198">
        <v>3</v>
      </c>
      <c r="N85" s="198">
        <v>1</v>
      </c>
      <c r="O85" s="198">
        <v>0.6</v>
      </c>
      <c r="P85" s="198">
        <v>0.65</v>
      </c>
      <c r="Q85" s="57">
        <f t="shared" si="3"/>
        <v>0.625</v>
      </c>
      <c r="R85" s="198">
        <v>12.9</v>
      </c>
      <c r="S85" s="198">
        <v>123</v>
      </c>
      <c r="T85" s="57">
        <f t="shared" si="4"/>
        <v>27</v>
      </c>
      <c r="U85" s="198">
        <v>159</v>
      </c>
      <c r="V85" s="58">
        <f t="shared" si="5"/>
        <v>4293</v>
      </c>
      <c r="W85" s="198">
        <v>1</v>
      </c>
      <c r="X85" s="55" t="s">
        <v>46</v>
      </c>
      <c r="Y85" s="55" t="s">
        <v>69</v>
      </c>
      <c r="Z85" s="55" t="s">
        <v>86</v>
      </c>
      <c r="AA85" s="55" t="s">
        <v>55</v>
      </c>
      <c r="AB85" s="39" t="s">
        <v>328</v>
      </c>
      <c r="AC85" s="55"/>
      <c r="AD85" s="55"/>
    </row>
    <row r="86" spans="1:30" x14ac:dyDescent="0.15">
      <c r="A86" s="55" t="s">
        <v>41</v>
      </c>
      <c r="B86" s="198" t="s">
        <v>325</v>
      </c>
      <c r="C86" s="139">
        <v>2018</v>
      </c>
      <c r="D86" s="56" t="s">
        <v>332</v>
      </c>
      <c r="E86" s="55" t="s">
        <v>282</v>
      </c>
      <c r="F86" s="198" t="s">
        <v>287</v>
      </c>
      <c r="G86" s="55" t="s">
        <v>42</v>
      </c>
      <c r="H86" s="55" t="s">
        <v>157</v>
      </c>
      <c r="I86" s="55" t="s">
        <v>155</v>
      </c>
      <c r="J86" s="55" t="s">
        <v>38</v>
      </c>
      <c r="K86" s="55" t="s">
        <v>156</v>
      </c>
      <c r="L86" s="198">
        <v>1</v>
      </c>
      <c r="N86" s="198">
        <v>5</v>
      </c>
      <c r="O86" s="198">
        <v>0.25</v>
      </c>
      <c r="P86" s="198">
        <v>0.3</v>
      </c>
      <c r="Q86" s="57">
        <f t="shared" si="3"/>
        <v>0.27500000000000002</v>
      </c>
      <c r="R86" s="198">
        <v>13.7</v>
      </c>
      <c r="S86" s="198">
        <v>114</v>
      </c>
      <c r="T86" s="57">
        <f t="shared" si="4"/>
        <v>30</v>
      </c>
      <c r="U86" s="198">
        <v>537</v>
      </c>
      <c r="V86" s="58">
        <f t="shared" si="5"/>
        <v>3222</v>
      </c>
      <c r="W86" s="198">
        <v>1</v>
      </c>
      <c r="X86" s="55" t="s">
        <v>46</v>
      </c>
      <c r="Y86" s="55" t="s">
        <v>69</v>
      </c>
      <c r="Z86" s="55" t="s">
        <v>86</v>
      </c>
      <c r="AA86" s="55" t="s">
        <v>55</v>
      </c>
      <c r="AB86" s="39" t="s">
        <v>328</v>
      </c>
      <c r="AC86" s="55"/>
      <c r="AD86" s="55"/>
    </row>
    <row r="87" spans="1:30" x14ac:dyDescent="0.15">
      <c r="A87" s="55" t="s">
        <v>41</v>
      </c>
      <c r="B87" s="198" t="s">
        <v>325</v>
      </c>
      <c r="C87" s="139">
        <v>2018</v>
      </c>
      <c r="D87" s="56" t="s">
        <v>332</v>
      </c>
      <c r="E87" s="55" t="s">
        <v>282</v>
      </c>
      <c r="F87" s="198" t="s">
        <v>287</v>
      </c>
      <c r="G87" s="55" t="s">
        <v>42</v>
      </c>
      <c r="H87" s="55" t="s">
        <v>157</v>
      </c>
      <c r="I87" s="55" t="s">
        <v>155</v>
      </c>
      <c r="J87" s="55" t="s">
        <v>38</v>
      </c>
      <c r="K87" s="55" t="s">
        <v>156</v>
      </c>
      <c r="L87" s="198">
        <v>2</v>
      </c>
      <c r="N87" s="198">
        <v>5</v>
      </c>
      <c r="O87" s="198">
        <v>0.3</v>
      </c>
      <c r="P87" s="198">
        <v>0.2</v>
      </c>
      <c r="Q87" s="57">
        <f t="shared" si="3"/>
        <v>0.25</v>
      </c>
      <c r="R87" s="198">
        <v>13.7</v>
      </c>
      <c r="S87" s="198">
        <v>105</v>
      </c>
      <c r="T87" s="57">
        <f t="shared" si="4"/>
        <v>33</v>
      </c>
      <c r="U87" s="198">
        <v>537</v>
      </c>
      <c r="V87" s="58">
        <f t="shared" si="5"/>
        <v>3544.2000000000003</v>
      </c>
      <c r="W87" s="198">
        <v>1</v>
      </c>
      <c r="X87" s="55" t="s">
        <v>46</v>
      </c>
      <c r="Y87" s="55" t="s">
        <v>69</v>
      </c>
      <c r="Z87" s="55" t="s">
        <v>86</v>
      </c>
      <c r="AA87" s="55" t="s">
        <v>55</v>
      </c>
      <c r="AB87" s="39" t="s">
        <v>328</v>
      </c>
      <c r="AC87" s="55"/>
      <c r="AD87" s="55"/>
    </row>
    <row r="88" spans="1:30" x14ac:dyDescent="0.15">
      <c r="A88" s="55" t="s">
        <v>41</v>
      </c>
      <c r="B88" s="198" t="s">
        <v>325</v>
      </c>
      <c r="C88" s="139">
        <v>2018</v>
      </c>
      <c r="D88" s="56" t="s">
        <v>332</v>
      </c>
      <c r="E88" s="55" t="s">
        <v>282</v>
      </c>
      <c r="F88" s="198" t="s">
        <v>287</v>
      </c>
      <c r="G88" s="55" t="s">
        <v>42</v>
      </c>
      <c r="H88" s="55" t="s">
        <v>157</v>
      </c>
      <c r="I88" s="55" t="s">
        <v>155</v>
      </c>
      <c r="J88" s="55" t="s">
        <v>38</v>
      </c>
      <c r="K88" s="55" t="s">
        <v>156</v>
      </c>
      <c r="L88" s="198">
        <v>3</v>
      </c>
      <c r="N88" s="198">
        <v>5</v>
      </c>
      <c r="O88" s="198">
        <v>0.25</v>
      </c>
      <c r="P88" s="198">
        <v>0.35</v>
      </c>
      <c r="Q88" s="57">
        <f t="shared" si="3"/>
        <v>0.3</v>
      </c>
      <c r="R88" s="198">
        <v>15.1</v>
      </c>
      <c r="S88" s="198">
        <v>107</v>
      </c>
      <c r="T88" s="57">
        <f t="shared" si="4"/>
        <v>33</v>
      </c>
      <c r="U88" s="198">
        <v>537</v>
      </c>
      <c r="V88" s="58">
        <f t="shared" si="5"/>
        <v>3544.2000000000003</v>
      </c>
      <c r="W88" s="198">
        <v>1</v>
      </c>
      <c r="X88" s="55" t="s">
        <v>46</v>
      </c>
      <c r="Y88" s="55" t="s">
        <v>69</v>
      </c>
      <c r="Z88" s="55" t="s">
        <v>86</v>
      </c>
      <c r="AA88" s="55" t="s">
        <v>55</v>
      </c>
      <c r="AB88" s="39" t="s">
        <v>328</v>
      </c>
      <c r="AC88" s="55"/>
      <c r="AD88" s="55"/>
    </row>
    <row r="89" spans="1:30" x14ac:dyDescent="0.15">
      <c r="A89" s="55" t="s">
        <v>41</v>
      </c>
      <c r="B89" s="198" t="s">
        <v>325</v>
      </c>
      <c r="C89" s="139">
        <v>2018</v>
      </c>
      <c r="D89" s="56" t="s">
        <v>332</v>
      </c>
      <c r="E89" s="55" t="s">
        <v>282</v>
      </c>
      <c r="F89" s="198" t="s">
        <v>287</v>
      </c>
      <c r="G89" s="55" t="s">
        <v>42</v>
      </c>
      <c r="H89" s="55" t="s">
        <v>167</v>
      </c>
      <c r="I89" s="55" t="s">
        <v>155</v>
      </c>
      <c r="J89" s="55" t="s">
        <v>38</v>
      </c>
      <c r="K89" s="55" t="s">
        <v>156</v>
      </c>
      <c r="L89" s="198">
        <v>1</v>
      </c>
      <c r="N89" s="198">
        <v>1</v>
      </c>
      <c r="O89" s="198">
        <v>0.45</v>
      </c>
      <c r="P89" s="198">
        <v>0.4</v>
      </c>
      <c r="Q89" s="57">
        <f t="shared" si="3"/>
        <v>0.42500000000000004</v>
      </c>
      <c r="R89" s="198">
        <v>14.8</v>
      </c>
      <c r="S89" s="198">
        <v>134</v>
      </c>
      <c r="T89" s="57">
        <f t="shared" si="4"/>
        <v>25</v>
      </c>
      <c r="U89" s="198">
        <v>159</v>
      </c>
      <c r="V89" s="58">
        <f t="shared" si="5"/>
        <v>3975</v>
      </c>
      <c r="W89" s="198">
        <v>4</v>
      </c>
      <c r="X89" s="55" t="s">
        <v>46</v>
      </c>
      <c r="Y89" s="55" t="s">
        <v>69</v>
      </c>
      <c r="Z89" s="55" t="s">
        <v>86</v>
      </c>
      <c r="AA89" s="55" t="s">
        <v>55</v>
      </c>
      <c r="AB89" s="39" t="s">
        <v>328</v>
      </c>
      <c r="AC89" s="55"/>
      <c r="AD89" s="55"/>
    </row>
    <row r="90" spans="1:30" x14ac:dyDescent="0.15">
      <c r="A90" s="55" t="s">
        <v>41</v>
      </c>
      <c r="B90" s="198" t="s">
        <v>325</v>
      </c>
      <c r="C90" s="139">
        <v>2018</v>
      </c>
      <c r="D90" s="56" t="s">
        <v>332</v>
      </c>
      <c r="E90" s="55" t="s">
        <v>282</v>
      </c>
      <c r="F90" s="198" t="s">
        <v>287</v>
      </c>
      <c r="G90" s="55" t="s">
        <v>42</v>
      </c>
      <c r="H90" s="55" t="s">
        <v>167</v>
      </c>
      <c r="I90" s="55" t="s">
        <v>155</v>
      </c>
      <c r="J90" s="55" t="s">
        <v>38</v>
      </c>
      <c r="K90" s="55" t="s">
        <v>156</v>
      </c>
      <c r="L90" s="198">
        <v>2</v>
      </c>
      <c r="N90" s="198">
        <v>1</v>
      </c>
      <c r="O90" s="198">
        <v>0.6</v>
      </c>
      <c r="P90" s="198">
        <v>0.45</v>
      </c>
      <c r="Q90" s="57">
        <f t="shared" si="3"/>
        <v>0.52500000000000002</v>
      </c>
      <c r="R90" s="198">
        <v>17</v>
      </c>
      <c r="S90" s="198">
        <v>138</v>
      </c>
      <c r="T90" s="57">
        <f t="shared" si="4"/>
        <v>22</v>
      </c>
      <c r="U90" s="198">
        <v>159</v>
      </c>
      <c r="V90" s="58">
        <f t="shared" si="5"/>
        <v>3498</v>
      </c>
      <c r="W90" s="198">
        <v>4</v>
      </c>
      <c r="X90" s="55" t="s">
        <v>46</v>
      </c>
      <c r="Y90" s="55" t="s">
        <v>69</v>
      </c>
      <c r="Z90" s="55" t="s">
        <v>86</v>
      </c>
      <c r="AA90" s="55" t="s">
        <v>55</v>
      </c>
      <c r="AB90" s="39" t="s">
        <v>328</v>
      </c>
      <c r="AC90" s="55"/>
      <c r="AD90" s="55"/>
    </row>
    <row r="91" spans="1:30" x14ac:dyDescent="0.15">
      <c r="A91" s="55" t="s">
        <v>41</v>
      </c>
      <c r="B91" s="198" t="s">
        <v>325</v>
      </c>
      <c r="C91" s="139">
        <v>2018</v>
      </c>
      <c r="D91" s="56" t="s">
        <v>332</v>
      </c>
      <c r="E91" s="55" t="s">
        <v>282</v>
      </c>
      <c r="F91" s="198" t="s">
        <v>287</v>
      </c>
      <c r="G91" s="55" t="s">
        <v>42</v>
      </c>
      <c r="H91" s="55" t="s">
        <v>167</v>
      </c>
      <c r="I91" s="55" t="s">
        <v>155</v>
      </c>
      <c r="J91" s="55" t="s">
        <v>38</v>
      </c>
      <c r="K91" s="55" t="s">
        <v>156</v>
      </c>
      <c r="L91" s="198">
        <v>3</v>
      </c>
      <c r="N91" s="198">
        <v>1</v>
      </c>
      <c r="O91" s="198">
        <v>0.7</v>
      </c>
      <c r="P91" s="198">
        <v>0.6</v>
      </c>
      <c r="Q91" s="57">
        <f t="shared" si="3"/>
        <v>0.64999999999999991</v>
      </c>
      <c r="R91" s="198">
        <v>14.5</v>
      </c>
      <c r="S91" s="198">
        <v>128</v>
      </c>
      <c r="T91" s="57">
        <f t="shared" si="4"/>
        <v>27</v>
      </c>
      <c r="U91" s="198">
        <v>159</v>
      </c>
      <c r="V91" s="58">
        <f t="shared" si="5"/>
        <v>4293</v>
      </c>
      <c r="W91" s="198">
        <v>4</v>
      </c>
      <c r="X91" s="55" t="s">
        <v>46</v>
      </c>
      <c r="Y91" s="55" t="s">
        <v>69</v>
      </c>
      <c r="Z91" s="55" t="s">
        <v>86</v>
      </c>
      <c r="AA91" s="55" t="s">
        <v>55</v>
      </c>
      <c r="AB91" s="39" t="s">
        <v>328</v>
      </c>
      <c r="AC91" s="55"/>
      <c r="AD91" s="55"/>
    </row>
    <row r="92" spans="1:30" x14ac:dyDescent="0.15">
      <c r="A92" s="55" t="s">
        <v>41</v>
      </c>
      <c r="B92" s="198" t="s">
        <v>325</v>
      </c>
      <c r="C92" s="139">
        <v>2018</v>
      </c>
      <c r="D92" s="56" t="s">
        <v>332</v>
      </c>
      <c r="E92" s="55" t="s">
        <v>282</v>
      </c>
      <c r="F92" s="198" t="s">
        <v>287</v>
      </c>
      <c r="G92" s="55" t="s">
        <v>42</v>
      </c>
      <c r="H92" s="55" t="s">
        <v>167</v>
      </c>
      <c r="I92" s="55" t="s">
        <v>155</v>
      </c>
      <c r="J92" s="55" t="s">
        <v>38</v>
      </c>
      <c r="K92" s="55" t="s">
        <v>156</v>
      </c>
      <c r="L92" s="198">
        <v>1</v>
      </c>
      <c r="N92" s="198">
        <v>1</v>
      </c>
      <c r="O92" s="198">
        <v>0.45</v>
      </c>
      <c r="P92" s="198">
        <v>0.5</v>
      </c>
      <c r="Q92" s="57">
        <f t="shared" si="3"/>
        <v>0.47499999999999998</v>
      </c>
      <c r="R92" s="198">
        <v>15.9</v>
      </c>
      <c r="S92" s="198">
        <v>158</v>
      </c>
      <c r="T92" s="57">
        <f t="shared" si="4"/>
        <v>22</v>
      </c>
      <c r="U92" s="198">
        <v>213</v>
      </c>
      <c r="V92" s="58">
        <f t="shared" si="5"/>
        <v>4686</v>
      </c>
      <c r="W92" s="198">
        <v>2</v>
      </c>
      <c r="X92" s="55" t="s">
        <v>46</v>
      </c>
      <c r="Y92" s="55" t="s">
        <v>69</v>
      </c>
      <c r="Z92" s="55" t="s">
        <v>86</v>
      </c>
      <c r="AA92" s="55" t="s">
        <v>55</v>
      </c>
      <c r="AB92" s="39" t="s">
        <v>328</v>
      </c>
      <c r="AC92" s="55"/>
      <c r="AD92" s="55"/>
    </row>
    <row r="93" spans="1:30" x14ac:dyDescent="0.15">
      <c r="A93" s="55" t="s">
        <v>41</v>
      </c>
      <c r="B93" s="198" t="s">
        <v>325</v>
      </c>
      <c r="C93" s="139">
        <v>2018</v>
      </c>
      <c r="D93" s="56" t="s">
        <v>332</v>
      </c>
      <c r="E93" s="55" t="s">
        <v>282</v>
      </c>
      <c r="F93" s="198" t="s">
        <v>287</v>
      </c>
      <c r="G93" s="55" t="s">
        <v>42</v>
      </c>
      <c r="H93" s="55" t="s">
        <v>167</v>
      </c>
      <c r="I93" s="55" t="s">
        <v>155</v>
      </c>
      <c r="J93" s="55" t="s">
        <v>38</v>
      </c>
      <c r="K93" s="55" t="s">
        <v>156</v>
      </c>
      <c r="L93" s="198">
        <v>2</v>
      </c>
      <c r="N93" s="198">
        <v>1</v>
      </c>
      <c r="O93" s="198">
        <v>0.5</v>
      </c>
      <c r="P93" s="198">
        <v>0.55000000000000004</v>
      </c>
      <c r="Q93" s="57">
        <f t="shared" si="3"/>
        <v>0.52500000000000002</v>
      </c>
      <c r="R93" s="198">
        <v>13.7</v>
      </c>
      <c r="S93" s="198">
        <v>161</v>
      </c>
      <c r="T93" s="57">
        <f t="shared" si="4"/>
        <v>22</v>
      </c>
      <c r="U93" s="198">
        <v>213</v>
      </c>
      <c r="V93" s="58">
        <f t="shared" si="5"/>
        <v>4686</v>
      </c>
      <c r="W93" s="198">
        <v>2</v>
      </c>
      <c r="X93" s="55" t="s">
        <v>46</v>
      </c>
      <c r="Y93" s="55" t="s">
        <v>69</v>
      </c>
      <c r="Z93" s="55" t="s">
        <v>86</v>
      </c>
      <c r="AA93" s="55" t="s">
        <v>55</v>
      </c>
      <c r="AB93" s="39" t="s">
        <v>328</v>
      </c>
      <c r="AC93" s="55"/>
      <c r="AD93" s="55"/>
    </row>
    <row r="94" spans="1:30" x14ac:dyDescent="0.15">
      <c r="A94" s="55" t="s">
        <v>41</v>
      </c>
      <c r="B94" s="198" t="s">
        <v>325</v>
      </c>
      <c r="C94" s="139">
        <v>2018</v>
      </c>
      <c r="D94" s="56" t="s">
        <v>332</v>
      </c>
      <c r="E94" s="55" t="s">
        <v>282</v>
      </c>
      <c r="F94" s="198" t="s">
        <v>287</v>
      </c>
      <c r="G94" s="55" t="s">
        <v>42</v>
      </c>
      <c r="H94" s="55" t="s">
        <v>167</v>
      </c>
      <c r="I94" s="55" t="s">
        <v>155</v>
      </c>
      <c r="J94" s="55" t="s">
        <v>38</v>
      </c>
      <c r="K94" s="55" t="s">
        <v>156</v>
      </c>
      <c r="L94" s="198">
        <v>3</v>
      </c>
      <c r="N94" s="198">
        <v>1</v>
      </c>
      <c r="O94" s="198">
        <v>0.5</v>
      </c>
      <c r="P94" s="198">
        <v>0.65</v>
      </c>
      <c r="Q94" s="57">
        <f t="shared" si="3"/>
        <v>0.57499999999999996</v>
      </c>
      <c r="R94" s="198">
        <v>14.9</v>
      </c>
      <c r="S94" s="198">
        <v>154</v>
      </c>
      <c r="T94" s="57">
        <f t="shared" si="4"/>
        <v>22</v>
      </c>
      <c r="U94" s="198">
        <v>213</v>
      </c>
      <c r="V94" s="58">
        <f t="shared" si="5"/>
        <v>4686</v>
      </c>
      <c r="W94" s="198">
        <v>2</v>
      </c>
      <c r="X94" s="55" t="s">
        <v>46</v>
      </c>
      <c r="Y94" s="55" t="s">
        <v>69</v>
      </c>
      <c r="Z94" s="55" t="s">
        <v>86</v>
      </c>
      <c r="AA94" s="55" t="s">
        <v>55</v>
      </c>
      <c r="AB94" s="39" t="s">
        <v>328</v>
      </c>
      <c r="AC94" s="55"/>
      <c r="AD94" s="55"/>
    </row>
    <row r="95" spans="1:30" x14ac:dyDescent="0.15">
      <c r="A95" s="55" t="s">
        <v>41</v>
      </c>
      <c r="B95" s="198" t="s">
        <v>325</v>
      </c>
      <c r="C95" s="139">
        <v>2018</v>
      </c>
      <c r="D95" s="56" t="s">
        <v>332</v>
      </c>
      <c r="E95" s="55" t="s">
        <v>282</v>
      </c>
      <c r="F95" s="198" t="s">
        <v>287</v>
      </c>
      <c r="G95" s="55" t="s">
        <v>42</v>
      </c>
      <c r="H95" s="55" t="s">
        <v>167</v>
      </c>
      <c r="I95" s="55" t="s">
        <v>155</v>
      </c>
      <c r="J95" s="55" t="s">
        <v>38</v>
      </c>
      <c r="K95" s="55" t="s">
        <v>156</v>
      </c>
      <c r="L95" s="198">
        <v>1</v>
      </c>
      <c r="N95" s="198">
        <v>3</v>
      </c>
      <c r="O95" s="198">
        <v>0.85</v>
      </c>
      <c r="P95" s="198">
        <v>0.8</v>
      </c>
      <c r="Q95" s="57">
        <f t="shared" si="3"/>
        <v>0.82499999999999996</v>
      </c>
      <c r="R95" s="198">
        <v>14.5</v>
      </c>
      <c r="S95" s="198">
        <v>129</v>
      </c>
      <c r="T95" s="57">
        <f t="shared" si="4"/>
        <v>25</v>
      </c>
      <c r="U95" s="198">
        <v>626</v>
      </c>
      <c r="V95" s="58">
        <f t="shared" si="5"/>
        <v>5216.6666666666661</v>
      </c>
      <c r="W95" s="198">
        <v>2</v>
      </c>
      <c r="X95" s="55" t="s">
        <v>46</v>
      </c>
      <c r="Y95" s="55" t="s">
        <v>69</v>
      </c>
      <c r="Z95" s="55" t="s">
        <v>86</v>
      </c>
      <c r="AA95" s="55" t="s">
        <v>55</v>
      </c>
      <c r="AB95" s="39" t="s">
        <v>328</v>
      </c>
      <c r="AC95" s="55"/>
      <c r="AD95" s="55"/>
    </row>
    <row r="96" spans="1:30" x14ac:dyDescent="0.15">
      <c r="A96" s="55" t="s">
        <v>41</v>
      </c>
      <c r="B96" s="198" t="s">
        <v>325</v>
      </c>
      <c r="C96" s="139">
        <v>2018</v>
      </c>
      <c r="D96" s="56" t="s">
        <v>332</v>
      </c>
      <c r="E96" s="55" t="s">
        <v>282</v>
      </c>
      <c r="F96" s="198" t="s">
        <v>287</v>
      </c>
      <c r="G96" s="55" t="s">
        <v>42</v>
      </c>
      <c r="H96" s="55" t="s">
        <v>167</v>
      </c>
      <c r="I96" s="55" t="s">
        <v>155</v>
      </c>
      <c r="J96" s="55" t="s">
        <v>38</v>
      </c>
      <c r="K96" s="55" t="s">
        <v>156</v>
      </c>
      <c r="L96" s="198">
        <v>2</v>
      </c>
      <c r="N96" s="198">
        <v>3</v>
      </c>
      <c r="O96" s="198">
        <v>0.7</v>
      </c>
      <c r="P96" s="198">
        <v>0.85</v>
      </c>
      <c r="Q96" s="57">
        <f t="shared" si="3"/>
        <v>0.77499999999999991</v>
      </c>
      <c r="R96" s="198">
        <v>13.8</v>
      </c>
      <c r="S96" s="198">
        <v>134</v>
      </c>
      <c r="T96" s="57">
        <f t="shared" si="4"/>
        <v>25</v>
      </c>
      <c r="U96" s="198">
        <v>626</v>
      </c>
      <c r="V96" s="58">
        <f t="shared" si="5"/>
        <v>5216.6666666666661</v>
      </c>
      <c r="W96" s="198">
        <v>2</v>
      </c>
      <c r="X96" s="55" t="s">
        <v>46</v>
      </c>
      <c r="Y96" s="55" t="s">
        <v>69</v>
      </c>
      <c r="Z96" s="55" t="s">
        <v>86</v>
      </c>
      <c r="AA96" s="55" t="s">
        <v>55</v>
      </c>
      <c r="AB96" s="39" t="s">
        <v>328</v>
      </c>
      <c r="AC96" s="55"/>
      <c r="AD96" s="55"/>
    </row>
    <row r="97" spans="1:30" x14ac:dyDescent="0.15">
      <c r="A97" s="55" t="s">
        <v>41</v>
      </c>
      <c r="B97" s="198" t="s">
        <v>325</v>
      </c>
      <c r="C97" s="139">
        <v>2018</v>
      </c>
      <c r="D97" s="56" t="s">
        <v>332</v>
      </c>
      <c r="E97" s="55" t="s">
        <v>282</v>
      </c>
      <c r="F97" s="198" t="s">
        <v>287</v>
      </c>
      <c r="G97" s="55" t="s">
        <v>42</v>
      </c>
      <c r="H97" s="55" t="s">
        <v>167</v>
      </c>
      <c r="I97" s="55" t="s">
        <v>155</v>
      </c>
      <c r="J97" s="55" t="s">
        <v>38</v>
      </c>
      <c r="K97" s="55" t="s">
        <v>156</v>
      </c>
      <c r="L97" s="198">
        <v>3</v>
      </c>
      <c r="N97" s="198">
        <v>3</v>
      </c>
      <c r="O97" s="198">
        <v>0.65</v>
      </c>
      <c r="P97" s="198">
        <v>0.73</v>
      </c>
      <c r="Q97" s="57">
        <f t="shared" si="3"/>
        <v>0.69</v>
      </c>
      <c r="R97" s="198">
        <v>17</v>
      </c>
      <c r="S97" s="198">
        <v>137</v>
      </c>
      <c r="T97" s="57">
        <f t="shared" si="4"/>
        <v>25</v>
      </c>
      <c r="U97" s="198">
        <v>626</v>
      </c>
      <c r="V97" s="58">
        <f t="shared" si="5"/>
        <v>5216.6666666666661</v>
      </c>
      <c r="W97" s="198">
        <v>2</v>
      </c>
      <c r="X97" s="55" t="s">
        <v>46</v>
      </c>
      <c r="Y97" s="55" t="s">
        <v>69</v>
      </c>
      <c r="Z97" s="55" t="s">
        <v>86</v>
      </c>
      <c r="AA97" s="55" t="s">
        <v>55</v>
      </c>
      <c r="AB97" s="39" t="s">
        <v>328</v>
      </c>
      <c r="AC97" s="55"/>
      <c r="AD97" s="55"/>
    </row>
    <row r="98" spans="1:30" x14ac:dyDescent="0.15">
      <c r="A98" s="55" t="s">
        <v>41</v>
      </c>
      <c r="B98" s="198" t="s">
        <v>325</v>
      </c>
      <c r="C98" s="139">
        <v>2018</v>
      </c>
      <c r="D98" s="56" t="s">
        <v>332</v>
      </c>
      <c r="E98" s="55" t="s">
        <v>282</v>
      </c>
      <c r="F98" s="198" t="s">
        <v>288</v>
      </c>
      <c r="G98" s="55" t="s">
        <v>42</v>
      </c>
      <c r="H98" s="55" t="s">
        <v>157</v>
      </c>
      <c r="I98" s="55" t="s">
        <v>155</v>
      </c>
      <c r="J98" s="55" t="s">
        <v>38</v>
      </c>
      <c r="K98" s="55" t="s">
        <v>156</v>
      </c>
      <c r="L98" s="198">
        <v>1</v>
      </c>
      <c r="N98" s="198">
        <v>1</v>
      </c>
      <c r="O98" s="198">
        <v>0.65</v>
      </c>
      <c r="P98" s="198">
        <v>0.6</v>
      </c>
      <c r="Q98" s="57">
        <f t="shared" si="3"/>
        <v>0.625</v>
      </c>
      <c r="R98" s="198">
        <v>13.4</v>
      </c>
      <c r="S98" s="198">
        <v>135</v>
      </c>
      <c r="T98" s="57">
        <f t="shared" si="4"/>
        <v>25</v>
      </c>
      <c r="U98" s="198">
        <v>159</v>
      </c>
      <c r="V98" s="58">
        <f t="shared" si="5"/>
        <v>3975</v>
      </c>
      <c r="W98" s="198">
        <v>3</v>
      </c>
      <c r="X98" s="55" t="s">
        <v>46</v>
      </c>
      <c r="Y98" s="55" t="s">
        <v>69</v>
      </c>
      <c r="Z98" s="55" t="s">
        <v>97</v>
      </c>
      <c r="AA98" s="55" t="s">
        <v>86</v>
      </c>
      <c r="AB98" s="39" t="s">
        <v>328</v>
      </c>
      <c r="AC98" s="55"/>
      <c r="AD98" s="55"/>
    </row>
    <row r="99" spans="1:30" x14ac:dyDescent="0.15">
      <c r="A99" s="55" t="s">
        <v>41</v>
      </c>
      <c r="B99" s="198" t="s">
        <v>325</v>
      </c>
      <c r="C99" s="139">
        <v>2018</v>
      </c>
      <c r="D99" s="56" t="s">
        <v>332</v>
      </c>
      <c r="E99" s="55" t="s">
        <v>282</v>
      </c>
      <c r="F99" s="198" t="s">
        <v>288</v>
      </c>
      <c r="G99" s="55" t="s">
        <v>42</v>
      </c>
      <c r="H99" s="55" t="s">
        <v>157</v>
      </c>
      <c r="I99" s="55" t="s">
        <v>155</v>
      </c>
      <c r="J99" s="55" t="s">
        <v>38</v>
      </c>
      <c r="K99" s="55" t="s">
        <v>156</v>
      </c>
      <c r="L99" s="198">
        <v>2</v>
      </c>
      <c r="N99" s="198">
        <v>1</v>
      </c>
      <c r="O99" s="198">
        <v>0.4</v>
      </c>
      <c r="P99" s="198">
        <v>0.5</v>
      </c>
      <c r="Q99" s="57">
        <f t="shared" si="3"/>
        <v>0.45</v>
      </c>
      <c r="R99" s="198">
        <v>13.7</v>
      </c>
      <c r="S99" s="198">
        <v>124</v>
      </c>
      <c r="T99" s="57">
        <f t="shared" si="4"/>
        <v>27</v>
      </c>
      <c r="U99" s="198">
        <v>159</v>
      </c>
      <c r="V99" s="58">
        <f t="shared" si="5"/>
        <v>4293</v>
      </c>
      <c r="W99" s="198">
        <v>3</v>
      </c>
      <c r="X99" s="55" t="s">
        <v>46</v>
      </c>
      <c r="Y99" s="55" t="s">
        <v>69</v>
      </c>
      <c r="Z99" s="55" t="s">
        <v>97</v>
      </c>
      <c r="AA99" s="55" t="s">
        <v>86</v>
      </c>
      <c r="AB99" s="39" t="s">
        <v>328</v>
      </c>
      <c r="AC99" s="55"/>
      <c r="AD99" s="55"/>
    </row>
    <row r="100" spans="1:30" x14ac:dyDescent="0.15">
      <c r="A100" s="55" t="s">
        <v>41</v>
      </c>
      <c r="B100" s="198" t="s">
        <v>325</v>
      </c>
      <c r="C100" s="139">
        <v>2018</v>
      </c>
      <c r="D100" s="56" t="s">
        <v>332</v>
      </c>
      <c r="E100" s="55" t="s">
        <v>282</v>
      </c>
      <c r="F100" s="198" t="s">
        <v>288</v>
      </c>
      <c r="G100" s="55" t="s">
        <v>42</v>
      </c>
      <c r="H100" s="55" t="s">
        <v>157</v>
      </c>
      <c r="I100" s="55" t="s">
        <v>155</v>
      </c>
      <c r="J100" s="55" t="s">
        <v>38</v>
      </c>
      <c r="K100" s="55" t="s">
        <v>156</v>
      </c>
      <c r="L100" s="198">
        <v>3</v>
      </c>
      <c r="N100" s="198">
        <v>1</v>
      </c>
      <c r="O100" s="198">
        <v>0.95</v>
      </c>
      <c r="P100" s="198">
        <v>0.8</v>
      </c>
      <c r="Q100" s="57">
        <f t="shared" si="3"/>
        <v>0.875</v>
      </c>
      <c r="R100" s="198">
        <v>13.1</v>
      </c>
      <c r="S100" s="198">
        <v>127</v>
      </c>
      <c r="T100" s="57">
        <f t="shared" si="4"/>
        <v>27</v>
      </c>
      <c r="U100" s="198">
        <v>159</v>
      </c>
      <c r="V100" s="58">
        <f t="shared" si="5"/>
        <v>4293</v>
      </c>
      <c r="W100" s="198">
        <v>3</v>
      </c>
      <c r="X100" s="55" t="s">
        <v>46</v>
      </c>
      <c r="Y100" s="55" t="s">
        <v>69</v>
      </c>
      <c r="Z100" s="55" t="s">
        <v>97</v>
      </c>
      <c r="AA100" s="55" t="s">
        <v>86</v>
      </c>
      <c r="AB100" s="39" t="s">
        <v>328</v>
      </c>
      <c r="AC100" s="55"/>
      <c r="AD100" s="55"/>
    </row>
    <row r="101" spans="1:30" x14ac:dyDescent="0.15">
      <c r="A101" s="55" t="s">
        <v>41</v>
      </c>
      <c r="B101" s="198" t="s">
        <v>325</v>
      </c>
      <c r="C101" s="139">
        <v>2018</v>
      </c>
      <c r="D101" s="56" t="s">
        <v>332</v>
      </c>
      <c r="E101" s="55" t="s">
        <v>282</v>
      </c>
      <c r="F101" s="198" t="s">
        <v>288</v>
      </c>
      <c r="G101" s="55" t="s">
        <v>42</v>
      </c>
      <c r="H101" s="55" t="s">
        <v>167</v>
      </c>
      <c r="I101" s="55" t="s">
        <v>155</v>
      </c>
      <c r="J101" s="55" t="s">
        <v>38</v>
      </c>
      <c r="K101" s="55" t="s">
        <v>156</v>
      </c>
      <c r="L101" s="198">
        <v>1</v>
      </c>
      <c r="N101" s="55">
        <v>1</v>
      </c>
      <c r="O101" s="198">
        <v>0.65</v>
      </c>
      <c r="P101" s="198">
        <v>0.6</v>
      </c>
      <c r="Q101" s="57">
        <f t="shared" si="3"/>
        <v>0.625</v>
      </c>
      <c r="R101" s="198">
        <v>14.2</v>
      </c>
      <c r="S101" s="198">
        <v>140</v>
      </c>
      <c r="T101" s="57">
        <f t="shared" si="4"/>
        <v>22</v>
      </c>
      <c r="U101" s="198">
        <v>159</v>
      </c>
      <c r="V101" s="58">
        <f t="shared" si="5"/>
        <v>3498</v>
      </c>
      <c r="W101" s="198">
        <v>5</v>
      </c>
      <c r="X101" s="55" t="s">
        <v>46</v>
      </c>
      <c r="Y101" s="55" t="s">
        <v>69</v>
      </c>
      <c r="Z101" s="55" t="s">
        <v>97</v>
      </c>
      <c r="AA101" s="55" t="s">
        <v>86</v>
      </c>
      <c r="AB101" s="39" t="s">
        <v>328</v>
      </c>
    </row>
    <row r="102" spans="1:30" x14ac:dyDescent="0.15">
      <c r="A102" s="55" t="s">
        <v>41</v>
      </c>
      <c r="B102" s="198" t="s">
        <v>325</v>
      </c>
      <c r="C102" s="139">
        <v>2018</v>
      </c>
      <c r="D102" s="56" t="s">
        <v>332</v>
      </c>
      <c r="E102" s="55" t="s">
        <v>282</v>
      </c>
      <c r="F102" s="198" t="s">
        <v>288</v>
      </c>
      <c r="G102" s="55" t="s">
        <v>42</v>
      </c>
      <c r="H102" s="55" t="s">
        <v>167</v>
      </c>
      <c r="I102" s="55" t="s">
        <v>155</v>
      </c>
      <c r="J102" s="55" t="s">
        <v>38</v>
      </c>
      <c r="K102" s="55" t="s">
        <v>156</v>
      </c>
      <c r="L102" s="198">
        <v>2</v>
      </c>
      <c r="N102" s="55">
        <v>1</v>
      </c>
      <c r="O102" s="198">
        <v>0.6</v>
      </c>
      <c r="P102" s="198">
        <v>0.65</v>
      </c>
      <c r="Q102" s="57">
        <f t="shared" si="3"/>
        <v>0.625</v>
      </c>
      <c r="R102" s="198">
        <v>14.3</v>
      </c>
      <c r="S102" s="198">
        <v>128</v>
      </c>
      <c r="T102" s="57">
        <f t="shared" si="4"/>
        <v>27</v>
      </c>
      <c r="U102" s="198">
        <v>159</v>
      </c>
      <c r="V102" s="58">
        <f t="shared" si="5"/>
        <v>4293</v>
      </c>
      <c r="W102" s="198">
        <v>5</v>
      </c>
      <c r="X102" s="55" t="s">
        <v>46</v>
      </c>
      <c r="Y102" s="55" t="s">
        <v>69</v>
      </c>
      <c r="Z102" s="55" t="s">
        <v>97</v>
      </c>
      <c r="AA102" s="55" t="s">
        <v>86</v>
      </c>
      <c r="AB102" s="39" t="s">
        <v>328</v>
      </c>
    </row>
    <row r="103" spans="1:30" x14ac:dyDescent="0.15">
      <c r="A103" s="55" t="s">
        <v>41</v>
      </c>
      <c r="B103" s="198" t="s">
        <v>325</v>
      </c>
      <c r="C103" s="139">
        <v>2018</v>
      </c>
      <c r="D103" s="56" t="s">
        <v>332</v>
      </c>
      <c r="E103" s="55" t="s">
        <v>282</v>
      </c>
      <c r="F103" s="198" t="s">
        <v>288</v>
      </c>
      <c r="G103" s="55" t="s">
        <v>42</v>
      </c>
      <c r="H103" s="55" t="s">
        <v>167</v>
      </c>
      <c r="I103" s="55" t="s">
        <v>155</v>
      </c>
      <c r="J103" s="55" t="s">
        <v>38</v>
      </c>
      <c r="K103" s="55" t="s">
        <v>156</v>
      </c>
      <c r="L103" s="198">
        <v>3</v>
      </c>
      <c r="N103" s="198">
        <v>1</v>
      </c>
      <c r="O103" s="198">
        <v>0.5</v>
      </c>
      <c r="P103" s="198">
        <v>0.6</v>
      </c>
      <c r="Q103" s="57">
        <f t="shared" si="3"/>
        <v>0.55000000000000004</v>
      </c>
      <c r="R103" s="198">
        <v>14.9</v>
      </c>
      <c r="S103" s="198">
        <v>131</v>
      </c>
      <c r="T103" s="57">
        <f t="shared" si="4"/>
        <v>25</v>
      </c>
      <c r="U103" s="198">
        <v>159</v>
      </c>
      <c r="V103" s="58">
        <f t="shared" si="5"/>
        <v>3975</v>
      </c>
      <c r="W103" s="198">
        <v>5</v>
      </c>
      <c r="X103" s="55" t="s">
        <v>46</v>
      </c>
      <c r="Y103" s="55" t="s">
        <v>69</v>
      </c>
      <c r="Z103" s="55" t="s">
        <v>97</v>
      </c>
      <c r="AA103" s="55" t="s">
        <v>86</v>
      </c>
      <c r="AB103" s="39" t="s">
        <v>328</v>
      </c>
    </row>
    <row r="104" spans="1:30" x14ac:dyDescent="0.15">
      <c r="A104" s="55" t="s">
        <v>41</v>
      </c>
      <c r="B104" s="198" t="s">
        <v>325</v>
      </c>
      <c r="C104" s="139">
        <v>2018</v>
      </c>
      <c r="D104" s="56" t="s">
        <v>332</v>
      </c>
      <c r="E104" s="55" t="s">
        <v>282</v>
      </c>
      <c r="F104" s="198" t="s">
        <v>288</v>
      </c>
      <c r="G104" s="55" t="s">
        <v>42</v>
      </c>
      <c r="H104" s="55" t="s">
        <v>167</v>
      </c>
      <c r="I104" s="55" t="s">
        <v>155</v>
      </c>
      <c r="J104" s="55" t="s">
        <v>38</v>
      </c>
      <c r="K104" s="55" t="s">
        <v>156</v>
      </c>
      <c r="L104" s="198">
        <v>1</v>
      </c>
      <c r="N104" s="55">
        <v>3</v>
      </c>
      <c r="O104" s="198">
        <v>0.8</v>
      </c>
      <c r="P104" s="198">
        <v>0.75</v>
      </c>
      <c r="Q104" s="57">
        <f t="shared" si="3"/>
        <v>0.77500000000000002</v>
      </c>
      <c r="R104" s="198">
        <v>14.8</v>
      </c>
      <c r="S104" s="198">
        <v>154</v>
      </c>
      <c r="T104" s="57">
        <f t="shared" si="4"/>
        <v>22</v>
      </c>
      <c r="U104" s="198">
        <v>537</v>
      </c>
      <c r="V104" s="58">
        <f t="shared" si="5"/>
        <v>3938</v>
      </c>
      <c r="W104" s="198">
        <v>1</v>
      </c>
      <c r="X104" s="55" t="s">
        <v>46</v>
      </c>
      <c r="Y104" s="55" t="s">
        <v>69</v>
      </c>
      <c r="Z104" s="55" t="s">
        <v>97</v>
      </c>
      <c r="AA104" s="55" t="s">
        <v>86</v>
      </c>
      <c r="AB104" s="39" t="s">
        <v>328</v>
      </c>
    </row>
    <row r="105" spans="1:30" x14ac:dyDescent="0.15">
      <c r="A105" s="55" t="s">
        <v>41</v>
      </c>
      <c r="B105" s="198" t="s">
        <v>325</v>
      </c>
      <c r="C105" s="139">
        <v>2018</v>
      </c>
      <c r="D105" s="56" t="s">
        <v>332</v>
      </c>
      <c r="E105" s="55" t="s">
        <v>282</v>
      </c>
      <c r="F105" s="198" t="s">
        <v>288</v>
      </c>
      <c r="G105" s="55" t="s">
        <v>42</v>
      </c>
      <c r="H105" s="55" t="s">
        <v>167</v>
      </c>
      <c r="I105" s="55" t="s">
        <v>155</v>
      </c>
      <c r="J105" s="55" t="s">
        <v>38</v>
      </c>
      <c r="K105" s="55" t="s">
        <v>156</v>
      </c>
      <c r="L105" s="198">
        <v>2</v>
      </c>
      <c r="N105" s="55">
        <v>3</v>
      </c>
      <c r="O105" s="198">
        <v>0.65</v>
      </c>
      <c r="P105" s="198">
        <v>0.5</v>
      </c>
      <c r="Q105" s="57">
        <f t="shared" si="3"/>
        <v>0.57499999999999996</v>
      </c>
      <c r="R105" s="198">
        <v>14.1</v>
      </c>
      <c r="S105" s="198">
        <v>140</v>
      </c>
      <c r="T105" s="57">
        <f t="shared" si="4"/>
        <v>22</v>
      </c>
      <c r="U105" s="198">
        <v>537</v>
      </c>
      <c r="V105" s="58">
        <f t="shared" si="5"/>
        <v>3938</v>
      </c>
      <c r="W105" s="198">
        <v>1</v>
      </c>
      <c r="X105" s="55" t="s">
        <v>46</v>
      </c>
      <c r="Y105" s="55" t="s">
        <v>69</v>
      </c>
      <c r="Z105" s="55" t="s">
        <v>97</v>
      </c>
      <c r="AA105" s="55" t="s">
        <v>86</v>
      </c>
      <c r="AB105" s="39" t="s">
        <v>328</v>
      </c>
    </row>
    <row r="106" spans="1:30" x14ac:dyDescent="0.15">
      <c r="A106" s="55" t="s">
        <v>41</v>
      </c>
      <c r="B106" s="198" t="s">
        <v>325</v>
      </c>
      <c r="C106" s="139">
        <v>2018</v>
      </c>
      <c r="D106" s="56" t="s">
        <v>332</v>
      </c>
      <c r="E106" s="55" t="s">
        <v>282</v>
      </c>
      <c r="F106" s="198" t="s">
        <v>288</v>
      </c>
      <c r="G106" s="55" t="s">
        <v>42</v>
      </c>
      <c r="H106" s="55" t="s">
        <v>167</v>
      </c>
      <c r="I106" s="55" t="s">
        <v>155</v>
      </c>
      <c r="J106" s="55" t="s">
        <v>38</v>
      </c>
      <c r="K106" s="55" t="s">
        <v>156</v>
      </c>
      <c r="L106" s="198">
        <v>3</v>
      </c>
      <c r="N106" s="198">
        <v>3</v>
      </c>
      <c r="O106" s="198">
        <v>0.4</v>
      </c>
      <c r="P106" s="198">
        <v>0.6</v>
      </c>
      <c r="Q106" s="57">
        <f t="shared" si="3"/>
        <v>0.5</v>
      </c>
      <c r="R106" s="198">
        <v>13.9</v>
      </c>
      <c r="S106" s="198">
        <v>138</v>
      </c>
      <c r="T106" s="57">
        <f t="shared" si="4"/>
        <v>22</v>
      </c>
      <c r="U106" s="198">
        <v>537</v>
      </c>
      <c r="V106" s="58">
        <f t="shared" si="5"/>
        <v>3938</v>
      </c>
      <c r="W106" s="198">
        <v>1</v>
      </c>
      <c r="X106" s="55" t="s">
        <v>46</v>
      </c>
      <c r="Y106" s="55" t="s">
        <v>69</v>
      </c>
      <c r="Z106" s="55" t="s">
        <v>97</v>
      </c>
      <c r="AA106" s="55" t="s">
        <v>86</v>
      </c>
      <c r="AB106" s="39" t="s">
        <v>328</v>
      </c>
    </row>
    <row r="107" spans="1:30" x14ac:dyDescent="0.15">
      <c r="A107" s="55" t="s">
        <v>41</v>
      </c>
      <c r="B107" s="198" t="s">
        <v>325</v>
      </c>
      <c r="C107" s="139">
        <v>2018</v>
      </c>
      <c r="D107" s="56" t="s">
        <v>332</v>
      </c>
      <c r="E107" s="198" t="s">
        <v>283</v>
      </c>
      <c r="F107" s="198" t="s">
        <v>289</v>
      </c>
      <c r="G107" s="55" t="s">
        <v>42</v>
      </c>
      <c r="H107" s="55" t="s">
        <v>157</v>
      </c>
      <c r="I107" s="55" t="s">
        <v>155</v>
      </c>
      <c r="J107" s="55" t="s">
        <v>38</v>
      </c>
      <c r="K107" s="55" t="s">
        <v>156</v>
      </c>
      <c r="L107" s="198">
        <v>1</v>
      </c>
      <c r="N107" s="198">
        <v>1</v>
      </c>
      <c r="O107" s="198">
        <v>0.95</v>
      </c>
      <c r="P107" s="198">
        <v>1</v>
      </c>
      <c r="Q107" s="57">
        <f t="shared" si="3"/>
        <v>0.97499999999999998</v>
      </c>
      <c r="R107" s="198">
        <v>13.1</v>
      </c>
      <c r="S107" s="198">
        <v>119</v>
      </c>
      <c r="T107" s="57">
        <f t="shared" si="4"/>
        <v>30</v>
      </c>
      <c r="U107" s="198">
        <v>105</v>
      </c>
      <c r="V107" s="58">
        <f t="shared" si="5"/>
        <v>3150</v>
      </c>
      <c r="W107" s="198">
        <v>3</v>
      </c>
      <c r="X107" s="55" t="s">
        <v>46</v>
      </c>
      <c r="Y107" s="55" t="s">
        <v>69</v>
      </c>
      <c r="Z107" s="55" t="s">
        <v>97</v>
      </c>
      <c r="AA107" s="55" t="s">
        <v>55</v>
      </c>
      <c r="AB107" s="39" t="s">
        <v>328</v>
      </c>
    </row>
    <row r="108" spans="1:30" x14ac:dyDescent="0.15">
      <c r="A108" s="55" t="s">
        <v>41</v>
      </c>
      <c r="B108" s="198" t="s">
        <v>325</v>
      </c>
      <c r="C108" s="139">
        <v>2018</v>
      </c>
      <c r="D108" s="56" t="s">
        <v>332</v>
      </c>
      <c r="E108" s="198" t="s">
        <v>283</v>
      </c>
      <c r="F108" s="198" t="s">
        <v>289</v>
      </c>
      <c r="G108" s="55" t="s">
        <v>42</v>
      </c>
      <c r="H108" s="55" t="s">
        <v>157</v>
      </c>
      <c r="I108" s="55" t="s">
        <v>155</v>
      </c>
      <c r="J108" s="55" t="s">
        <v>38</v>
      </c>
      <c r="K108" s="55" t="s">
        <v>156</v>
      </c>
      <c r="L108" s="198">
        <v>2</v>
      </c>
      <c r="N108" s="198">
        <v>1</v>
      </c>
      <c r="O108" s="198">
        <v>1</v>
      </c>
      <c r="P108" s="198">
        <v>0.85</v>
      </c>
      <c r="Q108" s="57">
        <f t="shared" si="3"/>
        <v>0.92500000000000004</v>
      </c>
      <c r="R108" s="198">
        <v>15</v>
      </c>
      <c r="S108" s="198">
        <v>120</v>
      </c>
      <c r="T108" s="57">
        <f t="shared" si="4"/>
        <v>30</v>
      </c>
      <c r="U108" s="198">
        <v>105</v>
      </c>
      <c r="V108" s="58">
        <f t="shared" si="5"/>
        <v>3150</v>
      </c>
      <c r="W108" s="198">
        <v>3</v>
      </c>
      <c r="X108" s="55" t="s">
        <v>46</v>
      </c>
      <c r="Y108" s="55" t="s">
        <v>69</v>
      </c>
      <c r="Z108" s="55" t="s">
        <v>97</v>
      </c>
      <c r="AA108" s="55" t="s">
        <v>55</v>
      </c>
      <c r="AB108" s="39" t="s">
        <v>328</v>
      </c>
    </row>
    <row r="109" spans="1:30" x14ac:dyDescent="0.15">
      <c r="A109" s="55" t="s">
        <v>41</v>
      </c>
      <c r="B109" s="198" t="s">
        <v>325</v>
      </c>
      <c r="C109" s="139">
        <v>2018</v>
      </c>
      <c r="D109" s="56" t="s">
        <v>332</v>
      </c>
      <c r="E109" s="198" t="s">
        <v>283</v>
      </c>
      <c r="F109" s="198" t="s">
        <v>289</v>
      </c>
      <c r="G109" s="55" t="s">
        <v>42</v>
      </c>
      <c r="H109" s="55" t="s">
        <v>157</v>
      </c>
      <c r="I109" s="55" t="s">
        <v>155</v>
      </c>
      <c r="J109" s="55" t="s">
        <v>38</v>
      </c>
      <c r="K109" s="55" t="s">
        <v>156</v>
      </c>
      <c r="L109" s="198">
        <v>3</v>
      </c>
      <c r="N109" s="198">
        <v>1</v>
      </c>
      <c r="O109" s="198">
        <v>0.8</v>
      </c>
      <c r="P109" s="198">
        <v>1</v>
      </c>
      <c r="Q109" s="57">
        <f t="shared" si="3"/>
        <v>0.9</v>
      </c>
      <c r="R109" s="198">
        <v>13.6</v>
      </c>
      <c r="S109" s="198">
        <v>114</v>
      </c>
      <c r="T109" s="57">
        <f t="shared" si="4"/>
        <v>30</v>
      </c>
      <c r="U109" s="198">
        <v>105</v>
      </c>
      <c r="V109" s="58">
        <f t="shared" si="5"/>
        <v>3150</v>
      </c>
      <c r="W109" s="198">
        <v>3</v>
      </c>
      <c r="X109" s="55" t="s">
        <v>46</v>
      </c>
      <c r="Y109" s="55" t="s">
        <v>69</v>
      </c>
      <c r="Z109" s="55" t="s">
        <v>97</v>
      </c>
      <c r="AA109" s="55" t="s">
        <v>55</v>
      </c>
      <c r="AB109" s="39" t="s">
        <v>328</v>
      </c>
    </row>
    <row r="110" spans="1:30" x14ac:dyDescent="0.15">
      <c r="A110" s="55" t="s">
        <v>41</v>
      </c>
      <c r="B110" s="198" t="s">
        <v>325</v>
      </c>
      <c r="C110" s="139">
        <v>2018</v>
      </c>
      <c r="D110" s="56" t="s">
        <v>332</v>
      </c>
      <c r="E110" s="198" t="s">
        <v>283</v>
      </c>
      <c r="F110" s="198" t="s">
        <v>289</v>
      </c>
      <c r="G110" s="55" t="s">
        <v>42</v>
      </c>
      <c r="H110" s="55" t="s">
        <v>157</v>
      </c>
      <c r="I110" s="55" t="s">
        <v>155</v>
      </c>
      <c r="J110" s="55" t="s">
        <v>38</v>
      </c>
      <c r="K110" s="55" t="s">
        <v>156</v>
      </c>
      <c r="L110" s="198">
        <v>1</v>
      </c>
      <c r="N110" s="198">
        <v>4</v>
      </c>
      <c r="O110" s="198">
        <v>0.65</v>
      </c>
      <c r="P110" s="198">
        <v>0.7</v>
      </c>
      <c r="Q110" s="57">
        <f t="shared" si="3"/>
        <v>0.67500000000000004</v>
      </c>
      <c r="R110" s="198">
        <v>12.9</v>
      </c>
      <c r="S110" s="198">
        <v>90</v>
      </c>
      <c r="T110" s="57">
        <f t="shared" si="4"/>
        <v>36</v>
      </c>
      <c r="U110" s="198">
        <v>429</v>
      </c>
      <c r="V110" s="58">
        <f t="shared" si="5"/>
        <v>3861</v>
      </c>
      <c r="W110" s="198">
        <v>2</v>
      </c>
      <c r="X110" s="55" t="s">
        <v>46</v>
      </c>
      <c r="Y110" s="55" t="s">
        <v>69</v>
      </c>
      <c r="Z110" s="55" t="s">
        <v>97</v>
      </c>
      <c r="AA110" s="55" t="s">
        <v>55</v>
      </c>
      <c r="AB110" s="39" t="s">
        <v>328</v>
      </c>
    </row>
    <row r="111" spans="1:30" x14ac:dyDescent="0.15">
      <c r="A111" s="55" t="s">
        <v>41</v>
      </c>
      <c r="B111" s="198" t="s">
        <v>325</v>
      </c>
      <c r="C111" s="139">
        <v>2018</v>
      </c>
      <c r="D111" s="56" t="s">
        <v>332</v>
      </c>
      <c r="E111" s="198" t="s">
        <v>283</v>
      </c>
      <c r="F111" s="198" t="s">
        <v>289</v>
      </c>
      <c r="G111" s="55" t="s">
        <v>42</v>
      </c>
      <c r="H111" s="55" t="s">
        <v>157</v>
      </c>
      <c r="I111" s="55" t="s">
        <v>155</v>
      </c>
      <c r="J111" s="55" t="s">
        <v>38</v>
      </c>
      <c r="K111" s="55" t="s">
        <v>156</v>
      </c>
      <c r="L111" s="198">
        <v>2</v>
      </c>
      <c r="N111" s="198">
        <v>4</v>
      </c>
      <c r="O111" s="198">
        <v>0.55000000000000004</v>
      </c>
      <c r="P111" s="198">
        <v>0.7</v>
      </c>
      <c r="Q111" s="57">
        <f t="shared" si="3"/>
        <v>0.625</v>
      </c>
      <c r="R111" s="198">
        <v>14.4</v>
      </c>
      <c r="S111" s="198">
        <v>99</v>
      </c>
      <c r="T111" s="57">
        <f t="shared" si="4"/>
        <v>33</v>
      </c>
      <c r="U111" s="198">
        <v>429</v>
      </c>
      <c r="V111" s="58">
        <f t="shared" si="5"/>
        <v>3539.25</v>
      </c>
      <c r="W111" s="198">
        <v>2</v>
      </c>
      <c r="X111" s="55" t="s">
        <v>46</v>
      </c>
      <c r="Y111" s="55" t="s">
        <v>69</v>
      </c>
      <c r="Z111" s="55" t="s">
        <v>97</v>
      </c>
      <c r="AA111" s="55" t="s">
        <v>55</v>
      </c>
      <c r="AB111" s="39" t="s">
        <v>328</v>
      </c>
    </row>
    <row r="112" spans="1:30" x14ac:dyDescent="0.15">
      <c r="A112" s="55" t="s">
        <v>41</v>
      </c>
      <c r="B112" s="198" t="s">
        <v>325</v>
      </c>
      <c r="C112" s="139">
        <v>2018</v>
      </c>
      <c r="D112" s="56" t="s">
        <v>332</v>
      </c>
      <c r="E112" s="198" t="s">
        <v>283</v>
      </c>
      <c r="F112" s="198" t="s">
        <v>289</v>
      </c>
      <c r="G112" s="55" t="s">
        <v>42</v>
      </c>
      <c r="H112" s="55" t="s">
        <v>157</v>
      </c>
      <c r="I112" s="55" t="s">
        <v>155</v>
      </c>
      <c r="J112" s="55" t="s">
        <v>38</v>
      </c>
      <c r="K112" s="55" t="s">
        <v>156</v>
      </c>
      <c r="L112" s="198">
        <v>3</v>
      </c>
      <c r="N112" s="198">
        <v>4</v>
      </c>
      <c r="O112" s="198">
        <v>0.6</v>
      </c>
      <c r="P112" s="198">
        <v>0.7</v>
      </c>
      <c r="Q112" s="57">
        <f t="shared" si="3"/>
        <v>0.64999999999999991</v>
      </c>
      <c r="R112" s="198">
        <v>14.1</v>
      </c>
      <c r="S112" s="198">
        <v>102</v>
      </c>
      <c r="T112" s="57">
        <f t="shared" si="4"/>
        <v>33</v>
      </c>
      <c r="U112" s="198">
        <v>429</v>
      </c>
      <c r="V112" s="58">
        <f t="shared" si="5"/>
        <v>3539.25</v>
      </c>
      <c r="W112" s="198">
        <v>2</v>
      </c>
      <c r="X112" s="55" t="s">
        <v>46</v>
      </c>
      <c r="Y112" s="55" t="s">
        <v>69</v>
      </c>
      <c r="Z112" s="55" t="s">
        <v>97</v>
      </c>
      <c r="AA112" s="55" t="s">
        <v>55</v>
      </c>
      <c r="AB112" s="39" t="s">
        <v>328</v>
      </c>
    </row>
    <row r="113" spans="1:28" x14ac:dyDescent="0.15">
      <c r="A113" s="55" t="s">
        <v>41</v>
      </c>
      <c r="B113" s="198" t="s">
        <v>325</v>
      </c>
      <c r="C113" s="139">
        <v>2018</v>
      </c>
      <c r="D113" s="56" t="s">
        <v>332</v>
      </c>
      <c r="E113" s="198" t="s">
        <v>283</v>
      </c>
      <c r="F113" s="198" t="s">
        <v>289</v>
      </c>
      <c r="G113" s="55" t="s">
        <v>42</v>
      </c>
      <c r="H113" s="55" t="s">
        <v>167</v>
      </c>
      <c r="I113" s="55" t="s">
        <v>155</v>
      </c>
      <c r="J113" s="55" t="s">
        <v>38</v>
      </c>
      <c r="K113" s="55" t="s">
        <v>156</v>
      </c>
      <c r="L113" s="198">
        <v>1</v>
      </c>
      <c r="N113" s="198">
        <v>1</v>
      </c>
      <c r="O113" s="198">
        <v>0.45</v>
      </c>
      <c r="P113" s="198">
        <v>0.4</v>
      </c>
      <c r="Q113" s="57">
        <f t="shared" si="3"/>
        <v>0.42500000000000004</v>
      </c>
      <c r="R113" s="198">
        <v>14.2</v>
      </c>
      <c r="S113" s="198">
        <v>135</v>
      </c>
      <c r="T113" s="57">
        <f t="shared" si="4"/>
        <v>25</v>
      </c>
      <c r="U113" s="198">
        <v>138</v>
      </c>
      <c r="V113" s="58">
        <f t="shared" si="5"/>
        <v>3450</v>
      </c>
      <c r="W113" s="198">
        <v>6</v>
      </c>
      <c r="X113" s="55" t="s">
        <v>46</v>
      </c>
      <c r="Y113" s="55" t="s">
        <v>69</v>
      </c>
      <c r="Z113" s="55" t="s">
        <v>97</v>
      </c>
      <c r="AA113" s="55" t="s">
        <v>55</v>
      </c>
      <c r="AB113" s="39" t="s">
        <v>328</v>
      </c>
    </row>
    <row r="114" spans="1:28" x14ac:dyDescent="0.15">
      <c r="A114" s="55" t="s">
        <v>41</v>
      </c>
      <c r="B114" s="198" t="s">
        <v>325</v>
      </c>
      <c r="C114" s="139">
        <v>2018</v>
      </c>
      <c r="D114" s="56" t="s">
        <v>332</v>
      </c>
      <c r="E114" s="198" t="s">
        <v>283</v>
      </c>
      <c r="F114" s="198" t="s">
        <v>289</v>
      </c>
      <c r="G114" s="55" t="s">
        <v>42</v>
      </c>
      <c r="H114" s="55" t="s">
        <v>167</v>
      </c>
      <c r="I114" s="55" t="s">
        <v>155</v>
      </c>
      <c r="J114" s="55" t="s">
        <v>38</v>
      </c>
      <c r="K114" s="55" t="s">
        <v>156</v>
      </c>
      <c r="L114" s="198">
        <v>2</v>
      </c>
      <c r="N114" s="198">
        <v>1</v>
      </c>
      <c r="O114" s="198">
        <v>0.5</v>
      </c>
      <c r="P114" s="198">
        <v>0.6</v>
      </c>
      <c r="Q114" s="57">
        <f t="shared" si="3"/>
        <v>0.55000000000000004</v>
      </c>
      <c r="R114" s="198">
        <v>15.1</v>
      </c>
      <c r="S114" s="198">
        <v>134</v>
      </c>
      <c r="T114" s="57">
        <f t="shared" si="4"/>
        <v>25</v>
      </c>
      <c r="U114" s="198">
        <v>138</v>
      </c>
      <c r="V114" s="58">
        <f t="shared" si="5"/>
        <v>3450</v>
      </c>
      <c r="W114" s="198">
        <v>6</v>
      </c>
      <c r="X114" s="55" t="s">
        <v>46</v>
      </c>
      <c r="Y114" s="55" t="s">
        <v>69</v>
      </c>
      <c r="Z114" s="55" t="s">
        <v>97</v>
      </c>
      <c r="AA114" s="55" t="s">
        <v>55</v>
      </c>
      <c r="AB114" s="39" t="s">
        <v>328</v>
      </c>
    </row>
    <row r="115" spans="1:28" x14ac:dyDescent="0.15">
      <c r="A115" s="55" t="s">
        <v>41</v>
      </c>
      <c r="B115" s="198" t="s">
        <v>325</v>
      </c>
      <c r="C115" s="139">
        <v>2018</v>
      </c>
      <c r="D115" s="56" t="s">
        <v>332</v>
      </c>
      <c r="E115" s="198" t="s">
        <v>283</v>
      </c>
      <c r="F115" s="198" t="s">
        <v>289</v>
      </c>
      <c r="G115" s="55" t="s">
        <v>42</v>
      </c>
      <c r="H115" s="55" t="s">
        <v>167</v>
      </c>
      <c r="I115" s="55" t="s">
        <v>155</v>
      </c>
      <c r="J115" s="55" t="s">
        <v>38</v>
      </c>
      <c r="K115" s="55" t="s">
        <v>156</v>
      </c>
      <c r="L115" s="198">
        <v>3</v>
      </c>
      <c r="N115" s="198">
        <v>1</v>
      </c>
      <c r="O115" s="198">
        <v>0.7</v>
      </c>
      <c r="P115" s="198">
        <v>0.9</v>
      </c>
      <c r="Q115" s="57">
        <f t="shared" si="3"/>
        <v>0.8</v>
      </c>
      <c r="R115" s="198">
        <v>15.1</v>
      </c>
      <c r="S115" s="198">
        <v>140</v>
      </c>
      <c r="T115" s="57">
        <f t="shared" si="4"/>
        <v>22</v>
      </c>
      <c r="U115" s="198">
        <v>138</v>
      </c>
      <c r="V115" s="58">
        <f t="shared" si="5"/>
        <v>3036</v>
      </c>
      <c r="W115" s="198">
        <v>6</v>
      </c>
      <c r="X115" s="55" t="s">
        <v>46</v>
      </c>
      <c r="Y115" s="55" t="s">
        <v>69</v>
      </c>
      <c r="Z115" s="55" t="s">
        <v>97</v>
      </c>
      <c r="AA115" s="55" t="s">
        <v>55</v>
      </c>
      <c r="AB115" s="39" t="s">
        <v>328</v>
      </c>
    </row>
    <row r="116" spans="1:28" x14ac:dyDescent="0.15">
      <c r="A116" s="55" t="s">
        <v>41</v>
      </c>
      <c r="B116" s="198" t="s">
        <v>325</v>
      </c>
      <c r="C116" s="139">
        <v>2018</v>
      </c>
      <c r="D116" s="56" t="s">
        <v>332</v>
      </c>
      <c r="E116" s="198" t="s">
        <v>283</v>
      </c>
      <c r="F116" s="198" t="s">
        <v>289</v>
      </c>
      <c r="G116" s="55" t="s">
        <v>42</v>
      </c>
      <c r="H116" s="55" t="s">
        <v>167</v>
      </c>
      <c r="I116" s="55" t="s">
        <v>155</v>
      </c>
      <c r="J116" s="55" t="s">
        <v>38</v>
      </c>
      <c r="K116" s="55" t="s">
        <v>156</v>
      </c>
      <c r="L116" s="198">
        <v>1</v>
      </c>
      <c r="N116" s="198">
        <v>4</v>
      </c>
      <c r="O116" s="198">
        <v>0.5</v>
      </c>
      <c r="P116" s="198">
        <v>0.35</v>
      </c>
      <c r="Q116" s="57">
        <f t="shared" si="3"/>
        <v>0.42499999999999999</v>
      </c>
      <c r="R116" s="198">
        <v>15.6</v>
      </c>
      <c r="S116" s="198">
        <v>128</v>
      </c>
      <c r="T116" s="57">
        <f t="shared" si="4"/>
        <v>27</v>
      </c>
      <c r="U116" s="198">
        <v>537</v>
      </c>
      <c r="V116" s="58">
        <f t="shared" si="5"/>
        <v>3624.75</v>
      </c>
      <c r="W116" s="198">
        <v>3</v>
      </c>
      <c r="X116" s="55" t="s">
        <v>46</v>
      </c>
      <c r="Y116" s="55" t="s">
        <v>69</v>
      </c>
      <c r="Z116" s="55" t="s">
        <v>97</v>
      </c>
      <c r="AA116" s="55" t="s">
        <v>55</v>
      </c>
      <c r="AB116" s="39" t="s">
        <v>328</v>
      </c>
    </row>
    <row r="117" spans="1:28" x14ac:dyDescent="0.15">
      <c r="A117" s="55" t="s">
        <v>41</v>
      </c>
      <c r="B117" s="198" t="s">
        <v>325</v>
      </c>
      <c r="C117" s="139">
        <v>2018</v>
      </c>
      <c r="D117" s="56" t="s">
        <v>332</v>
      </c>
      <c r="E117" s="198" t="s">
        <v>283</v>
      </c>
      <c r="F117" s="198" t="s">
        <v>289</v>
      </c>
      <c r="G117" s="55" t="s">
        <v>42</v>
      </c>
      <c r="H117" s="55" t="s">
        <v>167</v>
      </c>
      <c r="I117" s="55" t="s">
        <v>155</v>
      </c>
      <c r="J117" s="55" t="s">
        <v>38</v>
      </c>
      <c r="K117" s="55" t="s">
        <v>156</v>
      </c>
      <c r="L117" s="198">
        <v>2</v>
      </c>
      <c r="N117" s="198">
        <v>4</v>
      </c>
      <c r="O117" s="198">
        <v>0.4</v>
      </c>
      <c r="P117" s="198">
        <v>0.35</v>
      </c>
      <c r="Q117" s="57">
        <f t="shared" si="3"/>
        <v>0.375</v>
      </c>
      <c r="R117" s="198">
        <v>14.9</v>
      </c>
      <c r="S117" s="198">
        <v>131</v>
      </c>
      <c r="T117" s="57">
        <f t="shared" si="4"/>
        <v>25</v>
      </c>
      <c r="U117" s="198">
        <v>537</v>
      </c>
      <c r="V117" s="58">
        <f t="shared" si="5"/>
        <v>3356.25</v>
      </c>
      <c r="W117" s="198">
        <v>3</v>
      </c>
      <c r="X117" s="55" t="s">
        <v>46</v>
      </c>
      <c r="Y117" s="55" t="s">
        <v>69</v>
      </c>
      <c r="Z117" s="55" t="s">
        <v>97</v>
      </c>
      <c r="AA117" s="55" t="s">
        <v>55</v>
      </c>
      <c r="AB117" s="39" t="s">
        <v>328</v>
      </c>
    </row>
    <row r="118" spans="1:28" x14ac:dyDescent="0.15">
      <c r="A118" s="55" t="s">
        <v>41</v>
      </c>
      <c r="B118" s="198" t="s">
        <v>325</v>
      </c>
      <c r="C118" s="139">
        <v>2018</v>
      </c>
      <c r="D118" s="56" t="s">
        <v>332</v>
      </c>
      <c r="E118" s="198" t="s">
        <v>283</v>
      </c>
      <c r="F118" s="198" t="s">
        <v>289</v>
      </c>
      <c r="G118" s="55" t="s">
        <v>42</v>
      </c>
      <c r="H118" s="55" t="s">
        <v>167</v>
      </c>
      <c r="I118" s="55" t="s">
        <v>155</v>
      </c>
      <c r="J118" s="55" t="s">
        <v>38</v>
      </c>
      <c r="K118" s="55" t="s">
        <v>156</v>
      </c>
      <c r="L118" s="198">
        <v>3</v>
      </c>
      <c r="N118" s="198">
        <v>4</v>
      </c>
      <c r="O118" s="198">
        <v>0.35</v>
      </c>
      <c r="P118" s="198">
        <v>0.3</v>
      </c>
      <c r="Q118" s="57">
        <f t="shared" si="3"/>
        <v>0.32499999999999996</v>
      </c>
      <c r="R118" s="198">
        <v>14.7</v>
      </c>
      <c r="S118" s="198">
        <v>124</v>
      </c>
      <c r="T118" s="57">
        <f t="shared" si="4"/>
        <v>27</v>
      </c>
      <c r="U118" s="198">
        <v>537</v>
      </c>
      <c r="V118" s="58">
        <f t="shared" si="5"/>
        <v>3624.75</v>
      </c>
      <c r="W118" s="198">
        <v>3</v>
      </c>
      <c r="X118" s="55" t="s">
        <v>46</v>
      </c>
      <c r="Y118" s="55" t="s">
        <v>69</v>
      </c>
      <c r="Z118" s="55" t="s">
        <v>97</v>
      </c>
      <c r="AA118" s="55" t="s">
        <v>55</v>
      </c>
      <c r="AB118" s="39" t="s">
        <v>328</v>
      </c>
    </row>
    <row r="119" spans="1:28" x14ac:dyDescent="0.15">
      <c r="A119" s="55" t="s">
        <v>41</v>
      </c>
      <c r="B119" s="198" t="s">
        <v>325</v>
      </c>
      <c r="C119" s="139">
        <v>2018</v>
      </c>
      <c r="D119" s="56" t="s">
        <v>332</v>
      </c>
      <c r="E119" s="198" t="s">
        <v>175</v>
      </c>
      <c r="F119" s="198" t="s">
        <v>290</v>
      </c>
      <c r="G119" s="55" t="s">
        <v>42</v>
      </c>
      <c r="H119" s="55" t="s">
        <v>167</v>
      </c>
      <c r="I119" s="55" t="s">
        <v>155</v>
      </c>
      <c r="J119" s="55" t="s">
        <v>38</v>
      </c>
      <c r="K119" s="55" t="s">
        <v>156</v>
      </c>
      <c r="L119" s="198">
        <v>1</v>
      </c>
      <c r="N119" s="198">
        <v>1</v>
      </c>
      <c r="O119" s="55">
        <v>0.45</v>
      </c>
      <c r="P119" s="55">
        <v>0.35</v>
      </c>
      <c r="Q119" s="57">
        <f t="shared" si="3"/>
        <v>0.4</v>
      </c>
      <c r="R119" s="198">
        <v>17.8</v>
      </c>
      <c r="S119" s="55">
        <v>130</v>
      </c>
      <c r="T119" s="57">
        <f t="shared" si="4"/>
        <v>25</v>
      </c>
      <c r="U119" s="198">
        <v>137</v>
      </c>
      <c r="V119" s="58">
        <f t="shared" si="5"/>
        <v>3425</v>
      </c>
      <c r="W119" s="198">
        <v>3</v>
      </c>
      <c r="X119" s="55" t="s">
        <v>46</v>
      </c>
      <c r="Y119" s="55" t="s">
        <v>69</v>
      </c>
      <c r="Z119" s="55" t="s">
        <v>55</v>
      </c>
      <c r="AA119" s="55" t="s">
        <v>106</v>
      </c>
      <c r="AB119" s="39" t="s">
        <v>328</v>
      </c>
    </row>
    <row r="120" spans="1:28" x14ac:dyDescent="0.15">
      <c r="A120" s="55" t="s">
        <v>41</v>
      </c>
      <c r="B120" s="198" t="s">
        <v>325</v>
      </c>
      <c r="C120" s="139">
        <v>2018</v>
      </c>
      <c r="D120" s="56" t="s">
        <v>332</v>
      </c>
      <c r="E120" s="198" t="s">
        <v>175</v>
      </c>
      <c r="F120" s="198" t="s">
        <v>290</v>
      </c>
      <c r="G120" s="55" t="s">
        <v>42</v>
      </c>
      <c r="H120" s="55" t="s">
        <v>167</v>
      </c>
      <c r="I120" s="55" t="s">
        <v>155</v>
      </c>
      <c r="J120" s="55" t="s">
        <v>38</v>
      </c>
      <c r="K120" s="55" t="s">
        <v>156</v>
      </c>
      <c r="L120" s="198">
        <v>2</v>
      </c>
      <c r="N120" s="198">
        <v>1</v>
      </c>
      <c r="O120" s="55">
        <v>0.4</v>
      </c>
      <c r="P120" s="55">
        <v>0.3</v>
      </c>
      <c r="Q120" s="57">
        <f t="shared" si="3"/>
        <v>0.35</v>
      </c>
      <c r="R120" s="198">
        <v>12.9</v>
      </c>
      <c r="S120" s="55">
        <v>131</v>
      </c>
      <c r="T120" s="57">
        <f t="shared" si="4"/>
        <v>25</v>
      </c>
      <c r="U120" s="198">
        <v>137</v>
      </c>
      <c r="V120" s="58">
        <f t="shared" si="5"/>
        <v>3425</v>
      </c>
      <c r="W120" s="198">
        <v>3</v>
      </c>
      <c r="X120" s="55" t="s">
        <v>46</v>
      </c>
      <c r="Y120" s="55" t="s">
        <v>69</v>
      </c>
      <c r="Z120" s="55" t="s">
        <v>55</v>
      </c>
      <c r="AA120" s="55" t="s">
        <v>106</v>
      </c>
      <c r="AB120" s="39" t="s">
        <v>328</v>
      </c>
    </row>
    <row r="121" spans="1:28" x14ac:dyDescent="0.15">
      <c r="A121" s="55" t="s">
        <v>41</v>
      </c>
      <c r="B121" s="198" t="s">
        <v>325</v>
      </c>
      <c r="C121" s="139">
        <v>2018</v>
      </c>
      <c r="D121" s="56" t="s">
        <v>332</v>
      </c>
      <c r="E121" s="198" t="s">
        <v>175</v>
      </c>
      <c r="F121" s="198" t="s">
        <v>290</v>
      </c>
      <c r="G121" s="55" t="s">
        <v>42</v>
      </c>
      <c r="H121" s="55" t="s">
        <v>167</v>
      </c>
      <c r="I121" s="55" t="s">
        <v>155</v>
      </c>
      <c r="J121" s="55" t="s">
        <v>38</v>
      </c>
      <c r="K121" s="55" t="s">
        <v>156</v>
      </c>
      <c r="L121" s="198">
        <v>3</v>
      </c>
      <c r="N121" s="198">
        <v>1</v>
      </c>
      <c r="O121" s="55">
        <v>0.35</v>
      </c>
      <c r="P121" s="55">
        <v>0.3</v>
      </c>
      <c r="Q121" s="57">
        <f t="shared" si="3"/>
        <v>0.32499999999999996</v>
      </c>
      <c r="R121" s="198">
        <v>16.899999999999999</v>
      </c>
      <c r="S121" s="55">
        <v>134</v>
      </c>
      <c r="T121" s="57">
        <f t="shared" si="4"/>
        <v>25</v>
      </c>
      <c r="U121" s="198">
        <v>137</v>
      </c>
      <c r="V121" s="58">
        <f t="shared" si="5"/>
        <v>3425</v>
      </c>
      <c r="W121" s="198">
        <v>3</v>
      </c>
      <c r="X121" s="55" t="s">
        <v>46</v>
      </c>
      <c r="Y121" s="55" t="s">
        <v>69</v>
      </c>
      <c r="Z121" s="55" t="s">
        <v>55</v>
      </c>
      <c r="AA121" s="55" t="s">
        <v>106</v>
      </c>
      <c r="AB121" s="39" t="s">
        <v>328</v>
      </c>
    </row>
    <row r="122" spans="1:28" x14ac:dyDescent="0.15">
      <c r="A122" s="55" t="s">
        <v>41</v>
      </c>
      <c r="B122" s="198" t="s">
        <v>325</v>
      </c>
      <c r="C122" s="139">
        <v>2018</v>
      </c>
      <c r="D122" s="56" t="s">
        <v>332</v>
      </c>
      <c r="E122" s="198" t="s">
        <v>175</v>
      </c>
      <c r="F122" s="198" t="s">
        <v>290</v>
      </c>
      <c r="G122" s="55" t="s">
        <v>42</v>
      </c>
      <c r="H122" s="55" t="s">
        <v>167</v>
      </c>
      <c r="I122" s="55" t="s">
        <v>155</v>
      </c>
      <c r="J122" s="55" t="s">
        <v>38</v>
      </c>
      <c r="K122" s="55" t="s">
        <v>156</v>
      </c>
      <c r="L122" s="198">
        <v>1</v>
      </c>
      <c r="N122" s="198">
        <v>4</v>
      </c>
      <c r="O122" s="55">
        <v>0.2</v>
      </c>
      <c r="P122" s="55">
        <v>0.35</v>
      </c>
      <c r="Q122" s="57">
        <f t="shared" si="3"/>
        <v>0.27500000000000002</v>
      </c>
      <c r="R122" s="198">
        <v>15.1</v>
      </c>
      <c r="S122" s="55">
        <v>114</v>
      </c>
      <c r="T122" s="57">
        <f t="shared" si="4"/>
        <v>30</v>
      </c>
      <c r="U122" s="198">
        <v>471</v>
      </c>
      <c r="V122" s="58">
        <f t="shared" si="5"/>
        <v>3532.5</v>
      </c>
      <c r="W122" s="198">
        <v>3</v>
      </c>
      <c r="X122" s="55" t="s">
        <v>46</v>
      </c>
      <c r="Y122" s="55" t="s">
        <v>69</v>
      </c>
      <c r="Z122" s="55" t="s">
        <v>55</v>
      </c>
      <c r="AA122" s="55" t="s">
        <v>106</v>
      </c>
      <c r="AB122" s="39" t="s">
        <v>328</v>
      </c>
    </row>
    <row r="123" spans="1:28" x14ac:dyDescent="0.15">
      <c r="A123" s="55" t="s">
        <v>41</v>
      </c>
      <c r="B123" s="198" t="s">
        <v>325</v>
      </c>
      <c r="C123" s="139">
        <v>2018</v>
      </c>
      <c r="D123" s="56" t="s">
        <v>332</v>
      </c>
      <c r="E123" s="198" t="s">
        <v>175</v>
      </c>
      <c r="F123" s="198" t="s">
        <v>290</v>
      </c>
      <c r="G123" s="55" t="s">
        <v>42</v>
      </c>
      <c r="H123" s="55" t="s">
        <v>167</v>
      </c>
      <c r="I123" s="55" t="s">
        <v>155</v>
      </c>
      <c r="J123" s="55" t="s">
        <v>38</v>
      </c>
      <c r="K123" s="55" t="s">
        <v>156</v>
      </c>
      <c r="L123" s="198">
        <v>2</v>
      </c>
      <c r="N123" s="198">
        <v>4</v>
      </c>
      <c r="O123" s="55">
        <v>0.15</v>
      </c>
      <c r="P123" s="55">
        <v>0.2</v>
      </c>
      <c r="Q123" s="57">
        <f t="shared" si="3"/>
        <v>0.17499999999999999</v>
      </c>
      <c r="R123" s="198">
        <v>14.3</v>
      </c>
      <c r="S123" s="55">
        <v>120</v>
      </c>
      <c r="T123" s="57">
        <f t="shared" si="4"/>
        <v>30</v>
      </c>
      <c r="U123" s="198">
        <v>471</v>
      </c>
      <c r="V123" s="58">
        <f t="shared" si="5"/>
        <v>3532.5</v>
      </c>
      <c r="W123" s="198">
        <v>3</v>
      </c>
      <c r="X123" s="55" t="s">
        <v>46</v>
      </c>
      <c r="Y123" s="55" t="s">
        <v>69</v>
      </c>
      <c r="Z123" s="55" t="s">
        <v>55</v>
      </c>
      <c r="AA123" s="55" t="s">
        <v>106</v>
      </c>
      <c r="AB123" s="39" t="s">
        <v>328</v>
      </c>
    </row>
    <row r="124" spans="1:28" x14ac:dyDescent="0.15">
      <c r="A124" s="55" t="s">
        <v>41</v>
      </c>
      <c r="B124" s="198" t="s">
        <v>325</v>
      </c>
      <c r="C124" s="139">
        <v>2018</v>
      </c>
      <c r="D124" s="56" t="s">
        <v>332</v>
      </c>
      <c r="E124" s="198" t="s">
        <v>175</v>
      </c>
      <c r="F124" s="198" t="s">
        <v>290</v>
      </c>
      <c r="G124" s="55" t="s">
        <v>42</v>
      </c>
      <c r="H124" s="55" t="s">
        <v>167</v>
      </c>
      <c r="I124" s="55" t="s">
        <v>155</v>
      </c>
      <c r="J124" s="55" t="s">
        <v>38</v>
      </c>
      <c r="K124" s="55" t="s">
        <v>156</v>
      </c>
      <c r="L124" s="198">
        <v>3</v>
      </c>
      <c r="N124" s="198">
        <v>4</v>
      </c>
      <c r="O124" s="55">
        <v>0.2</v>
      </c>
      <c r="P124" s="55">
        <v>0.2</v>
      </c>
      <c r="Q124" s="57">
        <f t="shared" si="3"/>
        <v>0.2</v>
      </c>
      <c r="R124" s="198">
        <v>13.5</v>
      </c>
      <c r="S124" s="55">
        <v>117</v>
      </c>
      <c r="T124" s="57">
        <f t="shared" si="4"/>
        <v>30</v>
      </c>
      <c r="U124" s="198">
        <v>471</v>
      </c>
      <c r="V124" s="58">
        <f t="shared" si="5"/>
        <v>3532.5</v>
      </c>
      <c r="W124" s="198">
        <v>3</v>
      </c>
      <c r="X124" s="55" t="s">
        <v>46</v>
      </c>
      <c r="Y124" s="55" t="s">
        <v>69</v>
      </c>
      <c r="Z124" s="55" t="s">
        <v>55</v>
      </c>
      <c r="AA124" s="55" t="s">
        <v>106</v>
      </c>
      <c r="AB124" s="39" t="s">
        <v>328</v>
      </c>
    </row>
    <row r="125" spans="1:28" x14ac:dyDescent="0.15">
      <c r="A125" s="55" t="s">
        <v>41</v>
      </c>
      <c r="B125" s="198" t="s">
        <v>325</v>
      </c>
      <c r="C125" s="139">
        <v>2018</v>
      </c>
      <c r="D125" s="56" t="s">
        <v>332</v>
      </c>
      <c r="E125" s="198" t="s">
        <v>175</v>
      </c>
      <c r="F125" s="198" t="s">
        <v>290</v>
      </c>
      <c r="G125" s="55" t="s">
        <v>42</v>
      </c>
      <c r="H125" s="55" t="s">
        <v>157</v>
      </c>
      <c r="I125" s="55" t="s">
        <v>155</v>
      </c>
      <c r="J125" s="55" t="s">
        <v>38</v>
      </c>
      <c r="K125" s="55" t="s">
        <v>156</v>
      </c>
      <c r="L125" s="198">
        <v>1</v>
      </c>
      <c r="N125" s="198">
        <v>1</v>
      </c>
      <c r="O125" s="55">
        <v>0.7</v>
      </c>
      <c r="P125" s="55">
        <v>0.65</v>
      </c>
      <c r="Q125" s="57">
        <f t="shared" si="3"/>
        <v>0.67500000000000004</v>
      </c>
      <c r="R125" s="198">
        <v>14.1</v>
      </c>
      <c r="S125" s="55">
        <v>128</v>
      </c>
      <c r="T125" s="57">
        <f t="shared" si="4"/>
        <v>27</v>
      </c>
      <c r="U125" s="198">
        <v>137</v>
      </c>
      <c r="V125" s="58">
        <f t="shared" si="5"/>
        <v>3699</v>
      </c>
      <c r="W125" s="198">
        <v>3</v>
      </c>
      <c r="X125" s="55" t="s">
        <v>46</v>
      </c>
      <c r="Y125" s="55" t="s">
        <v>69</v>
      </c>
      <c r="Z125" s="55" t="s">
        <v>55</v>
      </c>
      <c r="AA125" s="55" t="s">
        <v>106</v>
      </c>
      <c r="AB125" s="39" t="s">
        <v>328</v>
      </c>
    </row>
    <row r="126" spans="1:28" x14ac:dyDescent="0.15">
      <c r="A126" s="55" t="s">
        <v>41</v>
      </c>
      <c r="B126" s="198" t="s">
        <v>325</v>
      </c>
      <c r="C126" s="139">
        <v>2018</v>
      </c>
      <c r="D126" s="56" t="s">
        <v>332</v>
      </c>
      <c r="E126" s="198" t="s">
        <v>175</v>
      </c>
      <c r="F126" s="198" t="s">
        <v>290</v>
      </c>
      <c r="G126" s="55" t="s">
        <v>42</v>
      </c>
      <c r="H126" s="55" t="s">
        <v>157</v>
      </c>
      <c r="I126" s="55" t="s">
        <v>155</v>
      </c>
      <c r="J126" s="55" t="s">
        <v>38</v>
      </c>
      <c r="K126" s="55" t="s">
        <v>156</v>
      </c>
      <c r="L126" s="198">
        <v>2</v>
      </c>
      <c r="N126" s="198">
        <v>1</v>
      </c>
      <c r="O126" s="55">
        <v>0.8</v>
      </c>
      <c r="P126" s="55">
        <v>0.65</v>
      </c>
      <c r="Q126" s="57">
        <f t="shared" si="3"/>
        <v>0.72500000000000009</v>
      </c>
      <c r="R126" s="198">
        <v>15.2</v>
      </c>
      <c r="S126" s="55">
        <v>119</v>
      </c>
      <c r="T126" s="57">
        <f t="shared" si="4"/>
        <v>30</v>
      </c>
      <c r="U126" s="198">
        <v>137</v>
      </c>
      <c r="V126" s="58">
        <f t="shared" si="5"/>
        <v>4110</v>
      </c>
      <c r="W126" s="198">
        <v>3</v>
      </c>
      <c r="X126" s="55" t="s">
        <v>46</v>
      </c>
      <c r="Y126" s="55" t="s">
        <v>69</v>
      </c>
      <c r="Z126" s="55" t="s">
        <v>55</v>
      </c>
      <c r="AA126" s="55" t="s">
        <v>106</v>
      </c>
      <c r="AB126" s="39" t="s">
        <v>328</v>
      </c>
    </row>
    <row r="127" spans="1:28" x14ac:dyDescent="0.15">
      <c r="A127" s="55" t="s">
        <v>41</v>
      </c>
      <c r="B127" s="198" t="s">
        <v>325</v>
      </c>
      <c r="C127" s="139">
        <v>2018</v>
      </c>
      <c r="D127" s="56" t="s">
        <v>332</v>
      </c>
      <c r="E127" s="198" t="s">
        <v>175</v>
      </c>
      <c r="F127" s="198" t="s">
        <v>290</v>
      </c>
      <c r="G127" s="55" t="s">
        <v>42</v>
      </c>
      <c r="H127" s="55" t="s">
        <v>157</v>
      </c>
      <c r="I127" s="55" t="s">
        <v>155</v>
      </c>
      <c r="J127" s="55" t="s">
        <v>38</v>
      </c>
      <c r="K127" s="55" t="s">
        <v>156</v>
      </c>
      <c r="L127" s="198">
        <v>3</v>
      </c>
      <c r="N127" s="198">
        <v>1</v>
      </c>
      <c r="O127" s="55">
        <v>0.75</v>
      </c>
      <c r="P127" s="55">
        <v>0.7</v>
      </c>
      <c r="Q127" s="57">
        <f t="shared" si="3"/>
        <v>0.72499999999999998</v>
      </c>
      <c r="R127" s="198">
        <v>16.3</v>
      </c>
      <c r="S127" s="55">
        <v>124</v>
      </c>
      <c r="T127" s="57">
        <f t="shared" si="4"/>
        <v>27</v>
      </c>
      <c r="U127" s="198">
        <v>137</v>
      </c>
      <c r="V127" s="58">
        <f t="shared" si="5"/>
        <v>3699</v>
      </c>
      <c r="W127" s="198">
        <v>3</v>
      </c>
      <c r="X127" s="55" t="s">
        <v>46</v>
      </c>
      <c r="Y127" s="55" t="s">
        <v>69</v>
      </c>
      <c r="Z127" s="55" t="s">
        <v>55</v>
      </c>
      <c r="AA127" s="55" t="s">
        <v>106</v>
      </c>
      <c r="AB127" s="39" t="s">
        <v>328</v>
      </c>
    </row>
    <row r="128" spans="1:28" x14ac:dyDescent="0.15">
      <c r="A128" s="55" t="s">
        <v>41</v>
      </c>
      <c r="B128" s="198" t="s">
        <v>325</v>
      </c>
      <c r="C128" s="139">
        <v>2018</v>
      </c>
      <c r="D128" s="56" t="s">
        <v>332</v>
      </c>
      <c r="E128" s="198" t="s">
        <v>175</v>
      </c>
      <c r="F128" s="198" t="s">
        <v>290</v>
      </c>
      <c r="G128" s="55" t="s">
        <v>42</v>
      </c>
      <c r="H128" s="55" t="s">
        <v>157</v>
      </c>
      <c r="I128" s="55" t="s">
        <v>155</v>
      </c>
      <c r="J128" s="55" t="s">
        <v>38</v>
      </c>
      <c r="K128" s="55" t="s">
        <v>156</v>
      </c>
      <c r="L128" s="198">
        <v>1</v>
      </c>
      <c r="N128" s="198">
        <v>4</v>
      </c>
      <c r="O128" s="55">
        <v>0.4</v>
      </c>
      <c r="P128" s="55">
        <v>0.5</v>
      </c>
      <c r="Q128" s="57">
        <f t="shared" si="3"/>
        <v>0.45</v>
      </c>
      <c r="R128" s="198">
        <v>14.2</v>
      </c>
      <c r="S128" s="55">
        <v>118</v>
      </c>
      <c r="T128" s="57">
        <f t="shared" si="4"/>
        <v>30</v>
      </c>
      <c r="U128" s="198">
        <v>471</v>
      </c>
      <c r="V128" s="58">
        <f t="shared" si="5"/>
        <v>3532.5</v>
      </c>
      <c r="W128" s="198">
        <v>2</v>
      </c>
      <c r="X128" s="55" t="s">
        <v>46</v>
      </c>
      <c r="Y128" s="55" t="s">
        <v>69</v>
      </c>
      <c r="Z128" s="55" t="s">
        <v>55</v>
      </c>
      <c r="AA128" s="55" t="s">
        <v>106</v>
      </c>
      <c r="AB128" s="39" t="s">
        <v>328</v>
      </c>
    </row>
    <row r="129" spans="1:28" x14ac:dyDescent="0.15">
      <c r="A129" s="55" t="s">
        <v>41</v>
      </c>
      <c r="B129" s="198" t="s">
        <v>325</v>
      </c>
      <c r="C129" s="139">
        <v>2018</v>
      </c>
      <c r="D129" s="56" t="s">
        <v>332</v>
      </c>
      <c r="E129" s="198" t="s">
        <v>175</v>
      </c>
      <c r="F129" s="198" t="s">
        <v>290</v>
      </c>
      <c r="G129" s="55" t="s">
        <v>42</v>
      </c>
      <c r="H129" s="55" t="s">
        <v>157</v>
      </c>
      <c r="I129" s="55" t="s">
        <v>155</v>
      </c>
      <c r="J129" s="55" t="s">
        <v>38</v>
      </c>
      <c r="K129" s="55" t="s">
        <v>156</v>
      </c>
      <c r="L129" s="198">
        <v>2</v>
      </c>
      <c r="N129" s="198">
        <v>4</v>
      </c>
      <c r="O129" s="55">
        <v>0.5</v>
      </c>
      <c r="P129" s="55">
        <v>0.35</v>
      </c>
      <c r="Q129" s="57">
        <f t="shared" si="3"/>
        <v>0.42499999999999999</v>
      </c>
      <c r="R129" s="198">
        <v>14</v>
      </c>
      <c r="S129" s="55">
        <v>115</v>
      </c>
      <c r="T129" s="57">
        <f t="shared" si="4"/>
        <v>30</v>
      </c>
      <c r="U129" s="198">
        <v>471</v>
      </c>
      <c r="V129" s="58">
        <f t="shared" si="5"/>
        <v>3532.5</v>
      </c>
      <c r="W129" s="198">
        <v>2</v>
      </c>
      <c r="X129" s="55" t="s">
        <v>46</v>
      </c>
      <c r="Y129" s="55" t="s">
        <v>69</v>
      </c>
      <c r="Z129" s="55" t="s">
        <v>55</v>
      </c>
      <c r="AA129" s="55" t="s">
        <v>106</v>
      </c>
      <c r="AB129" s="39" t="s">
        <v>328</v>
      </c>
    </row>
    <row r="130" spans="1:28" x14ac:dyDescent="0.15">
      <c r="A130" s="55" t="s">
        <v>41</v>
      </c>
      <c r="B130" s="198" t="s">
        <v>325</v>
      </c>
      <c r="C130" s="139">
        <v>2018</v>
      </c>
      <c r="D130" s="56" t="s">
        <v>332</v>
      </c>
      <c r="E130" s="198" t="s">
        <v>175</v>
      </c>
      <c r="F130" s="198" t="s">
        <v>290</v>
      </c>
      <c r="G130" s="55" t="s">
        <v>42</v>
      </c>
      <c r="H130" s="55" t="s">
        <v>157</v>
      </c>
      <c r="I130" s="55" t="s">
        <v>155</v>
      </c>
      <c r="J130" s="55" t="s">
        <v>38</v>
      </c>
      <c r="K130" s="55" t="s">
        <v>156</v>
      </c>
      <c r="L130" s="198">
        <v>3</v>
      </c>
      <c r="N130" s="198">
        <v>4</v>
      </c>
      <c r="O130" s="55">
        <v>0.35</v>
      </c>
      <c r="P130" s="55">
        <v>0.35</v>
      </c>
      <c r="Q130" s="57">
        <f t="shared" ref="Q130:Q139" si="6">IF(OR(O130="",P130=""),"",AVERAGE(O130,P130))</f>
        <v>0.35</v>
      </c>
      <c r="R130" s="198">
        <v>13.9</v>
      </c>
      <c r="S130" s="55">
        <v>121</v>
      </c>
      <c r="T130" s="57">
        <f t="shared" si="4"/>
        <v>27</v>
      </c>
      <c r="U130" s="198">
        <v>471</v>
      </c>
      <c r="V130" s="58">
        <f t="shared" si="5"/>
        <v>3179.25</v>
      </c>
      <c r="W130" s="198">
        <v>2</v>
      </c>
      <c r="X130" s="55" t="s">
        <v>46</v>
      </c>
      <c r="Y130" s="55" t="s">
        <v>69</v>
      </c>
      <c r="Z130" s="55" t="s">
        <v>55</v>
      </c>
      <c r="AA130" s="55" t="s">
        <v>106</v>
      </c>
      <c r="AB130" s="39" t="s">
        <v>328</v>
      </c>
    </row>
    <row r="131" spans="1:28" x14ac:dyDescent="0.15">
      <c r="A131" s="55" t="s">
        <v>41</v>
      </c>
      <c r="B131" s="198" t="s">
        <v>325</v>
      </c>
      <c r="C131" s="139">
        <v>2018</v>
      </c>
      <c r="D131" s="56" t="s">
        <v>332</v>
      </c>
      <c r="E131" s="198" t="s">
        <v>281</v>
      </c>
      <c r="F131" s="198" t="s">
        <v>286</v>
      </c>
      <c r="G131" s="55" t="s">
        <v>42</v>
      </c>
      <c r="H131" s="55" t="s">
        <v>167</v>
      </c>
      <c r="I131" s="55" t="s">
        <v>155</v>
      </c>
      <c r="J131" s="55" t="s">
        <v>38</v>
      </c>
      <c r="K131" s="55" t="s">
        <v>156</v>
      </c>
      <c r="L131" s="198">
        <v>1</v>
      </c>
      <c r="N131" s="198">
        <v>1</v>
      </c>
      <c r="O131" s="55">
        <v>0.15</v>
      </c>
      <c r="P131" s="55">
        <v>0.2</v>
      </c>
      <c r="Q131" s="57">
        <f t="shared" si="6"/>
        <v>0.17499999999999999</v>
      </c>
      <c r="R131" s="198">
        <v>14</v>
      </c>
      <c r="S131" s="55">
        <v>105</v>
      </c>
      <c r="T131" s="57">
        <f t="shared" si="4"/>
        <v>33</v>
      </c>
      <c r="U131" s="198">
        <v>82</v>
      </c>
      <c r="V131" s="58">
        <f t="shared" si="5"/>
        <v>2706</v>
      </c>
      <c r="W131" s="198">
        <v>3</v>
      </c>
      <c r="X131" s="55" t="s">
        <v>46</v>
      </c>
      <c r="Y131" s="55" t="s">
        <v>69</v>
      </c>
      <c r="Z131" s="55" t="s">
        <v>97</v>
      </c>
      <c r="AA131" s="55" t="s">
        <v>47</v>
      </c>
      <c r="AB131" s="39" t="s">
        <v>328</v>
      </c>
    </row>
    <row r="132" spans="1:28" x14ac:dyDescent="0.15">
      <c r="A132" s="55" t="s">
        <v>41</v>
      </c>
      <c r="B132" s="198" t="s">
        <v>325</v>
      </c>
      <c r="C132" s="139">
        <v>2018</v>
      </c>
      <c r="D132" s="56" t="s">
        <v>332</v>
      </c>
      <c r="E132" s="198" t="s">
        <v>281</v>
      </c>
      <c r="F132" s="198" t="s">
        <v>286</v>
      </c>
      <c r="G132" s="55" t="s">
        <v>42</v>
      </c>
      <c r="H132" s="55" t="s">
        <v>167</v>
      </c>
      <c r="I132" s="55" t="s">
        <v>155</v>
      </c>
      <c r="J132" s="55" t="s">
        <v>38</v>
      </c>
      <c r="K132" s="55" t="s">
        <v>156</v>
      </c>
      <c r="L132" s="198">
        <v>2</v>
      </c>
      <c r="N132" s="198">
        <v>1</v>
      </c>
      <c r="O132" s="55">
        <v>0.35</v>
      </c>
      <c r="P132" s="55">
        <v>0.25</v>
      </c>
      <c r="Q132" s="57">
        <f t="shared" si="6"/>
        <v>0.3</v>
      </c>
      <c r="R132" s="198">
        <v>12.8</v>
      </c>
      <c r="S132" s="55">
        <v>110</v>
      </c>
      <c r="T132" s="57">
        <f t="shared" si="4"/>
        <v>33</v>
      </c>
      <c r="U132" s="198">
        <v>82</v>
      </c>
      <c r="V132" s="58">
        <f t="shared" si="5"/>
        <v>2706</v>
      </c>
      <c r="W132" s="198">
        <v>3</v>
      </c>
      <c r="X132" s="55" t="s">
        <v>46</v>
      </c>
      <c r="Y132" s="55" t="s">
        <v>69</v>
      </c>
      <c r="Z132" s="55" t="s">
        <v>97</v>
      </c>
      <c r="AA132" s="55" t="s">
        <v>47</v>
      </c>
      <c r="AB132" s="39" t="s">
        <v>328</v>
      </c>
    </row>
    <row r="133" spans="1:28" x14ac:dyDescent="0.15">
      <c r="A133" s="55" t="s">
        <v>41</v>
      </c>
      <c r="B133" s="198" t="s">
        <v>325</v>
      </c>
      <c r="C133" s="139">
        <v>2018</v>
      </c>
      <c r="D133" s="56" t="s">
        <v>332</v>
      </c>
      <c r="E133" s="198" t="s">
        <v>281</v>
      </c>
      <c r="F133" s="198" t="s">
        <v>286</v>
      </c>
      <c r="G133" s="55" t="s">
        <v>42</v>
      </c>
      <c r="H133" s="55" t="s">
        <v>167</v>
      </c>
      <c r="I133" s="55" t="s">
        <v>155</v>
      </c>
      <c r="J133" s="55" t="s">
        <v>38</v>
      </c>
      <c r="K133" s="55" t="s">
        <v>156</v>
      </c>
      <c r="L133" s="198">
        <v>3</v>
      </c>
      <c r="N133" s="198">
        <v>1</v>
      </c>
      <c r="O133" s="55">
        <v>0.2</v>
      </c>
      <c r="P133" s="55">
        <v>0.2</v>
      </c>
      <c r="Q133" s="57">
        <f t="shared" si="6"/>
        <v>0.2</v>
      </c>
      <c r="R133" s="198">
        <v>13.8</v>
      </c>
      <c r="S133" s="55">
        <v>101</v>
      </c>
      <c r="T133" s="57">
        <f t="shared" si="4"/>
        <v>33</v>
      </c>
      <c r="U133" s="198">
        <v>82</v>
      </c>
      <c r="V133" s="58">
        <f t="shared" si="5"/>
        <v>2706</v>
      </c>
      <c r="W133" s="198">
        <v>3</v>
      </c>
      <c r="X133" s="55" t="s">
        <v>46</v>
      </c>
      <c r="Y133" s="55" t="s">
        <v>69</v>
      </c>
      <c r="Z133" s="55" t="s">
        <v>97</v>
      </c>
      <c r="AA133" s="55" t="s">
        <v>47</v>
      </c>
      <c r="AB133" s="39" t="s">
        <v>328</v>
      </c>
    </row>
    <row r="134" spans="1:28" x14ac:dyDescent="0.15">
      <c r="A134" s="55" t="s">
        <v>41</v>
      </c>
      <c r="B134" s="198" t="s">
        <v>325</v>
      </c>
      <c r="C134" s="139">
        <v>2018</v>
      </c>
      <c r="D134" s="56" t="s">
        <v>332</v>
      </c>
      <c r="E134" s="198" t="s">
        <v>281</v>
      </c>
      <c r="F134" s="198" t="s">
        <v>286</v>
      </c>
      <c r="G134" s="55" t="s">
        <v>42</v>
      </c>
      <c r="H134" s="55" t="s">
        <v>157</v>
      </c>
      <c r="I134" s="55" t="s">
        <v>155</v>
      </c>
      <c r="J134" s="55" t="s">
        <v>38</v>
      </c>
      <c r="K134" s="55" t="s">
        <v>156</v>
      </c>
      <c r="L134" s="198">
        <v>1</v>
      </c>
      <c r="N134" s="198">
        <v>1</v>
      </c>
      <c r="O134" s="55">
        <v>0.25</v>
      </c>
      <c r="P134" s="55">
        <v>0.2</v>
      </c>
      <c r="Q134" s="57">
        <f t="shared" si="6"/>
        <v>0.22500000000000001</v>
      </c>
      <c r="R134" s="198">
        <v>14</v>
      </c>
      <c r="S134" s="55">
        <v>115</v>
      </c>
      <c r="T134" s="57">
        <f t="shared" si="4"/>
        <v>30</v>
      </c>
      <c r="U134" s="198">
        <v>82</v>
      </c>
      <c r="V134" s="58">
        <f t="shared" si="5"/>
        <v>2460</v>
      </c>
      <c r="W134" s="198">
        <v>3</v>
      </c>
      <c r="X134" s="55" t="s">
        <v>46</v>
      </c>
      <c r="Y134" s="55" t="s">
        <v>69</v>
      </c>
      <c r="Z134" s="55" t="s">
        <v>97</v>
      </c>
      <c r="AA134" s="55" t="s">
        <v>47</v>
      </c>
      <c r="AB134" s="39" t="s">
        <v>328</v>
      </c>
    </row>
    <row r="135" spans="1:28" x14ac:dyDescent="0.15">
      <c r="A135" s="55" t="s">
        <v>41</v>
      </c>
      <c r="B135" s="198" t="s">
        <v>325</v>
      </c>
      <c r="C135" s="139">
        <v>2018</v>
      </c>
      <c r="D135" s="56" t="s">
        <v>332</v>
      </c>
      <c r="E135" s="198" t="s">
        <v>281</v>
      </c>
      <c r="F135" s="198" t="s">
        <v>286</v>
      </c>
      <c r="G135" s="55" t="s">
        <v>42</v>
      </c>
      <c r="H135" s="55" t="s">
        <v>157</v>
      </c>
      <c r="I135" s="55" t="s">
        <v>155</v>
      </c>
      <c r="J135" s="55" t="s">
        <v>38</v>
      </c>
      <c r="K135" s="55" t="s">
        <v>156</v>
      </c>
      <c r="L135" s="198">
        <v>2</v>
      </c>
      <c r="N135" s="198">
        <v>1</v>
      </c>
      <c r="O135" s="55">
        <v>0.45</v>
      </c>
      <c r="P135" s="55">
        <v>0.6</v>
      </c>
      <c r="Q135" s="57">
        <f t="shared" si="6"/>
        <v>0.52500000000000002</v>
      </c>
      <c r="R135" s="198">
        <v>14.7</v>
      </c>
      <c r="S135" s="55">
        <v>112</v>
      </c>
      <c r="T135" s="57">
        <f t="shared" si="4"/>
        <v>33</v>
      </c>
      <c r="U135" s="198">
        <v>82</v>
      </c>
      <c r="V135" s="58">
        <f t="shared" si="5"/>
        <v>2706</v>
      </c>
      <c r="W135" s="198">
        <v>3</v>
      </c>
      <c r="X135" s="55" t="s">
        <v>46</v>
      </c>
      <c r="Y135" s="55" t="s">
        <v>69</v>
      </c>
      <c r="Z135" s="55" t="s">
        <v>97</v>
      </c>
      <c r="AA135" s="55" t="s">
        <v>47</v>
      </c>
      <c r="AB135" s="39" t="s">
        <v>328</v>
      </c>
    </row>
    <row r="136" spans="1:28" x14ac:dyDescent="0.15">
      <c r="A136" s="55" t="s">
        <v>41</v>
      </c>
      <c r="B136" s="198" t="s">
        <v>325</v>
      </c>
      <c r="C136" s="139">
        <v>2018</v>
      </c>
      <c r="D136" s="56" t="s">
        <v>332</v>
      </c>
      <c r="E136" s="198" t="s">
        <v>281</v>
      </c>
      <c r="F136" s="198" t="s">
        <v>286</v>
      </c>
      <c r="G136" s="55" t="s">
        <v>42</v>
      </c>
      <c r="H136" s="55" t="s">
        <v>157</v>
      </c>
      <c r="I136" s="55" t="s">
        <v>155</v>
      </c>
      <c r="J136" s="55" t="s">
        <v>38</v>
      </c>
      <c r="K136" s="55" t="s">
        <v>156</v>
      </c>
      <c r="L136" s="198">
        <v>3</v>
      </c>
      <c r="N136" s="198">
        <v>1</v>
      </c>
      <c r="O136" s="55">
        <v>0.6</v>
      </c>
      <c r="P136" s="55">
        <v>0.55000000000000004</v>
      </c>
      <c r="Q136" s="57">
        <f t="shared" si="6"/>
        <v>0.57499999999999996</v>
      </c>
      <c r="R136" s="198">
        <v>15.9</v>
      </c>
      <c r="S136" s="55">
        <v>118</v>
      </c>
      <c r="T136" s="57">
        <f t="shared" si="4"/>
        <v>30</v>
      </c>
      <c r="U136" s="198">
        <v>82</v>
      </c>
      <c r="V136" s="58">
        <f t="shared" si="5"/>
        <v>2460</v>
      </c>
      <c r="W136" s="198">
        <v>3</v>
      </c>
      <c r="X136" s="55" t="s">
        <v>46</v>
      </c>
      <c r="Y136" s="55" t="s">
        <v>69</v>
      </c>
      <c r="Z136" s="55" t="s">
        <v>97</v>
      </c>
      <c r="AA136" s="55" t="s">
        <v>47</v>
      </c>
      <c r="AB136" s="39" t="s">
        <v>328</v>
      </c>
    </row>
    <row r="137" spans="1:28" x14ac:dyDescent="0.15">
      <c r="A137" s="55" t="s">
        <v>41</v>
      </c>
      <c r="B137" s="198" t="s">
        <v>325</v>
      </c>
      <c r="C137" s="139">
        <v>2018</v>
      </c>
      <c r="D137" s="56" t="s">
        <v>332</v>
      </c>
      <c r="E137" s="198" t="s">
        <v>281</v>
      </c>
      <c r="F137" s="198" t="s">
        <v>286</v>
      </c>
      <c r="G137" s="55" t="s">
        <v>42</v>
      </c>
      <c r="H137" s="55" t="s">
        <v>157</v>
      </c>
      <c r="I137" s="55" t="s">
        <v>155</v>
      </c>
      <c r="J137" s="55" t="s">
        <v>38</v>
      </c>
      <c r="K137" s="55" t="s">
        <v>156</v>
      </c>
      <c r="L137" s="198">
        <v>1</v>
      </c>
      <c r="N137" s="198">
        <v>6</v>
      </c>
      <c r="O137" s="55">
        <v>0.7</v>
      </c>
      <c r="P137" s="55">
        <v>0.5</v>
      </c>
      <c r="Q137" s="57">
        <f t="shared" si="6"/>
        <v>0.6</v>
      </c>
      <c r="R137" s="198">
        <v>15.2</v>
      </c>
      <c r="S137" s="55">
        <v>98</v>
      </c>
      <c r="T137" s="57">
        <f t="shared" si="4"/>
        <v>36</v>
      </c>
      <c r="U137" s="198">
        <v>374</v>
      </c>
      <c r="V137" s="58">
        <f t="shared" si="5"/>
        <v>2244</v>
      </c>
      <c r="W137" s="198">
        <v>2</v>
      </c>
      <c r="X137" s="55" t="s">
        <v>46</v>
      </c>
      <c r="Y137" s="55" t="s">
        <v>69</v>
      </c>
      <c r="Z137" s="55" t="s">
        <v>97</v>
      </c>
      <c r="AA137" s="55" t="s">
        <v>47</v>
      </c>
      <c r="AB137" s="39" t="s">
        <v>328</v>
      </c>
    </row>
    <row r="138" spans="1:28" x14ac:dyDescent="0.15">
      <c r="A138" s="55" t="s">
        <v>41</v>
      </c>
      <c r="B138" s="198" t="s">
        <v>325</v>
      </c>
      <c r="C138" s="139">
        <v>2018</v>
      </c>
      <c r="D138" s="56" t="s">
        <v>332</v>
      </c>
      <c r="E138" s="198" t="s">
        <v>281</v>
      </c>
      <c r="F138" s="198" t="s">
        <v>286</v>
      </c>
      <c r="G138" s="55" t="s">
        <v>42</v>
      </c>
      <c r="H138" s="55" t="s">
        <v>157</v>
      </c>
      <c r="I138" s="55" t="s">
        <v>155</v>
      </c>
      <c r="J138" s="55" t="s">
        <v>38</v>
      </c>
      <c r="K138" s="55" t="s">
        <v>156</v>
      </c>
      <c r="L138" s="198">
        <v>2</v>
      </c>
      <c r="N138" s="198">
        <v>6</v>
      </c>
      <c r="O138" s="55">
        <v>0.4</v>
      </c>
      <c r="P138" s="55">
        <v>0.45</v>
      </c>
      <c r="Q138" s="57">
        <f t="shared" si="6"/>
        <v>0.42500000000000004</v>
      </c>
      <c r="R138" s="198">
        <v>12.8</v>
      </c>
      <c r="S138" s="55">
        <v>95</v>
      </c>
      <c r="T138" s="57">
        <f t="shared" si="4"/>
        <v>36</v>
      </c>
      <c r="U138" s="198">
        <v>374</v>
      </c>
      <c r="V138" s="58">
        <f t="shared" si="5"/>
        <v>2244</v>
      </c>
      <c r="W138" s="198">
        <v>2</v>
      </c>
      <c r="X138" s="55" t="s">
        <v>46</v>
      </c>
      <c r="Y138" s="55" t="s">
        <v>69</v>
      </c>
      <c r="Z138" s="55" t="s">
        <v>97</v>
      </c>
      <c r="AA138" s="55" t="s">
        <v>47</v>
      </c>
      <c r="AB138" s="39" t="s">
        <v>328</v>
      </c>
    </row>
    <row r="139" spans="1:28" x14ac:dyDescent="0.15">
      <c r="A139" s="55" t="s">
        <v>41</v>
      </c>
      <c r="B139" s="198" t="s">
        <v>325</v>
      </c>
      <c r="C139" s="139">
        <v>2018</v>
      </c>
      <c r="D139" s="56" t="s">
        <v>332</v>
      </c>
      <c r="E139" s="198" t="s">
        <v>281</v>
      </c>
      <c r="F139" s="198" t="s">
        <v>286</v>
      </c>
      <c r="G139" s="55" t="s">
        <v>42</v>
      </c>
      <c r="H139" s="55" t="s">
        <v>157</v>
      </c>
      <c r="I139" s="55" t="s">
        <v>155</v>
      </c>
      <c r="J139" s="55" t="s">
        <v>38</v>
      </c>
      <c r="K139" s="55" t="s">
        <v>156</v>
      </c>
      <c r="L139" s="198">
        <v>3</v>
      </c>
      <c r="N139" s="198">
        <v>6</v>
      </c>
      <c r="O139" s="55">
        <v>0.35</v>
      </c>
      <c r="P139" s="55">
        <v>0.3</v>
      </c>
      <c r="Q139" s="57">
        <f t="shared" si="6"/>
        <v>0.32499999999999996</v>
      </c>
      <c r="R139" s="198">
        <v>13.3</v>
      </c>
      <c r="S139" s="55">
        <v>97</v>
      </c>
      <c r="T139" s="57">
        <f t="shared" si="4"/>
        <v>36</v>
      </c>
      <c r="U139" s="198">
        <v>374</v>
      </c>
      <c r="V139" s="58">
        <f t="shared" si="5"/>
        <v>2244</v>
      </c>
      <c r="W139" s="198">
        <v>2</v>
      </c>
      <c r="X139" s="55" t="s">
        <v>46</v>
      </c>
      <c r="Y139" s="55" t="s">
        <v>69</v>
      </c>
      <c r="Z139" s="55" t="s">
        <v>97</v>
      </c>
      <c r="AA139" s="55" t="s">
        <v>47</v>
      </c>
      <c r="AB139" s="39" t="s">
        <v>328</v>
      </c>
    </row>
    <row r="140" spans="1:28" x14ac:dyDescent="0.15">
      <c r="K140" s="55"/>
      <c r="Y140" s="55"/>
    </row>
    <row r="141" spans="1:28" x14ac:dyDescent="0.15">
      <c r="K141" s="55"/>
      <c r="Y141" s="55"/>
    </row>
    <row r="142" spans="1:28" x14ac:dyDescent="0.15">
      <c r="K142" s="55"/>
      <c r="Y142" s="55"/>
    </row>
    <row r="143" spans="1:28" x14ac:dyDescent="0.15">
      <c r="K143" s="55"/>
      <c r="Y143" s="55"/>
    </row>
    <row r="144" spans="1:28" x14ac:dyDescent="0.15">
      <c r="K144" s="55"/>
      <c r="Y144" s="55"/>
    </row>
    <row r="145" spans="11:25" x14ac:dyDescent="0.15">
      <c r="K145" s="55"/>
      <c r="Y145" s="55"/>
    </row>
    <row r="146" spans="11:25" x14ac:dyDescent="0.15">
      <c r="K146" s="55"/>
      <c r="Y146" s="55"/>
    </row>
    <row r="147" spans="11:25" x14ac:dyDescent="0.15">
      <c r="K147" s="55"/>
      <c r="Y147" s="55"/>
    </row>
    <row r="148" spans="11:25" x14ac:dyDescent="0.15">
      <c r="K148" s="55"/>
      <c r="Y148" s="55"/>
    </row>
    <row r="149" spans="11:25" x14ac:dyDescent="0.15">
      <c r="K149" s="55"/>
      <c r="Y149" s="55"/>
    </row>
    <row r="150" spans="11:25" x14ac:dyDescent="0.15">
      <c r="K150" s="55"/>
      <c r="Y150" s="55"/>
    </row>
    <row r="151" spans="11:25" x14ac:dyDescent="0.15">
      <c r="K151" s="55"/>
      <c r="Y151" s="55"/>
    </row>
    <row r="152" spans="11:25" x14ac:dyDescent="0.15">
      <c r="K152" s="55"/>
      <c r="Y152" s="55"/>
    </row>
    <row r="153" spans="11:25" x14ac:dyDescent="0.15">
      <c r="K153" s="55"/>
      <c r="Y153" s="55"/>
    </row>
    <row r="154" spans="11:25" x14ac:dyDescent="0.15">
      <c r="K154" s="55"/>
      <c r="Y154" s="55"/>
    </row>
    <row r="155" spans="11:25" x14ac:dyDescent="0.15">
      <c r="K155" s="55"/>
      <c r="Y155" s="55"/>
    </row>
    <row r="156" spans="11:25" x14ac:dyDescent="0.15">
      <c r="K156" s="55"/>
      <c r="Y156" s="55"/>
    </row>
    <row r="157" spans="11:25" x14ac:dyDescent="0.15">
      <c r="K157" s="55"/>
      <c r="Y157" s="55"/>
    </row>
    <row r="158" spans="11:25" x14ac:dyDescent="0.15">
      <c r="K158" s="55"/>
      <c r="Y158" s="55"/>
    </row>
    <row r="159" spans="11:25" x14ac:dyDescent="0.15">
      <c r="K159" s="55"/>
      <c r="Y159" s="55"/>
    </row>
    <row r="160" spans="11:25" x14ac:dyDescent="0.15">
      <c r="K160" s="55"/>
      <c r="Y160" s="55"/>
    </row>
    <row r="161" spans="11:25" x14ac:dyDescent="0.15">
      <c r="K161" s="55"/>
      <c r="Y161" s="55"/>
    </row>
    <row r="162" spans="11:25" x14ac:dyDescent="0.15">
      <c r="K162" s="55"/>
      <c r="Y162" s="55"/>
    </row>
    <row r="163" spans="11:25" x14ac:dyDescent="0.15">
      <c r="Y163" s="55"/>
    </row>
  </sheetData>
  <autoFilter ref="A1:BA139"/>
  <dataConsolidate/>
  <phoneticPr fontId="3"/>
  <dataValidations count="13">
    <dataValidation operator="equal" allowBlank="1" showInputMessage="1" showErrorMessage="1" sqref="B2:B139"/>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62">
      <formula1>$AR$2:$AR$23</formula1>
    </dataValidation>
    <dataValidation type="list" allowBlank="1" showInputMessage="1" showErrorMessage="1" sqref="J2:J346">
      <formula1>$AP$2:$AP$19</formula1>
    </dataValidation>
    <dataValidation type="list" allowBlank="1" showInputMessage="1" showErrorMessage="1" sqref="A2:A346">
      <formula1>$AE$2:$AE$16</formula1>
    </dataValidation>
    <dataValidation type="list" allowBlank="1" showInputMessage="1" showErrorMessage="1" sqref="X2:X346">
      <formula1>$AT$2:$AT$3</formula1>
    </dataValidation>
    <dataValidation type="list" allowBlank="1" showInputMessage="1" showErrorMessage="1" sqref="I2:I346">
      <formula1>$AN$5:$AN$6</formula1>
    </dataValidation>
    <dataValidation type="list" allowBlank="1" showInputMessage="1" showErrorMessage="1" sqref="G2:G346">
      <formula1>$AJ$2:$AJ$4</formula1>
    </dataValidation>
    <dataValidation type="list" allowBlank="1" showInputMessage="1" showErrorMessage="1" sqref="H2:H346">
      <formula1>$AL$2:$AL$8</formula1>
    </dataValidation>
    <dataValidation type="decimal" allowBlank="1" showInputMessage="1" showErrorMessage="1" error="硬度を正しく入力して下さい。" sqref="O2:P346">
      <formula1>0</formula1>
      <formula2>7</formula2>
    </dataValidation>
    <dataValidation type="list" allowBlank="1" showInputMessage="1" showErrorMessage="1" sqref="K163:K346">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G72" sqref="G72"/>
    </sheetView>
  </sheetViews>
  <sheetFormatPr defaultRowHeight="13.5" x14ac:dyDescent="0.15"/>
  <cols>
    <col min="1" max="1" width="9" style="169"/>
    <col min="2" max="2" width="9" style="177"/>
    <col min="3" max="3" width="9" style="169"/>
    <col min="4" max="4" width="10.5" style="169" bestFit="1" customWidth="1"/>
    <col min="5" max="13" width="9" style="169"/>
    <col min="14" max="14" width="9.5" style="169" bestFit="1" customWidth="1"/>
    <col min="15" max="16" width="9" style="169"/>
    <col min="17" max="17" width="9" style="178"/>
    <col min="18" max="19" width="9" style="169"/>
    <col min="20" max="20" width="9" style="178"/>
    <col min="21" max="21" width="9" style="169"/>
    <col min="22" max="22" width="9" style="178"/>
    <col min="23" max="27" width="9" style="169"/>
    <col min="28" max="28" width="9" style="177"/>
    <col min="29" max="32" width="9" style="169"/>
    <col min="33" max="33" width="15.875" style="169" bestFit="1" customWidth="1"/>
    <col min="34" max="34" width="11.375" style="169" bestFit="1" customWidth="1"/>
    <col min="35" max="259" width="9" style="169"/>
    <col min="260" max="260" width="10.5" style="169" bestFit="1" customWidth="1"/>
    <col min="261" max="269" width="9" style="169"/>
    <col min="270" max="270" width="9.5" style="169" bestFit="1" customWidth="1"/>
    <col min="271" max="288" width="9" style="169"/>
    <col min="289" max="289" width="15.875" style="169" bestFit="1" customWidth="1"/>
    <col min="290" max="290" width="11.375" style="169" bestFit="1" customWidth="1"/>
    <col min="291" max="515" width="9" style="169"/>
    <col min="516" max="516" width="10.5" style="169" bestFit="1" customWidth="1"/>
    <col min="517" max="525" width="9" style="169"/>
    <col min="526" max="526" width="9.5" style="169" bestFit="1" customWidth="1"/>
    <col min="527" max="544" width="9" style="169"/>
    <col min="545" max="545" width="15.875" style="169" bestFit="1" customWidth="1"/>
    <col min="546" max="546" width="11.375" style="169" bestFit="1" customWidth="1"/>
    <col min="547" max="771" width="9" style="169"/>
    <col min="772" max="772" width="10.5" style="169" bestFit="1" customWidth="1"/>
    <col min="773" max="781" width="9" style="169"/>
    <col min="782" max="782" width="9.5" style="169" bestFit="1" customWidth="1"/>
    <col min="783" max="800" width="9" style="169"/>
    <col min="801" max="801" width="15.875" style="169" bestFit="1" customWidth="1"/>
    <col min="802" max="802" width="11.375" style="169" bestFit="1" customWidth="1"/>
    <col min="803" max="1027" width="9" style="169"/>
    <col min="1028" max="1028" width="10.5" style="169" bestFit="1" customWidth="1"/>
    <col min="1029" max="1037" width="9" style="169"/>
    <col min="1038" max="1038" width="9.5" style="169" bestFit="1" customWidth="1"/>
    <col min="1039" max="1056" width="9" style="169"/>
    <col min="1057" max="1057" width="15.875" style="169" bestFit="1" customWidth="1"/>
    <col min="1058" max="1058" width="11.375" style="169" bestFit="1" customWidth="1"/>
    <col min="1059" max="1283" width="9" style="169"/>
    <col min="1284" max="1284" width="10.5" style="169" bestFit="1" customWidth="1"/>
    <col min="1285" max="1293" width="9" style="169"/>
    <col min="1294" max="1294" width="9.5" style="169" bestFit="1" customWidth="1"/>
    <col min="1295" max="1312" width="9" style="169"/>
    <col min="1313" max="1313" width="15.875" style="169" bestFit="1" customWidth="1"/>
    <col min="1314" max="1314" width="11.375" style="169" bestFit="1" customWidth="1"/>
    <col min="1315" max="1539" width="9" style="169"/>
    <col min="1540" max="1540" width="10.5" style="169" bestFit="1" customWidth="1"/>
    <col min="1541" max="1549" width="9" style="169"/>
    <col min="1550" max="1550" width="9.5" style="169" bestFit="1" customWidth="1"/>
    <col min="1551" max="1568" width="9" style="169"/>
    <col min="1569" max="1569" width="15.875" style="169" bestFit="1" customWidth="1"/>
    <col min="1570" max="1570" width="11.375" style="169" bestFit="1" customWidth="1"/>
    <col min="1571" max="1795" width="9" style="169"/>
    <col min="1796" max="1796" width="10.5" style="169" bestFit="1" customWidth="1"/>
    <col min="1797" max="1805" width="9" style="169"/>
    <col min="1806" max="1806" width="9.5" style="169" bestFit="1" customWidth="1"/>
    <col min="1807" max="1824" width="9" style="169"/>
    <col min="1825" max="1825" width="15.875" style="169" bestFit="1" customWidth="1"/>
    <col min="1826" max="1826" width="11.375" style="169" bestFit="1" customWidth="1"/>
    <col min="1827" max="2051" width="9" style="169"/>
    <col min="2052" max="2052" width="10.5" style="169" bestFit="1" customWidth="1"/>
    <col min="2053" max="2061" width="9" style="169"/>
    <col min="2062" max="2062" width="9.5" style="169" bestFit="1" customWidth="1"/>
    <col min="2063" max="2080" width="9" style="169"/>
    <col min="2081" max="2081" width="15.875" style="169" bestFit="1" customWidth="1"/>
    <col min="2082" max="2082" width="11.375" style="169" bestFit="1" customWidth="1"/>
    <col min="2083" max="2307" width="9" style="169"/>
    <col min="2308" max="2308" width="10.5" style="169" bestFit="1" customWidth="1"/>
    <col min="2309" max="2317" width="9" style="169"/>
    <col min="2318" max="2318" width="9.5" style="169" bestFit="1" customWidth="1"/>
    <col min="2319" max="2336" width="9" style="169"/>
    <col min="2337" max="2337" width="15.875" style="169" bestFit="1" customWidth="1"/>
    <col min="2338" max="2338" width="11.375" style="169" bestFit="1" customWidth="1"/>
    <col min="2339" max="2563" width="9" style="169"/>
    <col min="2564" max="2564" width="10.5" style="169" bestFit="1" customWidth="1"/>
    <col min="2565" max="2573" width="9" style="169"/>
    <col min="2574" max="2574" width="9.5" style="169" bestFit="1" customWidth="1"/>
    <col min="2575" max="2592" width="9" style="169"/>
    <col min="2593" max="2593" width="15.875" style="169" bestFit="1" customWidth="1"/>
    <col min="2594" max="2594" width="11.375" style="169" bestFit="1" customWidth="1"/>
    <col min="2595" max="2819" width="9" style="169"/>
    <col min="2820" max="2820" width="10.5" style="169" bestFit="1" customWidth="1"/>
    <col min="2821" max="2829" width="9" style="169"/>
    <col min="2830" max="2830" width="9.5" style="169" bestFit="1" customWidth="1"/>
    <col min="2831" max="2848" width="9" style="169"/>
    <col min="2849" max="2849" width="15.875" style="169" bestFit="1" customWidth="1"/>
    <col min="2850" max="2850" width="11.375" style="169" bestFit="1" customWidth="1"/>
    <col min="2851" max="3075" width="9" style="169"/>
    <col min="3076" max="3076" width="10.5" style="169" bestFit="1" customWidth="1"/>
    <col min="3077" max="3085" width="9" style="169"/>
    <col min="3086" max="3086" width="9.5" style="169" bestFit="1" customWidth="1"/>
    <col min="3087" max="3104" width="9" style="169"/>
    <col min="3105" max="3105" width="15.875" style="169" bestFit="1" customWidth="1"/>
    <col min="3106" max="3106" width="11.375" style="169" bestFit="1" customWidth="1"/>
    <col min="3107" max="3331" width="9" style="169"/>
    <col min="3332" max="3332" width="10.5" style="169" bestFit="1" customWidth="1"/>
    <col min="3333" max="3341" width="9" style="169"/>
    <col min="3342" max="3342" width="9.5" style="169" bestFit="1" customWidth="1"/>
    <col min="3343" max="3360" width="9" style="169"/>
    <col min="3361" max="3361" width="15.875" style="169" bestFit="1" customWidth="1"/>
    <col min="3362" max="3362" width="11.375" style="169" bestFit="1" customWidth="1"/>
    <col min="3363" max="3587" width="9" style="169"/>
    <col min="3588" max="3588" width="10.5" style="169" bestFit="1" customWidth="1"/>
    <col min="3589" max="3597" width="9" style="169"/>
    <col min="3598" max="3598" width="9.5" style="169" bestFit="1" customWidth="1"/>
    <col min="3599" max="3616" width="9" style="169"/>
    <col min="3617" max="3617" width="15.875" style="169" bestFit="1" customWidth="1"/>
    <col min="3618" max="3618" width="11.375" style="169" bestFit="1" customWidth="1"/>
    <col min="3619" max="3843" width="9" style="169"/>
    <col min="3844" max="3844" width="10.5" style="169" bestFit="1" customWidth="1"/>
    <col min="3845" max="3853" width="9" style="169"/>
    <col min="3854" max="3854" width="9.5" style="169" bestFit="1" customWidth="1"/>
    <col min="3855" max="3872" width="9" style="169"/>
    <col min="3873" max="3873" width="15.875" style="169" bestFit="1" customWidth="1"/>
    <col min="3874" max="3874" width="11.375" style="169" bestFit="1" customWidth="1"/>
    <col min="3875" max="4099" width="9" style="169"/>
    <col min="4100" max="4100" width="10.5" style="169" bestFit="1" customWidth="1"/>
    <col min="4101" max="4109" width="9" style="169"/>
    <col min="4110" max="4110" width="9.5" style="169" bestFit="1" customWidth="1"/>
    <col min="4111" max="4128" width="9" style="169"/>
    <col min="4129" max="4129" width="15.875" style="169" bestFit="1" customWidth="1"/>
    <col min="4130" max="4130" width="11.375" style="169" bestFit="1" customWidth="1"/>
    <col min="4131" max="4355" width="9" style="169"/>
    <col min="4356" max="4356" width="10.5" style="169" bestFit="1" customWidth="1"/>
    <col min="4357" max="4365" width="9" style="169"/>
    <col min="4366" max="4366" width="9.5" style="169" bestFit="1" customWidth="1"/>
    <col min="4367" max="4384" width="9" style="169"/>
    <col min="4385" max="4385" width="15.875" style="169" bestFit="1" customWidth="1"/>
    <col min="4386" max="4386" width="11.375" style="169" bestFit="1" customWidth="1"/>
    <col min="4387" max="4611" width="9" style="169"/>
    <col min="4612" max="4612" width="10.5" style="169" bestFit="1" customWidth="1"/>
    <col min="4613" max="4621" width="9" style="169"/>
    <col min="4622" max="4622" width="9.5" style="169" bestFit="1" customWidth="1"/>
    <col min="4623" max="4640" width="9" style="169"/>
    <col min="4641" max="4641" width="15.875" style="169" bestFit="1" customWidth="1"/>
    <col min="4642" max="4642" width="11.375" style="169" bestFit="1" customWidth="1"/>
    <col min="4643" max="4867" width="9" style="169"/>
    <col min="4868" max="4868" width="10.5" style="169" bestFit="1" customWidth="1"/>
    <col min="4869" max="4877" width="9" style="169"/>
    <col min="4878" max="4878" width="9.5" style="169" bestFit="1" customWidth="1"/>
    <col min="4879" max="4896" width="9" style="169"/>
    <col min="4897" max="4897" width="15.875" style="169" bestFit="1" customWidth="1"/>
    <col min="4898" max="4898" width="11.375" style="169" bestFit="1" customWidth="1"/>
    <col min="4899" max="5123" width="9" style="169"/>
    <col min="5124" max="5124" width="10.5" style="169" bestFit="1" customWidth="1"/>
    <col min="5125" max="5133" width="9" style="169"/>
    <col min="5134" max="5134" width="9.5" style="169" bestFit="1" customWidth="1"/>
    <col min="5135" max="5152" width="9" style="169"/>
    <col min="5153" max="5153" width="15.875" style="169" bestFit="1" customWidth="1"/>
    <col min="5154" max="5154" width="11.375" style="169" bestFit="1" customWidth="1"/>
    <col min="5155" max="5379" width="9" style="169"/>
    <col min="5380" max="5380" width="10.5" style="169" bestFit="1" customWidth="1"/>
    <col min="5381" max="5389" width="9" style="169"/>
    <col min="5390" max="5390" width="9.5" style="169" bestFit="1" customWidth="1"/>
    <col min="5391" max="5408" width="9" style="169"/>
    <col min="5409" max="5409" width="15.875" style="169" bestFit="1" customWidth="1"/>
    <col min="5410" max="5410" width="11.375" style="169" bestFit="1" customWidth="1"/>
    <col min="5411" max="5635" width="9" style="169"/>
    <col min="5636" max="5636" width="10.5" style="169" bestFit="1" customWidth="1"/>
    <col min="5637" max="5645" width="9" style="169"/>
    <col min="5646" max="5646" width="9.5" style="169" bestFit="1" customWidth="1"/>
    <col min="5647" max="5664" width="9" style="169"/>
    <col min="5665" max="5665" width="15.875" style="169" bestFit="1" customWidth="1"/>
    <col min="5666" max="5666" width="11.375" style="169" bestFit="1" customWidth="1"/>
    <col min="5667" max="5891" width="9" style="169"/>
    <col min="5892" max="5892" width="10.5" style="169" bestFit="1" customWidth="1"/>
    <col min="5893" max="5901" width="9" style="169"/>
    <col min="5902" max="5902" width="9.5" style="169" bestFit="1" customWidth="1"/>
    <col min="5903" max="5920" width="9" style="169"/>
    <col min="5921" max="5921" width="15.875" style="169" bestFit="1" customWidth="1"/>
    <col min="5922" max="5922" width="11.375" style="169" bestFit="1" customWidth="1"/>
    <col min="5923" max="6147" width="9" style="169"/>
    <col min="6148" max="6148" width="10.5" style="169" bestFit="1" customWidth="1"/>
    <col min="6149" max="6157" width="9" style="169"/>
    <col min="6158" max="6158" width="9.5" style="169" bestFit="1" customWidth="1"/>
    <col min="6159" max="6176" width="9" style="169"/>
    <col min="6177" max="6177" width="15.875" style="169" bestFit="1" customWidth="1"/>
    <col min="6178" max="6178" width="11.375" style="169" bestFit="1" customWidth="1"/>
    <col min="6179" max="6403" width="9" style="169"/>
    <col min="6404" max="6404" width="10.5" style="169" bestFit="1" customWidth="1"/>
    <col min="6405" max="6413" width="9" style="169"/>
    <col min="6414" max="6414" width="9.5" style="169" bestFit="1" customWidth="1"/>
    <col min="6415" max="6432" width="9" style="169"/>
    <col min="6433" max="6433" width="15.875" style="169" bestFit="1" customWidth="1"/>
    <col min="6434" max="6434" width="11.375" style="169" bestFit="1" customWidth="1"/>
    <col min="6435" max="6659" width="9" style="169"/>
    <col min="6660" max="6660" width="10.5" style="169" bestFit="1" customWidth="1"/>
    <col min="6661" max="6669" width="9" style="169"/>
    <col min="6670" max="6670" width="9.5" style="169" bestFit="1" customWidth="1"/>
    <col min="6671" max="6688" width="9" style="169"/>
    <col min="6689" max="6689" width="15.875" style="169" bestFit="1" customWidth="1"/>
    <col min="6690" max="6690" width="11.375" style="169" bestFit="1" customWidth="1"/>
    <col min="6691" max="6915" width="9" style="169"/>
    <col min="6916" max="6916" width="10.5" style="169" bestFit="1" customWidth="1"/>
    <col min="6917" max="6925" width="9" style="169"/>
    <col min="6926" max="6926" width="9.5" style="169" bestFit="1" customWidth="1"/>
    <col min="6927" max="6944" width="9" style="169"/>
    <col min="6945" max="6945" width="15.875" style="169" bestFit="1" customWidth="1"/>
    <col min="6946" max="6946" width="11.375" style="169" bestFit="1" customWidth="1"/>
    <col min="6947" max="7171" width="9" style="169"/>
    <col min="7172" max="7172" width="10.5" style="169" bestFit="1" customWidth="1"/>
    <col min="7173" max="7181" width="9" style="169"/>
    <col min="7182" max="7182" width="9.5" style="169" bestFit="1" customWidth="1"/>
    <col min="7183" max="7200" width="9" style="169"/>
    <col min="7201" max="7201" width="15.875" style="169" bestFit="1" customWidth="1"/>
    <col min="7202" max="7202" width="11.375" style="169" bestFit="1" customWidth="1"/>
    <col min="7203" max="7427" width="9" style="169"/>
    <col min="7428" max="7428" width="10.5" style="169" bestFit="1" customWidth="1"/>
    <col min="7429" max="7437" width="9" style="169"/>
    <col min="7438" max="7438" width="9.5" style="169" bestFit="1" customWidth="1"/>
    <col min="7439" max="7456" width="9" style="169"/>
    <col min="7457" max="7457" width="15.875" style="169" bestFit="1" customWidth="1"/>
    <col min="7458" max="7458" width="11.375" style="169" bestFit="1" customWidth="1"/>
    <col min="7459" max="7683" width="9" style="169"/>
    <col min="7684" max="7684" width="10.5" style="169" bestFit="1" customWidth="1"/>
    <col min="7685" max="7693" width="9" style="169"/>
    <col min="7694" max="7694" width="9.5" style="169" bestFit="1" customWidth="1"/>
    <col min="7695" max="7712" width="9" style="169"/>
    <col min="7713" max="7713" width="15.875" style="169" bestFit="1" customWidth="1"/>
    <col min="7714" max="7714" width="11.375" style="169" bestFit="1" customWidth="1"/>
    <col min="7715" max="7939" width="9" style="169"/>
    <col min="7940" max="7940" width="10.5" style="169" bestFit="1" customWidth="1"/>
    <col min="7941" max="7949" width="9" style="169"/>
    <col min="7950" max="7950" width="9.5" style="169" bestFit="1" customWidth="1"/>
    <col min="7951" max="7968" width="9" style="169"/>
    <col min="7969" max="7969" width="15.875" style="169" bestFit="1" customWidth="1"/>
    <col min="7970" max="7970" width="11.375" style="169" bestFit="1" customWidth="1"/>
    <col min="7971" max="8195" width="9" style="169"/>
    <col min="8196" max="8196" width="10.5" style="169" bestFit="1" customWidth="1"/>
    <col min="8197" max="8205" width="9" style="169"/>
    <col min="8206" max="8206" width="9.5" style="169" bestFit="1" customWidth="1"/>
    <col min="8207" max="8224" width="9" style="169"/>
    <col min="8225" max="8225" width="15.875" style="169" bestFit="1" customWidth="1"/>
    <col min="8226" max="8226" width="11.375" style="169" bestFit="1" customWidth="1"/>
    <col min="8227" max="8451" width="9" style="169"/>
    <col min="8452" max="8452" width="10.5" style="169" bestFit="1" customWidth="1"/>
    <col min="8453" max="8461" width="9" style="169"/>
    <col min="8462" max="8462" width="9.5" style="169" bestFit="1" customWidth="1"/>
    <col min="8463" max="8480" width="9" style="169"/>
    <col min="8481" max="8481" width="15.875" style="169" bestFit="1" customWidth="1"/>
    <col min="8482" max="8482" width="11.375" style="169" bestFit="1" customWidth="1"/>
    <col min="8483" max="8707" width="9" style="169"/>
    <col min="8708" max="8708" width="10.5" style="169" bestFit="1" customWidth="1"/>
    <col min="8709" max="8717" width="9" style="169"/>
    <col min="8718" max="8718" width="9.5" style="169" bestFit="1" customWidth="1"/>
    <col min="8719" max="8736" width="9" style="169"/>
    <col min="8737" max="8737" width="15.875" style="169" bestFit="1" customWidth="1"/>
    <col min="8738" max="8738" width="11.375" style="169" bestFit="1" customWidth="1"/>
    <col min="8739" max="8963" width="9" style="169"/>
    <col min="8964" max="8964" width="10.5" style="169" bestFit="1" customWidth="1"/>
    <col min="8965" max="8973" width="9" style="169"/>
    <col min="8974" max="8974" width="9.5" style="169" bestFit="1" customWidth="1"/>
    <col min="8975" max="8992" width="9" style="169"/>
    <col min="8993" max="8993" width="15.875" style="169" bestFit="1" customWidth="1"/>
    <col min="8994" max="8994" width="11.375" style="169" bestFit="1" customWidth="1"/>
    <col min="8995" max="9219" width="9" style="169"/>
    <col min="9220" max="9220" width="10.5" style="169" bestFit="1" customWidth="1"/>
    <col min="9221" max="9229" width="9" style="169"/>
    <col min="9230" max="9230" width="9.5" style="169" bestFit="1" customWidth="1"/>
    <col min="9231" max="9248" width="9" style="169"/>
    <col min="9249" max="9249" width="15.875" style="169" bestFit="1" customWidth="1"/>
    <col min="9250" max="9250" width="11.375" style="169" bestFit="1" customWidth="1"/>
    <col min="9251" max="9475" width="9" style="169"/>
    <col min="9476" max="9476" width="10.5" style="169" bestFit="1" customWidth="1"/>
    <col min="9477" max="9485" width="9" style="169"/>
    <col min="9486" max="9486" width="9.5" style="169" bestFit="1" customWidth="1"/>
    <col min="9487" max="9504" width="9" style="169"/>
    <col min="9505" max="9505" width="15.875" style="169" bestFit="1" customWidth="1"/>
    <col min="9506" max="9506" width="11.375" style="169" bestFit="1" customWidth="1"/>
    <col min="9507" max="9731" width="9" style="169"/>
    <col min="9732" max="9732" width="10.5" style="169" bestFit="1" customWidth="1"/>
    <col min="9733" max="9741" width="9" style="169"/>
    <col min="9742" max="9742" width="9.5" style="169" bestFit="1" customWidth="1"/>
    <col min="9743" max="9760" width="9" style="169"/>
    <col min="9761" max="9761" width="15.875" style="169" bestFit="1" customWidth="1"/>
    <col min="9762" max="9762" width="11.375" style="169" bestFit="1" customWidth="1"/>
    <col min="9763" max="9987" width="9" style="169"/>
    <col min="9988" max="9988" width="10.5" style="169" bestFit="1" customWidth="1"/>
    <col min="9989" max="9997" width="9" style="169"/>
    <col min="9998" max="9998" width="9.5" style="169" bestFit="1" customWidth="1"/>
    <col min="9999" max="10016" width="9" style="169"/>
    <col min="10017" max="10017" width="15.875" style="169" bestFit="1" customWidth="1"/>
    <col min="10018" max="10018" width="11.375" style="169" bestFit="1" customWidth="1"/>
    <col min="10019" max="10243" width="9" style="169"/>
    <col min="10244" max="10244" width="10.5" style="169" bestFit="1" customWidth="1"/>
    <col min="10245" max="10253" width="9" style="169"/>
    <col min="10254" max="10254" width="9.5" style="169" bestFit="1" customWidth="1"/>
    <col min="10255" max="10272" width="9" style="169"/>
    <col min="10273" max="10273" width="15.875" style="169" bestFit="1" customWidth="1"/>
    <col min="10274" max="10274" width="11.375" style="169" bestFit="1" customWidth="1"/>
    <col min="10275" max="10499" width="9" style="169"/>
    <col min="10500" max="10500" width="10.5" style="169" bestFit="1" customWidth="1"/>
    <col min="10501" max="10509" width="9" style="169"/>
    <col min="10510" max="10510" width="9.5" style="169" bestFit="1" customWidth="1"/>
    <col min="10511" max="10528" width="9" style="169"/>
    <col min="10529" max="10529" width="15.875" style="169" bestFit="1" customWidth="1"/>
    <col min="10530" max="10530" width="11.375" style="169" bestFit="1" customWidth="1"/>
    <col min="10531" max="10755" width="9" style="169"/>
    <col min="10756" max="10756" width="10.5" style="169" bestFit="1" customWidth="1"/>
    <col min="10757" max="10765" width="9" style="169"/>
    <col min="10766" max="10766" width="9.5" style="169" bestFit="1" customWidth="1"/>
    <col min="10767" max="10784" width="9" style="169"/>
    <col min="10785" max="10785" width="15.875" style="169" bestFit="1" customWidth="1"/>
    <col min="10786" max="10786" width="11.375" style="169" bestFit="1" customWidth="1"/>
    <col min="10787" max="11011" width="9" style="169"/>
    <col min="11012" max="11012" width="10.5" style="169" bestFit="1" customWidth="1"/>
    <col min="11013" max="11021" width="9" style="169"/>
    <col min="11022" max="11022" width="9.5" style="169" bestFit="1" customWidth="1"/>
    <col min="11023" max="11040" width="9" style="169"/>
    <col min="11041" max="11041" width="15.875" style="169" bestFit="1" customWidth="1"/>
    <col min="11042" max="11042" width="11.375" style="169" bestFit="1" customWidth="1"/>
    <col min="11043" max="11267" width="9" style="169"/>
    <col min="11268" max="11268" width="10.5" style="169" bestFit="1" customWidth="1"/>
    <col min="11269" max="11277" width="9" style="169"/>
    <col min="11278" max="11278" width="9.5" style="169" bestFit="1" customWidth="1"/>
    <col min="11279" max="11296" width="9" style="169"/>
    <col min="11297" max="11297" width="15.875" style="169" bestFit="1" customWidth="1"/>
    <col min="11298" max="11298" width="11.375" style="169" bestFit="1" customWidth="1"/>
    <col min="11299" max="11523" width="9" style="169"/>
    <col min="11524" max="11524" width="10.5" style="169" bestFit="1" customWidth="1"/>
    <col min="11525" max="11533" width="9" style="169"/>
    <col min="11534" max="11534" width="9.5" style="169" bestFit="1" customWidth="1"/>
    <col min="11535" max="11552" width="9" style="169"/>
    <col min="11553" max="11553" width="15.875" style="169" bestFit="1" customWidth="1"/>
    <col min="11554" max="11554" width="11.375" style="169" bestFit="1" customWidth="1"/>
    <col min="11555" max="11779" width="9" style="169"/>
    <col min="11780" max="11780" width="10.5" style="169" bestFit="1" customWidth="1"/>
    <col min="11781" max="11789" width="9" style="169"/>
    <col min="11790" max="11790" width="9.5" style="169" bestFit="1" customWidth="1"/>
    <col min="11791" max="11808" width="9" style="169"/>
    <col min="11809" max="11809" width="15.875" style="169" bestFit="1" customWidth="1"/>
    <col min="11810" max="11810" width="11.375" style="169" bestFit="1" customWidth="1"/>
    <col min="11811" max="12035" width="9" style="169"/>
    <col min="12036" max="12036" width="10.5" style="169" bestFit="1" customWidth="1"/>
    <col min="12037" max="12045" width="9" style="169"/>
    <col min="12046" max="12046" width="9.5" style="169" bestFit="1" customWidth="1"/>
    <col min="12047" max="12064" width="9" style="169"/>
    <col min="12065" max="12065" width="15.875" style="169" bestFit="1" customWidth="1"/>
    <col min="12066" max="12066" width="11.375" style="169" bestFit="1" customWidth="1"/>
    <col min="12067" max="12291" width="9" style="169"/>
    <col min="12292" max="12292" width="10.5" style="169" bestFit="1" customWidth="1"/>
    <col min="12293" max="12301" width="9" style="169"/>
    <col min="12302" max="12302" width="9.5" style="169" bestFit="1" customWidth="1"/>
    <col min="12303" max="12320" width="9" style="169"/>
    <col min="12321" max="12321" width="15.875" style="169" bestFit="1" customWidth="1"/>
    <col min="12322" max="12322" width="11.375" style="169" bestFit="1" customWidth="1"/>
    <col min="12323" max="12547" width="9" style="169"/>
    <col min="12548" max="12548" width="10.5" style="169" bestFit="1" customWidth="1"/>
    <col min="12549" max="12557" width="9" style="169"/>
    <col min="12558" max="12558" width="9.5" style="169" bestFit="1" customWidth="1"/>
    <col min="12559" max="12576" width="9" style="169"/>
    <col min="12577" max="12577" width="15.875" style="169" bestFit="1" customWidth="1"/>
    <col min="12578" max="12578" width="11.375" style="169" bestFit="1" customWidth="1"/>
    <col min="12579" max="12803" width="9" style="169"/>
    <col min="12804" max="12804" width="10.5" style="169" bestFit="1" customWidth="1"/>
    <col min="12805" max="12813" width="9" style="169"/>
    <col min="12814" max="12814" width="9.5" style="169" bestFit="1" customWidth="1"/>
    <col min="12815" max="12832" width="9" style="169"/>
    <col min="12833" max="12833" width="15.875" style="169" bestFit="1" customWidth="1"/>
    <col min="12834" max="12834" width="11.375" style="169" bestFit="1" customWidth="1"/>
    <col min="12835" max="13059" width="9" style="169"/>
    <col min="13060" max="13060" width="10.5" style="169" bestFit="1" customWidth="1"/>
    <col min="13061" max="13069" width="9" style="169"/>
    <col min="13070" max="13070" width="9.5" style="169" bestFit="1" customWidth="1"/>
    <col min="13071" max="13088" width="9" style="169"/>
    <col min="13089" max="13089" width="15.875" style="169" bestFit="1" customWidth="1"/>
    <col min="13090" max="13090" width="11.375" style="169" bestFit="1" customWidth="1"/>
    <col min="13091" max="13315" width="9" style="169"/>
    <col min="13316" max="13316" width="10.5" style="169" bestFit="1" customWidth="1"/>
    <col min="13317" max="13325" width="9" style="169"/>
    <col min="13326" max="13326" width="9.5" style="169" bestFit="1" customWidth="1"/>
    <col min="13327" max="13344" width="9" style="169"/>
    <col min="13345" max="13345" width="15.875" style="169" bestFit="1" customWidth="1"/>
    <col min="13346" max="13346" width="11.375" style="169" bestFit="1" customWidth="1"/>
    <col min="13347" max="13571" width="9" style="169"/>
    <col min="13572" max="13572" width="10.5" style="169" bestFit="1" customWidth="1"/>
    <col min="13573" max="13581" width="9" style="169"/>
    <col min="13582" max="13582" width="9.5" style="169" bestFit="1" customWidth="1"/>
    <col min="13583" max="13600" width="9" style="169"/>
    <col min="13601" max="13601" width="15.875" style="169" bestFit="1" customWidth="1"/>
    <col min="13602" max="13602" width="11.375" style="169" bestFit="1" customWidth="1"/>
    <col min="13603" max="13827" width="9" style="169"/>
    <col min="13828" max="13828" width="10.5" style="169" bestFit="1" customWidth="1"/>
    <col min="13829" max="13837" width="9" style="169"/>
    <col min="13838" max="13838" width="9.5" style="169" bestFit="1" customWidth="1"/>
    <col min="13839" max="13856" width="9" style="169"/>
    <col min="13857" max="13857" width="15.875" style="169" bestFit="1" customWidth="1"/>
    <col min="13858" max="13858" width="11.375" style="169" bestFit="1" customWidth="1"/>
    <col min="13859" max="14083" width="9" style="169"/>
    <col min="14084" max="14084" width="10.5" style="169" bestFit="1" customWidth="1"/>
    <col min="14085" max="14093" width="9" style="169"/>
    <col min="14094" max="14094" width="9.5" style="169" bestFit="1" customWidth="1"/>
    <col min="14095" max="14112" width="9" style="169"/>
    <col min="14113" max="14113" width="15.875" style="169" bestFit="1" customWidth="1"/>
    <col min="14114" max="14114" width="11.375" style="169" bestFit="1" customWidth="1"/>
    <col min="14115" max="14339" width="9" style="169"/>
    <col min="14340" max="14340" width="10.5" style="169" bestFit="1" customWidth="1"/>
    <col min="14341" max="14349" width="9" style="169"/>
    <col min="14350" max="14350" width="9.5" style="169" bestFit="1" customWidth="1"/>
    <col min="14351" max="14368" width="9" style="169"/>
    <col min="14369" max="14369" width="15.875" style="169" bestFit="1" customWidth="1"/>
    <col min="14370" max="14370" width="11.375" style="169" bestFit="1" customWidth="1"/>
    <col min="14371" max="14595" width="9" style="169"/>
    <col min="14596" max="14596" width="10.5" style="169" bestFit="1" customWidth="1"/>
    <col min="14597" max="14605" width="9" style="169"/>
    <col min="14606" max="14606" width="9.5" style="169" bestFit="1" customWidth="1"/>
    <col min="14607" max="14624" width="9" style="169"/>
    <col min="14625" max="14625" width="15.875" style="169" bestFit="1" customWidth="1"/>
    <col min="14626" max="14626" width="11.375" style="169" bestFit="1" customWidth="1"/>
    <col min="14627" max="14851" width="9" style="169"/>
    <col min="14852" max="14852" width="10.5" style="169" bestFit="1" customWidth="1"/>
    <col min="14853" max="14861" width="9" style="169"/>
    <col min="14862" max="14862" width="9.5" style="169" bestFit="1" customWidth="1"/>
    <col min="14863" max="14880" width="9" style="169"/>
    <col min="14881" max="14881" width="15.875" style="169" bestFit="1" customWidth="1"/>
    <col min="14882" max="14882" width="11.375" style="169" bestFit="1" customWidth="1"/>
    <col min="14883" max="15107" width="9" style="169"/>
    <col min="15108" max="15108" width="10.5" style="169" bestFit="1" customWidth="1"/>
    <col min="15109" max="15117" width="9" style="169"/>
    <col min="15118" max="15118" width="9.5" style="169" bestFit="1" customWidth="1"/>
    <col min="15119" max="15136" width="9" style="169"/>
    <col min="15137" max="15137" width="15.875" style="169" bestFit="1" customWidth="1"/>
    <col min="15138" max="15138" width="11.375" style="169" bestFit="1" customWidth="1"/>
    <col min="15139" max="15363" width="9" style="169"/>
    <col min="15364" max="15364" width="10.5" style="169" bestFit="1" customWidth="1"/>
    <col min="15365" max="15373" width="9" style="169"/>
    <col min="15374" max="15374" width="9.5" style="169" bestFit="1" customWidth="1"/>
    <col min="15375" max="15392" width="9" style="169"/>
    <col min="15393" max="15393" width="15.875" style="169" bestFit="1" customWidth="1"/>
    <col min="15394" max="15394" width="11.375" style="169" bestFit="1" customWidth="1"/>
    <col min="15395" max="15619" width="9" style="169"/>
    <col min="15620" max="15620" width="10.5" style="169" bestFit="1" customWidth="1"/>
    <col min="15621" max="15629" width="9" style="169"/>
    <col min="15630" max="15630" width="9.5" style="169" bestFit="1" customWidth="1"/>
    <col min="15631" max="15648" width="9" style="169"/>
    <col min="15649" max="15649" width="15.875" style="169" bestFit="1" customWidth="1"/>
    <col min="15650" max="15650" width="11.375" style="169" bestFit="1" customWidth="1"/>
    <col min="15651" max="15875" width="9" style="169"/>
    <col min="15876" max="15876" width="10.5" style="169" bestFit="1" customWidth="1"/>
    <col min="15877" max="15885" width="9" style="169"/>
    <col min="15886" max="15886" width="9.5" style="169" bestFit="1" customWidth="1"/>
    <col min="15887" max="15904" width="9" style="169"/>
    <col min="15905" max="15905" width="15.875" style="169" bestFit="1" customWidth="1"/>
    <col min="15906" max="15906" width="11.375" style="169" bestFit="1" customWidth="1"/>
    <col min="15907" max="16131" width="9" style="169"/>
    <col min="16132" max="16132" width="10.5" style="169" bestFit="1" customWidth="1"/>
    <col min="16133" max="16141" width="9" style="169"/>
    <col min="16142" max="16142" width="9.5" style="169" bestFit="1" customWidth="1"/>
    <col min="16143" max="16160" width="9" style="169"/>
    <col min="16161" max="16161" width="15.875" style="169" bestFit="1" customWidth="1"/>
    <col min="16162" max="16162" width="11.375" style="169" bestFit="1" customWidth="1"/>
    <col min="16163" max="16384" width="9" style="169"/>
  </cols>
  <sheetData>
    <row r="1" spans="1:53" ht="45" x14ac:dyDescent="0.15">
      <c r="A1" s="83" t="s">
        <v>0</v>
      </c>
      <c r="B1" s="163" t="s">
        <v>1</v>
      </c>
      <c r="C1" s="163" t="s">
        <v>336</v>
      </c>
      <c r="D1" s="164" t="s">
        <v>3</v>
      </c>
      <c r="E1" s="84" t="s">
        <v>4</v>
      </c>
      <c r="F1" s="84" t="s">
        <v>5</v>
      </c>
      <c r="G1" s="84" t="s">
        <v>6</v>
      </c>
      <c r="H1" s="84" t="s">
        <v>7</v>
      </c>
      <c r="I1" s="84" t="s">
        <v>8</v>
      </c>
      <c r="J1" s="84" t="s">
        <v>9</v>
      </c>
      <c r="K1" s="84" t="s">
        <v>10</v>
      </c>
      <c r="L1" s="164" t="s">
        <v>337</v>
      </c>
      <c r="M1" s="164" t="s">
        <v>12</v>
      </c>
      <c r="N1" s="164" t="s">
        <v>13</v>
      </c>
      <c r="O1" s="164" t="s">
        <v>338</v>
      </c>
      <c r="P1" s="164" t="s">
        <v>339</v>
      </c>
      <c r="Q1" s="165" t="s">
        <v>16</v>
      </c>
      <c r="R1" s="164" t="s">
        <v>340</v>
      </c>
      <c r="S1" s="164" t="s">
        <v>341</v>
      </c>
      <c r="T1" s="165" t="s">
        <v>19</v>
      </c>
      <c r="U1" s="166" t="s">
        <v>108</v>
      </c>
      <c r="V1" s="167" t="s">
        <v>20</v>
      </c>
      <c r="W1" s="164" t="s">
        <v>21</v>
      </c>
      <c r="X1" s="84" t="s">
        <v>22</v>
      </c>
      <c r="Y1" s="84" t="s">
        <v>23</v>
      </c>
      <c r="Z1" s="84" t="s">
        <v>24</v>
      </c>
      <c r="AA1" s="85" t="s">
        <v>25</v>
      </c>
      <c r="AB1" s="168" t="s">
        <v>342</v>
      </c>
      <c r="AE1" s="170" t="s">
        <v>0</v>
      </c>
      <c r="AF1" s="171"/>
      <c r="AG1" s="170" t="s">
        <v>4</v>
      </c>
      <c r="AH1" s="170" t="s">
        <v>5</v>
      </c>
      <c r="AI1" s="171"/>
      <c r="AJ1" s="170" t="s">
        <v>6</v>
      </c>
      <c r="AK1" s="171"/>
      <c r="AL1" s="172" t="s">
        <v>7</v>
      </c>
      <c r="AM1" s="171"/>
      <c r="AN1" s="172" t="s">
        <v>8</v>
      </c>
      <c r="AO1" s="171"/>
      <c r="AP1" s="172" t="s">
        <v>27</v>
      </c>
      <c r="AQ1" s="171"/>
      <c r="AR1" s="172" t="s">
        <v>10</v>
      </c>
      <c r="AS1" s="171"/>
      <c r="AT1" s="173" t="s">
        <v>28</v>
      </c>
      <c r="AU1" s="171"/>
      <c r="AV1" s="172" t="s">
        <v>29</v>
      </c>
      <c r="AX1" s="174" t="s">
        <v>343</v>
      </c>
      <c r="AY1" s="175" t="s">
        <v>344</v>
      </c>
      <c r="AZ1" s="175" t="s">
        <v>345</v>
      </c>
      <c r="BA1" s="176" t="s">
        <v>346</v>
      </c>
    </row>
    <row r="2" spans="1:53" s="177" customFormat="1" x14ac:dyDescent="0.15">
      <c r="A2" s="55" t="s">
        <v>56</v>
      </c>
      <c r="B2" s="55" t="s">
        <v>347</v>
      </c>
      <c r="C2" s="177">
        <v>2018</v>
      </c>
      <c r="D2" s="86" t="s">
        <v>348</v>
      </c>
      <c r="E2" s="177" t="s">
        <v>349</v>
      </c>
      <c r="F2" s="177" t="s">
        <v>176</v>
      </c>
      <c r="G2" s="55" t="s">
        <v>42</v>
      </c>
      <c r="H2" s="177" t="s">
        <v>157</v>
      </c>
      <c r="I2" s="55" t="s">
        <v>155</v>
      </c>
      <c r="J2" s="177" t="s">
        <v>38</v>
      </c>
      <c r="K2" s="177" t="s">
        <v>156</v>
      </c>
      <c r="L2" s="177">
        <v>1</v>
      </c>
      <c r="N2" s="169">
        <v>1</v>
      </c>
      <c r="O2" s="177">
        <v>0.8</v>
      </c>
      <c r="P2" s="169">
        <v>0.8</v>
      </c>
      <c r="Q2" s="206">
        <f>IF(OR(O2="",P2=""),"",AVERAGE(O2,P2))</f>
        <v>0.8</v>
      </c>
      <c r="R2" s="177">
        <v>13</v>
      </c>
      <c r="S2" s="177">
        <v>134</v>
      </c>
      <c r="T2" s="178">
        <f>IF(H2="","",IF(OR(H2="GREEN",H2="GK"),IF(S2&gt;=$AX$2,VLOOKUP(S2,$AX$2:$AY$10,2,1),""),IF(S2&gt;=$AZ$2,VLOOKUP(S2,$AZ$2:$BA$10,2,1),"")))</f>
        <v>25</v>
      </c>
      <c r="U2" s="177">
        <v>138</v>
      </c>
      <c r="V2" s="178">
        <f>IF(OR(N2="",U2="",T2=""),"",U2/N2*T2)</f>
        <v>3450</v>
      </c>
      <c r="W2" s="177">
        <v>3</v>
      </c>
      <c r="X2" s="55" t="s">
        <v>46</v>
      </c>
      <c r="Y2" s="55" t="s">
        <v>55</v>
      </c>
      <c r="Z2" s="177" t="s">
        <v>47</v>
      </c>
      <c r="AA2" s="55" t="s">
        <v>86</v>
      </c>
      <c r="AB2" s="39" t="s">
        <v>328</v>
      </c>
      <c r="AE2" s="179" t="s">
        <v>35</v>
      </c>
      <c r="AG2" s="192" t="s">
        <v>350</v>
      </c>
      <c r="AH2" s="87" t="s">
        <v>176</v>
      </c>
      <c r="AJ2" s="180" t="s">
        <v>36</v>
      </c>
      <c r="AL2" s="180" t="s">
        <v>127</v>
      </c>
      <c r="AN2" s="180" t="s">
        <v>37</v>
      </c>
      <c r="AP2" s="180" t="s">
        <v>38</v>
      </c>
      <c r="AR2" s="180" t="s">
        <v>351</v>
      </c>
      <c r="AT2" s="180" t="s">
        <v>39</v>
      </c>
      <c r="AV2" s="180" t="s">
        <v>40</v>
      </c>
      <c r="AX2" s="181">
        <v>1</v>
      </c>
      <c r="AY2" s="182">
        <v>50</v>
      </c>
      <c r="AZ2" s="182">
        <v>1</v>
      </c>
      <c r="BA2" s="183">
        <v>50</v>
      </c>
    </row>
    <row r="3" spans="1:53" x14ac:dyDescent="0.15">
      <c r="A3" s="55" t="s">
        <v>56</v>
      </c>
      <c r="B3" s="55" t="s">
        <v>352</v>
      </c>
      <c r="C3" s="177">
        <v>2018</v>
      </c>
      <c r="D3" s="86" t="s">
        <v>353</v>
      </c>
      <c r="E3" s="177" t="s">
        <v>349</v>
      </c>
      <c r="F3" s="177" t="s">
        <v>176</v>
      </c>
      <c r="G3" s="55" t="s">
        <v>42</v>
      </c>
      <c r="H3" s="177" t="s">
        <v>157</v>
      </c>
      <c r="I3" s="55" t="s">
        <v>155</v>
      </c>
      <c r="J3" s="177" t="s">
        <v>38</v>
      </c>
      <c r="K3" s="177" t="s">
        <v>156</v>
      </c>
      <c r="L3" s="169">
        <v>2</v>
      </c>
      <c r="N3" s="169">
        <v>1</v>
      </c>
      <c r="O3" s="169">
        <v>0.85</v>
      </c>
      <c r="P3" s="169">
        <v>0.9</v>
      </c>
      <c r="Q3" s="206">
        <f>IF(OR(O3="",P3=""),"",AVERAGE(O3,P3))</f>
        <v>0.875</v>
      </c>
      <c r="R3" s="169">
        <v>11.8</v>
      </c>
      <c r="S3" s="169">
        <v>139</v>
      </c>
      <c r="T3" s="178">
        <f>IF(H3="","",IF(OR(H3="GREEN",H3="GK"),IF(S3&gt;=$AX$2,VLOOKUP(S3,$AX$2:$AY$10,2,1),""),IF(S3&gt;=$AZ$2,VLOOKUP(S3,$AZ$2:$BA$10,2,1),"")))</f>
        <v>22</v>
      </c>
      <c r="U3" s="169">
        <v>138</v>
      </c>
      <c r="V3" s="178">
        <f>IF(OR(N3="",U3="",T3=""),"",U3/N3*T3)</f>
        <v>3036</v>
      </c>
      <c r="W3" s="169">
        <v>3</v>
      </c>
      <c r="X3" s="55" t="s">
        <v>46</v>
      </c>
      <c r="Y3" s="55" t="s">
        <v>55</v>
      </c>
      <c r="Z3" s="177" t="s">
        <v>47</v>
      </c>
      <c r="AA3" s="55" t="s">
        <v>86</v>
      </c>
      <c r="AB3" s="39" t="s">
        <v>328</v>
      </c>
      <c r="AE3" s="184" t="s">
        <v>41</v>
      </c>
      <c r="AG3" s="192" t="s">
        <v>350</v>
      </c>
      <c r="AH3" s="87" t="s">
        <v>177</v>
      </c>
      <c r="AJ3" s="185" t="s">
        <v>42</v>
      </c>
      <c r="AL3" s="185" t="s">
        <v>128</v>
      </c>
      <c r="AN3" s="185" t="s">
        <v>43</v>
      </c>
      <c r="AP3" s="185" t="s">
        <v>44</v>
      </c>
      <c r="AR3" s="199" t="s">
        <v>45</v>
      </c>
      <c r="AT3" s="185" t="s">
        <v>46</v>
      </c>
      <c r="AV3" s="185" t="s">
        <v>47</v>
      </c>
      <c r="AX3" s="186">
        <v>72</v>
      </c>
      <c r="AY3" s="187">
        <v>46</v>
      </c>
      <c r="AZ3" s="187">
        <v>71</v>
      </c>
      <c r="BA3" s="188">
        <v>42</v>
      </c>
    </row>
    <row r="4" spans="1:53" x14ac:dyDescent="0.15">
      <c r="A4" s="55" t="s">
        <v>56</v>
      </c>
      <c r="B4" s="55" t="s">
        <v>352</v>
      </c>
      <c r="C4" s="177">
        <v>2018</v>
      </c>
      <c r="D4" s="86" t="s">
        <v>353</v>
      </c>
      <c r="E4" s="177" t="s">
        <v>349</v>
      </c>
      <c r="F4" s="177" t="s">
        <v>176</v>
      </c>
      <c r="G4" s="55" t="s">
        <v>42</v>
      </c>
      <c r="H4" s="177" t="s">
        <v>157</v>
      </c>
      <c r="I4" s="55" t="s">
        <v>155</v>
      </c>
      <c r="J4" s="177" t="s">
        <v>38</v>
      </c>
      <c r="K4" s="177" t="s">
        <v>156</v>
      </c>
      <c r="L4" s="169">
        <v>3</v>
      </c>
      <c r="N4" s="169">
        <v>1</v>
      </c>
      <c r="O4" s="169">
        <v>1</v>
      </c>
      <c r="P4" s="169">
        <v>0.95</v>
      </c>
      <c r="Q4" s="206">
        <f>IF(OR(O4="",P4=""),"",AVERAGE(O4,P4))</f>
        <v>0.97499999999999998</v>
      </c>
      <c r="R4" s="169">
        <v>12.5</v>
      </c>
      <c r="S4" s="169">
        <v>144</v>
      </c>
      <c r="T4" s="178">
        <f>IF(H4="","",IF(OR(H4="GREEN",H4="GK"),IF(S4&gt;=$AX$2,VLOOKUP(S4,$AX$2:$AY$10,2,1),""),IF(S4&gt;=$AZ$2,VLOOKUP(S4,$AZ$2:$BA$10,2,1),"")))</f>
        <v>22</v>
      </c>
      <c r="U4" s="169">
        <v>138</v>
      </c>
      <c r="V4" s="178">
        <f>IF(OR(N4="",U4="",T4=""),"",U4/N4*T4)</f>
        <v>3036</v>
      </c>
      <c r="W4" s="169">
        <v>3</v>
      </c>
      <c r="X4" s="55" t="s">
        <v>46</v>
      </c>
      <c r="Y4" s="55" t="s">
        <v>55</v>
      </c>
      <c r="Z4" s="177" t="s">
        <v>47</v>
      </c>
      <c r="AA4" s="55" t="s">
        <v>86</v>
      </c>
      <c r="AB4" s="39" t="s">
        <v>328</v>
      </c>
      <c r="AE4" s="184" t="s">
        <v>34</v>
      </c>
      <c r="AG4" s="192" t="s">
        <v>354</v>
      </c>
      <c r="AH4" s="87" t="s">
        <v>355</v>
      </c>
      <c r="AJ4" s="189" t="s">
        <v>48</v>
      </c>
      <c r="AL4" s="189" t="s">
        <v>178</v>
      </c>
      <c r="AN4" s="190" t="s">
        <v>49</v>
      </c>
      <c r="AP4" s="185" t="s">
        <v>356</v>
      </c>
      <c r="AR4" s="199" t="s">
        <v>357</v>
      </c>
      <c r="AT4" s="190"/>
      <c r="AV4" s="185" t="s">
        <v>50</v>
      </c>
      <c r="AX4" s="186">
        <v>75</v>
      </c>
      <c r="AY4" s="187">
        <v>42</v>
      </c>
      <c r="AZ4" s="187">
        <v>76</v>
      </c>
      <c r="BA4" s="188">
        <v>39</v>
      </c>
    </row>
    <row r="5" spans="1:53" x14ac:dyDescent="0.15">
      <c r="A5" s="55" t="s">
        <v>56</v>
      </c>
      <c r="B5" s="55" t="s">
        <v>352</v>
      </c>
      <c r="C5" s="177">
        <v>2018</v>
      </c>
      <c r="D5" s="86" t="s">
        <v>353</v>
      </c>
      <c r="E5" s="177" t="s">
        <v>349</v>
      </c>
      <c r="F5" s="177" t="s">
        <v>176</v>
      </c>
      <c r="G5" s="55" t="s">
        <v>42</v>
      </c>
      <c r="H5" s="177" t="s">
        <v>221</v>
      </c>
      <c r="I5" s="55" t="s">
        <v>155</v>
      </c>
      <c r="J5" s="177" t="s">
        <v>38</v>
      </c>
      <c r="K5" s="177" t="s">
        <v>156</v>
      </c>
      <c r="L5" s="169">
        <v>1</v>
      </c>
      <c r="N5" s="169">
        <v>6</v>
      </c>
      <c r="O5" s="169">
        <v>0.7</v>
      </c>
      <c r="P5" s="169">
        <v>0.75</v>
      </c>
      <c r="Q5" s="206">
        <f t="shared" ref="Q5:Q67" si="0">IF(OR(O5="",P5=""),"",AVERAGE(O5,P5))</f>
        <v>0.72499999999999998</v>
      </c>
      <c r="R5" s="169">
        <v>14.6</v>
      </c>
      <c r="S5" s="169">
        <v>83</v>
      </c>
      <c r="T5" s="178">
        <f t="shared" ref="T5:T67" si="1">IF(H5="","",IF(OR(H5="GREEN",H5="GK"),IF(S5&gt;=$AX$2,VLOOKUP(S5,$AX$2:$AY$10,2,1),""),IF(S5&gt;=$AZ$2,VLOOKUP(S5,$AZ$2:$BA$10,2,1),"")))</f>
        <v>39</v>
      </c>
      <c r="U5" s="169">
        <v>430</v>
      </c>
      <c r="V5" s="178">
        <f t="shared" ref="V5:V67" si="2">IF(OR(N5="",U5="",T5=""),"",U5/N5*T5)</f>
        <v>2795</v>
      </c>
      <c r="W5" s="169">
        <v>3</v>
      </c>
      <c r="X5" s="55" t="s">
        <v>46</v>
      </c>
      <c r="Y5" s="55" t="s">
        <v>55</v>
      </c>
      <c r="Z5" s="177" t="s">
        <v>47</v>
      </c>
      <c r="AA5" s="55" t="s">
        <v>86</v>
      </c>
      <c r="AB5" s="39" t="s">
        <v>328</v>
      </c>
      <c r="AE5" s="184" t="s">
        <v>51</v>
      </c>
      <c r="AG5" s="192" t="s">
        <v>179</v>
      </c>
      <c r="AH5" s="87" t="s">
        <v>180</v>
      </c>
      <c r="AJ5" s="190"/>
      <c r="AL5" s="191" t="s">
        <v>169</v>
      </c>
      <c r="AN5" s="191" t="s">
        <v>170</v>
      </c>
      <c r="AP5" s="185" t="s">
        <v>181</v>
      </c>
      <c r="AR5" s="199" t="s">
        <v>54</v>
      </c>
      <c r="AV5" s="185" t="s">
        <v>55</v>
      </c>
      <c r="AX5" s="186">
        <v>84</v>
      </c>
      <c r="AY5" s="187">
        <v>39</v>
      </c>
      <c r="AZ5" s="187">
        <v>84</v>
      </c>
      <c r="BA5" s="188">
        <v>36</v>
      </c>
    </row>
    <row r="6" spans="1:53" x14ac:dyDescent="0.15">
      <c r="A6" s="55" t="s">
        <v>56</v>
      </c>
      <c r="B6" s="55" t="s">
        <v>358</v>
      </c>
      <c r="C6" s="177">
        <v>2018</v>
      </c>
      <c r="D6" s="86" t="s">
        <v>359</v>
      </c>
      <c r="E6" s="177" t="s">
        <v>349</v>
      </c>
      <c r="F6" s="177" t="s">
        <v>176</v>
      </c>
      <c r="G6" s="55" t="s">
        <v>42</v>
      </c>
      <c r="H6" s="177" t="s">
        <v>221</v>
      </c>
      <c r="I6" s="55" t="s">
        <v>155</v>
      </c>
      <c r="J6" s="177" t="s">
        <v>38</v>
      </c>
      <c r="K6" s="177" t="s">
        <v>156</v>
      </c>
      <c r="L6" s="169">
        <v>2</v>
      </c>
      <c r="N6" s="169">
        <v>6</v>
      </c>
      <c r="O6" s="169">
        <v>0.7</v>
      </c>
      <c r="P6" s="169">
        <v>0.75</v>
      </c>
      <c r="Q6" s="206">
        <f t="shared" si="0"/>
        <v>0.72499999999999998</v>
      </c>
      <c r="R6" s="169">
        <v>16.8</v>
      </c>
      <c r="S6" s="169">
        <v>86</v>
      </c>
      <c r="T6" s="178">
        <f t="shared" si="1"/>
        <v>36</v>
      </c>
      <c r="U6" s="169">
        <v>430</v>
      </c>
      <c r="V6" s="178">
        <f t="shared" si="2"/>
        <v>2580</v>
      </c>
      <c r="W6" s="169">
        <v>3</v>
      </c>
      <c r="X6" s="55" t="s">
        <v>46</v>
      </c>
      <c r="Y6" s="55" t="s">
        <v>55</v>
      </c>
      <c r="Z6" s="177" t="s">
        <v>47</v>
      </c>
      <c r="AA6" s="55" t="s">
        <v>86</v>
      </c>
      <c r="AB6" s="39" t="s">
        <v>328</v>
      </c>
      <c r="AE6" s="184" t="s">
        <v>56</v>
      </c>
      <c r="AG6" s="192" t="s">
        <v>182</v>
      </c>
      <c r="AH6" s="87" t="s">
        <v>180</v>
      </c>
      <c r="AL6" s="191" t="s">
        <v>99</v>
      </c>
      <c r="AN6" s="191" t="s">
        <v>171</v>
      </c>
      <c r="AP6" s="185" t="s">
        <v>53</v>
      </c>
      <c r="AR6" s="199" t="s">
        <v>59</v>
      </c>
      <c r="AV6" s="185" t="s">
        <v>60</v>
      </c>
      <c r="AX6" s="186">
        <v>97</v>
      </c>
      <c r="AY6" s="187">
        <v>36</v>
      </c>
      <c r="AZ6" s="187">
        <v>99</v>
      </c>
      <c r="BA6" s="188">
        <v>33</v>
      </c>
    </row>
    <row r="7" spans="1:53" x14ac:dyDescent="0.15">
      <c r="A7" s="55" t="s">
        <v>56</v>
      </c>
      <c r="B7" s="55" t="s">
        <v>358</v>
      </c>
      <c r="C7" s="177">
        <v>2018</v>
      </c>
      <c r="D7" s="86" t="s">
        <v>359</v>
      </c>
      <c r="E7" s="177" t="s">
        <v>349</v>
      </c>
      <c r="F7" s="177" t="s">
        <v>176</v>
      </c>
      <c r="G7" s="55" t="s">
        <v>42</v>
      </c>
      <c r="H7" s="177" t="s">
        <v>221</v>
      </c>
      <c r="I7" s="55" t="s">
        <v>155</v>
      </c>
      <c r="J7" s="177" t="s">
        <v>38</v>
      </c>
      <c r="K7" s="177" t="s">
        <v>156</v>
      </c>
      <c r="L7" s="169">
        <v>3</v>
      </c>
      <c r="N7" s="169">
        <v>6</v>
      </c>
      <c r="O7" s="169">
        <v>0.55000000000000004</v>
      </c>
      <c r="P7" s="169">
        <v>0.6</v>
      </c>
      <c r="Q7" s="206">
        <f t="shared" si="0"/>
        <v>0.57499999999999996</v>
      </c>
      <c r="R7" s="169">
        <v>15.9</v>
      </c>
      <c r="S7" s="169">
        <v>90</v>
      </c>
      <c r="T7" s="178">
        <f t="shared" si="1"/>
        <v>36</v>
      </c>
      <c r="U7" s="169">
        <v>430</v>
      </c>
      <c r="V7" s="178">
        <f t="shared" si="2"/>
        <v>2580</v>
      </c>
      <c r="W7" s="169">
        <v>3</v>
      </c>
      <c r="X7" s="55" t="s">
        <v>46</v>
      </c>
      <c r="Y7" s="55" t="s">
        <v>55</v>
      </c>
      <c r="Z7" s="177" t="s">
        <v>47</v>
      </c>
      <c r="AA7" s="55" t="s">
        <v>86</v>
      </c>
      <c r="AB7" s="39" t="s">
        <v>328</v>
      </c>
      <c r="AE7" s="184" t="s">
        <v>61</v>
      </c>
      <c r="AG7" s="192" t="s">
        <v>183</v>
      </c>
      <c r="AH7" s="87" t="s">
        <v>184</v>
      </c>
      <c r="AL7" s="88" t="s">
        <v>172</v>
      </c>
      <c r="AP7" s="185" t="s">
        <v>58</v>
      </c>
      <c r="AR7" s="192" t="s">
        <v>122</v>
      </c>
      <c r="AV7" s="185" t="s">
        <v>64</v>
      </c>
      <c r="AX7" s="186">
        <v>109</v>
      </c>
      <c r="AY7" s="187">
        <v>33</v>
      </c>
      <c r="AZ7" s="187">
        <v>113</v>
      </c>
      <c r="BA7" s="188">
        <v>30</v>
      </c>
    </row>
    <row r="8" spans="1:53" x14ac:dyDescent="0.15">
      <c r="A8" s="55" t="s">
        <v>56</v>
      </c>
      <c r="B8" s="55" t="s">
        <v>360</v>
      </c>
      <c r="C8" s="177">
        <v>2018</v>
      </c>
      <c r="D8" s="86" t="s">
        <v>361</v>
      </c>
      <c r="E8" s="177" t="s">
        <v>349</v>
      </c>
      <c r="F8" s="177" t="s">
        <v>176</v>
      </c>
      <c r="G8" s="55" t="s">
        <v>42</v>
      </c>
      <c r="H8" s="177" t="s">
        <v>167</v>
      </c>
      <c r="I8" s="55" t="s">
        <v>155</v>
      </c>
      <c r="J8" s="177" t="s">
        <v>38</v>
      </c>
      <c r="K8" s="177" t="s">
        <v>156</v>
      </c>
      <c r="L8" s="169">
        <v>1</v>
      </c>
      <c r="N8" s="169">
        <v>5</v>
      </c>
      <c r="O8" s="169">
        <v>0.65</v>
      </c>
      <c r="P8" s="169">
        <v>0.65</v>
      </c>
      <c r="Q8" s="206">
        <f t="shared" si="0"/>
        <v>0.65</v>
      </c>
      <c r="R8" s="169">
        <v>14</v>
      </c>
      <c r="S8" s="169">
        <v>112</v>
      </c>
      <c r="T8" s="178">
        <f t="shared" si="1"/>
        <v>33</v>
      </c>
      <c r="U8" s="169">
        <v>538</v>
      </c>
      <c r="V8" s="178">
        <f t="shared" si="2"/>
        <v>3550.7999999999997</v>
      </c>
      <c r="W8" s="169">
        <v>2</v>
      </c>
      <c r="X8" s="55" t="s">
        <v>46</v>
      </c>
      <c r="Y8" s="55" t="s">
        <v>55</v>
      </c>
      <c r="Z8" s="177" t="s">
        <v>47</v>
      </c>
      <c r="AA8" s="55" t="s">
        <v>86</v>
      </c>
      <c r="AB8" s="39" t="s">
        <v>328</v>
      </c>
      <c r="AE8" s="184" t="s">
        <v>59</v>
      </c>
      <c r="AG8" s="192" t="s">
        <v>362</v>
      </c>
      <c r="AH8" s="87" t="s">
        <v>184</v>
      </c>
      <c r="AL8" s="88" t="s">
        <v>333</v>
      </c>
      <c r="AP8" s="185" t="s">
        <v>62</v>
      </c>
      <c r="AR8" s="199" t="s">
        <v>81</v>
      </c>
      <c r="AV8" s="185" t="s">
        <v>97</v>
      </c>
      <c r="AX8" s="186">
        <v>119</v>
      </c>
      <c r="AY8" s="187">
        <v>30</v>
      </c>
      <c r="AZ8" s="187">
        <v>121</v>
      </c>
      <c r="BA8" s="188">
        <v>27</v>
      </c>
    </row>
    <row r="9" spans="1:53" x14ac:dyDescent="0.15">
      <c r="A9" s="55" t="s">
        <v>56</v>
      </c>
      <c r="B9" s="55" t="s">
        <v>360</v>
      </c>
      <c r="C9" s="177">
        <v>2018</v>
      </c>
      <c r="D9" s="86" t="s">
        <v>361</v>
      </c>
      <c r="E9" s="177" t="s">
        <v>349</v>
      </c>
      <c r="F9" s="177" t="s">
        <v>176</v>
      </c>
      <c r="G9" s="55" t="s">
        <v>42</v>
      </c>
      <c r="H9" s="177" t="s">
        <v>167</v>
      </c>
      <c r="I9" s="55" t="s">
        <v>155</v>
      </c>
      <c r="J9" s="177" t="s">
        <v>38</v>
      </c>
      <c r="K9" s="177" t="s">
        <v>156</v>
      </c>
      <c r="L9" s="169">
        <v>2</v>
      </c>
      <c r="N9" s="169">
        <v>5</v>
      </c>
      <c r="O9" s="169">
        <v>0.8</v>
      </c>
      <c r="P9" s="169">
        <v>0.7</v>
      </c>
      <c r="Q9" s="206">
        <f t="shared" si="0"/>
        <v>0.75</v>
      </c>
      <c r="R9" s="169">
        <v>15.9</v>
      </c>
      <c r="S9" s="169">
        <v>112</v>
      </c>
      <c r="T9" s="178">
        <f t="shared" si="1"/>
        <v>33</v>
      </c>
      <c r="U9" s="169">
        <v>538</v>
      </c>
      <c r="V9" s="178">
        <f t="shared" si="2"/>
        <v>3550.7999999999997</v>
      </c>
      <c r="W9" s="169">
        <v>2</v>
      </c>
      <c r="X9" s="55" t="s">
        <v>46</v>
      </c>
      <c r="Y9" s="55" t="s">
        <v>55</v>
      </c>
      <c r="Z9" s="177" t="s">
        <v>47</v>
      </c>
      <c r="AA9" s="55" t="s">
        <v>86</v>
      </c>
      <c r="AB9" s="39" t="s">
        <v>328</v>
      </c>
      <c r="AE9" s="184" t="s">
        <v>98</v>
      </c>
      <c r="AG9" s="192" t="s">
        <v>185</v>
      </c>
      <c r="AH9" s="192" t="s">
        <v>177</v>
      </c>
      <c r="AL9" s="191"/>
      <c r="AP9" s="185" t="s">
        <v>95</v>
      </c>
      <c r="AR9" s="192" t="s">
        <v>89</v>
      </c>
      <c r="AV9" s="185" t="s">
        <v>102</v>
      </c>
      <c r="AX9" s="186">
        <v>128</v>
      </c>
      <c r="AY9" s="187">
        <v>27</v>
      </c>
      <c r="AZ9" s="187">
        <v>129</v>
      </c>
      <c r="BA9" s="188">
        <v>25</v>
      </c>
    </row>
    <row r="10" spans="1:53" x14ac:dyDescent="0.15">
      <c r="A10" s="55" t="s">
        <v>56</v>
      </c>
      <c r="B10" s="55" t="s">
        <v>363</v>
      </c>
      <c r="C10" s="177">
        <v>2018</v>
      </c>
      <c r="D10" s="86" t="s">
        <v>364</v>
      </c>
      <c r="E10" s="177" t="s">
        <v>349</v>
      </c>
      <c r="F10" s="177" t="s">
        <v>176</v>
      </c>
      <c r="G10" s="55" t="s">
        <v>42</v>
      </c>
      <c r="H10" s="177" t="s">
        <v>167</v>
      </c>
      <c r="I10" s="55" t="s">
        <v>155</v>
      </c>
      <c r="J10" s="177" t="s">
        <v>38</v>
      </c>
      <c r="K10" s="177" t="s">
        <v>156</v>
      </c>
      <c r="L10" s="169">
        <v>3</v>
      </c>
      <c r="N10" s="169">
        <v>5</v>
      </c>
      <c r="O10" s="169">
        <v>0.85</v>
      </c>
      <c r="P10" s="169">
        <v>0.85</v>
      </c>
      <c r="Q10" s="206">
        <f t="shared" si="0"/>
        <v>0.85</v>
      </c>
      <c r="R10" s="169">
        <v>12.6</v>
      </c>
      <c r="S10" s="169">
        <v>113</v>
      </c>
      <c r="T10" s="178">
        <f t="shared" si="1"/>
        <v>30</v>
      </c>
      <c r="U10" s="169">
        <v>538</v>
      </c>
      <c r="V10" s="178">
        <f t="shared" si="2"/>
        <v>3228</v>
      </c>
      <c r="W10" s="169">
        <v>2</v>
      </c>
      <c r="X10" s="55" t="s">
        <v>46</v>
      </c>
      <c r="Y10" s="55" t="s">
        <v>55</v>
      </c>
      <c r="Z10" s="177" t="s">
        <v>47</v>
      </c>
      <c r="AA10" s="55" t="s">
        <v>86</v>
      </c>
      <c r="AB10" s="39" t="s">
        <v>328</v>
      </c>
      <c r="AE10" s="184" t="s">
        <v>103</v>
      </c>
      <c r="AG10" s="192" t="s">
        <v>365</v>
      </c>
      <c r="AH10" s="87" t="s">
        <v>366</v>
      </c>
      <c r="AL10" s="88"/>
      <c r="AP10" s="185" t="s">
        <v>100</v>
      </c>
      <c r="AR10" s="192" t="s">
        <v>123</v>
      </c>
      <c r="AV10" s="185" t="s">
        <v>106</v>
      </c>
      <c r="AX10" s="186">
        <v>138</v>
      </c>
      <c r="AY10" s="187">
        <v>25</v>
      </c>
      <c r="AZ10" s="187">
        <v>138</v>
      </c>
      <c r="BA10" s="188">
        <v>22</v>
      </c>
    </row>
    <row r="11" spans="1:53" x14ac:dyDescent="0.15">
      <c r="A11" s="55" t="s">
        <v>56</v>
      </c>
      <c r="B11" s="55" t="s">
        <v>363</v>
      </c>
      <c r="C11" s="177">
        <v>2018</v>
      </c>
      <c r="D11" s="86" t="s">
        <v>364</v>
      </c>
      <c r="E11" s="177" t="s">
        <v>349</v>
      </c>
      <c r="F11" s="177" t="s">
        <v>177</v>
      </c>
      <c r="G11" s="55" t="s">
        <v>42</v>
      </c>
      <c r="H11" s="177" t="s">
        <v>157</v>
      </c>
      <c r="I11" s="55" t="s">
        <v>155</v>
      </c>
      <c r="J11" s="177" t="s">
        <v>38</v>
      </c>
      <c r="K11" s="177" t="s">
        <v>156</v>
      </c>
      <c r="L11" s="169">
        <v>1</v>
      </c>
      <c r="N11" s="169">
        <v>1</v>
      </c>
      <c r="O11" s="169">
        <v>0.85</v>
      </c>
      <c r="P11" s="169">
        <v>0.8</v>
      </c>
      <c r="Q11" s="206">
        <f t="shared" si="0"/>
        <v>0.82499999999999996</v>
      </c>
      <c r="R11" s="169">
        <v>12.6</v>
      </c>
      <c r="S11" s="169">
        <v>146</v>
      </c>
      <c r="T11" s="178">
        <f t="shared" si="1"/>
        <v>22</v>
      </c>
      <c r="U11" s="169">
        <v>149</v>
      </c>
      <c r="V11" s="178">
        <f t="shared" si="2"/>
        <v>3278</v>
      </c>
      <c r="W11" s="169">
        <v>4</v>
      </c>
      <c r="X11" s="55" t="s">
        <v>46</v>
      </c>
      <c r="Y11" s="55" t="s">
        <v>55</v>
      </c>
      <c r="Z11" s="177" t="s">
        <v>78</v>
      </c>
      <c r="AA11" s="55" t="s">
        <v>90</v>
      </c>
      <c r="AB11" s="39" t="s">
        <v>328</v>
      </c>
      <c r="AE11" s="184" t="s">
        <v>65</v>
      </c>
      <c r="AG11" s="192" t="s">
        <v>367</v>
      </c>
      <c r="AH11" s="87" t="s">
        <v>366</v>
      </c>
      <c r="AJ11" s="88"/>
      <c r="AP11" s="185" t="s">
        <v>104</v>
      </c>
      <c r="AR11" s="192" t="s">
        <v>87</v>
      </c>
      <c r="AV11" s="185" t="s">
        <v>69</v>
      </c>
    </row>
    <row r="12" spans="1:53" x14ac:dyDescent="0.15">
      <c r="A12" s="55" t="s">
        <v>56</v>
      </c>
      <c r="B12" s="55" t="s">
        <v>368</v>
      </c>
      <c r="C12" s="177">
        <v>2018</v>
      </c>
      <c r="D12" s="86" t="s">
        <v>369</v>
      </c>
      <c r="E12" s="177" t="s">
        <v>349</v>
      </c>
      <c r="F12" s="177" t="s">
        <v>177</v>
      </c>
      <c r="G12" s="55" t="s">
        <v>42</v>
      </c>
      <c r="H12" s="177" t="s">
        <v>157</v>
      </c>
      <c r="I12" s="55" t="s">
        <v>155</v>
      </c>
      <c r="J12" s="177" t="s">
        <v>38</v>
      </c>
      <c r="K12" s="177" t="s">
        <v>156</v>
      </c>
      <c r="L12" s="169">
        <v>2</v>
      </c>
      <c r="N12" s="169">
        <v>1</v>
      </c>
      <c r="O12" s="169">
        <v>0.5</v>
      </c>
      <c r="P12" s="169">
        <v>0.5</v>
      </c>
      <c r="Q12" s="206">
        <f t="shared" si="0"/>
        <v>0.5</v>
      </c>
      <c r="R12" s="169">
        <v>12.5</v>
      </c>
      <c r="S12" s="169">
        <v>149</v>
      </c>
      <c r="T12" s="178">
        <f t="shared" si="1"/>
        <v>22</v>
      </c>
      <c r="U12" s="169">
        <v>149</v>
      </c>
      <c r="V12" s="178">
        <f t="shared" si="2"/>
        <v>3278</v>
      </c>
      <c r="W12" s="169">
        <v>4</v>
      </c>
      <c r="X12" s="55" t="s">
        <v>46</v>
      </c>
      <c r="Y12" s="55" t="s">
        <v>55</v>
      </c>
      <c r="Z12" s="177" t="s">
        <v>78</v>
      </c>
      <c r="AA12" s="55" t="s">
        <v>90</v>
      </c>
      <c r="AB12" s="39" t="s">
        <v>328</v>
      </c>
      <c r="AE12" s="184" t="s">
        <v>70</v>
      </c>
      <c r="AG12" s="192" t="s">
        <v>370</v>
      </c>
      <c r="AH12" s="87" t="s">
        <v>371</v>
      </c>
      <c r="AJ12" s="88"/>
      <c r="AP12" s="185" t="s">
        <v>67</v>
      </c>
      <c r="AR12" s="192" t="s">
        <v>124</v>
      </c>
      <c r="AV12" s="185" t="s">
        <v>72</v>
      </c>
    </row>
    <row r="13" spans="1:53" x14ac:dyDescent="0.15">
      <c r="A13" s="55" t="s">
        <v>56</v>
      </c>
      <c r="B13" s="55" t="s">
        <v>372</v>
      </c>
      <c r="C13" s="177">
        <v>2018</v>
      </c>
      <c r="D13" s="86" t="s">
        <v>373</v>
      </c>
      <c r="E13" s="177" t="s">
        <v>349</v>
      </c>
      <c r="F13" s="177" t="s">
        <v>177</v>
      </c>
      <c r="G13" s="55" t="s">
        <v>42</v>
      </c>
      <c r="H13" s="177" t="s">
        <v>157</v>
      </c>
      <c r="I13" s="55" t="s">
        <v>155</v>
      </c>
      <c r="J13" s="177" t="s">
        <v>38</v>
      </c>
      <c r="K13" s="177" t="s">
        <v>156</v>
      </c>
      <c r="L13" s="169">
        <v>3</v>
      </c>
      <c r="N13" s="169">
        <v>1</v>
      </c>
      <c r="O13" s="169">
        <v>0.6</v>
      </c>
      <c r="P13" s="169">
        <v>0.65</v>
      </c>
      <c r="Q13" s="206">
        <f t="shared" si="0"/>
        <v>0.625</v>
      </c>
      <c r="R13" s="169">
        <v>13.9</v>
      </c>
      <c r="S13" s="169">
        <v>155</v>
      </c>
      <c r="T13" s="178">
        <f t="shared" si="1"/>
        <v>22</v>
      </c>
      <c r="U13" s="169">
        <v>149</v>
      </c>
      <c r="V13" s="178">
        <f t="shared" si="2"/>
        <v>3278</v>
      </c>
      <c r="W13" s="169">
        <v>4</v>
      </c>
      <c r="X13" s="55" t="s">
        <v>46</v>
      </c>
      <c r="Y13" s="55" t="s">
        <v>55</v>
      </c>
      <c r="Z13" s="177" t="s">
        <v>78</v>
      </c>
      <c r="AA13" s="55" t="s">
        <v>90</v>
      </c>
      <c r="AB13" s="39" t="s">
        <v>328</v>
      </c>
      <c r="AE13" s="184" t="s">
        <v>73</v>
      </c>
      <c r="AP13" s="185" t="s">
        <v>71</v>
      </c>
      <c r="AR13" s="192" t="s">
        <v>103</v>
      </c>
      <c r="AV13" s="185" t="s">
        <v>75</v>
      </c>
    </row>
    <row r="14" spans="1:53" x14ac:dyDescent="0.15">
      <c r="A14" s="55" t="s">
        <v>56</v>
      </c>
      <c r="B14" s="55" t="s">
        <v>374</v>
      </c>
      <c r="C14" s="177">
        <v>2018</v>
      </c>
      <c r="D14" s="86" t="s">
        <v>375</v>
      </c>
      <c r="E14" s="177" t="s">
        <v>349</v>
      </c>
      <c r="F14" s="177" t="s">
        <v>177</v>
      </c>
      <c r="G14" s="55" t="s">
        <v>42</v>
      </c>
      <c r="H14" s="177" t="s">
        <v>221</v>
      </c>
      <c r="I14" s="55" t="s">
        <v>155</v>
      </c>
      <c r="J14" s="177" t="s">
        <v>38</v>
      </c>
      <c r="K14" s="177" t="s">
        <v>156</v>
      </c>
      <c r="L14" s="169">
        <v>1</v>
      </c>
      <c r="N14" s="169">
        <v>5</v>
      </c>
      <c r="O14" s="169">
        <v>0.65</v>
      </c>
      <c r="P14" s="169">
        <v>0.6</v>
      </c>
      <c r="Q14" s="206">
        <f t="shared" si="0"/>
        <v>0.625</v>
      </c>
      <c r="R14" s="169">
        <v>12.9</v>
      </c>
      <c r="S14" s="169">
        <v>86</v>
      </c>
      <c r="T14" s="178">
        <f t="shared" si="1"/>
        <v>36</v>
      </c>
      <c r="U14" s="169">
        <v>430</v>
      </c>
      <c r="V14" s="178">
        <f t="shared" si="2"/>
        <v>3096</v>
      </c>
      <c r="W14" s="169">
        <v>4</v>
      </c>
      <c r="X14" s="55" t="s">
        <v>46</v>
      </c>
      <c r="Y14" s="55" t="s">
        <v>55</v>
      </c>
      <c r="Z14" s="177" t="s">
        <v>78</v>
      </c>
      <c r="AA14" s="55" t="s">
        <v>90</v>
      </c>
      <c r="AB14" s="39" t="s">
        <v>328</v>
      </c>
      <c r="AE14" s="184" t="s">
        <v>76</v>
      </c>
      <c r="AP14" s="185" t="s">
        <v>74</v>
      </c>
      <c r="AR14" s="192" t="s">
        <v>125</v>
      </c>
      <c r="AV14" s="185" t="s">
        <v>78</v>
      </c>
    </row>
    <row r="15" spans="1:53" x14ac:dyDescent="0.15">
      <c r="A15" s="55" t="s">
        <v>56</v>
      </c>
      <c r="B15" s="55" t="s">
        <v>374</v>
      </c>
      <c r="C15" s="177">
        <v>2018</v>
      </c>
      <c r="D15" s="86" t="s">
        <v>375</v>
      </c>
      <c r="E15" s="177" t="s">
        <v>349</v>
      </c>
      <c r="F15" s="177" t="s">
        <v>177</v>
      </c>
      <c r="G15" s="55" t="s">
        <v>42</v>
      </c>
      <c r="H15" s="177" t="s">
        <v>221</v>
      </c>
      <c r="I15" s="55" t="s">
        <v>155</v>
      </c>
      <c r="J15" s="177" t="s">
        <v>38</v>
      </c>
      <c r="K15" s="177" t="s">
        <v>156</v>
      </c>
      <c r="L15" s="169">
        <v>2</v>
      </c>
      <c r="N15" s="169">
        <v>5</v>
      </c>
      <c r="O15" s="169">
        <v>0.65</v>
      </c>
      <c r="P15" s="169">
        <v>0.7</v>
      </c>
      <c r="Q15" s="206">
        <f t="shared" si="0"/>
        <v>0.67500000000000004</v>
      </c>
      <c r="R15" s="169">
        <v>17.5</v>
      </c>
      <c r="S15" s="169">
        <v>85</v>
      </c>
      <c r="T15" s="178">
        <f t="shared" si="1"/>
        <v>36</v>
      </c>
      <c r="U15" s="169">
        <v>430</v>
      </c>
      <c r="V15" s="178">
        <f t="shared" si="2"/>
        <v>3096</v>
      </c>
      <c r="W15" s="169">
        <v>4</v>
      </c>
      <c r="X15" s="55" t="s">
        <v>46</v>
      </c>
      <c r="Y15" s="55" t="s">
        <v>55</v>
      </c>
      <c r="Z15" s="177" t="s">
        <v>78</v>
      </c>
      <c r="AA15" s="55" t="s">
        <v>90</v>
      </c>
      <c r="AB15" s="39" t="s">
        <v>328</v>
      </c>
      <c r="AE15" s="184" t="s">
        <v>79</v>
      </c>
      <c r="AP15" s="185" t="s">
        <v>77</v>
      </c>
      <c r="AR15" s="192" t="s">
        <v>94</v>
      </c>
      <c r="AV15" s="185" t="s">
        <v>107</v>
      </c>
    </row>
    <row r="16" spans="1:53" x14ac:dyDescent="0.15">
      <c r="A16" s="55" t="s">
        <v>56</v>
      </c>
      <c r="B16" s="55" t="s">
        <v>376</v>
      </c>
      <c r="C16" s="177">
        <v>2018</v>
      </c>
      <c r="D16" s="86" t="s">
        <v>377</v>
      </c>
      <c r="E16" s="177" t="s">
        <v>349</v>
      </c>
      <c r="F16" s="177" t="s">
        <v>177</v>
      </c>
      <c r="G16" s="55" t="s">
        <v>42</v>
      </c>
      <c r="H16" s="177" t="s">
        <v>221</v>
      </c>
      <c r="I16" s="55" t="s">
        <v>155</v>
      </c>
      <c r="J16" s="177" t="s">
        <v>38</v>
      </c>
      <c r="K16" s="177" t="s">
        <v>156</v>
      </c>
      <c r="L16" s="169">
        <v>3</v>
      </c>
      <c r="N16" s="169">
        <v>5</v>
      </c>
      <c r="O16" s="169">
        <v>0.65</v>
      </c>
      <c r="P16" s="169">
        <v>0.6</v>
      </c>
      <c r="Q16" s="206">
        <f t="shared" si="0"/>
        <v>0.625</v>
      </c>
      <c r="R16" s="198">
        <v>14.9</v>
      </c>
      <c r="S16" s="169">
        <v>91</v>
      </c>
      <c r="T16" s="178">
        <f t="shared" si="1"/>
        <v>36</v>
      </c>
      <c r="U16" s="169">
        <v>430</v>
      </c>
      <c r="V16" s="178">
        <f t="shared" si="2"/>
        <v>3096</v>
      </c>
      <c r="W16" s="169">
        <v>4</v>
      </c>
      <c r="X16" s="55" t="s">
        <v>46</v>
      </c>
      <c r="Y16" s="55" t="s">
        <v>55</v>
      </c>
      <c r="Z16" s="177" t="s">
        <v>78</v>
      </c>
      <c r="AA16" s="55" t="s">
        <v>90</v>
      </c>
      <c r="AB16" s="39" t="s">
        <v>328</v>
      </c>
      <c r="AE16" s="184" t="s">
        <v>82</v>
      </c>
      <c r="AP16" s="185" t="s">
        <v>80</v>
      </c>
      <c r="AR16" s="199" t="s">
        <v>63</v>
      </c>
      <c r="AV16" s="185" t="s">
        <v>84</v>
      </c>
    </row>
    <row r="17" spans="1:48" x14ac:dyDescent="0.15">
      <c r="A17" s="55" t="s">
        <v>56</v>
      </c>
      <c r="B17" s="55" t="s">
        <v>376</v>
      </c>
      <c r="C17" s="177">
        <v>2018</v>
      </c>
      <c r="D17" s="86" t="s">
        <v>377</v>
      </c>
      <c r="E17" s="177" t="s">
        <v>349</v>
      </c>
      <c r="F17" s="177" t="s">
        <v>177</v>
      </c>
      <c r="G17" s="55" t="s">
        <v>42</v>
      </c>
      <c r="H17" s="177" t="s">
        <v>167</v>
      </c>
      <c r="I17" s="55" t="s">
        <v>155</v>
      </c>
      <c r="J17" s="177" t="s">
        <v>38</v>
      </c>
      <c r="K17" s="177" t="s">
        <v>156</v>
      </c>
      <c r="L17" s="169">
        <v>1</v>
      </c>
      <c r="N17" s="169">
        <v>1</v>
      </c>
      <c r="O17" s="169">
        <v>0.65</v>
      </c>
      <c r="P17" s="169">
        <v>0.6</v>
      </c>
      <c r="Q17" s="206">
        <f t="shared" si="0"/>
        <v>0.625</v>
      </c>
      <c r="R17" s="169">
        <v>16.399999999999999</v>
      </c>
      <c r="S17" s="169">
        <v>153</v>
      </c>
      <c r="T17" s="178">
        <f t="shared" si="1"/>
        <v>22</v>
      </c>
      <c r="U17" s="169">
        <v>149</v>
      </c>
      <c r="V17" s="178">
        <f t="shared" si="2"/>
        <v>3278</v>
      </c>
      <c r="W17" s="169">
        <v>8</v>
      </c>
      <c r="X17" s="55" t="s">
        <v>46</v>
      </c>
      <c r="Y17" s="55" t="s">
        <v>55</v>
      </c>
      <c r="Z17" s="177" t="s">
        <v>78</v>
      </c>
      <c r="AA17" s="55" t="s">
        <v>90</v>
      </c>
      <c r="AB17" s="39" t="s">
        <v>328</v>
      </c>
      <c r="AE17" s="184" t="s">
        <v>85</v>
      </c>
      <c r="AP17" s="200" t="s">
        <v>110</v>
      </c>
      <c r="AR17" s="199" t="s">
        <v>96</v>
      </c>
      <c r="AV17" s="185" t="s">
        <v>86</v>
      </c>
    </row>
    <row r="18" spans="1:48" x14ac:dyDescent="0.15">
      <c r="A18" s="55" t="s">
        <v>56</v>
      </c>
      <c r="B18" s="55" t="s">
        <v>376</v>
      </c>
      <c r="C18" s="177">
        <v>2018</v>
      </c>
      <c r="D18" s="86" t="s">
        <v>377</v>
      </c>
      <c r="E18" s="177" t="s">
        <v>349</v>
      </c>
      <c r="F18" s="177" t="s">
        <v>177</v>
      </c>
      <c r="G18" s="55" t="s">
        <v>42</v>
      </c>
      <c r="H18" s="177" t="s">
        <v>167</v>
      </c>
      <c r="I18" s="55" t="s">
        <v>155</v>
      </c>
      <c r="J18" s="177" t="s">
        <v>38</v>
      </c>
      <c r="K18" s="177" t="s">
        <v>156</v>
      </c>
      <c r="L18" s="169">
        <v>2</v>
      </c>
      <c r="N18" s="169">
        <v>1</v>
      </c>
      <c r="O18" s="169">
        <v>0.6</v>
      </c>
      <c r="P18" s="169">
        <v>0.6</v>
      </c>
      <c r="Q18" s="206">
        <f t="shared" si="0"/>
        <v>0.6</v>
      </c>
      <c r="R18" s="169">
        <v>16.600000000000001</v>
      </c>
      <c r="S18" s="169">
        <v>141</v>
      </c>
      <c r="T18" s="178">
        <f t="shared" si="1"/>
        <v>22</v>
      </c>
      <c r="U18" s="169">
        <v>149</v>
      </c>
      <c r="V18" s="178">
        <f t="shared" si="2"/>
        <v>3278</v>
      </c>
      <c r="W18" s="169">
        <v>8</v>
      </c>
      <c r="X18" s="55" t="s">
        <v>46</v>
      </c>
      <c r="Y18" s="55" t="s">
        <v>55</v>
      </c>
      <c r="Z18" s="177" t="s">
        <v>78</v>
      </c>
      <c r="AA18" s="55" t="s">
        <v>90</v>
      </c>
      <c r="AB18" s="39" t="s">
        <v>328</v>
      </c>
      <c r="AE18" s="184" t="s">
        <v>87</v>
      </c>
      <c r="AP18" s="200" t="s">
        <v>111</v>
      </c>
      <c r="AR18" s="199" t="s">
        <v>101</v>
      </c>
      <c r="AV18" s="185" t="s">
        <v>88</v>
      </c>
    </row>
    <row r="19" spans="1:48" x14ac:dyDescent="0.15">
      <c r="A19" s="55" t="s">
        <v>56</v>
      </c>
      <c r="B19" s="55" t="s">
        <v>368</v>
      </c>
      <c r="C19" s="177">
        <v>2018</v>
      </c>
      <c r="D19" s="86" t="s">
        <v>369</v>
      </c>
      <c r="E19" s="177" t="s">
        <v>349</v>
      </c>
      <c r="F19" s="177" t="s">
        <v>177</v>
      </c>
      <c r="G19" s="55" t="s">
        <v>42</v>
      </c>
      <c r="H19" s="177" t="s">
        <v>167</v>
      </c>
      <c r="I19" s="55" t="s">
        <v>155</v>
      </c>
      <c r="J19" s="177" t="s">
        <v>38</v>
      </c>
      <c r="K19" s="177" t="s">
        <v>156</v>
      </c>
      <c r="L19" s="169">
        <v>3</v>
      </c>
      <c r="N19" s="169">
        <v>1</v>
      </c>
      <c r="O19" s="169">
        <v>0.6</v>
      </c>
      <c r="P19" s="169">
        <v>0.6</v>
      </c>
      <c r="Q19" s="206">
        <f t="shared" si="0"/>
        <v>0.6</v>
      </c>
      <c r="R19" s="198">
        <v>15.3</v>
      </c>
      <c r="S19" s="169">
        <v>135</v>
      </c>
      <c r="T19" s="178">
        <f t="shared" si="1"/>
        <v>25</v>
      </c>
      <c r="U19" s="169">
        <v>149</v>
      </c>
      <c r="V19" s="178">
        <f t="shared" si="2"/>
        <v>3725</v>
      </c>
      <c r="W19" s="169">
        <v>8</v>
      </c>
      <c r="X19" s="55" t="s">
        <v>46</v>
      </c>
      <c r="Y19" s="55" t="s">
        <v>55</v>
      </c>
      <c r="Z19" s="177" t="s">
        <v>78</v>
      </c>
      <c r="AA19" s="55" t="s">
        <v>90</v>
      </c>
      <c r="AB19" s="39" t="s">
        <v>328</v>
      </c>
      <c r="AE19" s="197" t="s">
        <v>89</v>
      </c>
      <c r="AP19" s="200" t="s">
        <v>112</v>
      </c>
      <c r="AR19" s="192" t="s">
        <v>126</v>
      </c>
      <c r="AV19" s="185" t="s">
        <v>90</v>
      </c>
    </row>
    <row r="20" spans="1:48" x14ac:dyDescent="0.15">
      <c r="A20" s="55" t="s">
        <v>56</v>
      </c>
      <c r="B20" s="55" t="s">
        <v>368</v>
      </c>
      <c r="C20" s="177">
        <v>2018</v>
      </c>
      <c r="D20" s="86" t="s">
        <v>369</v>
      </c>
      <c r="E20" s="177" t="s">
        <v>378</v>
      </c>
      <c r="F20" s="177" t="s">
        <v>379</v>
      </c>
      <c r="G20" s="55" t="s">
        <v>42</v>
      </c>
      <c r="H20" s="177" t="s">
        <v>221</v>
      </c>
      <c r="I20" s="55" t="s">
        <v>155</v>
      </c>
      <c r="J20" s="177" t="s">
        <v>38</v>
      </c>
      <c r="K20" s="177" t="s">
        <v>156</v>
      </c>
      <c r="L20" s="169">
        <v>1</v>
      </c>
      <c r="N20" s="169">
        <v>5</v>
      </c>
      <c r="O20" s="169">
        <v>0.6</v>
      </c>
      <c r="P20" s="169">
        <v>0.6</v>
      </c>
      <c r="Q20" s="206">
        <f t="shared" si="0"/>
        <v>0.6</v>
      </c>
      <c r="R20" s="169">
        <v>13.4</v>
      </c>
      <c r="S20" s="169">
        <v>94</v>
      </c>
      <c r="T20" s="178">
        <f t="shared" si="1"/>
        <v>36</v>
      </c>
      <c r="U20" s="169">
        <v>430</v>
      </c>
      <c r="V20" s="178">
        <f t="shared" si="2"/>
        <v>3096</v>
      </c>
      <c r="W20" s="169">
        <v>4</v>
      </c>
      <c r="X20" s="55" t="s">
        <v>46</v>
      </c>
      <c r="Y20" s="55" t="s">
        <v>55</v>
      </c>
      <c r="Z20" s="177" t="s">
        <v>64</v>
      </c>
      <c r="AA20" s="55" t="s">
        <v>97</v>
      </c>
      <c r="AB20" s="39" t="s">
        <v>328</v>
      </c>
      <c r="AP20" s="200" t="s">
        <v>113</v>
      </c>
      <c r="AR20" s="199" t="s">
        <v>105</v>
      </c>
      <c r="AV20" s="189" t="s">
        <v>334</v>
      </c>
    </row>
    <row r="21" spans="1:48" x14ac:dyDescent="0.15">
      <c r="A21" s="55" t="s">
        <v>56</v>
      </c>
      <c r="B21" s="55" t="s">
        <v>368</v>
      </c>
      <c r="C21" s="177">
        <v>2018</v>
      </c>
      <c r="D21" s="86" t="s">
        <v>369</v>
      </c>
      <c r="E21" s="177" t="s">
        <v>378</v>
      </c>
      <c r="F21" s="177" t="s">
        <v>379</v>
      </c>
      <c r="G21" s="55" t="s">
        <v>42</v>
      </c>
      <c r="H21" s="177" t="s">
        <v>221</v>
      </c>
      <c r="I21" s="55" t="s">
        <v>155</v>
      </c>
      <c r="J21" s="177" t="s">
        <v>38</v>
      </c>
      <c r="K21" s="177" t="s">
        <v>156</v>
      </c>
      <c r="L21" s="169">
        <v>2</v>
      </c>
      <c r="N21" s="169">
        <v>5</v>
      </c>
      <c r="O21" s="169">
        <v>0.65</v>
      </c>
      <c r="P21" s="169">
        <v>0.6</v>
      </c>
      <c r="Q21" s="206">
        <f t="shared" si="0"/>
        <v>0.625</v>
      </c>
      <c r="R21" s="169">
        <v>17.8</v>
      </c>
      <c r="S21" s="169">
        <v>105</v>
      </c>
      <c r="T21" s="178">
        <f t="shared" si="1"/>
        <v>33</v>
      </c>
      <c r="U21" s="169">
        <v>430</v>
      </c>
      <c r="V21" s="178">
        <f t="shared" si="2"/>
        <v>2838</v>
      </c>
      <c r="W21" s="169">
        <v>4</v>
      </c>
      <c r="X21" s="55" t="s">
        <v>46</v>
      </c>
      <c r="Y21" s="55" t="s">
        <v>55</v>
      </c>
      <c r="Z21" s="177" t="s">
        <v>64</v>
      </c>
      <c r="AA21" s="55" t="s">
        <v>97</v>
      </c>
      <c r="AB21" s="39" t="s">
        <v>328</v>
      </c>
      <c r="AP21" s="200" t="s">
        <v>114</v>
      </c>
      <c r="AR21" s="199" t="s">
        <v>68</v>
      </c>
      <c r="AV21" s="190" t="s">
        <v>380</v>
      </c>
    </row>
    <row r="22" spans="1:48" x14ac:dyDescent="0.15">
      <c r="A22" s="55" t="s">
        <v>56</v>
      </c>
      <c r="B22" s="55" t="s">
        <v>368</v>
      </c>
      <c r="C22" s="177">
        <v>2018</v>
      </c>
      <c r="D22" s="86" t="s">
        <v>369</v>
      </c>
      <c r="E22" s="177" t="s">
        <v>378</v>
      </c>
      <c r="F22" s="177" t="s">
        <v>379</v>
      </c>
      <c r="G22" s="55" t="s">
        <v>42</v>
      </c>
      <c r="H22" s="177" t="s">
        <v>221</v>
      </c>
      <c r="I22" s="55" t="s">
        <v>155</v>
      </c>
      <c r="J22" s="177" t="s">
        <v>38</v>
      </c>
      <c r="K22" s="177" t="s">
        <v>156</v>
      </c>
      <c r="L22" s="169">
        <v>3</v>
      </c>
      <c r="N22" s="169">
        <v>5</v>
      </c>
      <c r="O22" s="169">
        <v>0.55000000000000004</v>
      </c>
      <c r="P22" s="169">
        <v>0.6</v>
      </c>
      <c r="Q22" s="206">
        <f t="shared" si="0"/>
        <v>0.57499999999999996</v>
      </c>
      <c r="R22" s="198">
        <v>18.2</v>
      </c>
      <c r="S22" s="169">
        <v>95</v>
      </c>
      <c r="T22" s="178">
        <f t="shared" si="1"/>
        <v>36</v>
      </c>
      <c r="U22" s="169">
        <v>430</v>
      </c>
      <c r="V22" s="178">
        <f t="shared" si="2"/>
        <v>3096</v>
      </c>
      <c r="W22" s="169">
        <v>4</v>
      </c>
      <c r="X22" s="55" t="s">
        <v>46</v>
      </c>
      <c r="Y22" s="55" t="s">
        <v>55</v>
      </c>
      <c r="Z22" s="177" t="s">
        <v>64</v>
      </c>
      <c r="AA22" s="55" t="s">
        <v>97</v>
      </c>
      <c r="AB22" s="39" t="s">
        <v>328</v>
      </c>
      <c r="AP22" s="200" t="s">
        <v>115</v>
      </c>
      <c r="AR22" s="199" t="s">
        <v>83</v>
      </c>
    </row>
    <row r="23" spans="1:48" x14ac:dyDescent="0.15">
      <c r="A23" s="55" t="s">
        <v>56</v>
      </c>
      <c r="B23" s="55" t="s">
        <v>368</v>
      </c>
      <c r="C23" s="177">
        <v>2018</v>
      </c>
      <c r="D23" s="86" t="s">
        <v>369</v>
      </c>
      <c r="E23" s="177" t="s">
        <v>378</v>
      </c>
      <c r="F23" s="177" t="s">
        <v>379</v>
      </c>
      <c r="G23" s="55" t="s">
        <v>42</v>
      </c>
      <c r="H23" s="177" t="s">
        <v>167</v>
      </c>
      <c r="I23" s="55" t="s">
        <v>155</v>
      </c>
      <c r="J23" s="177" t="s">
        <v>38</v>
      </c>
      <c r="K23" s="177" t="s">
        <v>156</v>
      </c>
      <c r="L23" s="169">
        <v>1</v>
      </c>
      <c r="N23" s="169">
        <v>5</v>
      </c>
      <c r="O23" s="169">
        <v>0.6</v>
      </c>
      <c r="P23" s="169">
        <v>0.6</v>
      </c>
      <c r="Q23" s="206">
        <f t="shared" si="0"/>
        <v>0.6</v>
      </c>
      <c r="R23" s="169">
        <v>17.100000000000001</v>
      </c>
      <c r="S23" s="169">
        <v>118</v>
      </c>
      <c r="T23" s="178">
        <f t="shared" si="1"/>
        <v>30</v>
      </c>
      <c r="U23" s="169">
        <v>646</v>
      </c>
      <c r="V23" s="178">
        <f t="shared" si="2"/>
        <v>3875.9999999999995</v>
      </c>
      <c r="W23" s="169">
        <v>4</v>
      </c>
      <c r="X23" s="55" t="s">
        <v>46</v>
      </c>
      <c r="Y23" s="55" t="s">
        <v>55</v>
      </c>
      <c r="Z23" s="177" t="s">
        <v>64</v>
      </c>
      <c r="AA23" s="55" t="s">
        <v>97</v>
      </c>
      <c r="AB23" s="39" t="s">
        <v>328</v>
      </c>
      <c r="AP23" s="200" t="s">
        <v>381</v>
      </c>
      <c r="AR23" s="199" t="s">
        <v>61</v>
      </c>
    </row>
    <row r="24" spans="1:48" x14ac:dyDescent="0.15">
      <c r="A24" s="55" t="s">
        <v>56</v>
      </c>
      <c r="B24" s="55" t="s">
        <v>368</v>
      </c>
      <c r="C24" s="177">
        <v>2018</v>
      </c>
      <c r="D24" s="86" t="s">
        <v>369</v>
      </c>
      <c r="E24" s="177" t="s">
        <v>378</v>
      </c>
      <c r="F24" s="177" t="s">
        <v>379</v>
      </c>
      <c r="G24" s="55" t="s">
        <v>42</v>
      </c>
      <c r="H24" s="177" t="s">
        <v>167</v>
      </c>
      <c r="I24" s="55" t="s">
        <v>155</v>
      </c>
      <c r="J24" s="177" t="s">
        <v>38</v>
      </c>
      <c r="K24" s="177" t="s">
        <v>156</v>
      </c>
      <c r="L24" s="169">
        <v>2</v>
      </c>
      <c r="N24" s="169">
        <v>5</v>
      </c>
      <c r="O24" s="169">
        <v>0.55000000000000004</v>
      </c>
      <c r="P24" s="169">
        <v>0.55000000000000004</v>
      </c>
      <c r="Q24" s="206">
        <f t="shared" si="0"/>
        <v>0.55000000000000004</v>
      </c>
      <c r="R24" s="169">
        <v>17.7</v>
      </c>
      <c r="S24" s="169">
        <v>122</v>
      </c>
      <c r="T24" s="178">
        <f t="shared" si="1"/>
        <v>27</v>
      </c>
      <c r="U24" s="169">
        <v>646</v>
      </c>
      <c r="V24" s="178">
        <f t="shared" si="2"/>
        <v>3488.3999999999996</v>
      </c>
      <c r="W24" s="169">
        <v>4</v>
      </c>
      <c r="X24" s="55" t="s">
        <v>46</v>
      </c>
      <c r="Y24" s="55" t="s">
        <v>55</v>
      </c>
      <c r="Z24" s="177" t="s">
        <v>64</v>
      </c>
      <c r="AA24" s="55" t="s">
        <v>97</v>
      </c>
      <c r="AB24" s="39" t="s">
        <v>328</v>
      </c>
      <c r="AP24" s="200" t="s">
        <v>382</v>
      </c>
      <c r="AR24" s="199" t="s">
        <v>91</v>
      </c>
    </row>
    <row r="25" spans="1:48" x14ac:dyDescent="0.15">
      <c r="A25" s="55" t="s">
        <v>56</v>
      </c>
      <c r="B25" s="55" t="s">
        <v>368</v>
      </c>
      <c r="C25" s="177">
        <v>2018</v>
      </c>
      <c r="D25" s="86" t="s">
        <v>369</v>
      </c>
      <c r="E25" s="177" t="s">
        <v>378</v>
      </c>
      <c r="F25" s="177" t="s">
        <v>379</v>
      </c>
      <c r="G25" s="55" t="s">
        <v>42</v>
      </c>
      <c r="H25" s="177" t="s">
        <v>167</v>
      </c>
      <c r="I25" s="55" t="s">
        <v>155</v>
      </c>
      <c r="J25" s="177" t="s">
        <v>38</v>
      </c>
      <c r="K25" s="177" t="s">
        <v>156</v>
      </c>
      <c r="L25" s="169">
        <v>3</v>
      </c>
      <c r="N25" s="169">
        <v>5</v>
      </c>
      <c r="O25" s="169">
        <v>0.6</v>
      </c>
      <c r="P25" s="169">
        <v>0.65</v>
      </c>
      <c r="Q25" s="206">
        <f t="shared" si="0"/>
        <v>0.625</v>
      </c>
      <c r="R25" s="198">
        <v>15.9</v>
      </c>
      <c r="S25" s="169">
        <v>120</v>
      </c>
      <c r="T25" s="178">
        <f t="shared" si="1"/>
        <v>30</v>
      </c>
      <c r="U25" s="169">
        <v>646</v>
      </c>
      <c r="V25" s="178">
        <f t="shared" si="2"/>
        <v>3875.9999999999995</v>
      </c>
      <c r="W25" s="169">
        <v>4</v>
      </c>
      <c r="X25" s="55" t="s">
        <v>46</v>
      </c>
      <c r="Y25" s="55" t="s">
        <v>55</v>
      </c>
      <c r="Z25" s="177" t="s">
        <v>64</v>
      </c>
      <c r="AA25" s="55" t="s">
        <v>97</v>
      </c>
      <c r="AB25" s="39" t="s">
        <v>328</v>
      </c>
      <c r="AP25" s="200" t="s">
        <v>116</v>
      </c>
      <c r="AR25" s="42" t="s">
        <v>92</v>
      </c>
    </row>
    <row r="26" spans="1:48" x14ac:dyDescent="0.15">
      <c r="A26" s="55" t="s">
        <v>56</v>
      </c>
      <c r="B26" s="55" t="s">
        <v>368</v>
      </c>
      <c r="C26" s="177">
        <v>2018</v>
      </c>
      <c r="D26" s="86" t="s">
        <v>369</v>
      </c>
      <c r="E26" s="177" t="s">
        <v>383</v>
      </c>
      <c r="F26" s="177" t="s">
        <v>384</v>
      </c>
      <c r="G26" s="55" t="s">
        <v>42</v>
      </c>
      <c r="H26" s="177" t="s">
        <v>157</v>
      </c>
      <c r="I26" s="55" t="s">
        <v>155</v>
      </c>
      <c r="J26" s="177" t="s">
        <v>38</v>
      </c>
      <c r="K26" s="177" t="s">
        <v>156</v>
      </c>
      <c r="L26" s="169">
        <v>1</v>
      </c>
      <c r="N26" s="169">
        <v>1</v>
      </c>
      <c r="O26" s="169">
        <v>0.75</v>
      </c>
      <c r="P26" s="169">
        <v>0.75</v>
      </c>
      <c r="Q26" s="206">
        <f t="shared" si="0"/>
        <v>0.75</v>
      </c>
      <c r="R26" s="169">
        <v>13.8</v>
      </c>
      <c r="S26" s="169">
        <v>141</v>
      </c>
      <c r="T26" s="178">
        <f t="shared" si="1"/>
        <v>22</v>
      </c>
      <c r="U26" s="169">
        <v>105</v>
      </c>
      <c r="V26" s="178">
        <f t="shared" si="2"/>
        <v>2310</v>
      </c>
      <c r="W26" s="169">
        <v>2</v>
      </c>
      <c r="X26" s="55" t="s">
        <v>46</v>
      </c>
      <c r="Y26" s="55" t="s">
        <v>47</v>
      </c>
      <c r="Z26" s="169" t="s">
        <v>69</v>
      </c>
      <c r="AA26" s="55" t="s">
        <v>55</v>
      </c>
      <c r="AB26" s="39" t="s">
        <v>328</v>
      </c>
      <c r="AP26" s="200" t="s">
        <v>117</v>
      </c>
      <c r="AR26" s="169" t="s">
        <v>278</v>
      </c>
    </row>
    <row r="27" spans="1:48" x14ac:dyDescent="0.15">
      <c r="A27" s="55" t="s">
        <v>56</v>
      </c>
      <c r="B27" s="55" t="s">
        <v>368</v>
      </c>
      <c r="C27" s="177">
        <v>2018</v>
      </c>
      <c r="D27" s="86" t="s">
        <v>369</v>
      </c>
      <c r="E27" s="177" t="s">
        <v>383</v>
      </c>
      <c r="F27" s="177" t="s">
        <v>384</v>
      </c>
      <c r="G27" s="55" t="s">
        <v>42</v>
      </c>
      <c r="H27" s="177" t="s">
        <v>157</v>
      </c>
      <c r="I27" s="55" t="s">
        <v>155</v>
      </c>
      <c r="J27" s="177" t="s">
        <v>38</v>
      </c>
      <c r="K27" s="177" t="s">
        <v>156</v>
      </c>
      <c r="L27" s="169">
        <v>2</v>
      </c>
      <c r="N27" s="169">
        <v>1</v>
      </c>
      <c r="O27" s="169">
        <v>0.75</v>
      </c>
      <c r="P27" s="169">
        <v>0.8</v>
      </c>
      <c r="Q27" s="206">
        <f t="shared" si="0"/>
        <v>0.77500000000000002</v>
      </c>
      <c r="R27" s="169">
        <v>14.2</v>
      </c>
      <c r="S27" s="169">
        <v>134</v>
      </c>
      <c r="T27" s="178">
        <f t="shared" si="1"/>
        <v>25</v>
      </c>
      <c r="U27" s="169">
        <v>105</v>
      </c>
      <c r="V27" s="178">
        <f t="shared" si="2"/>
        <v>2625</v>
      </c>
      <c r="W27" s="169">
        <v>2</v>
      </c>
      <c r="X27" s="55" t="s">
        <v>46</v>
      </c>
      <c r="Y27" s="55" t="s">
        <v>47</v>
      </c>
      <c r="Z27" s="169" t="s">
        <v>69</v>
      </c>
      <c r="AA27" s="55" t="s">
        <v>55</v>
      </c>
      <c r="AB27" s="39" t="s">
        <v>328</v>
      </c>
      <c r="AP27" s="200" t="s">
        <v>118</v>
      </c>
    </row>
    <row r="28" spans="1:48" x14ac:dyDescent="0.15">
      <c r="A28" s="55" t="s">
        <v>56</v>
      </c>
      <c r="B28" s="55" t="s">
        <v>368</v>
      </c>
      <c r="C28" s="177">
        <v>2018</v>
      </c>
      <c r="D28" s="86" t="s">
        <v>369</v>
      </c>
      <c r="E28" s="177" t="s">
        <v>383</v>
      </c>
      <c r="F28" s="177" t="s">
        <v>384</v>
      </c>
      <c r="G28" s="55" t="s">
        <v>42</v>
      </c>
      <c r="H28" s="177" t="s">
        <v>157</v>
      </c>
      <c r="I28" s="55" t="s">
        <v>155</v>
      </c>
      <c r="J28" s="177" t="s">
        <v>38</v>
      </c>
      <c r="K28" s="177" t="s">
        <v>156</v>
      </c>
      <c r="L28" s="169">
        <v>3</v>
      </c>
      <c r="N28" s="169">
        <v>1</v>
      </c>
      <c r="O28" s="169">
        <v>0.8</v>
      </c>
      <c r="P28" s="169">
        <v>0.75</v>
      </c>
      <c r="Q28" s="206">
        <f t="shared" si="0"/>
        <v>0.77500000000000002</v>
      </c>
      <c r="R28" s="198">
        <v>14.3</v>
      </c>
      <c r="S28" s="169">
        <v>146</v>
      </c>
      <c r="T28" s="178">
        <f t="shared" si="1"/>
        <v>22</v>
      </c>
      <c r="U28" s="169">
        <v>105</v>
      </c>
      <c r="V28" s="178">
        <f t="shared" si="2"/>
        <v>2310</v>
      </c>
      <c r="W28" s="169">
        <v>2</v>
      </c>
      <c r="X28" s="55" t="s">
        <v>46</v>
      </c>
      <c r="Y28" s="55" t="s">
        <v>47</v>
      </c>
      <c r="Z28" s="169" t="s">
        <v>69</v>
      </c>
      <c r="AA28" s="55" t="s">
        <v>55</v>
      </c>
      <c r="AB28" s="39" t="s">
        <v>328</v>
      </c>
    </row>
    <row r="29" spans="1:48" x14ac:dyDescent="0.15">
      <c r="A29" s="55" t="s">
        <v>56</v>
      </c>
      <c r="B29" s="55" t="s">
        <v>368</v>
      </c>
      <c r="C29" s="177">
        <v>2018</v>
      </c>
      <c r="D29" s="86" t="s">
        <v>369</v>
      </c>
      <c r="E29" s="177" t="s">
        <v>383</v>
      </c>
      <c r="F29" s="177" t="s">
        <v>384</v>
      </c>
      <c r="G29" s="55" t="s">
        <v>42</v>
      </c>
      <c r="H29" s="177" t="s">
        <v>167</v>
      </c>
      <c r="I29" s="55" t="s">
        <v>155</v>
      </c>
      <c r="J29" s="177" t="s">
        <v>38</v>
      </c>
      <c r="K29" s="177" t="s">
        <v>156</v>
      </c>
      <c r="L29" s="169">
        <v>1</v>
      </c>
      <c r="N29" s="169">
        <v>1</v>
      </c>
      <c r="O29" s="169">
        <v>0.55000000000000004</v>
      </c>
      <c r="P29" s="169">
        <v>0.55000000000000004</v>
      </c>
      <c r="Q29" s="206">
        <f t="shared" si="0"/>
        <v>0.55000000000000004</v>
      </c>
      <c r="R29" s="169">
        <v>16.8</v>
      </c>
      <c r="S29" s="169">
        <v>179</v>
      </c>
      <c r="T29" s="178">
        <f t="shared" si="1"/>
        <v>22</v>
      </c>
      <c r="U29" s="169">
        <v>105</v>
      </c>
      <c r="V29" s="178">
        <f t="shared" si="2"/>
        <v>2310</v>
      </c>
      <c r="W29" s="169">
        <v>2</v>
      </c>
      <c r="X29" s="55" t="s">
        <v>46</v>
      </c>
      <c r="Y29" s="55" t="s">
        <v>47</v>
      </c>
      <c r="Z29" s="169" t="s">
        <v>69</v>
      </c>
      <c r="AA29" s="55" t="s">
        <v>55</v>
      </c>
      <c r="AB29" s="39" t="s">
        <v>328</v>
      </c>
    </row>
    <row r="30" spans="1:48" x14ac:dyDescent="0.15">
      <c r="A30" s="55" t="s">
        <v>56</v>
      </c>
      <c r="B30" s="55" t="s">
        <v>368</v>
      </c>
      <c r="C30" s="177">
        <v>2018</v>
      </c>
      <c r="D30" s="86" t="s">
        <v>369</v>
      </c>
      <c r="E30" s="177" t="s">
        <v>383</v>
      </c>
      <c r="F30" s="177" t="s">
        <v>384</v>
      </c>
      <c r="G30" s="55" t="s">
        <v>42</v>
      </c>
      <c r="H30" s="177" t="s">
        <v>167</v>
      </c>
      <c r="I30" s="55" t="s">
        <v>155</v>
      </c>
      <c r="J30" s="177" t="s">
        <v>38</v>
      </c>
      <c r="K30" s="177" t="s">
        <v>156</v>
      </c>
      <c r="L30" s="169">
        <v>2</v>
      </c>
      <c r="N30" s="169">
        <v>1</v>
      </c>
      <c r="O30" s="169">
        <v>0.6</v>
      </c>
      <c r="P30" s="169">
        <v>0.6</v>
      </c>
      <c r="Q30" s="206">
        <f t="shared" si="0"/>
        <v>0.6</v>
      </c>
      <c r="R30" s="169">
        <v>16.600000000000001</v>
      </c>
      <c r="S30" s="169">
        <v>200</v>
      </c>
      <c r="T30" s="178">
        <f t="shared" si="1"/>
        <v>22</v>
      </c>
      <c r="U30" s="169">
        <v>105</v>
      </c>
      <c r="V30" s="178">
        <f t="shared" si="2"/>
        <v>2310</v>
      </c>
      <c r="W30" s="169">
        <v>2</v>
      </c>
      <c r="X30" s="55" t="s">
        <v>46</v>
      </c>
      <c r="Y30" s="55" t="s">
        <v>47</v>
      </c>
      <c r="Z30" s="169" t="s">
        <v>69</v>
      </c>
      <c r="AA30" s="55" t="s">
        <v>55</v>
      </c>
      <c r="AB30" s="39" t="s">
        <v>328</v>
      </c>
    </row>
    <row r="31" spans="1:48" x14ac:dyDescent="0.15">
      <c r="A31" s="55" t="s">
        <v>56</v>
      </c>
      <c r="B31" s="55" t="s">
        <v>368</v>
      </c>
      <c r="C31" s="177">
        <v>2018</v>
      </c>
      <c r="D31" s="86" t="s">
        <v>369</v>
      </c>
      <c r="E31" s="177" t="s">
        <v>383</v>
      </c>
      <c r="F31" s="177" t="s">
        <v>384</v>
      </c>
      <c r="G31" s="55" t="s">
        <v>42</v>
      </c>
      <c r="H31" s="177" t="s">
        <v>167</v>
      </c>
      <c r="I31" s="55" t="s">
        <v>155</v>
      </c>
      <c r="J31" s="177" t="s">
        <v>38</v>
      </c>
      <c r="K31" s="177" t="s">
        <v>156</v>
      </c>
      <c r="L31" s="169">
        <v>3</v>
      </c>
      <c r="N31" s="169">
        <v>1</v>
      </c>
      <c r="O31" s="169">
        <v>0.5</v>
      </c>
      <c r="P31" s="169">
        <v>0.5</v>
      </c>
      <c r="Q31" s="206">
        <f t="shared" si="0"/>
        <v>0.5</v>
      </c>
      <c r="R31" s="198">
        <v>18.100000000000001</v>
      </c>
      <c r="S31" s="169">
        <v>177</v>
      </c>
      <c r="T31" s="178">
        <f t="shared" si="1"/>
        <v>22</v>
      </c>
      <c r="U31" s="169">
        <v>105</v>
      </c>
      <c r="V31" s="178">
        <f t="shared" si="2"/>
        <v>2310</v>
      </c>
      <c r="W31" s="169">
        <v>2</v>
      </c>
      <c r="X31" s="55" t="s">
        <v>46</v>
      </c>
      <c r="Y31" s="55" t="s">
        <v>47</v>
      </c>
      <c r="Z31" s="169" t="s">
        <v>69</v>
      </c>
      <c r="AA31" s="55" t="s">
        <v>55</v>
      </c>
      <c r="AB31" s="39" t="s">
        <v>328</v>
      </c>
    </row>
    <row r="32" spans="1:48" x14ac:dyDescent="0.15">
      <c r="A32" s="55" t="s">
        <v>56</v>
      </c>
      <c r="B32" s="55" t="s">
        <v>368</v>
      </c>
      <c r="C32" s="177">
        <v>2018</v>
      </c>
      <c r="D32" s="86" t="s">
        <v>369</v>
      </c>
      <c r="E32" s="177" t="s">
        <v>304</v>
      </c>
      <c r="F32" s="177" t="s">
        <v>184</v>
      </c>
      <c r="G32" s="55" t="s">
        <v>42</v>
      </c>
      <c r="H32" s="177" t="s">
        <v>157</v>
      </c>
      <c r="I32" s="55" t="s">
        <v>155</v>
      </c>
      <c r="J32" s="177" t="s">
        <v>38</v>
      </c>
      <c r="K32" s="177" t="s">
        <v>156</v>
      </c>
      <c r="L32" s="169">
        <v>1</v>
      </c>
      <c r="N32" s="169">
        <v>1</v>
      </c>
      <c r="O32" s="169">
        <v>0.7</v>
      </c>
      <c r="P32" s="169">
        <v>0.85</v>
      </c>
      <c r="Q32" s="206">
        <f t="shared" si="0"/>
        <v>0.77499999999999991</v>
      </c>
      <c r="R32" s="169">
        <v>13.2</v>
      </c>
      <c r="S32" s="169">
        <v>129</v>
      </c>
      <c r="T32" s="178">
        <f t="shared" si="1"/>
        <v>25</v>
      </c>
      <c r="U32" s="169">
        <v>105</v>
      </c>
      <c r="V32" s="178">
        <f t="shared" si="2"/>
        <v>2625</v>
      </c>
      <c r="W32" s="169">
        <v>2</v>
      </c>
      <c r="X32" s="55" t="s">
        <v>46</v>
      </c>
      <c r="Y32" s="55" t="s">
        <v>55</v>
      </c>
      <c r="Z32" s="169" t="s">
        <v>90</v>
      </c>
      <c r="AA32" s="55" t="s">
        <v>47</v>
      </c>
      <c r="AB32" s="39" t="s">
        <v>328</v>
      </c>
    </row>
    <row r="33" spans="1:28" x14ac:dyDescent="0.15">
      <c r="A33" s="55" t="s">
        <v>56</v>
      </c>
      <c r="B33" s="55" t="s">
        <v>368</v>
      </c>
      <c r="C33" s="177">
        <v>2018</v>
      </c>
      <c r="D33" s="86" t="s">
        <v>369</v>
      </c>
      <c r="E33" s="177" t="s">
        <v>304</v>
      </c>
      <c r="F33" s="177" t="s">
        <v>184</v>
      </c>
      <c r="G33" s="55" t="s">
        <v>42</v>
      </c>
      <c r="H33" s="177" t="s">
        <v>157</v>
      </c>
      <c r="I33" s="55" t="s">
        <v>155</v>
      </c>
      <c r="J33" s="177" t="s">
        <v>38</v>
      </c>
      <c r="K33" s="177" t="s">
        <v>156</v>
      </c>
      <c r="L33" s="169">
        <v>2</v>
      </c>
      <c r="N33" s="169">
        <v>1</v>
      </c>
      <c r="O33" s="169">
        <v>0.75</v>
      </c>
      <c r="P33" s="169">
        <v>0.85</v>
      </c>
      <c r="Q33" s="206">
        <f t="shared" si="0"/>
        <v>0.8</v>
      </c>
      <c r="R33" s="169">
        <v>12.4</v>
      </c>
      <c r="S33" s="169">
        <v>118</v>
      </c>
      <c r="T33" s="178">
        <f t="shared" si="1"/>
        <v>30</v>
      </c>
      <c r="U33" s="169">
        <v>105</v>
      </c>
      <c r="V33" s="178">
        <f t="shared" si="2"/>
        <v>3150</v>
      </c>
      <c r="W33" s="169">
        <v>2</v>
      </c>
      <c r="X33" s="55" t="s">
        <v>46</v>
      </c>
      <c r="Y33" s="55" t="s">
        <v>55</v>
      </c>
      <c r="Z33" s="169" t="s">
        <v>90</v>
      </c>
      <c r="AA33" s="55" t="s">
        <v>47</v>
      </c>
      <c r="AB33" s="39" t="s">
        <v>328</v>
      </c>
    </row>
    <row r="34" spans="1:28" x14ac:dyDescent="0.15">
      <c r="A34" s="55" t="s">
        <v>56</v>
      </c>
      <c r="B34" s="55" t="s">
        <v>368</v>
      </c>
      <c r="C34" s="177">
        <v>2018</v>
      </c>
      <c r="D34" s="86" t="s">
        <v>369</v>
      </c>
      <c r="E34" s="177" t="s">
        <v>304</v>
      </c>
      <c r="F34" s="177" t="s">
        <v>184</v>
      </c>
      <c r="G34" s="55" t="s">
        <v>42</v>
      </c>
      <c r="H34" s="177" t="s">
        <v>157</v>
      </c>
      <c r="I34" s="55" t="s">
        <v>155</v>
      </c>
      <c r="J34" s="177" t="s">
        <v>38</v>
      </c>
      <c r="K34" s="177" t="s">
        <v>156</v>
      </c>
      <c r="L34" s="169">
        <v>3</v>
      </c>
      <c r="N34" s="169">
        <v>1</v>
      </c>
      <c r="O34" s="169">
        <v>0.85</v>
      </c>
      <c r="P34" s="169">
        <v>0.8</v>
      </c>
      <c r="Q34" s="206">
        <f t="shared" si="0"/>
        <v>0.82499999999999996</v>
      </c>
      <c r="R34" s="198">
        <v>11.3</v>
      </c>
      <c r="S34" s="169">
        <v>124</v>
      </c>
      <c r="T34" s="178">
        <f t="shared" si="1"/>
        <v>27</v>
      </c>
      <c r="U34" s="169">
        <v>105</v>
      </c>
      <c r="V34" s="178">
        <f t="shared" si="2"/>
        <v>2835</v>
      </c>
      <c r="W34" s="169">
        <v>2</v>
      </c>
      <c r="X34" s="55" t="s">
        <v>46</v>
      </c>
      <c r="Y34" s="55" t="s">
        <v>55</v>
      </c>
      <c r="Z34" s="169" t="s">
        <v>90</v>
      </c>
      <c r="AA34" s="55" t="s">
        <v>47</v>
      </c>
      <c r="AB34" s="39" t="s">
        <v>328</v>
      </c>
    </row>
    <row r="35" spans="1:28" x14ac:dyDescent="0.15">
      <c r="A35" s="55" t="s">
        <v>56</v>
      </c>
      <c r="B35" s="55" t="s">
        <v>368</v>
      </c>
      <c r="C35" s="177">
        <v>2018</v>
      </c>
      <c r="D35" s="86" t="s">
        <v>369</v>
      </c>
      <c r="E35" s="177" t="s">
        <v>304</v>
      </c>
      <c r="F35" s="177" t="s">
        <v>184</v>
      </c>
      <c r="G35" s="55" t="s">
        <v>42</v>
      </c>
      <c r="H35" s="177" t="s">
        <v>167</v>
      </c>
      <c r="I35" s="55" t="s">
        <v>155</v>
      </c>
      <c r="J35" s="177" t="s">
        <v>38</v>
      </c>
      <c r="K35" s="177" t="s">
        <v>156</v>
      </c>
      <c r="L35" s="169">
        <v>1</v>
      </c>
      <c r="N35" s="169">
        <v>1</v>
      </c>
      <c r="O35" s="169">
        <v>0.95</v>
      </c>
      <c r="P35" s="169">
        <v>0.9</v>
      </c>
      <c r="Q35" s="206">
        <f t="shared" si="0"/>
        <v>0.92500000000000004</v>
      </c>
      <c r="R35" s="169">
        <v>15.1</v>
      </c>
      <c r="S35" s="169">
        <v>136</v>
      </c>
      <c r="T35" s="178">
        <f t="shared" si="1"/>
        <v>25</v>
      </c>
      <c r="U35" s="169">
        <v>149</v>
      </c>
      <c r="V35" s="178">
        <f t="shared" si="2"/>
        <v>3725</v>
      </c>
      <c r="W35" s="169">
        <v>2</v>
      </c>
      <c r="X35" s="55" t="s">
        <v>46</v>
      </c>
      <c r="Y35" s="55" t="s">
        <v>55</v>
      </c>
      <c r="Z35" s="169" t="s">
        <v>90</v>
      </c>
      <c r="AA35" s="55" t="s">
        <v>47</v>
      </c>
      <c r="AB35" s="39" t="s">
        <v>328</v>
      </c>
    </row>
    <row r="36" spans="1:28" x14ac:dyDescent="0.15">
      <c r="A36" s="55" t="s">
        <v>56</v>
      </c>
      <c r="B36" s="55" t="s">
        <v>368</v>
      </c>
      <c r="C36" s="177">
        <v>2018</v>
      </c>
      <c r="D36" s="86" t="s">
        <v>369</v>
      </c>
      <c r="E36" s="177" t="s">
        <v>304</v>
      </c>
      <c r="F36" s="177" t="s">
        <v>184</v>
      </c>
      <c r="G36" s="55" t="s">
        <v>42</v>
      </c>
      <c r="H36" s="177" t="s">
        <v>167</v>
      </c>
      <c r="I36" s="55" t="s">
        <v>155</v>
      </c>
      <c r="J36" s="177" t="s">
        <v>38</v>
      </c>
      <c r="K36" s="177" t="s">
        <v>156</v>
      </c>
      <c r="L36" s="169">
        <v>2</v>
      </c>
      <c r="N36" s="169">
        <v>1</v>
      </c>
      <c r="O36" s="169">
        <v>0.95</v>
      </c>
      <c r="P36" s="169">
        <v>0.95</v>
      </c>
      <c r="Q36" s="206">
        <f t="shared" si="0"/>
        <v>0.95</v>
      </c>
      <c r="R36" s="169">
        <v>12</v>
      </c>
      <c r="S36" s="169">
        <v>142</v>
      </c>
      <c r="T36" s="178">
        <f t="shared" si="1"/>
        <v>22</v>
      </c>
      <c r="U36" s="169">
        <v>149</v>
      </c>
      <c r="V36" s="178">
        <f t="shared" si="2"/>
        <v>3278</v>
      </c>
      <c r="W36" s="169">
        <v>2</v>
      </c>
      <c r="X36" s="55" t="s">
        <v>46</v>
      </c>
      <c r="Y36" s="55" t="s">
        <v>55</v>
      </c>
      <c r="Z36" s="169" t="s">
        <v>90</v>
      </c>
      <c r="AA36" s="55" t="s">
        <v>47</v>
      </c>
      <c r="AB36" s="39" t="s">
        <v>328</v>
      </c>
    </row>
    <row r="37" spans="1:28" x14ac:dyDescent="0.15">
      <c r="A37" s="55" t="s">
        <v>56</v>
      </c>
      <c r="B37" s="55" t="s">
        <v>368</v>
      </c>
      <c r="C37" s="177">
        <v>2018</v>
      </c>
      <c r="D37" s="86" t="s">
        <v>369</v>
      </c>
      <c r="E37" s="177" t="s">
        <v>304</v>
      </c>
      <c r="F37" s="177" t="s">
        <v>184</v>
      </c>
      <c r="G37" s="55" t="s">
        <v>42</v>
      </c>
      <c r="H37" s="177" t="s">
        <v>167</v>
      </c>
      <c r="I37" s="55" t="s">
        <v>155</v>
      </c>
      <c r="J37" s="177" t="s">
        <v>38</v>
      </c>
      <c r="K37" s="177" t="s">
        <v>156</v>
      </c>
      <c r="L37" s="169">
        <v>3</v>
      </c>
      <c r="N37" s="169">
        <v>1</v>
      </c>
      <c r="O37" s="169">
        <v>0.8</v>
      </c>
      <c r="P37" s="169">
        <v>0.8</v>
      </c>
      <c r="Q37" s="206">
        <f t="shared" si="0"/>
        <v>0.8</v>
      </c>
      <c r="R37" s="169">
        <v>13.1</v>
      </c>
      <c r="S37" s="169">
        <v>137</v>
      </c>
      <c r="T37" s="178">
        <f t="shared" si="1"/>
        <v>25</v>
      </c>
      <c r="U37" s="169">
        <v>149</v>
      </c>
      <c r="V37" s="178">
        <f t="shared" si="2"/>
        <v>3725</v>
      </c>
      <c r="W37" s="169">
        <v>2</v>
      </c>
      <c r="X37" s="55" t="s">
        <v>46</v>
      </c>
      <c r="Y37" s="55" t="s">
        <v>55</v>
      </c>
      <c r="Z37" s="169" t="s">
        <v>90</v>
      </c>
      <c r="AA37" s="55" t="s">
        <v>47</v>
      </c>
      <c r="AB37" s="39" t="s">
        <v>328</v>
      </c>
    </row>
    <row r="38" spans="1:28" x14ac:dyDescent="0.15">
      <c r="A38" s="55" t="s">
        <v>56</v>
      </c>
      <c r="B38" s="55" t="s">
        <v>368</v>
      </c>
      <c r="C38" s="177">
        <v>2018</v>
      </c>
      <c r="D38" s="86" t="s">
        <v>369</v>
      </c>
      <c r="E38" s="177" t="s">
        <v>385</v>
      </c>
      <c r="F38" s="177" t="s">
        <v>184</v>
      </c>
      <c r="G38" s="55" t="s">
        <v>42</v>
      </c>
      <c r="H38" s="177" t="s">
        <v>157</v>
      </c>
      <c r="I38" s="55" t="s">
        <v>155</v>
      </c>
      <c r="J38" s="177" t="s">
        <v>38</v>
      </c>
      <c r="K38" s="177" t="s">
        <v>156</v>
      </c>
      <c r="L38" s="169">
        <v>1</v>
      </c>
      <c r="N38" s="169">
        <v>1</v>
      </c>
      <c r="O38" s="169">
        <v>0.95</v>
      </c>
      <c r="P38" s="169">
        <v>0.95</v>
      </c>
      <c r="Q38" s="178">
        <f t="shared" si="0"/>
        <v>0.95</v>
      </c>
      <c r="R38" s="169">
        <v>13.8</v>
      </c>
      <c r="S38" s="169">
        <v>129</v>
      </c>
      <c r="T38" s="178">
        <f t="shared" si="1"/>
        <v>25</v>
      </c>
      <c r="U38" s="169">
        <v>138</v>
      </c>
      <c r="V38" s="178">
        <f t="shared" si="2"/>
        <v>3450</v>
      </c>
      <c r="W38" s="169">
        <v>1</v>
      </c>
      <c r="X38" s="55" t="s">
        <v>39</v>
      </c>
      <c r="Y38" s="55" t="s">
        <v>84</v>
      </c>
      <c r="Z38" s="169" t="s">
        <v>86</v>
      </c>
      <c r="AA38" s="55" t="s">
        <v>69</v>
      </c>
      <c r="AB38" s="39" t="s">
        <v>328</v>
      </c>
    </row>
    <row r="39" spans="1:28" x14ac:dyDescent="0.15">
      <c r="A39" s="55" t="s">
        <v>56</v>
      </c>
      <c r="B39" s="55" t="s">
        <v>368</v>
      </c>
      <c r="C39" s="177">
        <v>2018</v>
      </c>
      <c r="D39" s="86" t="s">
        <v>369</v>
      </c>
      <c r="E39" s="177" t="s">
        <v>385</v>
      </c>
      <c r="F39" s="177" t="s">
        <v>184</v>
      </c>
      <c r="G39" s="55" t="s">
        <v>42</v>
      </c>
      <c r="H39" s="177" t="s">
        <v>157</v>
      </c>
      <c r="I39" s="55" t="s">
        <v>155</v>
      </c>
      <c r="J39" s="177" t="s">
        <v>38</v>
      </c>
      <c r="K39" s="177" t="s">
        <v>156</v>
      </c>
      <c r="L39" s="169">
        <v>2</v>
      </c>
      <c r="N39" s="169">
        <v>1</v>
      </c>
      <c r="O39" s="169">
        <v>0.85</v>
      </c>
      <c r="P39" s="169">
        <v>1</v>
      </c>
      <c r="Q39" s="178">
        <f t="shared" si="0"/>
        <v>0.92500000000000004</v>
      </c>
      <c r="R39" s="169">
        <v>11.4</v>
      </c>
      <c r="S39" s="169">
        <v>133</v>
      </c>
      <c r="T39" s="178">
        <f t="shared" si="1"/>
        <v>25</v>
      </c>
      <c r="U39" s="169">
        <v>138</v>
      </c>
      <c r="V39" s="178">
        <f t="shared" si="2"/>
        <v>3450</v>
      </c>
      <c r="W39" s="169">
        <v>1</v>
      </c>
      <c r="X39" s="55" t="s">
        <v>39</v>
      </c>
      <c r="Y39" s="55" t="s">
        <v>84</v>
      </c>
      <c r="Z39" s="169" t="s">
        <v>86</v>
      </c>
      <c r="AA39" s="55" t="s">
        <v>69</v>
      </c>
      <c r="AB39" s="39" t="s">
        <v>328</v>
      </c>
    </row>
    <row r="40" spans="1:28" x14ac:dyDescent="0.15">
      <c r="A40" s="55" t="s">
        <v>56</v>
      </c>
      <c r="B40" s="55" t="s">
        <v>368</v>
      </c>
      <c r="C40" s="177">
        <v>2018</v>
      </c>
      <c r="D40" s="86" t="s">
        <v>369</v>
      </c>
      <c r="E40" s="177" t="s">
        <v>385</v>
      </c>
      <c r="F40" s="177" t="s">
        <v>184</v>
      </c>
      <c r="G40" s="55" t="s">
        <v>42</v>
      </c>
      <c r="H40" s="177" t="s">
        <v>157</v>
      </c>
      <c r="I40" s="55" t="s">
        <v>155</v>
      </c>
      <c r="J40" s="177" t="s">
        <v>38</v>
      </c>
      <c r="K40" s="177" t="s">
        <v>156</v>
      </c>
      <c r="L40" s="169">
        <v>3</v>
      </c>
      <c r="N40" s="169">
        <v>1</v>
      </c>
      <c r="O40" s="169">
        <v>0.8</v>
      </c>
      <c r="P40" s="169">
        <v>0.95</v>
      </c>
      <c r="Q40" s="178">
        <f t="shared" si="0"/>
        <v>0.875</v>
      </c>
      <c r="R40" s="169">
        <v>11.6</v>
      </c>
      <c r="S40" s="169">
        <v>135</v>
      </c>
      <c r="T40" s="178">
        <f t="shared" si="1"/>
        <v>25</v>
      </c>
      <c r="U40" s="169">
        <v>138</v>
      </c>
      <c r="V40" s="178">
        <f t="shared" si="2"/>
        <v>3450</v>
      </c>
      <c r="W40" s="169">
        <v>1</v>
      </c>
      <c r="X40" s="55" t="s">
        <v>39</v>
      </c>
      <c r="Y40" s="55" t="s">
        <v>84</v>
      </c>
      <c r="Z40" s="169" t="s">
        <v>86</v>
      </c>
      <c r="AA40" s="55" t="s">
        <v>69</v>
      </c>
      <c r="AB40" s="39" t="s">
        <v>328</v>
      </c>
    </row>
    <row r="41" spans="1:28" x14ac:dyDescent="0.15">
      <c r="A41" s="55" t="s">
        <v>56</v>
      </c>
      <c r="B41" s="55" t="s">
        <v>368</v>
      </c>
      <c r="C41" s="177">
        <v>2018</v>
      </c>
      <c r="D41" s="86" t="s">
        <v>369</v>
      </c>
      <c r="E41" s="177" t="s">
        <v>385</v>
      </c>
      <c r="F41" s="177" t="s">
        <v>184</v>
      </c>
      <c r="G41" s="55" t="s">
        <v>42</v>
      </c>
      <c r="H41" s="177" t="s">
        <v>167</v>
      </c>
      <c r="I41" s="55" t="s">
        <v>155</v>
      </c>
      <c r="J41" s="177" t="s">
        <v>38</v>
      </c>
      <c r="K41" s="177" t="s">
        <v>156</v>
      </c>
      <c r="L41" s="169">
        <v>1</v>
      </c>
      <c r="N41" s="169">
        <v>1</v>
      </c>
      <c r="O41" s="169">
        <v>0.7</v>
      </c>
      <c r="P41" s="169">
        <v>0.65</v>
      </c>
      <c r="Q41" s="178">
        <f t="shared" si="0"/>
        <v>0.67500000000000004</v>
      </c>
      <c r="R41" s="169">
        <v>16.899999999999999</v>
      </c>
      <c r="S41" s="169">
        <v>127</v>
      </c>
      <c r="T41" s="178">
        <f t="shared" si="1"/>
        <v>27</v>
      </c>
      <c r="U41" s="169">
        <v>178</v>
      </c>
      <c r="V41" s="178">
        <f t="shared" si="2"/>
        <v>4806</v>
      </c>
      <c r="W41" s="169">
        <v>1</v>
      </c>
      <c r="X41" s="55" t="s">
        <v>39</v>
      </c>
      <c r="Y41" s="55" t="s">
        <v>84</v>
      </c>
      <c r="Z41" s="169" t="s">
        <v>86</v>
      </c>
      <c r="AA41" s="55" t="s">
        <v>69</v>
      </c>
      <c r="AB41" s="39" t="s">
        <v>328</v>
      </c>
    </row>
    <row r="42" spans="1:28" x14ac:dyDescent="0.15">
      <c r="A42" s="55" t="s">
        <v>56</v>
      </c>
      <c r="B42" s="55" t="s">
        <v>368</v>
      </c>
      <c r="C42" s="177">
        <v>2018</v>
      </c>
      <c r="D42" s="86" t="s">
        <v>369</v>
      </c>
      <c r="E42" s="177" t="s">
        <v>385</v>
      </c>
      <c r="F42" s="177" t="s">
        <v>184</v>
      </c>
      <c r="G42" s="55" t="s">
        <v>42</v>
      </c>
      <c r="H42" s="177" t="s">
        <v>167</v>
      </c>
      <c r="I42" s="55" t="s">
        <v>155</v>
      </c>
      <c r="J42" s="177" t="s">
        <v>38</v>
      </c>
      <c r="K42" s="177" t="s">
        <v>156</v>
      </c>
      <c r="L42" s="169">
        <v>2</v>
      </c>
      <c r="N42" s="169">
        <v>1</v>
      </c>
      <c r="O42" s="169">
        <v>0.7</v>
      </c>
      <c r="P42" s="169">
        <v>0.6</v>
      </c>
      <c r="Q42" s="178">
        <f t="shared" si="0"/>
        <v>0.64999999999999991</v>
      </c>
      <c r="R42" s="169">
        <v>17.5</v>
      </c>
      <c r="S42" s="169">
        <v>127</v>
      </c>
      <c r="T42" s="178">
        <f t="shared" si="1"/>
        <v>27</v>
      </c>
      <c r="U42" s="169">
        <v>178</v>
      </c>
      <c r="V42" s="178">
        <f t="shared" si="2"/>
        <v>4806</v>
      </c>
      <c r="W42" s="169">
        <v>1</v>
      </c>
      <c r="X42" s="55" t="s">
        <v>39</v>
      </c>
      <c r="Y42" s="55" t="s">
        <v>84</v>
      </c>
      <c r="Z42" s="169" t="s">
        <v>86</v>
      </c>
      <c r="AA42" s="55" t="s">
        <v>69</v>
      </c>
      <c r="AB42" s="39" t="s">
        <v>328</v>
      </c>
    </row>
    <row r="43" spans="1:28" x14ac:dyDescent="0.15">
      <c r="A43" s="55" t="s">
        <v>56</v>
      </c>
      <c r="B43" s="55" t="s">
        <v>368</v>
      </c>
      <c r="C43" s="177">
        <v>2018</v>
      </c>
      <c r="D43" s="86" t="s">
        <v>369</v>
      </c>
      <c r="E43" s="177" t="s">
        <v>385</v>
      </c>
      <c r="F43" s="177" t="s">
        <v>184</v>
      </c>
      <c r="G43" s="55" t="s">
        <v>42</v>
      </c>
      <c r="H43" s="177" t="s">
        <v>167</v>
      </c>
      <c r="I43" s="55" t="s">
        <v>155</v>
      </c>
      <c r="J43" s="177" t="s">
        <v>38</v>
      </c>
      <c r="K43" s="177" t="s">
        <v>156</v>
      </c>
      <c r="L43" s="169">
        <v>3</v>
      </c>
      <c r="N43" s="169">
        <v>1</v>
      </c>
      <c r="O43" s="169">
        <v>0.55000000000000004</v>
      </c>
      <c r="P43" s="169">
        <v>0.6</v>
      </c>
      <c r="Q43" s="178">
        <f t="shared" si="0"/>
        <v>0.57499999999999996</v>
      </c>
      <c r="R43" s="169">
        <v>15.7</v>
      </c>
      <c r="S43" s="169">
        <v>133</v>
      </c>
      <c r="T43" s="178">
        <f t="shared" si="1"/>
        <v>25</v>
      </c>
      <c r="U43" s="169">
        <v>178</v>
      </c>
      <c r="V43" s="178">
        <f t="shared" si="2"/>
        <v>4450</v>
      </c>
      <c r="W43" s="169">
        <v>1</v>
      </c>
      <c r="X43" s="55" t="s">
        <v>39</v>
      </c>
      <c r="Y43" s="55" t="s">
        <v>84</v>
      </c>
      <c r="Z43" s="169" t="s">
        <v>86</v>
      </c>
      <c r="AA43" s="55" t="s">
        <v>69</v>
      </c>
      <c r="AB43" s="39" t="s">
        <v>328</v>
      </c>
    </row>
    <row r="44" spans="1:28" x14ac:dyDescent="0.15">
      <c r="A44" s="55" t="s">
        <v>56</v>
      </c>
      <c r="B44" s="55" t="s">
        <v>368</v>
      </c>
      <c r="C44" s="177">
        <v>2018</v>
      </c>
      <c r="D44" s="86" t="s">
        <v>369</v>
      </c>
      <c r="E44" s="177" t="s">
        <v>185</v>
      </c>
      <c r="F44" s="177" t="s">
        <v>384</v>
      </c>
      <c r="G44" s="55" t="s">
        <v>42</v>
      </c>
      <c r="H44" s="177" t="s">
        <v>167</v>
      </c>
      <c r="I44" s="55" t="s">
        <v>158</v>
      </c>
      <c r="J44" s="177" t="s">
        <v>38</v>
      </c>
      <c r="K44" s="177" t="s">
        <v>156</v>
      </c>
      <c r="L44" s="169">
        <v>1</v>
      </c>
      <c r="N44" s="169">
        <v>1</v>
      </c>
      <c r="O44" s="169">
        <v>0.65</v>
      </c>
      <c r="P44" s="169">
        <v>0.7</v>
      </c>
      <c r="Q44" s="178">
        <f t="shared" si="0"/>
        <v>0.67500000000000004</v>
      </c>
      <c r="R44" s="169">
        <v>15</v>
      </c>
      <c r="S44" s="169">
        <v>125</v>
      </c>
      <c r="T44" s="178">
        <f t="shared" si="1"/>
        <v>27</v>
      </c>
      <c r="U44" s="169">
        <v>172</v>
      </c>
      <c r="V44" s="178">
        <f t="shared" si="2"/>
        <v>4644</v>
      </c>
      <c r="W44" s="169">
        <v>6</v>
      </c>
      <c r="X44" s="55" t="s">
        <v>39</v>
      </c>
      <c r="Y44" s="55" t="s">
        <v>55</v>
      </c>
      <c r="Z44" s="169" t="s">
        <v>47</v>
      </c>
      <c r="AA44" s="55" t="s">
        <v>90</v>
      </c>
      <c r="AB44" s="39" t="s">
        <v>328</v>
      </c>
    </row>
    <row r="45" spans="1:28" x14ac:dyDescent="0.15">
      <c r="A45" s="55" t="s">
        <v>56</v>
      </c>
      <c r="B45" s="55" t="s">
        <v>368</v>
      </c>
      <c r="C45" s="177">
        <v>2018</v>
      </c>
      <c r="D45" s="86" t="s">
        <v>369</v>
      </c>
      <c r="E45" s="177" t="s">
        <v>185</v>
      </c>
      <c r="F45" s="177" t="s">
        <v>384</v>
      </c>
      <c r="G45" s="55" t="s">
        <v>42</v>
      </c>
      <c r="H45" s="177" t="s">
        <v>167</v>
      </c>
      <c r="I45" s="55" t="s">
        <v>158</v>
      </c>
      <c r="J45" s="177" t="s">
        <v>38</v>
      </c>
      <c r="K45" s="177" t="s">
        <v>156</v>
      </c>
      <c r="L45" s="169">
        <v>2</v>
      </c>
      <c r="N45" s="169">
        <v>1</v>
      </c>
      <c r="O45" s="169">
        <v>0.65</v>
      </c>
      <c r="P45" s="169">
        <v>0.6</v>
      </c>
      <c r="Q45" s="178">
        <f t="shared" si="0"/>
        <v>0.625</v>
      </c>
      <c r="R45" s="169">
        <v>14.9</v>
      </c>
      <c r="S45" s="169">
        <v>129</v>
      </c>
      <c r="T45" s="178">
        <f t="shared" si="1"/>
        <v>25</v>
      </c>
      <c r="U45" s="169">
        <v>172</v>
      </c>
      <c r="V45" s="178">
        <f t="shared" si="2"/>
        <v>4300</v>
      </c>
      <c r="W45" s="169">
        <v>6</v>
      </c>
      <c r="X45" s="55" t="s">
        <v>39</v>
      </c>
      <c r="Y45" s="55" t="s">
        <v>55</v>
      </c>
      <c r="Z45" s="169" t="s">
        <v>47</v>
      </c>
      <c r="AA45" s="55" t="s">
        <v>90</v>
      </c>
      <c r="AB45" s="39" t="s">
        <v>328</v>
      </c>
    </row>
    <row r="46" spans="1:28" x14ac:dyDescent="0.15">
      <c r="A46" s="55" t="s">
        <v>56</v>
      </c>
      <c r="B46" s="55" t="s">
        <v>368</v>
      </c>
      <c r="C46" s="177">
        <v>2018</v>
      </c>
      <c r="D46" s="86" t="s">
        <v>369</v>
      </c>
      <c r="E46" s="177" t="s">
        <v>185</v>
      </c>
      <c r="F46" s="177" t="s">
        <v>384</v>
      </c>
      <c r="G46" s="55" t="s">
        <v>42</v>
      </c>
      <c r="H46" s="177" t="s">
        <v>167</v>
      </c>
      <c r="I46" s="55" t="s">
        <v>158</v>
      </c>
      <c r="J46" s="177" t="s">
        <v>38</v>
      </c>
      <c r="K46" s="177" t="s">
        <v>156</v>
      </c>
      <c r="L46" s="169">
        <v>3</v>
      </c>
      <c r="N46" s="169">
        <v>1</v>
      </c>
      <c r="O46" s="169">
        <v>0.85</v>
      </c>
      <c r="P46" s="169">
        <v>0.75</v>
      </c>
      <c r="Q46" s="178">
        <f t="shared" si="0"/>
        <v>0.8</v>
      </c>
      <c r="R46" s="169">
        <v>14.8</v>
      </c>
      <c r="S46" s="169">
        <v>128</v>
      </c>
      <c r="T46" s="178">
        <f t="shared" si="1"/>
        <v>27</v>
      </c>
      <c r="U46" s="169">
        <v>172</v>
      </c>
      <c r="V46" s="178">
        <f t="shared" si="2"/>
        <v>4644</v>
      </c>
      <c r="W46" s="169">
        <v>6</v>
      </c>
      <c r="X46" s="55" t="s">
        <v>39</v>
      </c>
      <c r="Y46" s="55" t="s">
        <v>55</v>
      </c>
      <c r="Z46" s="169" t="s">
        <v>47</v>
      </c>
      <c r="AA46" s="55" t="s">
        <v>90</v>
      </c>
      <c r="AB46" s="39" t="s">
        <v>328</v>
      </c>
    </row>
    <row r="47" spans="1:28" x14ac:dyDescent="0.15">
      <c r="A47" s="55" t="s">
        <v>56</v>
      </c>
      <c r="B47" s="55" t="s">
        <v>368</v>
      </c>
      <c r="C47" s="177">
        <v>2018</v>
      </c>
      <c r="D47" s="86" t="s">
        <v>369</v>
      </c>
      <c r="E47" s="177" t="s">
        <v>304</v>
      </c>
      <c r="F47" s="177" t="s">
        <v>384</v>
      </c>
      <c r="G47" s="55" t="s">
        <v>42</v>
      </c>
      <c r="H47" s="177" t="s">
        <v>157</v>
      </c>
      <c r="I47" s="55" t="s">
        <v>155</v>
      </c>
      <c r="J47" s="177" t="s">
        <v>38</v>
      </c>
      <c r="K47" s="177" t="s">
        <v>156</v>
      </c>
      <c r="L47" s="169">
        <v>1</v>
      </c>
      <c r="N47" s="169">
        <v>1</v>
      </c>
      <c r="O47" s="169">
        <v>0.8</v>
      </c>
      <c r="P47" s="169">
        <v>0.85</v>
      </c>
      <c r="Q47" s="178">
        <f t="shared" si="0"/>
        <v>0.82499999999999996</v>
      </c>
      <c r="R47" s="169">
        <v>12.2</v>
      </c>
      <c r="S47" s="169">
        <v>117</v>
      </c>
      <c r="T47" s="178">
        <f t="shared" si="1"/>
        <v>30</v>
      </c>
      <c r="U47" s="169">
        <v>105</v>
      </c>
      <c r="V47" s="178">
        <f t="shared" si="2"/>
        <v>3150</v>
      </c>
      <c r="W47" s="169">
        <v>2</v>
      </c>
      <c r="X47" s="55" t="s">
        <v>46</v>
      </c>
      <c r="Y47" s="55" t="s">
        <v>64</v>
      </c>
      <c r="Z47" s="169" t="s">
        <v>86</v>
      </c>
      <c r="AA47" s="55" t="s">
        <v>55</v>
      </c>
      <c r="AB47" s="39" t="s">
        <v>328</v>
      </c>
    </row>
    <row r="48" spans="1:28" x14ac:dyDescent="0.15">
      <c r="A48" s="55" t="s">
        <v>56</v>
      </c>
      <c r="B48" s="55" t="s">
        <v>368</v>
      </c>
      <c r="C48" s="177">
        <v>2018</v>
      </c>
      <c r="D48" s="86" t="s">
        <v>369</v>
      </c>
      <c r="E48" s="177" t="s">
        <v>304</v>
      </c>
      <c r="F48" s="177" t="s">
        <v>384</v>
      </c>
      <c r="G48" s="55" t="s">
        <v>42</v>
      </c>
      <c r="H48" s="177" t="s">
        <v>157</v>
      </c>
      <c r="I48" s="55" t="s">
        <v>155</v>
      </c>
      <c r="J48" s="177" t="s">
        <v>38</v>
      </c>
      <c r="K48" s="177" t="s">
        <v>156</v>
      </c>
      <c r="L48" s="169">
        <v>2</v>
      </c>
      <c r="N48" s="169">
        <v>1</v>
      </c>
      <c r="O48" s="169">
        <v>0.65</v>
      </c>
      <c r="P48" s="169">
        <v>0.75</v>
      </c>
      <c r="Q48" s="178">
        <f t="shared" si="0"/>
        <v>0.7</v>
      </c>
      <c r="R48" s="169">
        <v>12.4</v>
      </c>
      <c r="S48" s="169">
        <v>118</v>
      </c>
      <c r="T48" s="178">
        <f t="shared" si="1"/>
        <v>30</v>
      </c>
      <c r="U48" s="169">
        <v>105</v>
      </c>
      <c r="V48" s="178">
        <f t="shared" si="2"/>
        <v>3150</v>
      </c>
      <c r="W48" s="169">
        <v>2</v>
      </c>
      <c r="X48" s="55" t="s">
        <v>46</v>
      </c>
      <c r="Y48" s="55" t="s">
        <v>64</v>
      </c>
      <c r="Z48" s="169" t="s">
        <v>86</v>
      </c>
      <c r="AA48" s="55" t="s">
        <v>55</v>
      </c>
      <c r="AB48" s="39" t="s">
        <v>328</v>
      </c>
    </row>
    <row r="49" spans="1:28" x14ac:dyDescent="0.15">
      <c r="A49" s="55" t="s">
        <v>56</v>
      </c>
      <c r="B49" s="55" t="s">
        <v>368</v>
      </c>
      <c r="C49" s="177">
        <v>2018</v>
      </c>
      <c r="D49" s="86" t="s">
        <v>369</v>
      </c>
      <c r="E49" s="177" t="s">
        <v>304</v>
      </c>
      <c r="F49" s="177" t="s">
        <v>384</v>
      </c>
      <c r="G49" s="55" t="s">
        <v>42</v>
      </c>
      <c r="H49" s="177" t="s">
        <v>157</v>
      </c>
      <c r="I49" s="55" t="s">
        <v>155</v>
      </c>
      <c r="J49" s="177" t="s">
        <v>38</v>
      </c>
      <c r="K49" s="177" t="s">
        <v>156</v>
      </c>
      <c r="L49" s="169">
        <v>3</v>
      </c>
      <c r="N49" s="169">
        <v>1</v>
      </c>
      <c r="O49" s="169">
        <v>0.55000000000000004</v>
      </c>
      <c r="P49" s="169">
        <v>0.55000000000000004</v>
      </c>
      <c r="Q49" s="178">
        <f t="shared" si="0"/>
        <v>0.55000000000000004</v>
      </c>
      <c r="R49" s="169">
        <v>12.6</v>
      </c>
      <c r="S49" s="169">
        <v>126</v>
      </c>
      <c r="T49" s="178">
        <f t="shared" si="1"/>
        <v>27</v>
      </c>
      <c r="U49" s="169">
        <v>105</v>
      </c>
      <c r="V49" s="178">
        <f t="shared" si="2"/>
        <v>2835</v>
      </c>
      <c r="W49" s="169">
        <v>2</v>
      </c>
      <c r="X49" s="55" t="s">
        <v>46</v>
      </c>
      <c r="Y49" s="55" t="s">
        <v>64</v>
      </c>
      <c r="Z49" s="169" t="s">
        <v>86</v>
      </c>
      <c r="AA49" s="55" t="s">
        <v>55</v>
      </c>
      <c r="AB49" s="39" t="s">
        <v>328</v>
      </c>
    </row>
    <row r="50" spans="1:28" x14ac:dyDescent="0.15">
      <c r="A50" s="55" t="s">
        <v>56</v>
      </c>
      <c r="B50" s="55" t="s">
        <v>368</v>
      </c>
      <c r="C50" s="177">
        <v>2018</v>
      </c>
      <c r="D50" s="86" t="s">
        <v>369</v>
      </c>
      <c r="E50" s="177" t="s">
        <v>304</v>
      </c>
      <c r="F50" s="177" t="s">
        <v>384</v>
      </c>
      <c r="G50" s="55" t="s">
        <v>42</v>
      </c>
      <c r="H50" s="177" t="s">
        <v>221</v>
      </c>
      <c r="I50" s="55" t="s">
        <v>155</v>
      </c>
      <c r="J50" s="177" t="s">
        <v>38</v>
      </c>
      <c r="K50" s="177" t="s">
        <v>156</v>
      </c>
      <c r="L50" s="169">
        <v>1</v>
      </c>
      <c r="N50" s="169">
        <v>5</v>
      </c>
      <c r="O50" s="169">
        <v>0.75</v>
      </c>
      <c r="P50" s="169">
        <v>0.65</v>
      </c>
      <c r="Q50" s="178">
        <f t="shared" si="0"/>
        <v>0.7</v>
      </c>
      <c r="R50" s="169">
        <v>12.4</v>
      </c>
      <c r="S50" s="169">
        <v>88</v>
      </c>
      <c r="T50" s="178">
        <f t="shared" si="1"/>
        <v>36</v>
      </c>
      <c r="U50" s="169">
        <v>429</v>
      </c>
      <c r="V50" s="178">
        <f t="shared" si="2"/>
        <v>3088.7999999999997</v>
      </c>
      <c r="W50" s="169">
        <v>2</v>
      </c>
      <c r="X50" s="55" t="s">
        <v>46</v>
      </c>
      <c r="Y50" s="55" t="s">
        <v>64</v>
      </c>
      <c r="Z50" s="169" t="s">
        <v>86</v>
      </c>
      <c r="AA50" s="55" t="s">
        <v>55</v>
      </c>
      <c r="AB50" s="39" t="s">
        <v>328</v>
      </c>
    </row>
    <row r="51" spans="1:28" x14ac:dyDescent="0.15">
      <c r="A51" s="55" t="s">
        <v>56</v>
      </c>
      <c r="B51" s="55" t="s">
        <v>368</v>
      </c>
      <c r="C51" s="177">
        <v>2018</v>
      </c>
      <c r="D51" s="86" t="s">
        <v>369</v>
      </c>
      <c r="E51" s="177" t="s">
        <v>304</v>
      </c>
      <c r="F51" s="177" t="s">
        <v>384</v>
      </c>
      <c r="G51" s="55" t="s">
        <v>42</v>
      </c>
      <c r="H51" s="177" t="s">
        <v>221</v>
      </c>
      <c r="I51" s="55" t="s">
        <v>155</v>
      </c>
      <c r="J51" s="177" t="s">
        <v>38</v>
      </c>
      <c r="K51" s="177" t="s">
        <v>156</v>
      </c>
      <c r="L51" s="169">
        <v>2</v>
      </c>
      <c r="N51" s="169">
        <v>5</v>
      </c>
      <c r="O51" s="169">
        <v>0.55000000000000004</v>
      </c>
      <c r="P51" s="169">
        <v>0.55000000000000004</v>
      </c>
      <c r="Q51" s="178">
        <f t="shared" si="0"/>
        <v>0.55000000000000004</v>
      </c>
      <c r="R51" s="169">
        <v>13.7</v>
      </c>
      <c r="S51" s="169">
        <v>84</v>
      </c>
      <c r="T51" s="178">
        <f t="shared" si="1"/>
        <v>36</v>
      </c>
      <c r="U51" s="169">
        <v>429</v>
      </c>
      <c r="V51" s="178">
        <f t="shared" si="2"/>
        <v>3088.7999999999997</v>
      </c>
      <c r="W51" s="169">
        <v>2</v>
      </c>
      <c r="X51" s="55" t="s">
        <v>46</v>
      </c>
      <c r="Y51" s="55" t="s">
        <v>64</v>
      </c>
      <c r="Z51" s="169" t="s">
        <v>86</v>
      </c>
      <c r="AA51" s="55" t="s">
        <v>55</v>
      </c>
      <c r="AB51" s="39" t="s">
        <v>328</v>
      </c>
    </row>
    <row r="52" spans="1:28" x14ac:dyDescent="0.15">
      <c r="A52" s="55" t="s">
        <v>56</v>
      </c>
      <c r="B52" s="55" t="s">
        <v>368</v>
      </c>
      <c r="C52" s="177">
        <v>2018</v>
      </c>
      <c r="D52" s="86" t="s">
        <v>369</v>
      </c>
      <c r="E52" s="177" t="s">
        <v>304</v>
      </c>
      <c r="F52" s="177" t="s">
        <v>384</v>
      </c>
      <c r="G52" s="55" t="s">
        <v>42</v>
      </c>
      <c r="H52" s="177" t="s">
        <v>221</v>
      </c>
      <c r="I52" s="55" t="s">
        <v>155</v>
      </c>
      <c r="J52" s="177" t="s">
        <v>38</v>
      </c>
      <c r="K52" s="177" t="s">
        <v>156</v>
      </c>
      <c r="L52" s="169">
        <v>3</v>
      </c>
      <c r="N52" s="169">
        <v>5</v>
      </c>
      <c r="O52" s="169">
        <v>0.5</v>
      </c>
      <c r="P52" s="169">
        <v>0.5</v>
      </c>
      <c r="Q52" s="178">
        <f t="shared" si="0"/>
        <v>0.5</v>
      </c>
      <c r="R52" s="169">
        <v>17.100000000000001</v>
      </c>
      <c r="S52" s="169">
        <v>85</v>
      </c>
      <c r="T52" s="178">
        <f t="shared" si="1"/>
        <v>36</v>
      </c>
      <c r="U52" s="169">
        <v>429</v>
      </c>
      <c r="V52" s="178">
        <f t="shared" si="2"/>
        <v>3088.7999999999997</v>
      </c>
      <c r="W52" s="169">
        <v>2</v>
      </c>
      <c r="X52" s="55" t="s">
        <v>46</v>
      </c>
      <c r="Y52" s="55" t="s">
        <v>64</v>
      </c>
      <c r="Z52" s="169" t="s">
        <v>86</v>
      </c>
      <c r="AA52" s="55" t="s">
        <v>55</v>
      </c>
      <c r="AB52" s="39" t="s">
        <v>328</v>
      </c>
    </row>
    <row r="53" spans="1:28" x14ac:dyDescent="0.15">
      <c r="A53" s="55" t="s">
        <v>56</v>
      </c>
      <c r="B53" s="55" t="s">
        <v>368</v>
      </c>
      <c r="C53" s="177">
        <v>2018</v>
      </c>
      <c r="D53" s="86" t="s">
        <v>369</v>
      </c>
      <c r="E53" s="177" t="s">
        <v>304</v>
      </c>
      <c r="F53" s="177" t="s">
        <v>384</v>
      </c>
      <c r="G53" s="55" t="s">
        <v>42</v>
      </c>
      <c r="H53" s="177" t="s">
        <v>167</v>
      </c>
      <c r="I53" s="55" t="s">
        <v>155</v>
      </c>
      <c r="J53" s="177" t="s">
        <v>38</v>
      </c>
      <c r="K53" s="177" t="s">
        <v>156</v>
      </c>
      <c r="L53" s="169">
        <v>1</v>
      </c>
      <c r="N53" s="169">
        <v>1</v>
      </c>
      <c r="O53" s="169">
        <v>0.75</v>
      </c>
      <c r="P53" s="169">
        <v>0.7</v>
      </c>
      <c r="Q53" s="178">
        <f t="shared" si="0"/>
        <v>0.72499999999999998</v>
      </c>
      <c r="R53" s="169">
        <v>14.9</v>
      </c>
      <c r="S53" s="169">
        <v>162</v>
      </c>
      <c r="T53" s="178">
        <f t="shared" si="1"/>
        <v>22</v>
      </c>
      <c r="U53" s="169">
        <v>149</v>
      </c>
      <c r="V53" s="178">
        <f t="shared" si="2"/>
        <v>3278</v>
      </c>
      <c r="W53" s="169">
        <v>2</v>
      </c>
      <c r="X53" s="55" t="s">
        <v>46</v>
      </c>
      <c r="Y53" s="55" t="s">
        <v>64</v>
      </c>
      <c r="Z53" s="169" t="s">
        <v>86</v>
      </c>
      <c r="AA53" s="55" t="s">
        <v>55</v>
      </c>
      <c r="AB53" s="39" t="s">
        <v>328</v>
      </c>
    </row>
    <row r="54" spans="1:28" x14ac:dyDescent="0.15">
      <c r="A54" s="55" t="s">
        <v>56</v>
      </c>
      <c r="B54" s="55" t="s">
        <v>368</v>
      </c>
      <c r="C54" s="177">
        <v>2018</v>
      </c>
      <c r="D54" s="86" t="s">
        <v>369</v>
      </c>
      <c r="E54" s="177" t="s">
        <v>304</v>
      </c>
      <c r="F54" s="177" t="s">
        <v>384</v>
      </c>
      <c r="G54" s="55" t="s">
        <v>42</v>
      </c>
      <c r="H54" s="177" t="s">
        <v>167</v>
      </c>
      <c r="I54" s="55" t="s">
        <v>155</v>
      </c>
      <c r="J54" s="177" t="s">
        <v>38</v>
      </c>
      <c r="K54" s="177" t="s">
        <v>156</v>
      </c>
      <c r="L54" s="169">
        <v>2</v>
      </c>
      <c r="N54" s="169">
        <v>1</v>
      </c>
      <c r="O54" s="169">
        <v>0.7</v>
      </c>
      <c r="P54" s="169">
        <v>0.7</v>
      </c>
      <c r="Q54" s="178">
        <f t="shared" si="0"/>
        <v>0.7</v>
      </c>
      <c r="R54" s="169">
        <v>16.600000000000001</v>
      </c>
      <c r="S54" s="169">
        <v>171</v>
      </c>
      <c r="T54" s="178">
        <f t="shared" si="1"/>
        <v>22</v>
      </c>
      <c r="U54" s="169">
        <v>149</v>
      </c>
      <c r="V54" s="178">
        <f t="shared" si="2"/>
        <v>3278</v>
      </c>
      <c r="W54" s="169">
        <v>2</v>
      </c>
      <c r="X54" s="55" t="s">
        <v>46</v>
      </c>
      <c r="Y54" s="55" t="s">
        <v>64</v>
      </c>
      <c r="Z54" s="169" t="s">
        <v>86</v>
      </c>
      <c r="AA54" s="55" t="s">
        <v>55</v>
      </c>
      <c r="AB54" s="39" t="s">
        <v>328</v>
      </c>
    </row>
    <row r="55" spans="1:28" x14ac:dyDescent="0.15">
      <c r="A55" s="55" t="s">
        <v>56</v>
      </c>
      <c r="B55" s="55" t="s">
        <v>368</v>
      </c>
      <c r="C55" s="177">
        <v>2018</v>
      </c>
      <c r="D55" s="86" t="s">
        <v>369</v>
      </c>
      <c r="E55" s="177" t="s">
        <v>304</v>
      </c>
      <c r="F55" s="177" t="s">
        <v>384</v>
      </c>
      <c r="G55" s="55" t="s">
        <v>42</v>
      </c>
      <c r="H55" s="177" t="s">
        <v>167</v>
      </c>
      <c r="I55" s="55" t="s">
        <v>155</v>
      </c>
      <c r="J55" s="177" t="s">
        <v>38</v>
      </c>
      <c r="K55" s="177" t="s">
        <v>156</v>
      </c>
      <c r="L55" s="169">
        <v>3</v>
      </c>
      <c r="N55" s="169">
        <v>1</v>
      </c>
      <c r="O55" s="169">
        <v>0.85</v>
      </c>
      <c r="P55" s="169">
        <v>0.75</v>
      </c>
      <c r="Q55" s="178">
        <f t="shared" si="0"/>
        <v>0.8</v>
      </c>
      <c r="R55" s="169">
        <v>14.9</v>
      </c>
      <c r="S55" s="169">
        <v>152</v>
      </c>
      <c r="T55" s="178">
        <f t="shared" si="1"/>
        <v>22</v>
      </c>
      <c r="U55" s="169">
        <v>149</v>
      </c>
      <c r="V55" s="178">
        <f t="shared" si="2"/>
        <v>3278</v>
      </c>
      <c r="W55" s="169">
        <v>2</v>
      </c>
      <c r="X55" s="55" t="s">
        <v>46</v>
      </c>
      <c r="Y55" s="55" t="s">
        <v>64</v>
      </c>
      <c r="Z55" s="169" t="s">
        <v>86</v>
      </c>
      <c r="AA55" s="55" t="s">
        <v>55</v>
      </c>
      <c r="AB55" s="39" t="s">
        <v>328</v>
      </c>
    </row>
    <row r="56" spans="1:28" x14ac:dyDescent="0.15">
      <c r="A56" s="55" t="s">
        <v>56</v>
      </c>
      <c r="B56" s="55" t="s">
        <v>368</v>
      </c>
      <c r="C56" s="177">
        <v>2018</v>
      </c>
      <c r="D56" s="86" t="s">
        <v>369</v>
      </c>
      <c r="E56" s="177" t="s">
        <v>349</v>
      </c>
      <c r="F56" s="177" t="s">
        <v>384</v>
      </c>
      <c r="G56" s="55" t="s">
        <v>42</v>
      </c>
      <c r="H56" s="177" t="s">
        <v>221</v>
      </c>
      <c r="I56" s="55" t="s">
        <v>155</v>
      </c>
      <c r="J56" s="177" t="s">
        <v>38</v>
      </c>
      <c r="K56" s="177" t="s">
        <v>156</v>
      </c>
      <c r="L56" s="169">
        <v>1</v>
      </c>
      <c r="N56" s="169">
        <v>6</v>
      </c>
      <c r="O56" s="169">
        <v>0.8</v>
      </c>
      <c r="P56" s="169">
        <v>0.8</v>
      </c>
      <c r="Q56" s="178">
        <f t="shared" si="0"/>
        <v>0.8</v>
      </c>
      <c r="R56" s="169">
        <v>18.5</v>
      </c>
      <c r="S56" s="169">
        <v>91</v>
      </c>
      <c r="T56" s="178">
        <f t="shared" si="1"/>
        <v>36</v>
      </c>
      <c r="U56" s="169">
        <v>430</v>
      </c>
      <c r="V56" s="178">
        <f t="shared" si="2"/>
        <v>2580</v>
      </c>
      <c r="W56" s="169">
        <v>2</v>
      </c>
      <c r="X56" s="55" t="s">
        <v>46</v>
      </c>
      <c r="Y56" s="55" t="s">
        <v>55</v>
      </c>
      <c r="Z56" s="169" t="s">
        <v>97</v>
      </c>
      <c r="AA56" s="55" t="s">
        <v>47</v>
      </c>
      <c r="AB56" s="39" t="s">
        <v>328</v>
      </c>
    </row>
    <row r="57" spans="1:28" x14ac:dyDescent="0.15">
      <c r="A57" s="55" t="s">
        <v>56</v>
      </c>
      <c r="B57" s="55" t="s">
        <v>368</v>
      </c>
      <c r="C57" s="177">
        <v>2018</v>
      </c>
      <c r="D57" s="86" t="s">
        <v>369</v>
      </c>
      <c r="E57" s="177" t="s">
        <v>349</v>
      </c>
      <c r="F57" s="177" t="s">
        <v>384</v>
      </c>
      <c r="G57" s="55" t="s">
        <v>42</v>
      </c>
      <c r="H57" s="177" t="s">
        <v>221</v>
      </c>
      <c r="I57" s="55" t="s">
        <v>155</v>
      </c>
      <c r="J57" s="177" t="s">
        <v>38</v>
      </c>
      <c r="K57" s="177" t="s">
        <v>156</v>
      </c>
      <c r="L57" s="169">
        <v>2</v>
      </c>
      <c r="N57" s="169">
        <v>6</v>
      </c>
      <c r="O57" s="169">
        <v>0.7</v>
      </c>
      <c r="P57" s="169">
        <v>0.7</v>
      </c>
      <c r="Q57" s="178">
        <f t="shared" si="0"/>
        <v>0.7</v>
      </c>
      <c r="R57" s="169">
        <v>12.6</v>
      </c>
      <c r="S57" s="169">
        <v>86</v>
      </c>
      <c r="T57" s="178">
        <f t="shared" si="1"/>
        <v>36</v>
      </c>
      <c r="U57" s="169">
        <v>430</v>
      </c>
      <c r="V57" s="178">
        <f t="shared" si="2"/>
        <v>2580</v>
      </c>
      <c r="W57" s="169">
        <v>2</v>
      </c>
      <c r="X57" s="55" t="s">
        <v>46</v>
      </c>
      <c r="Y57" s="55" t="s">
        <v>55</v>
      </c>
      <c r="Z57" s="169" t="s">
        <v>97</v>
      </c>
      <c r="AA57" s="55" t="s">
        <v>47</v>
      </c>
      <c r="AB57" s="39" t="s">
        <v>328</v>
      </c>
    </row>
    <row r="58" spans="1:28" x14ac:dyDescent="0.15">
      <c r="A58" s="55" t="s">
        <v>56</v>
      </c>
      <c r="B58" s="55" t="s">
        <v>368</v>
      </c>
      <c r="C58" s="177">
        <v>2018</v>
      </c>
      <c r="D58" s="86" t="s">
        <v>369</v>
      </c>
      <c r="E58" s="177" t="s">
        <v>349</v>
      </c>
      <c r="F58" s="177" t="s">
        <v>384</v>
      </c>
      <c r="G58" s="55" t="s">
        <v>42</v>
      </c>
      <c r="H58" s="177" t="s">
        <v>221</v>
      </c>
      <c r="I58" s="55" t="s">
        <v>155</v>
      </c>
      <c r="J58" s="177" t="s">
        <v>38</v>
      </c>
      <c r="K58" s="177" t="s">
        <v>156</v>
      </c>
      <c r="L58" s="169">
        <v>3</v>
      </c>
      <c r="N58" s="169">
        <v>6</v>
      </c>
      <c r="O58" s="169">
        <v>0.85</v>
      </c>
      <c r="P58" s="169">
        <v>0.8</v>
      </c>
      <c r="Q58" s="178">
        <f t="shared" si="0"/>
        <v>0.82499999999999996</v>
      </c>
      <c r="R58" s="169">
        <v>14.5</v>
      </c>
      <c r="S58" s="169">
        <v>83</v>
      </c>
      <c r="T58" s="178">
        <f t="shared" si="1"/>
        <v>39</v>
      </c>
      <c r="U58" s="169">
        <v>430</v>
      </c>
      <c r="V58" s="178">
        <f t="shared" si="2"/>
        <v>2795</v>
      </c>
      <c r="W58" s="169">
        <v>2</v>
      </c>
      <c r="X58" s="55" t="s">
        <v>46</v>
      </c>
      <c r="Y58" s="55" t="s">
        <v>55</v>
      </c>
      <c r="Z58" s="169" t="s">
        <v>97</v>
      </c>
      <c r="AA58" s="55" t="s">
        <v>47</v>
      </c>
      <c r="AB58" s="39" t="s">
        <v>328</v>
      </c>
    </row>
    <row r="59" spans="1:28" x14ac:dyDescent="0.15">
      <c r="A59" s="55" t="s">
        <v>56</v>
      </c>
      <c r="B59" s="55" t="s">
        <v>368</v>
      </c>
      <c r="C59" s="177">
        <v>2018</v>
      </c>
      <c r="D59" s="86" t="s">
        <v>369</v>
      </c>
      <c r="E59" s="177" t="s">
        <v>349</v>
      </c>
      <c r="F59" s="177" t="s">
        <v>384</v>
      </c>
      <c r="G59" s="55" t="s">
        <v>42</v>
      </c>
      <c r="H59" s="177" t="s">
        <v>167</v>
      </c>
      <c r="I59" s="55" t="s">
        <v>155</v>
      </c>
      <c r="J59" s="177" t="s">
        <v>38</v>
      </c>
      <c r="K59" s="177" t="s">
        <v>156</v>
      </c>
      <c r="L59" s="169">
        <v>1</v>
      </c>
      <c r="N59" s="169">
        <v>5</v>
      </c>
      <c r="O59" s="169">
        <v>0.8</v>
      </c>
      <c r="P59" s="169">
        <v>0.85</v>
      </c>
      <c r="Q59" s="178">
        <f t="shared" si="0"/>
        <v>0.82499999999999996</v>
      </c>
      <c r="R59" s="169">
        <v>13.7</v>
      </c>
      <c r="S59" s="169">
        <v>119</v>
      </c>
      <c r="T59" s="178">
        <f t="shared" si="1"/>
        <v>30</v>
      </c>
      <c r="U59" s="169">
        <v>518</v>
      </c>
      <c r="V59" s="178">
        <f t="shared" si="2"/>
        <v>3108</v>
      </c>
      <c r="W59" s="169">
        <v>2</v>
      </c>
      <c r="X59" s="55" t="s">
        <v>46</v>
      </c>
      <c r="Y59" s="55" t="s">
        <v>55</v>
      </c>
      <c r="Z59" s="169" t="s">
        <v>97</v>
      </c>
      <c r="AA59" s="55" t="s">
        <v>47</v>
      </c>
      <c r="AB59" s="39" t="s">
        <v>328</v>
      </c>
    </row>
    <row r="60" spans="1:28" x14ac:dyDescent="0.15">
      <c r="A60" s="55" t="s">
        <v>56</v>
      </c>
      <c r="B60" s="55" t="s">
        <v>368</v>
      </c>
      <c r="C60" s="177">
        <v>2018</v>
      </c>
      <c r="D60" s="86" t="s">
        <v>369</v>
      </c>
      <c r="E60" s="177" t="s">
        <v>349</v>
      </c>
      <c r="F60" s="177" t="s">
        <v>384</v>
      </c>
      <c r="G60" s="55" t="s">
        <v>42</v>
      </c>
      <c r="H60" s="177" t="s">
        <v>167</v>
      </c>
      <c r="I60" s="55" t="s">
        <v>155</v>
      </c>
      <c r="J60" s="177" t="s">
        <v>38</v>
      </c>
      <c r="K60" s="177" t="s">
        <v>156</v>
      </c>
      <c r="L60" s="169">
        <v>2</v>
      </c>
      <c r="N60" s="169">
        <v>5</v>
      </c>
      <c r="O60" s="169">
        <v>0.7</v>
      </c>
      <c r="P60" s="169">
        <v>0.7</v>
      </c>
      <c r="Q60" s="178">
        <f t="shared" si="0"/>
        <v>0.7</v>
      </c>
      <c r="R60" s="169">
        <v>14.8</v>
      </c>
      <c r="S60" s="169">
        <v>111</v>
      </c>
      <c r="T60" s="178">
        <f t="shared" si="1"/>
        <v>33</v>
      </c>
      <c r="U60" s="169">
        <v>518</v>
      </c>
      <c r="V60" s="178">
        <f t="shared" si="2"/>
        <v>3418.7999999999997</v>
      </c>
      <c r="W60" s="169">
        <v>2</v>
      </c>
      <c r="X60" s="55" t="s">
        <v>46</v>
      </c>
      <c r="Y60" s="55" t="s">
        <v>55</v>
      </c>
      <c r="Z60" s="169" t="s">
        <v>97</v>
      </c>
      <c r="AA60" s="55" t="s">
        <v>47</v>
      </c>
      <c r="AB60" s="39" t="s">
        <v>328</v>
      </c>
    </row>
    <row r="61" spans="1:28" x14ac:dyDescent="0.15">
      <c r="A61" s="55" t="s">
        <v>56</v>
      </c>
      <c r="B61" s="55" t="s">
        <v>368</v>
      </c>
      <c r="C61" s="177">
        <v>2018</v>
      </c>
      <c r="D61" s="86" t="s">
        <v>369</v>
      </c>
      <c r="E61" s="177" t="s">
        <v>349</v>
      </c>
      <c r="F61" s="177" t="s">
        <v>384</v>
      </c>
      <c r="G61" s="55" t="s">
        <v>42</v>
      </c>
      <c r="H61" s="177" t="s">
        <v>167</v>
      </c>
      <c r="I61" s="55" t="s">
        <v>155</v>
      </c>
      <c r="J61" s="177" t="s">
        <v>38</v>
      </c>
      <c r="K61" s="177" t="s">
        <v>156</v>
      </c>
      <c r="L61" s="169">
        <v>3</v>
      </c>
      <c r="N61" s="169">
        <v>5</v>
      </c>
      <c r="O61" s="169">
        <v>0.8</v>
      </c>
      <c r="P61" s="169">
        <v>0.7</v>
      </c>
      <c r="Q61" s="178">
        <f t="shared" si="0"/>
        <v>0.75</v>
      </c>
      <c r="R61" s="169">
        <v>13.8</v>
      </c>
      <c r="S61" s="169">
        <v>110</v>
      </c>
      <c r="T61" s="178">
        <f t="shared" si="1"/>
        <v>33</v>
      </c>
      <c r="U61" s="169">
        <v>518</v>
      </c>
      <c r="V61" s="178">
        <f t="shared" si="2"/>
        <v>3418.7999999999997</v>
      </c>
      <c r="W61" s="169">
        <v>2</v>
      </c>
      <c r="X61" s="55" t="s">
        <v>46</v>
      </c>
      <c r="Y61" s="55" t="s">
        <v>55</v>
      </c>
      <c r="Z61" s="169" t="s">
        <v>97</v>
      </c>
      <c r="AA61" s="55" t="s">
        <v>47</v>
      </c>
      <c r="AB61" s="39" t="s">
        <v>328</v>
      </c>
    </row>
    <row r="62" spans="1:28" x14ac:dyDescent="0.15">
      <c r="A62" s="55" t="s">
        <v>56</v>
      </c>
      <c r="B62" s="55" t="s">
        <v>368</v>
      </c>
      <c r="C62" s="177">
        <v>2018</v>
      </c>
      <c r="D62" s="86" t="s">
        <v>369</v>
      </c>
      <c r="E62" s="177" t="s">
        <v>386</v>
      </c>
      <c r="F62" s="177" t="s">
        <v>384</v>
      </c>
      <c r="G62" s="55" t="s">
        <v>42</v>
      </c>
      <c r="H62" s="177" t="s">
        <v>221</v>
      </c>
      <c r="I62" s="55" t="s">
        <v>155</v>
      </c>
      <c r="J62" s="177" t="s">
        <v>38</v>
      </c>
      <c r="K62" s="177" t="s">
        <v>156</v>
      </c>
      <c r="L62" s="169">
        <v>1</v>
      </c>
      <c r="N62" s="169">
        <v>5</v>
      </c>
      <c r="O62" s="169">
        <v>0.75</v>
      </c>
      <c r="P62" s="169">
        <v>0.75</v>
      </c>
      <c r="Q62" s="178">
        <f t="shared" si="0"/>
        <v>0.75</v>
      </c>
      <c r="R62" s="169">
        <v>12.3</v>
      </c>
      <c r="S62" s="169">
        <v>93</v>
      </c>
      <c r="T62" s="178">
        <f t="shared" si="1"/>
        <v>36</v>
      </c>
      <c r="U62" s="169">
        <v>538</v>
      </c>
      <c r="V62" s="178">
        <f t="shared" si="2"/>
        <v>3873.6</v>
      </c>
      <c r="W62" s="169">
        <v>5</v>
      </c>
      <c r="X62" s="55" t="s">
        <v>46</v>
      </c>
      <c r="Y62" s="55" t="s">
        <v>64</v>
      </c>
      <c r="Z62" s="169" t="s">
        <v>78</v>
      </c>
      <c r="AA62" s="55" t="s">
        <v>55</v>
      </c>
      <c r="AB62" s="39" t="s">
        <v>328</v>
      </c>
    </row>
    <row r="63" spans="1:28" x14ac:dyDescent="0.15">
      <c r="A63" s="55" t="s">
        <v>56</v>
      </c>
      <c r="B63" s="55" t="s">
        <v>368</v>
      </c>
      <c r="C63" s="177">
        <v>2018</v>
      </c>
      <c r="D63" s="86" t="s">
        <v>369</v>
      </c>
      <c r="E63" s="177" t="s">
        <v>386</v>
      </c>
      <c r="F63" s="177" t="s">
        <v>384</v>
      </c>
      <c r="G63" s="55" t="s">
        <v>42</v>
      </c>
      <c r="H63" s="177" t="s">
        <v>221</v>
      </c>
      <c r="I63" s="55" t="s">
        <v>155</v>
      </c>
      <c r="J63" s="177" t="s">
        <v>38</v>
      </c>
      <c r="K63" s="177" t="s">
        <v>156</v>
      </c>
      <c r="L63" s="169">
        <v>2</v>
      </c>
      <c r="N63" s="169">
        <v>5</v>
      </c>
      <c r="O63" s="169">
        <v>0.85</v>
      </c>
      <c r="P63" s="169">
        <v>0.65</v>
      </c>
      <c r="Q63" s="178">
        <f t="shared" si="0"/>
        <v>0.75</v>
      </c>
      <c r="R63" s="169">
        <v>12.8</v>
      </c>
      <c r="S63" s="169">
        <v>95</v>
      </c>
      <c r="T63" s="178">
        <f t="shared" si="1"/>
        <v>36</v>
      </c>
      <c r="U63" s="169">
        <v>538</v>
      </c>
      <c r="V63" s="178">
        <f t="shared" si="2"/>
        <v>3873.6</v>
      </c>
      <c r="W63" s="169">
        <v>5</v>
      </c>
      <c r="X63" s="55" t="s">
        <v>46</v>
      </c>
      <c r="Y63" s="55" t="s">
        <v>64</v>
      </c>
      <c r="Z63" s="169" t="s">
        <v>78</v>
      </c>
      <c r="AA63" s="55" t="s">
        <v>55</v>
      </c>
      <c r="AB63" s="39" t="s">
        <v>328</v>
      </c>
    </row>
    <row r="64" spans="1:28" x14ac:dyDescent="0.15">
      <c r="A64" s="55" t="s">
        <v>56</v>
      </c>
      <c r="B64" s="55" t="s">
        <v>368</v>
      </c>
      <c r="C64" s="177">
        <v>2018</v>
      </c>
      <c r="D64" s="86" t="s">
        <v>369</v>
      </c>
      <c r="E64" s="177" t="s">
        <v>386</v>
      </c>
      <c r="F64" s="177" t="s">
        <v>384</v>
      </c>
      <c r="G64" s="55" t="s">
        <v>42</v>
      </c>
      <c r="H64" s="177" t="s">
        <v>221</v>
      </c>
      <c r="I64" s="55" t="s">
        <v>155</v>
      </c>
      <c r="J64" s="177" t="s">
        <v>38</v>
      </c>
      <c r="K64" s="177" t="s">
        <v>156</v>
      </c>
      <c r="L64" s="169">
        <v>3</v>
      </c>
      <c r="N64" s="169">
        <v>5</v>
      </c>
      <c r="O64" s="169">
        <v>0.75</v>
      </c>
      <c r="P64" s="169">
        <v>0.85</v>
      </c>
      <c r="Q64" s="178">
        <f t="shared" si="0"/>
        <v>0.8</v>
      </c>
      <c r="R64" s="169">
        <v>11.1</v>
      </c>
      <c r="S64" s="169">
        <v>97</v>
      </c>
      <c r="T64" s="178">
        <f t="shared" si="1"/>
        <v>36</v>
      </c>
      <c r="U64" s="169">
        <v>538</v>
      </c>
      <c r="V64" s="178">
        <f t="shared" si="2"/>
        <v>3873.6</v>
      </c>
      <c r="W64" s="169">
        <v>5</v>
      </c>
      <c r="X64" s="55" t="s">
        <v>46</v>
      </c>
      <c r="Y64" s="55" t="s">
        <v>64</v>
      </c>
      <c r="Z64" s="169" t="s">
        <v>78</v>
      </c>
      <c r="AA64" s="55" t="s">
        <v>55</v>
      </c>
      <c r="AB64" s="39" t="s">
        <v>328</v>
      </c>
    </row>
    <row r="65" spans="1:28" x14ac:dyDescent="0.15">
      <c r="A65" s="55" t="s">
        <v>56</v>
      </c>
      <c r="B65" s="55" t="s">
        <v>368</v>
      </c>
      <c r="C65" s="177">
        <v>2018</v>
      </c>
      <c r="D65" s="86" t="s">
        <v>369</v>
      </c>
      <c r="E65" s="177" t="s">
        <v>386</v>
      </c>
      <c r="F65" s="177" t="s">
        <v>384</v>
      </c>
      <c r="G65" s="55" t="s">
        <v>42</v>
      </c>
      <c r="H65" s="177" t="s">
        <v>167</v>
      </c>
      <c r="I65" s="55" t="s">
        <v>155</v>
      </c>
      <c r="J65" s="177" t="s">
        <v>38</v>
      </c>
      <c r="K65" s="177" t="s">
        <v>156</v>
      </c>
      <c r="L65" s="169">
        <v>1</v>
      </c>
      <c r="N65" s="169">
        <v>5</v>
      </c>
      <c r="O65" s="169">
        <v>0.8</v>
      </c>
      <c r="P65" s="169">
        <v>0.8</v>
      </c>
      <c r="Q65" s="178">
        <f t="shared" si="0"/>
        <v>0.8</v>
      </c>
      <c r="R65" s="169">
        <v>17.2</v>
      </c>
      <c r="S65" s="169">
        <v>136</v>
      </c>
      <c r="T65" s="178">
        <f t="shared" si="1"/>
        <v>25</v>
      </c>
      <c r="U65" s="169">
        <v>646</v>
      </c>
      <c r="V65" s="178">
        <f t="shared" si="2"/>
        <v>3229.9999999999995</v>
      </c>
      <c r="W65" s="169">
        <v>5</v>
      </c>
      <c r="X65" s="55" t="s">
        <v>46</v>
      </c>
      <c r="Y65" s="55" t="s">
        <v>64</v>
      </c>
      <c r="Z65" s="169" t="s">
        <v>78</v>
      </c>
      <c r="AA65" s="55" t="s">
        <v>55</v>
      </c>
      <c r="AB65" s="39" t="s">
        <v>328</v>
      </c>
    </row>
    <row r="66" spans="1:28" x14ac:dyDescent="0.15">
      <c r="A66" s="55" t="s">
        <v>56</v>
      </c>
      <c r="B66" s="55" t="s">
        <v>368</v>
      </c>
      <c r="C66" s="177">
        <v>2018</v>
      </c>
      <c r="D66" s="86" t="s">
        <v>369</v>
      </c>
      <c r="E66" s="177" t="s">
        <v>386</v>
      </c>
      <c r="F66" s="177" t="s">
        <v>384</v>
      </c>
      <c r="G66" s="55" t="s">
        <v>42</v>
      </c>
      <c r="H66" s="177" t="s">
        <v>167</v>
      </c>
      <c r="I66" s="55" t="s">
        <v>155</v>
      </c>
      <c r="J66" s="177" t="s">
        <v>38</v>
      </c>
      <c r="K66" s="177" t="s">
        <v>156</v>
      </c>
      <c r="L66" s="169">
        <v>2</v>
      </c>
      <c r="N66" s="169">
        <v>5</v>
      </c>
      <c r="O66" s="169">
        <v>0.6</v>
      </c>
      <c r="P66" s="169">
        <v>0.6</v>
      </c>
      <c r="Q66" s="178">
        <f t="shared" si="0"/>
        <v>0.6</v>
      </c>
      <c r="R66" s="169">
        <v>17.2</v>
      </c>
      <c r="S66" s="169">
        <v>125</v>
      </c>
      <c r="T66" s="178">
        <f t="shared" si="1"/>
        <v>27</v>
      </c>
      <c r="U66" s="169">
        <v>646</v>
      </c>
      <c r="V66" s="178">
        <f t="shared" si="2"/>
        <v>3488.3999999999996</v>
      </c>
      <c r="W66" s="169">
        <v>5</v>
      </c>
      <c r="X66" s="55" t="s">
        <v>46</v>
      </c>
      <c r="Y66" s="55" t="s">
        <v>64</v>
      </c>
      <c r="Z66" s="169" t="s">
        <v>78</v>
      </c>
      <c r="AA66" s="55" t="s">
        <v>55</v>
      </c>
      <c r="AB66" s="39" t="s">
        <v>328</v>
      </c>
    </row>
    <row r="67" spans="1:28" x14ac:dyDescent="0.15">
      <c r="A67" s="55" t="s">
        <v>56</v>
      </c>
      <c r="B67" s="55" t="s">
        <v>368</v>
      </c>
      <c r="C67" s="177">
        <v>2018</v>
      </c>
      <c r="D67" s="86" t="s">
        <v>369</v>
      </c>
      <c r="E67" s="177" t="s">
        <v>386</v>
      </c>
      <c r="F67" s="177" t="s">
        <v>384</v>
      </c>
      <c r="G67" s="55" t="s">
        <v>42</v>
      </c>
      <c r="H67" s="177" t="s">
        <v>167</v>
      </c>
      <c r="I67" s="55" t="s">
        <v>155</v>
      </c>
      <c r="J67" s="177" t="s">
        <v>38</v>
      </c>
      <c r="K67" s="177" t="s">
        <v>156</v>
      </c>
      <c r="L67" s="169">
        <v>3</v>
      </c>
      <c r="N67" s="169">
        <v>5</v>
      </c>
      <c r="O67" s="169">
        <v>0.6</v>
      </c>
      <c r="P67" s="169">
        <v>0.6</v>
      </c>
      <c r="Q67" s="178">
        <f t="shared" si="0"/>
        <v>0.6</v>
      </c>
      <c r="R67" s="169">
        <v>13.3</v>
      </c>
      <c r="S67" s="169">
        <v>120</v>
      </c>
      <c r="T67" s="178">
        <f t="shared" si="1"/>
        <v>30</v>
      </c>
      <c r="U67" s="169">
        <v>646</v>
      </c>
      <c r="V67" s="178">
        <f t="shared" si="2"/>
        <v>3875.9999999999995</v>
      </c>
      <c r="W67" s="169">
        <v>5</v>
      </c>
      <c r="X67" s="55" t="s">
        <v>46</v>
      </c>
      <c r="Y67" s="55" t="s">
        <v>64</v>
      </c>
      <c r="Z67" s="169" t="s">
        <v>78</v>
      </c>
      <c r="AA67" s="55" t="s">
        <v>55</v>
      </c>
      <c r="AB67" s="39" t="s">
        <v>328</v>
      </c>
    </row>
    <row r="68" spans="1:28" x14ac:dyDescent="0.15">
      <c r="A68" s="55"/>
      <c r="B68" s="55"/>
      <c r="C68" s="177"/>
      <c r="D68" s="86"/>
      <c r="E68" s="177"/>
      <c r="F68" s="177"/>
      <c r="G68" s="55"/>
      <c r="H68" s="177"/>
      <c r="I68" s="55"/>
      <c r="J68" s="177"/>
      <c r="K68" s="177"/>
      <c r="X68" s="55"/>
      <c r="Y68" s="55"/>
      <c r="AA68" s="55"/>
    </row>
    <row r="69" spans="1:28" x14ac:dyDescent="0.15">
      <c r="A69" s="55"/>
      <c r="B69" s="55"/>
      <c r="C69" s="177"/>
      <c r="D69" s="86"/>
      <c r="E69" s="177"/>
      <c r="F69" s="177"/>
      <c r="G69" s="55"/>
      <c r="H69" s="177"/>
      <c r="I69" s="55"/>
      <c r="J69" s="177"/>
      <c r="K69" s="177"/>
      <c r="X69" s="55"/>
      <c r="Y69" s="55"/>
      <c r="AA69" s="55"/>
    </row>
    <row r="70" spans="1:28" x14ac:dyDescent="0.15">
      <c r="A70" s="55"/>
      <c r="B70" s="55"/>
      <c r="C70" s="177"/>
      <c r="D70" s="86"/>
      <c r="E70" s="177"/>
      <c r="F70" s="177"/>
      <c r="G70" s="55"/>
      <c r="H70" s="177"/>
      <c r="I70" s="55"/>
      <c r="J70" s="177"/>
      <c r="K70" s="177"/>
      <c r="X70" s="55"/>
      <c r="Y70" s="55"/>
      <c r="AA70" s="55"/>
    </row>
    <row r="71" spans="1:28" x14ac:dyDescent="0.15">
      <c r="A71" s="55"/>
      <c r="B71" s="55"/>
      <c r="C71" s="177"/>
      <c r="D71" s="86"/>
      <c r="E71" s="177"/>
      <c r="F71" s="177"/>
      <c r="G71" s="55"/>
      <c r="H71" s="177"/>
      <c r="I71" s="55"/>
      <c r="J71" s="177"/>
      <c r="K71" s="177"/>
      <c r="X71" s="55"/>
      <c r="Y71" s="55"/>
      <c r="AA71" s="55"/>
    </row>
    <row r="72" spans="1:28" x14ac:dyDescent="0.15">
      <c r="A72" s="55"/>
      <c r="B72" s="55"/>
      <c r="C72" s="177"/>
      <c r="D72" s="86"/>
      <c r="E72" s="177"/>
      <c r="F72" s="177"/>
      <c r="G72" s="55"/>
      <c r="H72" s="177"/>
      <c r="I72" s="55"/>
      <c r="J72" s="177"/>
      <c r="K72" s="177"/>
      <c r="X72" s="55"/>
      <c r="Y72" s="55"/>
      <c r="AA72" s="55"/>
    </row>
    <row r="73" spans="1:28" x14ac:dyDescent="0.15">
      <c r="A73" s="55"/>
      <c r="B73" s="55"/>
      <c r="C73" s="177"/>
      <c r="D73" s="86"/>
      <c r="E73" s="177"/>
      <c r="F73" s="177"/>
      <c r="G73" s="55"/>
      <c r="H73" s="177"/>
      <c r="I73" s="55"/>
      <c r="J73" s="177"/>
      <c r="K73" s="177"/>
      <c r="X73" s="55"/>
      <c r="Y73" s="55"/>
      <c r="AA73" s="55"/>
    </row>
    <row r="74" spans="1:28" x14ac:dyDescent="0.15">
      <c r="A74" s="55"/>
      <c r="B74" s="55"/>
      <c r="C74" s="177"/>
      <c r="D74" s="86"/>
      <c r="E74" s="177"/>
      <c r="F74" s="177"/>
      <c r="G74" s="55"/>
      <c r="H74" s="177"/>
      <c r="I74" s="55"/>
      <c r="J74" s="177"/>
      <c r="K74" s="177"/>
      <c r="X74" s="55"/>
      <c r="Y74" s="55"/>
      <c r="AA74" s="55"/>
    </row>
    <row r="75" spans="1:28" x14ac:dyDescent="0.15">
      <c r="A75" s="55"/>
      <c r="B75" s="55"/>
      <c r="C75" s="177"/>
      <c r="D75" s="86"/>
      <c r="E75" s="177"/>
      <c r="F75" s="177"/>
      <c r="G75" s="55"/>
      <c r="H75" s="177"/>
      <c r="I75" s="55"/>
      <c r="J75" s="177"/>
      <c r="K75" s="177"/>
      <c r="X75" s="55"/>
      <c r="Y75" s="55"/>
      <c r="AA75" s="55"/>
    </row>
    <row r="76" spans="1:28" x14ac:dyDescent="0.15">
      <c r="A76" s="55"/>
      <c r="B76" s="55"/>
      <c r="C76" s="177"/>
      <c r="D76" s="86"/>
      <c r="E76" s="177"/>
      <c r="F76" s="177"/>
      <c r="G76" s="55"/>
      <c r="H76" s="177"/>
      <c r="I76" s="55"/>
      <c r="J76" s="177"/>
      <c r="K76" s="177"/>
      <c r="X76" s="55"/>
      <c r="Y76" s="55"/>
      <c r="AA76" s="55"/>
    </row>
    <row r="77" spans="1:28" x14ac:dyDescent="0.15">
      <c r="A77" s="55"/>
      <c r="B77" s="55"/>
      <c r="C77" s="177"/>
      <c r="D77" s="86"/>
      <c r="E77" s="177"/>
      <c r="F77" s="177"/>
      <c r="G77" s="55"/>
      <c r="H77" s="177"/>
      <c r="I77" s="55"/>
      <c r="J77" s="177"/>
      <c r="K77" s="177"/>
      <c r="X77" s="55"/>
      <c r="Y77" s="55"/>
      <c r="AA77" s="55"/>
    </row>
    <row r="78" spans="1:28" x14ac:dyDescent="0.15">
      <c r="A78" s="55"/>
      <c r="B78" s="55"/>
      <c r="C78" s="177"/>
      <c r="D78" s="86"/>
      <c r="E78" s="177"/>
      <c r="F78" s="177"/>
      <c r="G78" s="55"/>
      <c r="H78" s="177"/>
      <c r="I78" s="55"/>
      <c r="J78" s="177"/>
      <c r="K78" s="177"/>
      <c r="X78" s="55"/>
      <c r="Y78" s="55"/>
      <c r="AA78" s="55"/>
    </row>
    <row r="79" spans="1:28" x14ac:dyDescent="0.15">
      <c r="A79" s="55"/>
      <c r="B79" s="55"/>
      <c r="C79" s="177"/>
      <c r="D79" s="86"/>
      <c r="E79" s="177"/>
      <c r="F79" s="177"/>
      <c r="G79" s="55"/>
      <c r="H79" s="177"/>
      <c r="I79" s="55"/>
      <c r="J79" s="177"/>
      <c r="K79" s="177"/>
      <c r="X79" s="55"/>
      <c r="Y79" s="55"/>
      <c r="AA79" s="55"/>
    </row>
    <row r="80" spans="1:28" x14ac:dyDescent="0.15">
      <c r="A80" s="55"/>
      <c r="B80" s="55"/>
      <c r="C80" s="177"/>
      <c r="D80" s="86"/>
      <c r="E80" s="177"/>
      <c r="F80" s="177"/>
      <c r="G80" s="55"/>
      <c r="H80" s="177"/>
      <c r="I80" s="55"/>
      <c r="J80" s="177"/>
      <c r="K80" s="177"/>
      <c r="X80" s="55"/>
      <c r="Y80" s="55"/>
      <c r="AA80" s="55"/>
    </row>
    <row r="81" spans="1:27" x14ac:dyDescent="0.15">
      <c r="A81" s="55"/>
      <c r="B81" s="55"/>
      <c r="C81" s="177"/>
      <c r="D81" s="86"/>
      <c r="E81" s="177"/>
      <c r="F81" s="177"/>
      <c r="G81" s="55"/>
      <c r="H81" s="177"/>
      <c r="I81" s="55"/>
      <c r="J81" s="177"/>
      <c r="K81" s="177"/>
      <c r="X81" s="55"/>
      <c r="Y81" s="55"/>
      <c r="AA81" s="55"/>
    </row>
    <row r="82" spans="1:27" x14ac:dyDescent="0.15">
      <c r="A82" s="55"/>
      <c r="B82" s="55"/>
      <c r="C82" s="177"/>
      <c r="D82" s="86"/>
      <c r="E82" s="177"/>
      <c r="F82" s="177"/>
      <c r="G82" s="55"/>
      <c r="H82" s="177"/>
      <c r="I82" s="55"/>
      <c r="J82" s="177"/>
      <c r="K82" s="177"/>
      <c r="X82" s="55"/>
      <c r="Y82" s="55"/>
      <c r="AA82" s="55"/>
    </row>
    <row r="83" spans="1:27" x14ac:dyDescent="0.15">
      <c r="E83" s="177"/>
      <c r="F83" s="177"/>
      <c r="G83" s="55"/>
      <c r="H83" s="177"/>
      <c r="I83" s="55"/>
      <c r="J83" s="177"/>
      <c r="K83" s="177"/>
      <c r="X83" s="55"/>
      <c r="Y83" s="55"/>
      <c r="AA83" s="55"/>
    </row>
    <row r="84" spans="1:27" x14ac:dyDescent="0.15">
      <c r="E84" s="177"/>
      <c r="F84" s="177"/>
      <c r="G84" s="55"/>
      <c r="H84" s="177"/>
      <c r="I84" s="55"/>
      <c r="J84" s="177"/>
      <c r="K84" s="177"/>
      <c r="X84" s="55"/>
      <c r="Y84" s="55"/>
      <c r="AA84" s="55"/>
    </row>
    <row r="85" spans="1:27" x14ac:dyDescent="0.15">
      <c r="E85" s="177"/>
      <c r="F85" s="177"/>
      <c r="G85" s="55"/>
      <c r="H85" s="177"/>
      <c r="I85" s="55"/>
      <c r="J85" s="177"/>
      <c r="K85" s="177"/>
      <c r="X85" s="55"/>
      <c r="Y85" s="55"/>
      <c r="AA85" s="55"/>
    </row>
    <row r="86" spans="1:27" x14ac:dyDescent="0.15">
      <c r="J86" s="177"/>
      <c r="K86" s="177"/>
    </row>
    <row r="87" spans="1:27" x14ac:dyDescent="0.15">
      <c r="J87" s="177"/>
      <c r="K87" s="177"/>
    </row>
    <row r="88" spans="1:27" x14ac:dyDescent="0.15">
      <c r="J88" s="177"/>
      <c r="K88" s="177"/>
    </row>
    <row r="89" spans="1:27" x14ac:dyDescent="0.15">
      <c r="J89" s="177"/>
      <c r="K89" s="177"/>
    </row>
    <row r="90" spans="1:27" x14ac:dyDescent="0.15">
      <c r="J90" s="177"/>
      <c r="K90" s="177"/>
    </row>
    <row r="91" spans="1:27" x14ac:dyDescent="0.15">
      <c r="J91" s="177"/>
      <c r="K91" s="177"/>
    </row>
    <row r="92" spans="1:27" x14ac:dyDescent="0.15">
      <c r="J92" s="177"/>
      <c r="K92" s="177"/>
    </row>
    <row r="93" spans="1:27" x14ac:dyDescent="0.15">
      <c r="J93" s="177"/>
      <c r="K93" s="177"/>
    </row>
    <row r="94" spans="1:27" x14ac:dyDescent="0.15">
      <c r="J94" s="177"/>
      <c r="K94" s="177"/>
    </row>
    <row r="95" spans="1:27" x14ac:dyDescent="0.15">
      <c r="J95" s="177"/>
      <c r="K95" s="177"/>
    </row>
    <row r="96" spans="1:27" x14ac:dyDescent="0.15">
      <c r="J96" s="177"/>
      <c r="K96" s="177"/>
    </row>
    <row r="97" spans="10:11" x14ac:dyDescent="0.15">
      <c r="J97" s="177"/>
      <c r="K97" s="177"/>
    </row>
    <row r="98" spans="10:11" x14ac:dyDescent="0.15">
      <c r="J98" s="177"/>
      <c r="K98" s="177"/>
    </row>
    <row r="99" spans="10:11" x14ac:dyDescent="0.15">
      <c r="J99" s="177"/>
      <c r="K99" s="177"/>
    </row>
    <row r="100" spans="10:11" x14ac:dyDescent="0.15">
      <c r="J100" s="177"/>
      <c r="K100" s="177"/>
    </row>
    <row r="101" spans="10:11" x14ac:dyDescent="0.15">
      <c r="K101" s="177"/>
    </row>
    <row r="102" spans="10:11" x14ac:dyDescent="0.15">
      <c r="K102" s="177"/>
    </row>
    <row r="103" spans="10:11" x14ac:dyDescent="0.15">
      <c r="K103" s="177"/>
    </row>
    <row r="104" spans="10:11" x14ac:dyDescent="0.15">
      <c r="K104" s="177"/>
    </row>
    <row r="105" spans="10:11" x14ac:dyDescent="0.15">
      <c r="K105" s="177"/>
    </row>
    <row r="106" spans="10:11" x14ac:dyDescent="0.15">
      <c r="K106" s="177"/>
    </row>
    <row r="107" spans="10:11" x14ac:dyDescent="0.15">
      <c r="K107" s="177"/>
    </row>
    <row r="108" spans="10:11" x14ac:dyDescent="0.15">
      <c r="K108" s="177"/>
    </row>
    <row r="109" spans="10:11" x14ac:dyDescent="0.15">
      <c r="K109" s="177"/>
    </row>
    <row r="110" spans="10:11" x14ac:dyDescent="0.15">
      <c r="K110" s="177"/>
    </row>
    <row r="111" spans="10:11" x14ac:dyDescent="0.15">
      <c r="K111" s="177"/>
    </row>
    <row r="112" spans="10:11" x14ac:dyDescent="0.15">
      <c r="K112" s="177"/>
    </row>
    <row r="113" spans="11:11" x14ac:dyDescent="0.15">
      <c r="K113" s="177"/>
    </row>
    <row r="114" spans="11:11" x14ac:dyDescent="0.15">
      <c r="K114" s="177"/>
    </row>
    <row r="115" spans="11:11" x14ac:dyDescent="0.15">
      <c r="K115" s="177"/>
    </row>
    <row r="116" spans="11:11" x14ac:dyDescent="0.15">
      <c r="K116" s="177"/>
    </row>
    <row r="117" spans="11:11" x14ac:dyDescent="0.15">
      <c r="K117" s="177"/>
    </row>
    <row r="118" spans="11:11" x14ac:dyDescent="0.15">
      <c r="K118" s="177"/>
    </row>
    <row r="119" spans="11:11" x14ac:dyDescent="0.15">
      <c r="K119" s="177"/>
    </row>
    <row r="120" spans="11:11" x14ac:dyDescent="0.15">
      <c r="K120" s="177"/>
    </row>
    <row r="121" spans="11:11" x14ac:dyDescent="0.15">
      <c r="K121" s="177"/>
    </row>
    <row r="122" spans="11:11" x14ac:dyDescent="0.15">
      <c r="K122" s="177"/>
    </row>
    <row r="123" spans="11:11" x14ac:dyDescent="0.15">
      <c r="K123" s="177"/>
    </row>
    <row r="124" spans="11:11" x14ac:dyDescent="0.15">
      <c r="K124" s="177"/>
    </row>
    <row r="125" spans="11:11" x14ac:dyDescent="0.15">
      <c r="K125" s="177"/>
    </row>
    <row r="126" spans="11:11" x14ac:dyDescent="0.15">
      <c r="K126" s="177"/>
    </row>
    <row r="127" spans="11:11" x14ac:dyDescent="0.15">
      <c r="K127" s="177"/>
    </row>
    <row r="128" spans="11:11" x14ac:dyDescent="0.15">
      <c r="K128" s="177"/>
    </row>
    <row r="129" spans="11:11" x14ac:dyDescent="0.15">
      <c r="K129" s="177"/>
    </row>
    <row r="130" spans="11:11" x14ac:dyDescent="0.15">
      <c r="K130" s="177"/>
    </row>
    <row r="131" spans="11:11" x14ac:dyDescent="0.15">
      <c r="K131" s="177"/>
    </row>
    <row r="132" spans="11:11" x14ac:dyDescent="0.15">
      <c r="K132" s="177"/>
    </row>
    <row r="133" spans="11:11" x14ac:dyDescent="0.15">
      <c r="K133" s="177"/>
    </row>
    <row r="134" spans="11:11" x14ac:dyDescent="0.15">
      <c r="K134" s="177"/>
    </row>
    <row r="135" spans="11:11" x14ac:dyDescent="0.15">
      <c r="K135" s="177"/>
    </row>
    <row r="136" spans="11:11" x14ac:dyDescent="0.15">
      <c r="K136" s="177"/>
    </row>
    <row r="137" spans="11:11" x14ac:dyDescent="0.15">
      <c r="K137" s="177"/>
    </row>
    <row r="138" spans="11:11" x14ac:dyDescent="0.15">
      <c r="K138" s="177"/>
    </row>
    <row r="139" spans="11:11" x14ac:dyDescent="0.15">
      <c r="K139" s="177"/>
    </row>
    <row r="140" spans="11:11" x14ac:dyDescent="0.15">
      <c r="K140" s="177"/>
    </row>
    <row r="141" spans="11:11" x14ac:dyDescent="0.15">
      <c r="K141" s="177"/>
    </row>
    <row r="142" spans="11:11" x14ac:dyDescent="0.15">
      <c r="K142" s="177"/>
    </row>
    <row r="143" spans="11:11" x14ac:dyDescent="0.15">
      <c r="K143" s="177"/>
    </row>
    <row r="144" spans="11:11" x14ac:dyDescent="0.15">
      <c r="K144" s="177"/>
    </row>
    <row r="145" spans="11:11" x14ac:dyDescent="0.15">
      <c r="K145" s="177"/>
    </row>
    <row r="146" spans="11:11" x14ac:dyDescent="0.15">
      <c r="K146" s="177"/>
    </row>
    <row r="147" spans="11:11" x14ac:dyDescent="0.15">
      <c r="K147" s="177"/>
    </row>
    <row r="148" spans="11:11" x14ac:dyDescent="0.15">
      <c r="K148" s="177"/>
    </row>
    <row r="149" spans="11:11" x14ac:dyDescent="0.15">
      <c r="K149" s="177"/>
    </row>
    <row r="150" spans="11:11" x14ac:dyDescent="0.15">
      <c r="K150" s="177"/>
    </row>
    <row r="151" spans="11:11" x14ac:dyDescent="0.15">
      <c r="K151" s="177"/>
    </row>
    <row r="152" spans="11:11" x14ac:dyDescent="0.15">
      <c r="K152" s="177"/>
    </row>
    <row r="153" spans="11:11" x14ac:dyDescent="0.15">
      <c r="K153" s="177"/>
    </row>
    <row r="154" spans="11:11" x14ac:dyDescent="0.15">
      <c r="K154" s="177"/>
    </row>
    <row r="155" spans="11:11" x14ac:dyDescent="0.15">
      <c r="K155" s="177"/>
    </row>
    <row r="156" spans="11:11" x14ac:dyDescent="0.15">
      <c r="K156" s="177"/>
    </row>
    <row r="157" spans="11:11" x14ac:dyDescent="0.15">
      <c r="K157" s="177"/>
    </row>
    <row r="158" spans="11:11" x14ac:dyDescent="0.15">
      <c r="K158" s="177"/>
    </row>
    <row r="159" spans="11:11" x14ac:dyDescent="0.15">
      <c r="K159" s="177"/>
    </row>
    <row r="160" spans="11:11" x14ac:dyDescent="0.15">
      <c r="K160" s="177"/>
    </row>
    <row r="161" spans="11:11" x14ac:dyDescent="0.15">
      <c r="K161" s="177"/>
    </row>
    <row r="162" spans="11:11" x14ac:dyDescent="0.15">
      <c r="K162" s="177"/>
    </row>
    <row r="163" spans="11:11" x14ac:dyDescent="0.15">
      <c r="K163" s="177"/>
    </row>
    <row r="164" spans="11:11" x14ac:dyDescent="0.15">
      <c r="K164" s="177"/>
    </row>
    <row r="165" spans="11:11" x14ac:dyDescent="0.15">
      <c r="K165" s="177"/>
    </row>
    <row r="166" spans="11:11" x14ac:dyDescent="0.15">
      <c r="K166" s="177"/>
    </row>
    <row r="167" spans="11:11" x14ac:dyDescent="0.15">
      <c r="K167" s="177"/>
    </row>
    <row r="168" spans="11:11" x14ac:dyDescent="0.15">
      <c r="K168" s="177"/>
    </row>
    <row r="169" spans="11:11" x14ac:dyDescent="0.15">
      <c r="K169" s="177"/>
    </row>
    <row r="170" spans="11:11" x14ac:dyDescent="0.15">
      <c r="K170" s="177"/>
    </row>
    <row r="171" spans="11:11" x14ac:dyDescent="0.15">
      <c r="K171" s="177"/>
    </row>
    <row r="172" spans="11:11" x14ac:dyDescent="0.15">
      <c r="K172" s="177"/>
    </row>
    <row r="173" spans="11:11" x14ac:dyDescent="0.15">
      <c r="K173" s="177"/>
    </row>
    <row r="174" spans="11:11" x14ac:dyDescent="0.15">
      <c r="K174" s="177"/>
    </row>
    <row r="175" spans="11:11" x14ac:dyDescent="0.15">
      <c r="K175" s="177"/>
    </row>
    <row r="176" spans="11:11" x14ac:dyDescent="0.15">
      <c r="K176" s="177"/>
    </row>
    <row r="177" spans="11:11" x14ac:dyDescent="0.15">
      <c r="K177" s="177"/>
    </row>
    <row r="178" spans="11:11" x14ac:dyDescent="0.15">
      <c r="K178" s="177"/>
    </row>
    <row r="179" spans="11:11" x14ac:dyDescent="0.15">
      <c r="K179" s="177"/>
    </row>
    <row r="180" spans="11:11" x14ac:dyDescent="0.15">
      <c r="K180" s="177"/>
    </row>
    <row r="181" spans="11:11" x14ac:dyDescent="0.15">
      <c r="K181" s="177"/>
    </row>
    <row r="182" spans="11:11" x14ac:dyDescent="0.15">
      <c r="K182" s="177"/>
    </row>
    <row r="183" spans="11:11" x14ac:dyDescent="0.15">
      <c r="K183" s="177"/>
    </row>
    <row r="184" spans="11:11" x14ac:dyDescent="0.15">
      <c r="K184" s="177"/>
    </row>
    <row r="185" spans="11:11" x14ac:dyDescent="0.15">
      <c r="K185" s="177"/>
    </row>
    <row r="186" spans="11:11" x14ac:dyDescent="0.15">
      <c r="K186" s="177"/>
    </row>
    <row r="187" spans="11:11" x14ac:dyDescent="0.15">
      <c r="K187" s="177"/>
    </row>
    <row r="188" spans="11:11" x14ac:dyDescent="0.15">
      <c r="K188" s="177"/>
    </row>
    <row r="189" spans="11:11" x14ac:dyDescent="0.15">
      <c r="K189" s="177"/>
    </row>
    <row r="190" spans="11:11" x14ac:dyDescent="0.15">
      <c r="K190" s="177"/>
    </row>
    <row r="191" spans="11:11" x14ac:dyDescent="0.15">
      <c r="K191" s="177"/>
    </row>
    <row r="192" spans="11:11" x14ac:dyDescent="0.15">
      <c r="K192" s="177"/>
    </row>
    <row r="193" spans="11:11" x14ac:dyDescent="0.15">
      <c r="K193" s="177"/>
    </row>
    <row r="194" spans="11:11" x14ac:dyDescent="0.15">
      <c r="K194" s="177"/>
    </row>
    <row r="195" spans="11:11" x14ac:dyDescent="0.15">
      <c r="K195" s="177"/>
    </row>
    <row r="196" spans="11:11" x14ac:dyDescent="0.15">
      <c r="K196" s="177"/>
    </row>
    <row r="197" spans="11:11" x14ac:dyDescent="0.15">
      <c r="K197" s="177"/>
    </row>
    <row r="198" spans="11:11" x14ac:dyDescent="0.15">
      <c r="K198" s="177"/>
    </row>
    <row r="199" spans="11:11" x14ac:dyDescent="0.15">
      <c r="K199" s="177"/>
    </row>
    <row r="200" spans="11:11" x14ac:dyDescent="0.15">
      <c r="K200" s="177"/>
    </row>
    <row r="201" spans="11:11" x14ac:dyDescent="0.15">
      <c r="K201" s="177"/>
    </row>
    <row r="202" spans="11:11" x14ac:dyDescent="0.15">
      <c r="K202" s="177"/>
    </row>
    <row r="203" spans="11:11" x14ac:dyDescent="0.15">
      <c r="K203" s="177"/>
    </row>
    <row r="204" spans="11:11" x14ac:dyDescent="0.15">
      <c r="K204" s="177"/>
    </row>
    <row r="205" spans="11:11" x14ac:dyDescent="0.15">
      <c r="K205" s="177"/>
    </row>
    <row r="206" spans="11:11" x14ac:dyDescent="0.15">
      <c r="K206" s="177"/>
    </row>
    <row r="207" spans="11:11" x14ac:dyDescent="0.15">
      <c r="K207" s="177"/>
    </row>
    <row r="208" spans="11:11" x14ac:dyDescent="0.15">
      <c r="K208" s="177"/>
    </row>
    <row r="209" spans="11:11" x14ac:dyDescent="0.15">
      <c r="K209" s="177"/>
    </row>
    <row r="210" spans="11:11" x14ac:dyDescent="0.15">
      <c r="K210" s="177"/>
    </row>
    <row r="211" spans="11:11" x14ac:dyDescent="0.15">
      <c r="K211" s="177"/>
    </row>
    <row r="212" spans="11:11" x14ac:dyDescent="0.15">
      <c r="K212" s="177"/>
    </row>
    <row r="213" spans="11:11" x14ac:dyDescent="0.15">
      <c r="K213" s="177"/>
    </row>
    <row r="214" spans="11:11" x14ac:dyDescent="0.15">
      <c r="K214" s="177"/>
    </row>
    <row r="215" spans="11:11" x14ac:dyDescent="0.15">
      <c r="K215" s="177"/>
    </row>
    <row r="216" spans="11:11" x14ac:dyDescent="0.15">
      <c r="K216" s="177"/>
    </row>
    <row r="217" spans="11:11" x14ac:dyDescent="0.15">
      <c r="K217" s="177"/>
    </row>
    <row r="218" spans="11:11" x14ac:dyDescent="0.15">
      <c r="K218" s="177"/>
    </row>
    <row r="219" spans="11:11" x14ac:dyDescent="0.15">
      <c r="K219" s="177"/>
    </row>
    <row r="220" spans="11:11" x14ac:dyDescent="0.15">
      <c r="K220" s="177"/>
    </row>
    <row r="221" spans="11:11" x14ac:dyDescent="0.15">
      <c r="K221" s="177"/>
    </row>
    <row r="222" spans="11:11" x14ac:dyDescent="0.15">
      <c r="K222" s="177"/>
    </row>
    <row r="223" spans="11:11" x14ac:dyDescent="0.15">
      <c r="K223" s="177"/>
    </row>
    <row r="224" spans="11:11" x14ac:dyDescent="0.15">
      <c r="K224" s="177"/>
    </row>
    <row r="225" spans="11:11" x14ac:dyDescent="0.15">
      <c r="K225" s="177"/>
    </row>
    <row r="226" spans="11:11" x14ac:dyDescent="0.15">
      <c r="K226" s="177"/>
    </row>
    <row r="227" spans="11:11" x14ac:dyDescent="0.15">
      <c r="K227" s="177"/>
    </row>
    <row r="228" spans="11:11" x14ac:dyDescent="0.15">
      <c r="K228" s="177"/>
    </row>
    <row r="229" spans="11:11" x14ac:dyDescent="0.15">
      <c r="K229" s="177"/>
    </row>
    <row r="230" spans="11:11" x14ac:dyDescent="0.15">
      <c r="K230" s="177"/>
    </row>
    <row r="231" spans="11:11" x14ac:dyDescent="0.15">
      <c r="K231" s="177"/>
    </row>
    <row r="232" spans="11:11" x14ac:dyDescent="0.15">
      <c r="K232" s="177"/>
    </row>
    <row r="233" spans="11:11" x14ac:dyDescent="0.15">
      <c r="K233" s="177"/>
    </row>
    <row r="234" spans="11:11" x14ac:dyDescent="0.15">
      <c r="K234" s="177"/>
    </row>
    <row r="235" spans="11:11" x14ac:dyDescent="0.15">
      <c r="K235" s="177"/>
    </row>
    <row r="236" spans="11:11" x14ac:dyDescent="0.15">
      <c r="K236" s="177"/>
    </row>
    <row r="237" spans="11:11" x14ac:dyDescent="0.15">
      <c r="K237" s="177"/>
    </row>
    <row r="238" spans="11:11" x14ac:dyDescent="0.15">
      <c r="K238" s="177"/>
    </row>
    <row r="239" spans="11:11" x14ac:dyDescent="0.15">
      <c r="K239" s="177"/>
    </row>
    <row r="240" spans="11:11" x14ac:dyDescent="0.15">
      <c r="K240" s="177"/>
    </row>
    <row r="241" spans="11:11" x14ac:dyDescent="0.15">
      <c r="K241" s="177"/>
    </row>
    <row r="242" spans="11:11" x14ac:dyDescent="0.15">
      <c r="K242" s="177"/>
    </row>
    <row r="243" spans="11:11" x14ac:dyDescent="0.15">
      <c r="K243" s="177"/>
    </row>
    <row r="244" spans="11:11" x14ac:dyDescent="0.15">
      <c r="K244" s="177"/>
    </row>
    <row r="245" spans="11:11" x14ac:dyDescent="0.15">
      <c r="K245" s="177"/>
    </row>
    <row r="246" spans="11:11" x14ac:dyDescent="0.15">
      <c r="K246" s="177"/>
    </row>
    <row r="247" spans="11:11" x14ac:dyDescent="0.15">
      <c r="K247" s="177"/>
    </row>
    <row r="248" spans="11:11" x14ac:dyDescent="0.15">
      <c r="K248" s="177"/>
    </row>
    <row r="249" spans="11:11" x14ac:dyDescent="0.15">
      <c r="K249" s="177"/>
    </row>
    <row r="250" spans="11:11" x14ac:dyDescent="0.15">
      <c r="K250" s="177"/>
    </row>
    <row r="251" spans="11:11" x14ac:dyDescent="0.15">
      <c r="K251" s="177"/>
    </row>
    <row r="252" spans="11:11" x14ac:dyDescent="0.15">
      <c r="K252" s="177"/>
    </row>
    <row r="253" spans="11:11" x14ac:dyDescent="0.15">
      <c r="K253" s="177"/>
    </row>
    <row r="254" spans="11:11" x14ac:dyDescent="0.15">
      <c r="K254" s="177"/>
    </row>
    <row r="255" spans="11:11" x14ac:dyDescent="0.15">
      <c r="K255" s="177"/>
    </row>
    <row r="256" spans="11:11" x14ac:dyDescent="0.15">
      <c r="K256" s="177"/>
    </row>
    <row r="257" spans="11:11" x14ac:dyDescent="0.15">
      <c r="K257" s="177"/>
    </row>
    <row r="258" spans="11:11" x14ac:dyDescent="0.15">
      <c r="K258" s="177"/>
    </row>
    <row r="259" spans="11:11" x14ac:dyDescent="0.15">
      <c r="K259" s="177"/>
    </row>
    <row r="260" spans="11:11" x14ac:dyDescent="0.15">
      <c r="K260" s="177"/>
    </row>
    <row r="261" spans="11:11" x14ac:dyDescent="0.15">
      <c r="K261" s="177"/>
    </row>
    <row r="262" spans="11:11" x14ac:dyDescent="0.15">
      <c r="K262" s="177"/>
    </row>
    <row r="263" spans="11:11" x14ac:dyDescent="0.15">
      <c r="K263" s="177"/>
    </row>
    <row r="264" spans="11:11" x14ac:dyDescent="0.15">
      <c r="K264" s="177"/>
    </row>
    <row r="265" spans="11:11" x14ac:dyDescent="0.15">
      <c r="K265" s="177"/>
    </row>
    <row r="266" spans="11:11" x14ac:dyDescent="0.15">
      <c r="K266" s="177"/>
    </row>
    <row r="267" spans="11:11" x14ac:dyDescent="0.15">
      <c r="K267" s="177"/>
    </row>
    <row r="268" spans="11:11" x14ac:dyDescent="0.15">
      <c r="K268" s="177"/>
    </row>
    <row r="269" spans="11:11" x14ac:dyDescent="0.15">
      <c r="K269" s="177"/>
    </row>
    <row r="270" spans="11:11" x14ac:dyDescent="0.15">
      <c r="K270" s="177"/>
    </row>
    <row r="271" spans="11:11" x14ac:dyDescent="0.15">
      <c r="K271" s="177"/>
    </row>
    <row r="272" spans="11:11" x14ac:dyDescent="0.15">
      <c r="K272" s="177"/>
    </row>
    <row r="273" spans="11:11" x14ac:dyDescent="0.15">
      <c r="K273" s="177"/>
    </row>
    <row r="274" spans="11:11" x14ac:dyDescent="0.15">
      <c r="K274" s="177"/>
    </row>
    <row r="275" spans="11:11" x14ac:dyDescent="0.15">
      <c r="K275" s="177"/>
    </row>
    <row r="276" spans="11:11" x14ac:dyDescent="0.15">
      <c r="K276" s="177"/>
    </row>
    <row r="277" spans="11:11" x14ac:dyDescent="0.15">
      <c r="K277" s="177"/>
    </row>
    <row r="278" spans="11:11" x14ac:dyDescent="0.15">
      <c r="K278" s="177"/>
    </row>
    <row r="279" spans="11:11" x14ac:dyDescent="0.15">
      <c r="K279" s="177"/>
    </row>
    <row r="280" spans="11:11" x14ac:dyDescent="0.15">
      <c r="K280" s="177"/>
    </row>
    <row r="281" spans="11:11" x14ac:dyDescent="0.15">
      <c r="K281" s="177"/>
    </row>
    <row r="282" spans="11:11" x14ac:dyDescent="0.15">
      <c r="K282" s="177"/>
    </row>
    <row r="283" spans="11:11" x14ac:dyDescent="0.15">
      <c r="K283" s="177"/>
    </row>
    <row r="284" spans="11:11" x14ac:dyDescent="0.15">
      <c r="K284" s="177"/>
    </row>
    <row r="285" spans="11:11" x14ac:dyDescent="0.15">
      <c r="K285" s="177"/>
    </row>
    <row r="286" spans="11:11" x14ac:dyDescent="0.15">
      <c r="K286" s="177"/>
    </row>
    <row r="287" spans="11:11" x14ac:dyDescent="0.15">
      <c r="K287" s="177"/>
    </row>
    <row r="288" spans="11:11" x14ac:dyDescent="0.15">
      <c r="K288" s="177"/>
    </row>
    <row r="289" spans="11:11" x14ac:dyDescent="0.15">
      <c r="K289" s="177"/>
    </row>
    <row r="290" spans="11:11" x14ac:dyDescent="0.15">
      <c r="K290" s="177"/>
    </row>
    <row r="291" spans="11:11" x14ac:dyDescent="0.15">
      <c r="K291" s="177"/>
    </row>
    <row r="292" spans="11:11" x14ac:dyDescent="0.15">
      <c r="K292" s="177"/>
    </row>
    <row r="293" spans="11:11" x14ac:dyDescent="0.15">
      <c r="K293" s="177"/>
    </row>
    <row r="294" spans="11:11" x14ac:dyDescent="0.15">
      <c r="K294" s="177"/>
    </row>
    <row r="295" spans="11:11" x14ac:dyDescent="0.15">
      <c r="K295" s="177"/>
    </row>
    <row r="296" spans="11:11" x14ac:dyDescent="0.15">
      <c r="K296" s="177"/>
    </row>
    <row r="297" spans="11:11" x14ac:dyDescent="0.15">
      <c r="K297" s="177"/>
    </row>
    <row r="298" spans="11:11" x14ac:dyDescent="0.15">
      <c r="K298" s="177"/>
    </row>
    <row r="299" spans="11:11" x14ac:dyDescent="0.15">
      <c r="K299" s="177"/>
    </row>
    <row r="300" spans="11:11" x14ac:dyDescent="0.15">
      <c r="K300" s="177"/>
    </row>
    <row r="301" spans="11:11" x14ac:dyDescent="0.15">
      <c r="K301" s="177"/>
    </row>
    <row r="302" spans="11:11" x14ac:dyDescent="0.15">
      <c r="K302" s="177"/>
    </row>
    <row r="303" spans="11:11" x14ac:dyDescent="0.15">
      <c r="K303" s="177"/>
    </row>
    <row r="304" spans="11:11" x14ac:dyDescent="0.15">
      <c r="K304" s="177"/>
    </row>
    <row r="305" spans="11:11" x14ac:dyDescent="0.15">
      <c r="K305" s="177"/>
    </row>
    <row r="306" spans="11:11" x14ac:dyDescent="0.15">
      <c r="K306" s="177"/>
    </row>
    <row r="307" spans="11:11" x14ac:dyDescent="0.15">
      <c r="K307" s="177"/>
    </row>
    <row r="308" spans="11:11" x14ac:dyDescent="0.15">
      <c r="K308" s="177"/>
    </row>
    <row r="309" spans="11:11" x14ac:dyDescent="0.15">
      <c r="K309" s="177"/>
    </row>
    <row r="310" spans="11:11" x14ac:dyDescent="0.15">
      <c r="K310" s="177"/>
    </row>
    <row r="311" spans="11:11" x14ac:dyDescent="0.15">
      <c r="K311" s="177"/>
    </row>
    <row r="312" spans="11:11" x14ac:dyDescent="0.15">
      <c r="K312" s="177"/>
    </row>
    <row r="313" spans="11:11" x14ac:dyDescent="0.15">
      <c r="K313" s="177"/>
    </row>
    <row r="314" spans="11:11" x14ac:dyDescent="0.15">
      <c r="K314" s="177"/>
    </row>
    <row r="315" spans="11:11" x14ac:dyDescent="0.15">
      <c r="K315" s="177"/>
    </row>
    <row r="316" spans="11:11" x14ac:dyDescent="0.15">
      <c r="K316" s="177"/>
    </row>
    <row r="317" spans="11:11" x14ac:dyDescent="0.15">
      <c r="K317" s="177"/>
    </row>
    <row r="318" spans="11:11" x14ac:dyDescent="0.15">
      <c r="K318" s="177"/>
    </row>
    <row r="319" spans="11:11" x14ac:dyDescent="0.15">
      <c r="K319" s="177"/>
    </row>
    <row r="320" spans="11:11" x14ac:dyDescent="0.15">
      <c r="K320" s="177"/>
    </row>
    <row r="321" spans="11:11" x14ac:dyDescent="0.15">
      <c r="K321" s="177"/>
    </row>
    <row r="322" spans="11:11" x14ac:dyDescent="0.15">
      <c r="K322" s="177"/>
    </row>
    <row r="323" spans="11:11" x14ac:dyDescent="0.15">
      <c r="K323" s="177"/>
    </row>
    <row r="324" spans="11:11" x14ac:dyDescent="0.15">
      <c r="K324" s="177"/>
    </row>
    <row r="325" spans="11:11" x14ac:dyDescent="0.15">
      <c r="K325" s="177"/>
    </row>
    <row r="326" spans="11:11" x14ac:dyDescent="0.15">
      <c r="K326" s="177"/>
    </row>
    <row r="327" spans="11:11" x14ac:dyDescent="0.15">
      <c r="K327" s="177"/>
    </row>
    <row r="328" spans="11:11" x14ac:dyDescent="0.15">
      <c r="K328" s="177"/>
    </row>
    <row r="329" spans="11:11" x14ac:dyDescent="0.15">
      <c r="K329" s="177"/>
    </row>
    <row r="330" spans="11:11" x14ac:dyDescent="0.15">
      <c r="K330" s="177"/>
    </row>
    <row r="331" spans="11:11" x14ac:dyDescent="0.15">
      <c r="K331" s="177"/>
    </row>
    <row r="332" spans="11:11" x14ac:dyDescent="0.15">
      <c r="K332" s="177"/>
    </row>
    <row r="333" spans="11:11" x14ac:dyDescent="0.15">
      <c r="K333" s="177"/>
    </row>
    <row r="334" spans="11:11" x14ac:dyDescent="0.15">
      <c r="K334" s="177"/>
    </row>
    <row r="335" spans="11:11" x14ac:dyDescent="0.15">
      <c r="K335" s="177"/>
    </row>
    <row r="336" spans="11:11" x14ac:dyDescent="0.15">
      <c r="K336" s="177"/>
    </row>
    <row r="337" spans="11:11" x14ac:dyDescent="0.15">
      <c r="K337" s="177"/>
    </row>
    <row r="338" spans="11:11" x14ac:dyDescent="0.15">
      <c r="K338" s="177"/>
    </row>
    <row r="339" spans="11:11" x14ac:dyDescent="0.15">
      <c r="K339" s="177"/>
    </row>
    <row r="340" spans="11:11" x14ac:dyDescent="0.15">
      <c r="K340" s="177"/>
    </row>
    <row r="341" spans="11:11" x14ac:dyDescent="0.15">
      <c r="K341" s="177"/>
    </row>
    <row r="342" spans="11:11" x14ac:dyDescent="0.15">
      <c r="K342" s="177"/>
    </row>
    <row r="343" spans="11:11" x14ac:dyDescent="0.15">
      <c r="K343" s="177"/>
    </row>
    <row r="344" spans="11:11" x14ac:dyDescent="0.15">
      <c r="K344" s="177"/>
    </row>
    <row r="345" spans="11:11" x14ac:dyDescent="0.15">
      <c r="K345" s="177"/>
    </row>
    <row r="346" spans="11:11" x14ac:dyDescent="0.15">
      <c r="K346" s="177"/>
    </row>
    <row r="347" spans="11:11" x14ac:dyDescent="0.15">
      <c r="K347" s="177"/>
    </row>
    <row r="348" spans="11:11" x14ac:dyDescent="0.15">
      <c r="K348" s="177"/>
    </row>
    <row r="349" spans="11:11" x14ac:dyDescent="0.15">
      <c r="K349" s="177"/>
    </row>
    <row r="350" spans="11:11" x14ac:dyDescent="0.15">
      <c r="K350" s="177"/>
    </row>
    <row r="351" spans="11:11" x14ac:dyDescent="0.15">
      <c r="K351" s="177"/>
    </row>
    <row r="352" spans="11:11" x14ac:dyDescent="0.15">
      <c r="K352" s="177"/>
    </row>
    <row r="353" spans="11:11" x14ac:dyDescent="0.15">
      <c r="K353" s="177"/>
    </row>
    <row r="354" spans="11:11" x14ac:dyDescent="0.15">
      <c r="K354" s="177"/>
    </row>
    <row r="355" spans="11:11" x14ac:dyDescent="0.15">
      <c r="K355" s="177"/>
    </row>
    <row r="356" spans="11:11" x14ac:dyDescent="0.15">
      <c r="K356" s="177"/>
    </row>
    <row r="357" spans="11:11" x14ac:dyDescent="0.15">
      <c r="K357" s="177"/>
    </row>
    <row r="358" spans="11:11" x14ac:dyDescent="0.15">
      <c r="K358" s="177"/>
    </row>
    <row r="359" spans="11:11" x14ac:dyDescent="0.15">
      <c r="K359" s="177"/>
    </row>
    <row r="360" spans="11:11" x14ac:dyDescent="0.15">
      <c r="K360" s="177"/>
    </row>
    <row r="361" spans="11:11" x14ac:dyDescent="0.15">
      <c r="K361" s="177"/>
    </row>
    <row r="362" spans="11:11" x14ac:dyDescent="0.15">
      <c r="K362" s="177"/>
    </row>
    <row r="363" spans="11:11" x14ac:dyDescent="0.15">
      <c r="K363" s="177"/>
    </row>
    <row r="364" spans="11:11" x14ac:dyDescent="0.15">
      <c r="K364" s="177"/>
    </row>
    <row r="365" spans="11:11" x14ac:dyDescent="0.15">
      <c r="K365" s="177"/>
    </row>
    <row r="366" spans="11:11" x14ac:dyDescent="0.15">
      <c r="K366" s="177"/>
    </row>
    <row r="367" spans="11:11" x14ac:dyDescent="0.15">
      <c r="K367" s="177"/>
    </row>
    <row r="368" spans="11:11" x14ac:dyDescent="0.15">
      <c r="K368" s="177"/>
    </row>
    <row r="369" spans="11:11" x14ac:dyDescent="0.15">
      <c r="K369" s="177"/>
    </row>
    <row r="370" spans="11:11" x14ac:dyDescent="0.15">
      <c r="K370" s="177"/>
    </row>
    <row r="371" spans="11:11" x14ac:dyDescent="0.15">
      <c r="K371" s="177"/>
    </row>
    <row r="372" spans="11:11" x14ac:dyDescent="0.15">
      <c r="K372" s="177"/>
    </row>
    <row r="373" spans="11:11" x14ac:dyDescent="0.15">
      <c r="K373" s="177"/>
    </row>
    <row r="374" spans="11:11" x14ac:dyDescent="0.15">
      <c r="K374" s="177"/>
    </row>
    <row r="375" spans="11:11" x14ac:dyDescent="0.15">
      <c r="K375" s="177"/>
    </row>
    <row r="376" spans="11:11" x14ac:dyDescent="0.15">
      <c r="K376" s="177"/>
    </row>
    <row r="377" spans="11:11" x14ac:dyDescent="0.15">
      <c r="K377" s="177"/>
    </row>
    <row r="378" spans="11:11" x14ac:dyDescent="0.15">
      <c r="K378" s="177"/>
    </row>
    <row r="379" spans="11:11" x14ac:dyDescent="0.15">
      <c r="K379" s="177"/>
    </row>
    <row r="380" spans="11:11" x14ac:dyDescent="0.15">
      <c r="K380" s="177"/>
    </row>
    <row r="381" spans="11:11" x14ac:dyDescent="0.15">
      <c r="K381" s="177"/>
    </row>
    <row r="382" spans="11:11" x14ac:dyDescent="0.15">
      <c r="K382" s="177"/>
    </row>
    <row r="383" spans="11:11" x14ac:dyDescent="0.15">
      <c r="K383" s="177"/>
    </row>
    <row r="384" spans="11:11" x14ac:dyDescent="0.15">
      <c r="K384" s="177"/>
    </row>
    <row r="385" spans="11:11" x14ac:dyDescent="0.15">
      <c r="K385" s="177"/>
    </row>
    <row r="386" spans="11:11" x14ac:dyDescent="0.15">
      <c r="K386" s="177"/>
    </row>
    <row r="387" spans="11:11" x14ac:dyDescent="0.15">
      <c r="K387" s="177"/>
    </row>
    <row r="388" spans="11:11" x14ac:dyDescent="0.15">
      <c r="K388" s="177"/>
    </row>
    <row r="389" spans="11:11" x14ac:dyDescent="0.15">
      <c r="K389" s="177"/>
    </row>
    <row r="390" spans="11:11" x14ac:dyDescent="0.15">
      <c r="K390" s="177"/>
    </row>
    <row r="391" spans="11:11" x14ac:dyDescent="0.15">
      <c r="K391" s="177"/>
    </row>
    <row r="392" spans="11:11" x14ac:dyDescent="0.15">
      <c r="K392" s="177"/>
    </row>
    <row r="393" spans="11:11" x14ac:dyDescent="0.15">
      <c r="K393" s="177"/>
    </row>
    <row r="394" spans="11:11" x14ac:dyDescent="0.15">
      <c r="K394" s="177"/>
    </row>
    <row r="395" spans="11:11" x14ac:dyDescent="0.15">
      <c r="K395" s="177"/>
    </row>
    <row r="396" spans="11:11" x14ac:dyDescent="0.15">
      <c r="K396" s="177"/>
    </row>
    <row r="397" spans="11:11" x14ac:dyDescent="0.15">
      <c r="K397" s="177"/>
    </row>
    <row r="398" spans="11:11" x14ac:dyDescent="0.15">
      <c r="K398" s="177"/>
    </row>
    <row r="399" spans="11:11" x14ac:dyDescent="0.15">
      <c r="K399" s="177"/>
    </row>
    <row r="400" spans="11:11" x14ac:dyDescent="0.15">
      <c r="K400" s="177"/>
    </row>
    <row r="401" spans="11:11" x14ac:dyDescent="0.15">
      <c r="K401" s="177"/>
    </row>
    <row r="402" spans="11:11" x14ac:dyDescent="0.15">
      <c r="K402" s="177"/>
    </row>
    <row r="403" spans="11:11" x14ac:dyDescent="0.15">
      <c r="K403" s="177"/>
    </row>
    <row r="404" spans="11:11" x14ac:dyDescent="0.15">
      <c r="K404" s="177"/>
    </row>
    <row r="405" spans="11:11" x14ac:dyDescent="0.15">
      <c r="K405" s="177"/>
    </row>
    <row r="406" spans="11:11" x14ac:dyDescent="0.15">
      <c r="K406" s="177"/>
    </row>
    <row r="407" spans="11:11" x14ac:dyDescent="0.15">
      <c r="K407" s="177"/>
    </row>
    <row r="408" spans="11:11" x14ac:dyDescent="0.15">
      <c r="K408" s="177"/>
    </row>
    <row r="409" spans="11:11" x14ac:dyDescent="0.15">
      <c r="K409" s="177"/>
    </row>
    <row r="410" spans="11:11" x14ac:dyDescent="0.15">
      <c r="K410" s="177"/>
    </row>
    <row r="411" spans="11:11" x14ac:dyDescent="0.15">
      <c r="K411" s="177"/>
    </row>
    <row r="412" spans="11:11" x14ac:dyDescent="0.15">
      <c r="K412" s="177"/>
    </row>
    <row r="413" spans="11:11" x14ac:dyDescent="0.15">
      <c r="K413" s="177"/>
    </row>
    <row r="414" spans="11:11" x14ac:dyDescent="0.15">
      <c r="K414" s="177"/>
    </row>
    <row r="415" spans="11:11" x14ac:dyDescent="0.15">
      <c r="K415" s="177"/>
    </row>
    <row r="416" spans="11:11" x14ac:dyDescent="0.15">
      <c r="K416" s="177"/>
    </row>
    <row r="417" spans="11:11" x14ac:dyDescent="0.15">
      <c r="K417" s="177"/>
    </row>
    <row r="418" spans="11:11" x14ac:dyDescent="0.15">
      <c r="K418" s="177"/>
    </row>
    <row r="419" spans="11:11" x14ac:dyDescent="0.15">
      <c r="K419" s="177"/>
    </row>
    <row r="420" spans="11:11" x14ac:dyDescent="0.15">
      <c r="K420" s="177"/>
    </row>
    <row r="421" spans="11:11" x14ac:dyDescent="0.15">
      <c r="K421" s="177"/>
    </row>
    <row r="422" spans="11:11" x14ac:dyDescent="0.15">
      <c r="K422" s="177"/>
    </row>
    <row r="423" spans="11:11" x14ac:dyDescent="0.15">
      <c r="K423" s="177"/>
    </row>
    <row r="424" spans="11:11" x14ac:dyDescent="0.15">
      <c r="K424" s="177"/>
    </row>
    <row r="425" spans="11:11" x14ac:dyDescent="0.15">
      <c r="K425" s="177"/>
    </row>
    <row r="426" spans="11:11" x14ac:dyDescent="0.15">
      <c r="K426" s="177"/>
    </row>
    <row r="427" spans="11:11" x14ac:dyDescent="0.15">
      <c r="K427" s="177"/>
    </row>
    <row r="428" spans="11:11" x14ac:dyDescent="0.15">
      <c r="K428" s="177"/>
    </row>
    <row r="429" spans="11:11" x14ac:dyDescent="0.15">
      <c r="K429" s="177"/>
    </row>
    <row r="430" spans="11:11" x14ac:dyDescent="0.15">
      <c r="K430" s="177"/>
    </row>
    <row r="431" spans="11:11" x14ac:dyDescent="0.15">
      <c r="K431" s="177"/>
    </row>
    <row r="432" spans="11:11" x14ac:dyDescent="0.15">
      <c r="K432" s="177"/>
    </row>
    <row r="433" spans="11:11" x14ac:dyDescent="0.15">
      <c r="K433" s="177"/>
    </row>
    <row r="434" spans="11:11" x14ac:dyDescent="0.15">
      <c r="K434" s="177"/>
    </row>
    <row r="435" spans="11:11" x14ac:dyDescent="0.15">
      <c r="K435" s="177"/>
    </row>
    <row r="436" spans="11:11" x14ac:dyDescent="0.15">
      <c r="K436" s="177"/>
    </row>
    <row r="437" spans="11:11" x14ac:dyDescent="0.15">
      <c r="K437" s="177"/>
    </row>
    <row r="438" spans="11:11" x14ac:dyDescent="0.15">
      <c r="K438" s="177"/>
    </row>
    <row r="439" spans="11:11" x14ac:dyDescent="0.15">
      <c r="K439" s="177"/>
    </row>
    <row r="440" spans="11:11" x14ac:dyDescent="0.15">
      <c r="K440" s="177"/>
    </row>
    <row r="441" spans="11:11" x14ac:dyDescent="0.15">
      <c r="K441" s="177"/>
    </row>
    <row r="442" spans="11:11" x14ac:dyDescent="0.15">
      <c r="K442" s="177"/>
    </row>
    <row r="443" spans="11:11" x14ac:dyDescent="0.15">
      <c r="K443" s="177"/>
    </row>
    <row r="444" spans="11:11" x14ac:dyDescent="0.15">
      <c r="K444" s="177"/>
    </row>
    <row r="445" spans="11:11" x14ac:dyDescent="0.15">
      <c r="K445" s="177"/>
    </row>
    <row r="446" spans="11:11" x14ac:dyDescent="0.15">
      <c r="K446" s="177"/>
    </row>
    <row r="447" spans="11:11" x14ac:dyDescent="0.15">
      <c r="K447" s="177"/>
    </row>
    <row r="448" spans="11:11" x14ac:dyDescent="0.15">
      <c r="K448" s="177"/>
    </row>
    <row r="449" spans="11:11" x14ac:dyDescent="0.15">
      <c r="K449" s="177"/>
    </row>
    <row r="450" spans="11:11" x14ac:dyDescent="0.15">
      <c r="K450" s="177"/>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2"/>
  <sheetViews>
    <sheetView zoomScale="85" zoomScaleNormal="85" workbookViewId="0">
      <selection activeCell="Q19" sqref="Q19"/>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186</v>
      </c>
      <c r="C1" s="90" t="s">
        <v>187</v>
      </c>
      <c r="D1" s="91" t="s">
        <v>3</v>
      </c>
      <c r="E1" s="92" t="s">
        <v>4</v>
      </c>
      <c r="F1" s="92" t="s">
        <v>5</v>
      </c>
      <c r="G1" s="92" t="s">
        <v>6</v>
      </c>
      <c r="H1" s="92" t="s">
        <v>7</v>
      </c>
      <c r="I1" s="92" t="s">
        <v>8</v>
      </c>
      <c r="J1" s="92" t="s">
        <v>9</v>
      </c>
      <c r="K1" s="92" t="s">
        <v>10</v>
      </c>
      <c r="L1" s="91" t="s">
        <v>188</v>
      </c>
      <c r="M1" s="91" t="s">
        <v>189</v>
      </c>
      <c r="N1" s="91" t="s">
        <v>13</v>
      </c>
      <c r="O1" s="91" t="s">
        <v>190</v>
      </c>
      <c r="P1" s="91" t="s">
        <v>191</v>
      </c>
      <c r="Q1" s="93" t="s">
        <v>192</v>
      </c>
      <c r="R1" s="91" t="s">
        <v>193</v>
      </c>
      <c r="S1" s="91" t="s">
        <v>194</v>
      </c>
      <c r="T1" s="93" t="s">
        <v>19</v>
      </c>
      <c r="U1" s="94" t="s">
        <v>108</v>
      </c>
      <c r="V1" s="95" t="s">
        <v>20</v>
      </c>
      <c r="W1" s="91" t="s">
        <v>195</v>
      </c>
      <c r="X1" s="92" t="s">
        <v>22</v>
      </c>
      <c r="Y1" s="92" t="s">
        <v>23</v>
      </c>
      <c r="Z1" s="92" t="s">
        <v>24</v>
      </c>
      <c r="AA1" s="96" t="s">
        <v>25</v>
      </c>
      <c r="AB1" s="97" t="s">
        <v>196</v>
      </c>
      <c r="AE1" s="99" t="s">
        <v>0</v>
      </c>
      <c r="AF1" s="100"/>
      <c r="AG1" s="99" t="s">
        <v>4</v>
      </c>
      <c r="AH1" s="99" t="s">
        <v>5</v>
      </c>
      <c r="AI1" s="100"/>
      <c r="AJ1" s="99" t="s">
        <v>6</v>
      </c>
      <c r="AK1" s="100"/>
      <c r="AL1" s="101" t="s">
        <v>7</v>
      </c>
      <c r="AM1" s="100"/>
      <c r="AN1" s="101" t="s">
        <v>8</v>
      </c>
      <c r="AO1" s="100"/>
      <c r="AP1" s="101" t="s">
        <v>27</v>
      </c>
      <c r="AQ1" s="100"/>
      <c r="AR1" s="101" t="s">
        <v>10</v>
      </c>
      <c r="AS1" s="100"/>
      <c r="AT1" s="102" t="s">
        <v>197</v>
      </c>
      <c r="AU1" s="100"/>
      <c r="AV1" s="101" t="s">
        <v>29</v>
      </c>
      <c r="AX1" s="103" t="s">
        <v>198</v>
      </c>
      <c r="AY1" s="104" t="s">
        <v>199</v>
      </c>
      <c r="AZ1" s="104" t="s">
        <v>200</v>
      </c>
      <c r="BA1" s="105" t="s">
        <v>201</v>
      </c>
    </row>
    <row r="2" spans="1:53" s="207" customFormat="1" x14ac:dyDescent="0.15">
      <c r="A2" s="207" t="s">
        <v>51</v>
      </c>
      <c r="B2" s="207" t="s">
        <v>325</v>
      </c>
      <c r="C2" s="207">
        <v>2018</v>
      </c>
      <c r="D2" s="106" t="s">
        <v>387</v>
      </c>
      <c r="E2" s="207" t="s">
        <v>202</v>
      </c>
      <c r="F2" s="207" t="s">
        <v>203</v>
      </c>
      <c r="G2" s="207" t="s">
        <v>42</v>
      </c>
      <c r="H2" s="207" t="s">
        <v>157</v>
      </c>
      <c r="I2" s="207" t="s">
        <v>155</v>
      </c>
      <c r="J2" s="207" t="s">
        <v>38</v>
      </c>
      <c r="K2" s="207" t="s">
        <v>156</v>
      </c>
      <c r="L2" s="207">
        <v>1</v>
      </c>
      <c r="N2" s="207">
        <v>1</v>
      </c>
      <c r="O2" s="207">
        <v>0.9</v>
      </c>
      <c r="P2" s="207">
        <v>0.8</v>
      </c>
      <c r="Q2" s="107">
        <f t="shared" ref="Q2:Q65" si="0">IF(OR(O2="",P2=""),"",AVERAGE(O2,P2))</f>
        <v>0.85000000000000009</v>
      </c>
      <c r="R2" s="207">
        <v>14</v>
      </c>
      <c r="S2" s="207">
        <v>130</v>
      </c>
      <c r="T2" s="108">
        <f t="shared" ref="T2:T65" si="1">IF(H2="","",IF(OR(H2="GREEN",H2="GK"),IF(S2&gt;=$AX$2,VLOOKUP(S2,$AX$2:$AY$12,2,1),""),IF(S2&gt;=$AZ$2,VLOOKUP(S2,$AZ$2:$BA$12,2,1),"")))</f>
        <v>25</v>
      </c>
      <c r="U2" s="207">
        <v>68</v>
      </c>
      <c r="V2" s="109">
        <f t="shared" ref="V2:V65" si="2">IF(OR(N2="",U2="",T2=""),"",U2/N2*T2)</f>
        <v>1700</v>
      </c>
      <c r="W2" s="207">
        <v>20</v>
      </c>
      <c r="X2" s="207" t="s">
        <v>46</v>
      </c>
      <c r="Y2" s="207" t="s">
        <v>69</v>
      </c>
      <c r="Z2" s="207" t="s">
        <v>97</v>
      </c>
      <c r="AA2" s="207" t="s">
        <v>55</v>
      </c>
      <c r="AB2" s="207" t="s">
        <v>327</v>
      </c>
      <c r="AE2" s="110" t="s">
        <v>35</v>
      </c>
      <c r="AG2" s="111" t="s">
        <v>175</v>
      </c>
      <c r="AH2" s="111" t="s">
        <v>204</v>
      </c>
      <c r="AJ2" s="111" t="s">
        <v>36</v>
      </c>
      <c r="AL2" s="111" t="s">
        <v>205</v>
      </c>
      <c r="AN2" s="111" t="s">
        <v>37</v>
      </c>
      <c r="AP2" s="111" t="s">
        <v>38</v>
      </c>
      <c r="AR2" s="111" t="s">
        <v>156</v>
      </c>
      <c r="AT2" s="111" t="s">
        <v>39</v>
      </c>
      <c r="AV2" s="111" t="s">
        <v>40</v>
      </c>
      <c r="AX2" s="112">
        <v>1</v>
      </c>
      <c r="AY2" s="113">
        <v>50</v>
      </c>
      <c r="AZ2" s="113">
        <v>1</v>
      </c>
      <c r="BA2" s="114">
        <v>50</v>
      </c>
    </row>
    <row r="3" spans="1:53" s="115" customFormat="1" x14ac:dyDescent="0.15">
      <c r="A3" s="207" t="s">
        <v>51</v>
      </c>
      <c r="B3" s="207" t="s">
        <v>325</v>
      </c>
      <c r="C3" s="207">
        <v>2018</v>
      </c>
      <c r="D3" s="106" t="s">
        <v>387</v>
      </c>
      <c r="E3" s="207" t="s">
        <v>202</v>
      </c>
      <c r="F3" s="207" t="s">
        <v>203</v>
      </c>
      <c r="G3" s="207" t="s">
        <v>42</v>
      </c>
      <c r="H3" s="207" t="s">
        <v>157</v>
      </c>
      <c r="I3" s="207" t="s">
        <v>155</v>
      </c>
      <c r="J3" s="207" t="s">
        <v>38</v>
      </c>
      <c r="K3" s="207" t="s">
        <v>156</v>
      </c>
      <c r="L3" s="207">
        <v>2</v>
      </c>
      <c r="M3" s="207"/>
      <c r="N3" s="207">
        <v>1</v>
      </c>
      <c r="O3" s="207">
        <v>0.85</v>
      </c>
      <c r="P3" s="207">
        <v>0.8</v>
      </c>
      <c r="Q3" s="107">
        <f t="shared" si="0"/>
        <v>0.82499999999999996</v>
      </c>
      <c r="R3" s="207">
        <v>14.3</v>
      </c>
      <c r="S3" s="207">
        <v>134</v>
      </c>
      <c r="T3" s="108">
        <f t="shared" si="1"/>
        <v>25</v>
      </c>
      <c r="U3" s="207">
        <v>68</v>
      </c>
      <c r="V3" s="109">
        <f t="shared" si="2"/>
        <v>1700</v>
      </c>
      <c r="W3" s="207">
        <v>20</v>
      </c>
      <c r="X3" s="207" t="s">
        <v>46</v>
      </c>
      <c r="Y3" s="207" t="s">
        <v>69</v>
      </c>
      <c r="Z3" s="207" t="s">
        <v>97</v>
      </c>
      <c r="AA3" s="207" t="s">
        <v>55</v>
      </c>
      <c r="AB3" s="207" t="s">
        <v>327</v>
      </c>
      <c r="AE3" s="116" t="s">
        <v>41</v>
      </c>
      <c r="AG3" s="111" t="s">
        <v>206</v>
      </c>
      <c r="AH3" s="111" t="s">
        <v>207</v>
      </c>
      <c r="AJ3" s="117" t="s">
        <v>42</v>
      </c>
      <c r="AL3" s="117" t="s">
        <v>208</v>
      </c>
      <c r="AN3" s="117" t="s">
        <v>43</v>
      </c>
      <c r="AP3" s="117" t="s">
        <v>44</v>
      </c>
      <c r="AR3" s="118" t="s">
        <v>45</v>
      </c>
      <c r="AT3" s="117" t="s">
        <v>46</v>
      </c>
      <c r="AV3" s="117" t="s">
        <v>47</v>
      </c>
      <c r="AX3" s="119">
        <v>72</v>
      </c>
      <c r="AY3" s="120">
        <v>46</v>
      </c>
      <c r="AZ3" s="120">
        <v>71</v>
      </c>
      <c r="BA3" s="121">
        <v>42</v>
      </c>
    </row>
    <row r="4" spans="1:53" s="115" customFormat="1" x14ac:dyDescent="0.15">
      <c r="A4" s="207" t="s">
        <v>51</v>
      </c>
      <c r="B4" s="207" t="s">
        <v>325</v>
      </c>
      <c r="C4" s="207">
        <v>2018</v>
      </c>
      <c r="D4" s="106" t="s">
        <v>387</v>
      </c>
      <c r="E4" s="207" t="s">
        <v>202</v>
      </c>
      <c r="F4" s="207" t="s">
        <v>203</v>
      </c>
      <c r="G4" s="207" t="s">
        <v>42</v>
      </c>
      <c r="H4" s="207" t="s">
        <v>157</v>
      </c>
      <c r="I4" s="207" t="s">
        <v>155</v>
      </c>
      <c r="J4" s="207" t="s">
        <v>38</v>
      </c>
      <c r="K4" s="207" t="s">
        <v>156</v>
      </c>
      <c r="L4" s="207">
        <v>3</v>
      </c>
      <c r="M4" s="207"/>
      <c r="N4" s="207">
        <v>1</v>
      </c>
      <c r="O4" s="207">
        <v>0.75</v>
      </c>
      <c r="P4" s="207">
        <v>0.85</v>
      </c>
      <c r="Q4" s="107">
        <f t="shared" si="0"/>
        <v>0.8</v>
      </c>
      <c r="R4" s="207">
        <v>14.1</v>
      </c>
      <c r="S4" s="207">
        <v>134</v>
      </c>
      <c r="T4" s="108">
        <f t="shared" si="1"/>
        <v>25</v>
      </c>
      <c r="U4" s="207">
        <v>68</v>
      </c>
      <c r="V4" s="109">
        <f t="shared" si="2"/>
        <v>1700</v>
      </c>
      <c r="W4" s="207">
        <v>20</v>
      </c>
      <c r="X4" s="207" t="s">
        <v>46</v>
      </c>
      <c r="Y4" s="207" t="s">
        <v>69</v>
      </c>
      <c r="Z4" s="207" t="s">
        <v>97</v>
      </c>
      <c r="AA4" s="207" t="s">
        <v>55</v>
      </c>
      <c r="AB4" s="207" t="s">
        <v>327</v>
      </c>
      <c r="AE4" s="116" t="s">
        <v>34</v>
      </c>
      <c r="AG4" s="111" t="s">
        <v>209</v>
      </c>
      <c r="AH4" s="111" t="s">
        <v>210</v>
      </c>
      <c r="AJ4" s="122" t="s">
        <v>48</v>
      </c>
      <c r="AL4" s="122" t="s">
        <v>211</v>
      </c>
      <c r="AN4" s="123" t="s">
        <v>212</v>
      </c>
      <c r="AP4" s="117" t="s">
        <v>213</v>
      </c>
      <c r="AR4" s="118" t="s">
        <v>214</v>
      </c>
      <c r="AT4" s="123"/>
      <c r="AV4" s="117" t="s">
        <v>50</v>
      </c>
      <c r="AX4" s="119">
        <v>75</v>
      </c>
      <c r="AY4" s="120">
        <v>42</v>
      </c>
      <c r="AZ4" s="120">
        <v>76</v>
      </c>
      <c r="BA4" s="121">
        <v>39</v>
      </c>
    </row>
    <row r="5" spans="1:53" s="115" customFormat="1" x14ac:dyDescent="0.15">
      <c r="A5" s="207" t="s">
        <v>51</v>
      </c>
      <c r="B5" s="207" t="s">
        <v>325</v>
      </c>
      <c r="C5" s="207">
        <v>2018</v>
      </c>
      <c r="D5" s="106" t="s">
        <v>387</v>
      </c>
      <c r="E5" s="207" t="s">
        <v>202</v>
      </c>
      <c r="F5" s="207" t="s">
        <v>203</v>
      </c>
      <c r="G5" s="207" t="s">
        <v>42</v>
      </c>
      <c r="H5" s="207" t="s">
        <v>167</v>
      </c>
      <c r="I5" s="207" t="s">
        <v>155</v>
      </c>
      <c r="J5" s="207" t="s">
        <v>38</v>
      </c>
      <c r="K5" s="207" t="s">
        <v>156</v>
      </c>
      <c r="L5" s="207">
        <v>1</v>
      </c>
      <c r="M5" s="207"/>
      <c r="N5" s="207">
        <v>1</v>
      </c>
      <c r="O5" s="207">
        <v>0.75</v>
      </c>
      <c r="P5" s="207">
        <v>0.75</v>
      </c>
      <c r="Q5" s="107">
        <f t="shared" si="0"/>
        <v>0.75</v>
      </c>
      <c r="R5" s="207">
        <v>16.2</v>
      </c>
      <c r="S5" s="207">
        <v>134</v>
      </c>
      <c r="T5" s="108">
        <f t="shared" si="1"/>
        <v>25</v>
      </c>
      <c r="U5" s="207">
        <v>128</v>
      </c>
      <c r="V5" s="109">
        <f t="shared" si="2"/>
        <v>3200</v>
      </c>
      <c r="W5" s="207">
        <v>20</v>
      </c>
      <c r="X5" s="207" t="s">
        <v>46</v>
      </c>
      <c r="Y5" s="207" t="s">
        <v>69</v>
      </c>
      <c r="Z5" s="207" t="s">
        <v>97</v>
      </c>
      <c r="AA5" s="207" t="s">
        <v>55</v>
      </c>
      <c r="AB5" s="207" t="s">
        <v>327</v>
      </c>
      <c r="AE5" s="116" t="s">
        <v>51</v>
      </c>
      <c r="AG5" s="111" t="s">
        <v>215</v>
      </c>
      <c r="AH5" s="111" t="s">
        <v>203</v>
      </c>
      <c r="AJ5" s="123"/>
      <c r="AL5" s="124" t="s">
        <v>157</v>
      </c>
      <c r="AN5" s="124" t="s">
        <v>155</v>
      </c>
      <c r="AP5" s="117" t="s">
        <v>216</v>
      </c>
      <c r="AR5" s="118" t="s">
        <v>54</v>
      </c>
      <c r="AV5" s="117" t="s">
        <v>55</v>
      </c>
      <c r="AX5" s="119">
        <v>84</v>
      </c>
      <c r="AY5" s="120">
        <v>39</v>
      </c>
      <c r="AZ5" s="120">
        <v>84</v>
      </c>
      <c r="BA5" s="121">
        <v>36</v>
      </c>
    </row>
    <row r="6" spans="1:53" s="115" customFormat="1" x14ac:dyDescent="0.15">
      <c r="A6" s="207" t="s">
        <v>51</v>
      </c>
      <c r="B6" s="207" t="s">
        <v>325</v>
      </c>
      <c r="C6" s="207">
        <v>2018</v>
      </c>
      <c r="D6" s="106" t="s">
        <v>387</v>
      </c>
      <c r="E6" s="207" t="s">
        <v>202</v>
      </c>
      <c r="F6" s="207" t="s">
        <v>203</v>
      </c>
      <c r="G6" s="207" t="s">
        <v>42</v>
      </c>
      <c r="H6" s="207" t="s">
        <v>167</v>
      </c>
      <c r="I6" s="207" t="s">
        <v>155</v>
      </c>
      <c r="J6" s="207" t="s">
        <v>38</v>
      </c>
      <c r="K6" s="207" t="s">
        <v>156</v>
      </c>
      <c r="L6" s="207">
        <v>2</v>
      </c>
      <c r="M6" s="207"/>
      <c r="N6" s="207">
        <v>1</v>
      </c>
      <c r="O6" s="207">
        <v>0.7</v>
      </c>
      <c r="P6" s="207">
        <v>0.8</v>
      </c>
      <c r="Q6" s="107">
        <f t="shared" si="0"/>
        <v>0.75</v>
      </c>
      <c r="R6" s="207">
        <v>16.5</v>
      </c>
      <c r="S6" s="207">
        <v>136</v>
      </c>
      <c r="T6" s="108">
        <f t="shared" si="1"/>
        <v>25</v>
      </c>
      <c r="U6" s="207">
        <v>128</v>
      </c>
      <c r="V6" s="109">
        <f t="shared" si="2"/>
        <v>3200</v>
      </c>
      <c r="W6" s="207">
        <v>20</v>
      </c>
      <c r="X6" s="207" t="s">
        <v>46</v>
      </c>
      <c r="Y6" s="207" t="s">
        <v>69</v>
      </c>
      <c r="Z6" s="207" t="s">
        <v>97</v>
      </c>
      <c r="AA6" s="207" t="s">
        <v>55</v>
      </c>
      <c r="AB6" s="207" t="s">
        <v>327</v>
      </c>
      <c r="AE6" s="116" t="s">
        <v>56</v>
      </c>
      <c r="AG6" s="111" t="s">
        <v>217</v>
      </c>
      <c r="AH6" s="111" t="s">
        <v>218</v>
      </c>
      <c r="AL6" s="124" t="s">
        <v>219</v>
      </c>
      <c r="AN6" s="124" t="s">
        <v>158</v>
      </c>
      <c r="AP6" s="117" t="s">
        <v>53</v>
      </c>
      <c r="AR6" s="118" t="s">
        <v>59</v>
      </c>
      <c r="AV6" s="117" t="s">
        <v>60</v>
      </c>
      <c r="AX6" s="119">
        <v>97</v>
      </c>
      <c r="AY6" s="120">
        <v>36</v>
      </c>
      <c r="AZ6" s="120">
        <v>99</v>
      </c>
      <c r="BA6" s="121">
        <v>33</v>
      </c>
    </row>
    <row r="7" spans="1:53" s="115" customFormat="1" x14ac:dyDescent="0.15">
      <c r="A7" s="207" t="s">
        <v>51</v>
      </c>
      <c r="B7" s="207" t="s">
        <v>325</v>
      </c>
      <c r="C7" s="207">
        <v>2018</v>
      </c>
      <c r="D7" s="106" t="s">
        <v>387</v>
      </c>
      <c r="E7" s="207" t="s">
        <v>202</v>
      </c>
      <c r="F7" s="207" t="s">
        <v>203</v>
      </c>
      <c r="G7" s="207" t="s">
        <v>42</v>
      </c>
      <c r="H7" s="207" t="s">
        <v>167</v>
      </c>
      <c r="I7" s="207" t="s">
        <v>155</v>
      </c>
      <c r="J7" s="207" t="s">
        <v>38</v>
      </c>
      <c r="K7" s="207" t="s">
        <v>156</v>
      </c>
      <c r="L7" s="207">
        <v>3</v>
      </c>
      <c r="M7" s="207"/>
      <c r="N7" s="207">
        <v>1</v>
      </c>
      <c r="O7" s="207">
        <v>0.8</v>
      </c>
      <c r="P7" s="207">
        <v>0.7</v>
      </c>
      <c r="Q7" s="107">
        <f t="shared" si="0"/>
        <v>0.75</v>
      </c>
      <c r="R7" s="207">
        <v>16.3</v>
      </c>
      <c r="S7" s="207">
        <v>136</v>
      </c>
      <c r="T7" s="108">
        <f t="shared" si="1"/>
        <v>25</v>
      </c>
      <c r="U7" s="207">
        <v>128</v>
      </c>
      <c r="V7" s="109">
        <f t="shared" si="2"/>
        <v>3200</v>
      </c>
      <c r="W7" s="207">
        <v>20</v>
      </c>
      <c r="X7" s="207" t="s">
        <v>46</v>
      </c>
      <c r="Y7" s="207" t="s">
        <v>69</v>
      </c>
      <c r="Z7" s="207" t="s">
        <v>97</v>
      </c>
      <c r="AA7" s="207" t="s">
        <v>55</v>
      </c>
      <c r="AB7" s="207" t="s">
        <v>327</v>
      </c>
      <c r="AE7" s="116" t="s">
        <v>61</v>
      </c>
      <c r="AG7" s="111" t="s">
        <v>220</v>
      </c>
      <c r="AH7" s="111" t="s">
        <v>204</v>
      </c>
      <c r="AL7" s="115" t="s">
        <v>221</v>
      </c>
      <c r="AP7" s="117" t="s">
        <v>58</v>
      </c>
      <c r="AR7" s="118" t="s">
        <v>222</v>
      </c>
      <c r="AV7" s="117" t="s">
        <v>64</v>
      </c>
      <c r="AX7" s="119">
        <v>109</v>
      </c>
      <c r="AY7" s="120">
        <v>33</v>
      </c>
      <c r="AZ7" s="120">
        <v>113</v>
      </c>
      <c r="BA7" s="121">
        <v>30</v>
      </c>
    </row>
    <row r="8" spans="1:53" s="115" customFormat="1" x14ac:dyDescent="0.15">
      <c r="A8" s="207" t="s">
        <v>51</v>
      </c>
      <c r="B8" s="207" t="s">
        <v>325</v>
      </c>
      <c r="C8" s="207">
        <v>2018</v>
      </c>
      <c r="D8" s="106" t="s">
        <v>387</v>
      </c>
      <c r="E8" s="207" t="s">
        <v>206</v>
      </c>
      <c r="F8" s="207" t="s">
        <v>207</v>
      </c>
      <c r="G8" s="207" t="s">
        <v>36</v>
      </c>
      <c r="H8" s="207" t="s">
        <v>157</v>
      </c>
      <c r="I8" s="207" t="s">
        <v>155</v>
      </c>
      <c r="J8" s="207" t="s">
        <v>38</v>
      </c>
      <c r="K8" s="207" t="s">
        <v>156</v>
      </c>
      <c r="L8" s="207">
        <v>1</v>
      </c>
      <c r="M8" s="207"/>
      <c r="N8" s="207">
        <v>1</v>
      </c>
      <c r="O8" s="207">
        <v>0.85</v>
      </c>
      <c r="P8" s="207">
        <v>0.9</v>
      </c>
      <c r="Q8" s="107">
        <f t="shared" si="0"/>
        <v>0.875</v>
      </c>
      <c r="R8" s="207">
        <v>16.5</v>
      </c>
      <c r="S8" s="207">
        <v>130</v>
      </c>
      <c r="T8" s="108">
        <f t="shared" si="1"/>
        <v>25</v>
      </c>
      <c r="U8" s="207">
        <v>138</v>
      </c>
      <c r="V8" s="109">
        <f t="shared" si="2"/>
        <v>3450</v>
      </c>
      <c r="W8" s="207">
        <v>15</v>
      </c>
      <c r="X8" s="207" t="s">
        <v>46</v>
      </c>
      <c r="Y8" s="207" t="s">
        <v>69</v>
      </c>
      <c r="Z8" s="207" t="s">
        <v>90</v>
      </c>
      <c r="AA8" s="207" t="s">
        <v>55</v>
      </c>
      <c r="AB8" s="207" t="s">
        <v>327</v>
      </c>
      <c r="AE8" s="116" t="s">
        <v>59</v>
      </c>
      <c r="AG8" s="111" t="s">
        <v>223</v>
      </c>
      <c r="AH8" s="111" t="s">
        <v>224</v>
      </c>
      <c r="AL8" s="115" t="s">
        <v>167</v>
      </c>
      <c r="AP8" s="117" t="s">
        <v>62</v>
      </c>
      <c r="AR8" s="118" t="s">
        <v>81</v>
      </c>
      <c r="AV8" s="117" t="s">
        <v>97</v>
      </c>
      <c r="AX8" s="119">
        <v>119</v>
      </c>
      <c r="AY8" s="120">
        <v>30</v>
      </c>
      <c r="AZ8" s="120">
        <v>121</v>
      </c>
      <c r="BA8" s="121">
        <v>27</v>
      </c>
    </row>
    <row r="9" spans="1:53" s="115" customFormat="1" x14ac:dyDescent="0.15">
      <c r="A9" s="207" t="s">
        <v>51</v>
      </c>
      <c r="B9" s="207" t="s">
        <v>325</v>
      </c>
      <c r="C9" s="207">
        <v>2018</v>
      </c>
      <c r="D9" s="106" t="s">
        <v>387</v>
      </c>
      <c r="E9" s="207" t="s">
        <v>206</v>
      </c>
      <c r="F9" s="207" t="s">
        <v>207</v>
      </c>
      <c r="G9" s="207" t="s">
        <v>36</v>
      </c>
      <c r="H9" s="207" t="s">
        <v>157</v>
      </c>
      <c r="I9" s="207" t="s">
        <v>155</v>
      </c>
      <c r="J9" s="207" t="s">
        <v>38</v>
      </c>
      <c r="K9" s="207" t="s">
        <v>156</v>
      </c>
      <c r="L9" s="207">
        <v>2</v>
      </c>
      <c r="M9" s="207"/>
      <c r="N9" s="207">
        <v>1</v>
      </c>
      <c r="O9" s="207">
        <v>0.85</v>
      </c>
      <c r="P9" s="207">
        <v>0.85</v>
      </c>
      <c r="Q9" s="107">
        <f t="shared" si="0"/>
        <v>0.85</v>
      </c>
      <c r="R9" s="207">
        <v>15.8</v>
      </c>
      <c r="S9" s="207">
        <v>132</v>
      </c>
      <c r="T9" s="108">
        <f t="shared" si="1"/>
        <v>25</v>
      </c>
      <c r="U9" s="207">
        <v>138</v>
      </c>
      <c r="V9" s="109">
        <f t="shared" si="2"/>
        <v>3450</v>
      </c>
      <c r="W9" s="207">
        <v>15</v>
      </c>
      <c r="X9" s="207" t="s">
        <v>46</v>
      </c>
      <c r="Y9" s="207" t="s">
        <v>69</v>
      </c>
      <c r="Z9" s="207" t="s">
        <v>90</v>
      </c>
      <c r="AA9" s="207" t="s">
        <v>55</v>
      </c>
      <c r="AB9" s="207" t="s">
        <v>327</v>
      </c>
      <c r="AE9" s="116" t="s">
        <v>225</v>
      </c>
      <c r="AG9" s="111" t="s">
        <v>226</v>
      </c>
      <c r="AH9" s="111" t="s">
        <v>203</v>
      </c>
      <c r="AL9" s="124"/>
      <c r="AP9" s="117" t="s">
        <v>95</v>
      </c>
      <c r="AR9" s="118" t="s">
        <v>227</v>
      </c>
      <c r="AV9" s="117" t="s">
        <v>102</v>
      </c>
      <c r="AX9" s="119">
        <v>128</v>
      </c>
      <c r="AY9" s="120">
        <v>27</v>
      </c>
      <c r="AZ9" s="120">
        <v>129</v>
      </c>
      <c r="BA9" s="121">
        <v>25</v>
      </c>
    </row>
    <row r="10" spans="1:53" s="115" customFormat="1" x14ac:dyDescent="0.15">
      <c r="A10" s="207" t="s">
        <v>51</v>
      </c>
      <c r="B10" s="207" t="s">
        <v>325</v>
      </c>
      <c r="C10" s="207">
        <v>2018</v>
      </c>
      <c r="D10" s="106" t="s">
        <v>387</v>
      </c>
      <c r="E10" s="207" t="s">
        <v>206</v>
      </c>
      <c r="F10" s="207" t="s">
        <v>207</v>
      </c>
      <c r="G10" s="207" t="s">
        <v>36</v>
      </c>
      <c r="H10" s="207" t="s">
        <v>157</v>
      </c>
      <c r="I10" s="207" t="s">
        <v>155</v>
      </c>
      <c r="J10" s="207" t="s">
        <v>38</v>
      </c>
      <c r="K10" s="207" t="s">
        <v>156</v>
      </c>
      <c r="L10" s="207">
        <v>3</v>
      </c>
      <c r="M10" s="207"/>
      <c r="N10" s="207">
        <v>1</v>
      </c>
      <c r="O10" s="207">
        <v>0.9</v>
      </c>
      <c r="P10" s="207">
        <v>0.9</v>
      </c>
      <c r="Q10" s="107">
        <f t="shared" si="0"/>
        <v>0.9</v>
      </c>
      <c r="R10" s="207">
        <v>16.2</v>
      </c>
      <c r="S10" s="207">
        <v>122</v>
      </c>
      <c r="T10" s="108">
        <f t="shared" si="1"/>
        <v>27</v>
      </c>
      <c r="U10" s="207">
        <v>138</v>
      </c>
      <c r="V10" s="109">
        <f t="shared" si="2"/>
        <v>3726</v>
      </c>
      <c r="W10" s="207">
        <v>15</v>
      </c>
      <c r="X10" s="207" t="s">
        <v>46</v>
      </c>
      <c r="Y10" s="207" t="s">
        <v>69</v>
      </c>
      <c r="Z10" s="207" t="s">
        <v>90</v>
      </c>
      <c r="AA10" s="207" t="s">
        <v>55</v>
      </c>
      <c r="AB10" s="207" t="s">
        <v>327</v>
      </c>
      <c r="AE10" s="116" t="s">
        <v>228</v>
      </c>
      <c r="AG10" s="111" t="s">
        <v>202</v>
      </c>
      <c r="AH10" s="117" t="s">
        <v>203</v>
      </c>
      <c r="AP10" s="117" t="s">
        <v>100</v>
      </c>
      <c r="AR10" s="118" t="s">
        <v>229</v>
      </c>
      <c r="AV10" s="117" t="s">
        <v>106</v>
      </c>
      <c r="AX10" s="119">
        <v>138</v>
      </c>
      <c r="AY10" s="120">
        <v>25</v>
      </c>
      <c r="AZ10" s="120">
        <v>138</v>
      </c>
      <c r="BA10" s="121">
        <v>22</v>
      </c>
    </row>
    <row r="11" spans="1:53" s="115" customFormat="1" x14ac:dyDescent="0.15">
      <c r="A11" s="207" t="s">
        <v>51</v>
      </c>
      <c r="B11" s="207" t="s">
        <v>325</v>
      </c>
      <c r="C11" s="207">
        <v>2018</v>
      </c>
      <c r="D11" s="106" t="s">
        <v>387</v>
      </c>
      <c r="E11" s="207" t="s">
        <v>206</v>
      </c>
      <c r="F11" s="207" t="s">
        <v>207</v>
      </c>
      <c r="G11" s="207" t="s">
        <v>36</v>
      </c>
      <c r="H11" s="207" t="s">
        <v>221</v>
      </c>
      <c r="I11" s="207" t="s">
        <v>155</v>
      </c>
      <c r="J11" s="207" t="s">
        <v>38</v>
      </c>
      <c r="K11" s="207" t="s">
        <v>156</v>
      </c>
      <c r="L11" s="207">
        <v>1</v>
      </c>
      <c r="M11" s="207"/>
      <c r="N11" s="207">
        <v>1</v>
      </c>
      <c r="O11" s="207">
        <v>0.75</v>
      </c>
      <c r="P11" s="207">
        <v>0.7</v>
      </c>
      <c r="Q11" s="107">
        <f t="shared" si="0"/>
        <v>0.72499999999999998</v>
      </c>
      <c r="R11" s="207">
        <v>19.399999999999999</v>
      </c>
      <c r="S11" s="207">
        <v>134</v>
      </c>
      <c r="T11" s="108">
        <f t="shared" si="1"/>
        <v>25</v>
      </c>
      <c r="U11" s="207">
        <v>138</v>
      </c>
      <c r="V11" s="109">
        <f t="shared" si="2"/>
        <v>3450</v>
      </c>
      <c r="W11" s="207">
        <v>15</v>
      </c>
      <c r="X11" s="207" t="s">
        <v>46</v>
      </c>
      <c r="Y11" s="207" t="s">
        <v>69</v>
      </c>
      <c r="Z11" s="207" t="s">
        <v>90</v>
      </c>
      <c r="AA11" s="207" t="s">
        <v>55</v>
      </c>
      <c r="AB11" s="207" t="s">
        <v>327</v>
      </c>
      <c r="AE11" s="116" t="s">
        <v>68</v>
      </c>
      <c r="AG11" s="111" t="s">
        <v>139</v>
      </c>
      <c r="AH11" s="117" t="s">
        <v>388</v>
      </c>
      <c r="AP11" s="117" t="s">
        <v>104</v>
      </c>
      <c r="AR11" s="118" t="s">
        <v>230</v>
      </c>
      <c r="AV11" s="117" t="s">
        <v>69</v>
      </c>
      <c r="AX11" s="119">
        <v>151</v>
      </c>
      <c r="AY11" s="120">
        <v>22</v>
      </c>
      <c r="AZ11" s="120">
        <v>152</v>
      </c>
      <c r="BA11" s="121">
        <v>18</v>
      </c>
    </row>
    <row r="12" spans="1:53" s="115" customFormat="1" x14ac:dyDescent="0.15">
      <c r="A12" s="207" t="s">
        <v>51</v>
      </c>
      <c r="B12" s="207" t="s">
        <v>325</v>
      </c>
      <c r="C12" s="207">
        <v>2018</v>
      </c>
      <c r="D12" s="106" t="s">
        <v>387</v>
      </c>
      <c r="E12" s="207" t="s">
        <v>206</v>
      </c>
      <c r="F12" s="207" t="s">
        <v>207</v>
      </c>
      <c r="G12" s="207" t="s">
        <v>36</v>
      </c>
      <c r="H12" s="207" t="s">
        <v>221</v>
      </c>
      <c r="I12" s="207" t="s">
        <v>155</v>
      </c>
      <c r="J12" s="207" t="s">
        <v>38</v>
      </c>
      <c r="K12" s="207" t="s">
        <v>156</v>
      </c>
      <c r="L12" s="207">
        <v>2</v>
      </c>
      <c r="M12" s="207"/>
      <c r="N12" s="207">
        <v>1</v>
      </c>
      <c r="O12" s="207">
        <v>0.7</v>
      </c>
      <c r="P12" s="207">
        <v>0.8</v>
      </c>
      <c r="Q12" s="107">
        <f t="shared" si="0"/>
        <v>0.75</v>
      </c>
      <c r="R12" s="207">
        <v>17.899999999999999</v>
      </c>
      <c r="S12" s="207">
        <v>134</v>
      </c>
      <c r="T12" s="108">
        <f t="shared" si="1"/>
        <v>25</v>
      </c>
      <c r="U12" s="207">
        <v>138</v>
      </c>
      <c r="V12" s="109">
        <f t="shared" si="2"/>
        <v>3450</v>
      </c>
      <c r="W12" s="207">
        <v>15</v>
      </c>
      <c r="X12" s="207" t="s">
        <v>46</v>
      </c>
      <c r="Y12" s="207" t="s">
        <v>69</v>
      </c>
      <c r="Z12" s="207" t="s">
        <v>90</v>
      </c>
      <c r="AA12" s="207" t="s">
        <v>55</v>
      </c>
      <c r="AB12" s="207" t="s">
        <v>327</v>
      </c>
      <c r="AE12" s="116" t="s">
        <v>231</v>
      </c>
      <c r="AG12" s="117"/>
      <c r="AH12" s="117"/>
      <c r="AP12" s="117" t="s">
        <v>67</v>
      </c>
      <c r="AR12" s="118" t="s">
        <v>232</v>
      </c>
      <c r="AV12" s="117" t="s">
        <v>72</v>
      </c>
      <c r="AX12" s="125">
        <v>180</v>
      </c>
      <c r="AY12" s="126">
        <v>18</v>
      </c>
      <c r="AZ12" s="126">
        <v>181</v>
      </c>
      <c r="BA12" s="127">
        <v>16</v>
      </c>
    </row>
    <row r="13" spans="1:53" s="115" customFormat="1" x14ac:dyDescent="0.15">
      <c r="A13" s="207" t="s">
        <v>51</v>
      </c>
      <c r="B13" s="207" t="s">
        <v>325</v>
      </c>
      <c r="C13" s="207">
        <v>2018</v>
      </c>
      <c r="D13" s="106" t="s">
        <v>387</v>
      </c>
      <c r="E13" s="207" t="s">
        <v>206</v>
      </c>
      <c r="F13" s="207" t="s">
        <v>207</v>
      </c>
      <c r="G13" s="207" t="s">
        <v>36</v>
      </c>
      <c r="H13" s="207" t="s">
        <v>221</v>
      </c>
      <c r="I13" s="207" t="s">
        <v>155</v>
      </c>
      <c r="J13" s="207" t="s">
        <v>38</v>
      </c>
      <c r="K13" s="207" t="s">
        <v>156</v>
      </c>
      <c r="L13" s="207">
        <v>3</v>
      </c>
      <c r="M13" s="207"/>
      <c r="N13" s="207">
        <v>1</v>
      </c>
      <c r="O13" s="207">
        <v>0.75</v>
      </c>
      <c r="P13" s="207">
        <v>0.7</v>
      </c>
      <c r="Q13" s="107">
        <f t="shared" si="0"/>
        <v>0.72499999999999998</v>
      </c>
      <c r="R13" s="207">
        <v>18.8</v>
      </c>
      <c r="S13" s="207">
        <v>132</v>
      </c>
      <c r="T13" s="108">
        <f t="shared" si="1"/>
        <v>25</v>
      </c>
      <c r="U13" s="207">
        <v>138</v>
      </c>
      <c r="V13" s="109">
        <f t="shared" si="2"/>
        <v>3450</v>
      </c>
      <c r="W13" s="207">
        <v>15</v>
      </c>
      <c r="X13" s="207" t="s">
        <v>46</v>
      </c>
      <c r="Y13" s="207" t="s">
        <v>69</v>
      </c>
      <c r="Z13" s="207" t="s">
        <v>90</v>
      </c>
      <c r="AA13" s="207" t="s">
        <v>55</v>
      </c>
      <c r="AB13" s="207" t="s">
        <v>327</v>
      </c>
      <c r="AE13" s="116" t="s">
        <v>233</v>
      </c>
      <c r="AG13" s="117"/>
      <c r="AH13" s="117"/>
      <c r="AP13" s="117" t="s">
        <v>71</v>
      </c>
      <c r="AR13" s="118" t="s">
        <v>228</v>
      </c>
      <c r="AV13" s="117" t="s">
        <v>75</v>
      </c>
    </row>
    <row r="14" spans="1:53" s="115" customFormat="1" x14ac:dyDescent="0.15">
      <c r="A14" s="207" t="s">
        <v>51</v>
      </c>
      <c r="B14" s="207" t="s">
        <v>325</v>
      </c>
      <c r="C14" s="207">
        <v>2018</v>
      </c>
      <c r="D14" s="106" t="s">
        <v>387</v>
      </c>
      <c r="E14" s="207" t="s">
        <v>206</v>
      </c>
      <c r="F14" s="207" t="s">
        <v>207</v>
      </c>
      <c r="G14" s="207" t="s">
        <v>36</v>
      </c>
      <c r="H14" s="207" t="s">
        <v>167</v>
      </c>
      <c r="I14" s="207" t="s">
        <v>155</v>
      </c>
      <c r="J14" s="207" t="s">
        <v>38</v>
      </c>
      <c r="K14" s="207" t="s">
        <v>156</v>
      </c>
      <c r="L14" s="207">
        <v>1</v>
      </c>
      <c r="M14" s="207"/>
      <c r="N14" s="207">
        <v>1</v>
      </c>
      <c r="O14" s="207">
        <v>0.8</v>
      </c>
      <c r="P14" s="207">
        <v>0.9</v>
      </c>
      <c r="Q14" s="107">
        <f t="shared" si="0"/>
        <v>0.85000000000000009</v>
      </c>
      <c r="R14" s="207">
        <v>16.600000000000001</v>
      </c>
      <c r="S14" s="207">
        <v>148</v>
      </c>
      <c r="T14" s="108">
        <f t="shared" si="1"/>
        <v>22</v>
      </c>
      <c r="U14" s="207">
        <v>138</v>
      </c>
      <c r="V14" s="109">
        <f t="shared" si="2"/>
        <v>3036</v>
      </c>
      <c r="W14" s="207">
        <v>15</v>
      </c>
      <c r="X14" s="207" t="s">
        <v>46</v>
      </c>
      <c r="Y14" s="207" t="s">
        <v>69</v>
      </c>
      <c r="Z14" s="207" t="s">
        <v>90</v>
      </c>
      <c r="AA14" s="207" t="s">
        <v>55</v>
      </c>
      <c r="AB14" s="207" t="s">
        <v>327</v>
      </c>
      <c r="AE14" s="116" t="s">
        <v>96</v>
      </c>
      <c r="AG14" s="117"/>
      <c r="AH14" s="117"/>
      <c r="AP14" s="117" t="s">
        <v>74</v>
      </c>
      <c r="AR14" s="118" t="s">
        <v>234</v>
      </c>
      <c r="AV14" s="117" t="s">
        <v>78</v>
      </c>
    </row>
    <row r="15" spans="1:53" s="115" customFormat="1" x14ac:dyDescent="0.15">
      <c r="A15" s="207" t="s">
        <v>51</v>
      </c>
      <c r="B15" s="207" t="s">
        <v>325</v>
      </c>
      <c r="C15" s="207">
        <v>2018</v>
      </c>
      <c r="D15" s="106" t="s">
        <v>387</v>
      </c>
      <c r="E15" s="207" t="s">
        <v>206</v>
      </c>
      <c r="F15" s="207" t="s">
        <v>207</v>
      </c>
      <c r="G15" s="207" t="s">
        <v>36</v>
      </c>
      <c r="H15" s="207" t="s">
        <v>167</v>
      </c>
      <c r="I15" s="207" t="s">
        <v>155</v>
      </c>
      <c r="J15" s="207" t="s">
        <v>38</v>
      </c>
      <c r="K15" s="207" t="s">
        <v>156</v>
      </c>
      <c r="L15" s="207">
        <v>2</v>
      </c>
      <c r="M15" s="207"/>
      <c r="N15" s="207">
        <v>1</v>
      </c>
      <c r="O15" s="207">
        <v>0.85</v>
      </c>
      <c r="P15" s="207">
        <v>0.85</v>
      </c>
      <c r="Q15" s="107">
        <f t="shared" si="0"/>
        <v>0.85</v>
      </c>
      <c r="R15" s="207">
        <v>16.3</v>
      </c>
      <c r="S15" s="207">
        <v>138</v>
      </c>
      <c r="T15" s="108">
        <f t="shared" si="1"/>
        <v>22</v>
      </c>
      <c r="U15" s="207">
        <v>138</v>
      </c>
      <c r="V15" s="109">
        <f t="shared" si="2"/>
        <v>3036</v>
      </c>
      <c r="W15" s="207">
        <v>15</v>
      </c>
      <c r="X15" s="207" t="s">
        <v>46</v>
      </c>
      <c r="Y15" s="207" t="s">
        <v>69</v>
      </c>
      <c r="Z15" s="207" t="s">
        <v>90</v>
      </c>
      <c r="AA15" s="207" t="s">
        <v>55</v>
      </c>
      <c r="AB15" s="207" t="s">
        <v>327</v>
      </c>
      <c r="AE15" s="116" t="s">
        <v>235</v>
      </c>
      <c r="AG15" s="117"/>
      <c r="AH15" s="117"/>
      <c r="AP15" s="117" t="s">
        <v>77</v>
      </c>
      <c r="AR15" s="118" t="s">
        <v>80</v>
      </c>
      <c r="AV15" s="117" t="s">
        <v>107</v>
      </c>
    </row>
    <row r="16" spans="1:53" s="115" customFormat="1" x14ac:dyDescent="0.15">
      <c r="A16" s="207" t="s">
        <v>51</v>
      </c>
      <c r="B16" s="207" t="s">
        <v>325</v>
      </c>
      <c r="C16" s="207">
        <v>2018</v>
      </c>
      <c r="D16" s="106" t="s">
        <v>387</v>
      </c>
      <c r="E16" s="207" t="s">
        <v>206</v>
      </c>
      <c r="F16" s="207" t="s">
        <v>207</v>
      </c>
      <c r="G16" s="207" t="s">
        <v>36</v>
      </c>
      <c r="H16" s="207" t="s">
        <v>167</v>
      </c>
      <c r="I16" s="207" t="s">
        <v>155</v>
      </c>
      <c r="J16" s="207" t="s">
        <v>38</v>
      </c>
      <c r="K16" s="207" t="s">
        <v>156</v>
      </c>
      <c r="L16" s="207">
        <v>3</v>
      </c>
      <c r="M16" s="207"/>
      <c r="N16" s="207">
        <v>1</v>
      </c>
      <c r="O16" s="207">
        <v>0.75</v>
      </c>
      <c r="P16" s="207">
        <v>0.8</v>
      </c>
      <c r="Q16" s="107">
        <f t="shared" si="0"/>
        <v>0.77500000000000002</v>
      </c>
      <c r="R16" s="207">
        <v>17.2</v>
      </c>
      <c r="S16" s="207">
        <v>150</v>
      </c>
      <c r="T16" s="108">
        <f t="shared" si="1"/>
        <v>22</v>
      </c>
      <c r="U16" s="207">
        <v>138</v>
      </c>
      <c r="V16" s="109">
        <f t="shared" si="2"/>
        <v>3036</v>
      </c>
      <c r="W16" s="207">
        <v>15</v>
      </c>
      <c r="X16" s="207" t="s">
        <v>46</v>
      </c>
      <c r="Y16" s="207" t="s">
        <v>69</v>
      </c>
      <c r="Z16" s="207" t="s">
        <v>90</v>
      </c>
      <c r="AA16" s="207" t="s">
        <v>55</v>
      </c>
      <c r="AB16" s="207" t="s">
        <v>327</v>
      </c>
      <c r="AE16" s="116" t="s">
        <v>236</v>
      </c>
      <c r="AG16" s="123"/>
      <c r="AH16" s="123"/>
      <c r="AP16" s="117" t="s">
        <v>80</v>
      </c>
      <c r="AR16" s="118" t="s">
        <v>63</v>
      </c>
      <c r="AV16" s="117" t="s">
        <v>84</v>
      </c>
    </row>
    <row r="17" spans="1:48" s="115" customFormat="1" x14ac:dyDescent="0.15">
      <c r="A17" s="207" t="s">
        <v>51</v>
      </c>
      <c r="B17" s="207" t="s">
        <v>325</v>
      </c>
      <c r="C17" s="207">
        <v>2018</v>
      </c>
      <c r="D17" s="106" t="s">
        <v>387</v>
      </c>
      <c r="E17" s="207" t="s">
        <v>139</v>
      </c>
      <c r="F17" s="207" t="s">
        <v>388</v>
      </c>
      <c r="G17" s="207" t="s">
        <v>42</v>
      </c>
      <c r="H17" s="207" t="s">
        <v>157</v>
      </c>
      <c r="I17" s="207" t="s">
        <v>155</v>
      </c>
      <c r="J17" s="207" t="s">
        <v>38</v>
      </c>
      <c r="K17" s="207" t="s">
        <v>156</v>
      </c>
      <c r="L17" s="207">
        <v>1</v>
      </c>
      <c r="M17" s="207"/>
      <c r="N17" s="207">
        <v>1</v>
      </c>
      <c r="O17" s="207">
        <v>0.85</v>
      </c>
      <c r="P17" s="207">
        <v>1</v>
      </c>
      <c r="Q17" s="107">
        <f t="shared" si="0"/>
        <v>0.92500000000000004</v>
      </c>
      <c r="R17" s="207">
        <v>16.2</v>
      </c>
      <c r="S17" s="207">
        <v>130</v>
      </c>
      <c r="T17" s="108">
        <f t="shared" si="1"/>
        <v>25</v>
      </c>
      <c r="U17" s="207">
        <v>128</v>
      </c>
      <c r="V17" s="109">
        <f t="shared" si="2"/>
        <v>3200</v>
      </c>
      <c r="W17" s="207">
        <v>14</v>
      </c>
      <c r="X17" s="207" t="s">
        <v>46</v>
      </c>
      <c r="Y17" s="207" t="s">
        <v>69</v>
      </c>
      <c r="Z17" s="207" t="s">
        <v>90</v>
      </c>
      <c r="AA17" s="207" t="s">
        <v>84</v>
      </c>
      <c r="AB17" s="207" t="s">
        <v>327</v>
      </c>
      <c r="AE17" s="116" t="s">
        <v>237</v>
      </c>
      <c r="AP17" s="128" t="s">
        <v>238</v>
      </c>
      <c r="AR17" s="118" t="s">
        <v>96</v>
      </c>
      <c r="AV17" s="117" t="s">
        <v>86</v>
      </c>
    </row>
    <row r="18" spans="1:48" s="115" customFormat="1" x14ac:dyDescent="0.15">
      <c r="A18" s="207" t="s">
        <v>51</v>
      </c>
      <c r="B18" s="207" t="s">
        <v>325</v>
      </c>
      <c r="C18" s="207">
        <v>2018</v>
      </c>
      <c r="D18" s="106" t="s">
        <v>387</v>
      </c>
      <c r="E18" s="207" t="s">
        <v>139</v>
      </c>
      <c r="F18" s="207" t="s">
        <v>388</v>
      </c>
      <c r="G18" s="207" t="s">
        <v>42</v>
      </c>
      <c r="H18" s="207" t="s">
        <v>157</v>
      </c>
      <c r="I18" s="207" t="s">
        <v>155</v>
      </c>
      <c r="J18" s="207" t="s">
        <v>38</v>
      </c>
      <c r="K18" s="207" t="s">
        <v>156</v>
      </c>
      <c r="L18" s="207">
        <v>2</v>
      </c>
      <c r="M18" s="207"/>
      <c r="N18" s="207">
        <v>1</v>
      </c>
      <c r="O18" s="207">
        <v>0.9</v>
      </c>
      <c r="P18" s="207">
        <v>0.9</v>
      </c>
      <c r="Q18" s="107">
        <f t="shared" si="0"/>
        <v>0.9</v>
      </c>
      <c r="R18" s="207">
        <v>15.9</v>
      </c>
      <c r="S18" s="207">
        <v>138</v>
      </c>
      <c r="T18" s="108">
        <f t="shared" si="1"/>
        <v>22</v>
      </c>
      <c r="U18" s="207">
        <v>128</v>
      </c>
      <c r="V18" s="109">
        <f t="shared" si="2"/>
        <v>2816</v>
      </c>
      <c r="W18" s="207">
        <v>14</v>
      </c>
      <c r="X18" s="207" t="s">
        <v>46</v>
      </c>
      <c r="Y18" s="207" t="s">
        <v>69</v>
      </c>
      <c r="Z18" s="207" t="s">
        <v>90</v>
      </c>
      <c r="AA18" s="207" t="s">
        <v>84</v>
      </c>
      <c r="AB18" s="207" t="s">
        <v>327</v>
      </c>
      <c r="AE18" s="116" t="s">
        <v>230</v>
      </c>
      <c r="AP18" s="128" t="s">
        <v>239</v>
      </c>
      <c r="AR18" s="118" t="s">
        <v>101</v>
      </c>
      <c r="AV18" s="117" t="s">
        <v>88</v>
      </c>
    </row>
    <row r="19" spans="1:48" s="115" customFormat="1" x14ac:dyDescent="0.15">
      <c r="A19" s="207" t="s">
        <v>51</v>
      </c>
      <c r="B19" s="207" t="s">
        <v>325</v>
      </c>
      <c r="C19" s="207">
        <v>2018</v>
      </c>
      <c r="D19" s="106" t="s">
        <v>387</v>
      </c>
      <c r="E19" s="207" t="s">
        <v>139</v>
      </c>
      <c r="F19" s="207" t="s">
        <v>388</v>
      </c>
      <c r="G19" s="207" t="s">
        <v>42</v>
      </c>
      <c r="H19" s="207" t="s">
        <v>157</v>
      </c>
      <c r="I19" s="207" t="s">
        <v>155</v>
      </c>
      <c r="J19" s="207" t="s">
        <v>38</v>
      </c>
      <c r="K19" s="207" t="s">
        <v>156</v>
      </c>
      <c r="L19" s="207">
        <v>3</v>
      </c>
      <c r="M19" s="207"/>
      <c r="N19" s="207">
        <v>1</v>
      </c>
      <c r="O19" s="207">
        <v>0.8</v>
      </c>
      <c r="P19" s="207">
        <v>0.7</v>
      </c>
      <c r="Q19" s="107">
        <f t="shared" si="0"/>
        <v>0.75</v>
      </c>
      <c r="R19" s="207">
        <v>16.7</v>
      </c>
      <c r="S19" s="207">
        <v>146</v>
      </c>
      <c r="T19" s="108">
        <f t="shared" si="1"/>
        <v>22</v>
      </c>
      <c r="U19" s="207">
        <v>128</v>
      </c>
      <c r="V19" s="109">
        <f t="shared" si="2"/>
        <v>2816</v>
      </c>
      <c r="W19" s="207">
        <v>14</v>
      </c>
      <c r="X19" s="207" t="s">
        <v>46</v>
      </c>
      <c r="Y19" s="207" t="s">
        <v>69</v>
      </c>
      <c r="Z19" s="207" t="s">
        <v>90</v>
      </c>
      <c r="AA19" s="207" t="s">
        <v>84</v>
      </c>
      <c r="AB19" s="207" t="s">
        <v>327</v>
      </c>
      <c r="AE19" s="129" t="s">
        <v>227</v>
      </c>
      <c r="AP19" s="128" t="s">
        <v>240</v>
      </c>
      <c r="AR19" s="118" t="s">
        <v>241</v>
      </c>
      <c r="AV19" s="117" t="s">
        <v>90</v>
      </c>
    </row>
    <row r="20" spans="1:48" s="115" customFormat="1" x14ac:dyDescent="0.15">
      <c r="A20" s="207" t="s">
        <v>51</v>
      </c>
      <c r="B20" s="207" t="s">
        <v>325</v>
      </c>
      <c r="C20" s="207">
        <v>2018</v>
      </c>
      <c r="D20" s="106" t="s">
        <v>387</v>
      </c>
      <c r="E20" s="207" t="s">
        <v>139</v>
      </c>
      <c r="F20" s="207" t="s">
        <v>388</v>
      </c>
      <c r="G20" s="207" t="s">
        <v>42</v>
      </c>
      <c r="H20" s="207" t="s">
        <v>167</v>
      </c>
      <c r="I20" s="207" t="s">
        <v>155</v>
      </c>
      <c r="J20" s="207" t="s">
        <v>38</v>
      </c>
      <c r="K20" s="207" t="s">
        <v>156</v>
      </c>
      <c r="L20" s="207">
        <v>1</v>
      </c>
      <c r="M20" s="207"/>
      <c r="N20" s="207">
        <v>1</v>
      </c>
      <c r="O20" s="207">
        <v>0.75</v>
      </c>
      <c r="P20" s="207">
        <v>0.8</v>
      </c>
      <c r="Q20" s="107">
        <f t="shared" si="0"/>
        <v>0.77500000000000002</v>
      </c>
      <c r="R20" s="207">
        <v>16.399999999999999</v>
      </c>
      <c r="S20" s="207">
        <v>150</v>
      </c>
      <c r="T20" s="108">
        <f t="shared" si="1"/>
        <v>22</v>
      </c>
      <c r="U20" s="207">
        <v>138</v>
      </c>
      <c r="V20" s="109">
        <f t="shared" si="2"/>
        <v>3036</v>
      </c>
      <c r="W20" s="207">
        <v>14</v>
      </c>
      <c r="X20" s="207" t="s">
        <v>46</v>
      </c>
      <c r="Y20" s="207" t="s">
        <v>69</v>
      </c>
      <c r="Z20" s="207" t="s">
        <v>90</v>
      </c>
      <c r="AA20" s="207" t="s">
        <v>84</v>
      </c>
      <c r="AB20" s="207" t="s">
        <v>327</v>
      </c>
      <c r="AE20" s="129"/>
      <c r="AP20" s="128" t="s">
        <v>242</v>
      </c>
      <c r="AR20" s="118" t="s">
        <v>105</v>
      </c>
      <c r="AV20" s="122" t="s">
        <v>243</v>
      </c>
    </row>
    <row r="21" spans="1:48" s="115" customFormat="1" x14ac:dyDescent="0.15">
      <c r="A21" s="207" t="s">
        <v>51</v>
      </c>
      <c r="B21" s="207" t="s">
        <v>325</v>
      </c>
      <c r="C21" s="207">
        <v>2018</v>
      </c>
      <c r="D21" s="106" t="s">
        <v>387</v>
      </c>
      <c r="E21" s="207" t="s">
        <v>139</v>
      </c>
      <c r="F21" s="207" t="s">
        <v>388</v>
      </c>
      <c r="G21" s="207" t="s">
        <v>42</v>
      </c>
      <c r="H21" s="207" t="s">
        <v>167</v>
      </c>
      <c r="I21" s="207" t="s">
        <v>155</v>
      </c>
      <c r="J21" s="207" t="s">
        <v>38</v>
      </c>
      <c r="K21" s="207" t="s">
        <v>156</v>
      </c>
      <c r="L21" s="207">
        <v>2</v>
      </c>
      <c r="M21" s="207"/>
      <c r="N21" s="207">
        <v>1</v>
      </c>
      <c r="O21" s="207">
        <v>0.75</v>
      </c>
      <c r="P21" s="207">
        <v>0.7</v>
      </c>
      <c r="Q21" s="107">
        <f t="shared" si="0"/>
        <v>0.72499999999999998</v>
      </c>
      <c r="R21" s="207">
        <v>16.3</v>
      </c>
      <c r="S21" s="207">
        <v>144</v>
      </c>
      <c r="T21" s="108">
        <f t="shared" si="1"/>
        <v>22</v>
      </c>
      <c r="U21" s="207">
        <v>138</v>
      </c>
      <c r="V21" s="109">
        <f t="shared" si="2"/>
        <v>3036</v>
      </c>
      <c r="W21" s="207">
        <v>14</v>
      </c>
      <c r="X21" s="207" t="s">
        <v>46</v>
      </c>
      <c r="Y21" s="207" t="s">
        <v>69</v>
      </c>
      <c r="Z21" s="207" t="s">
        <v>90</v>
      </c>
      <c r="AA21" s="207" t="s">
        <v>84</v>
      </c>
      <c r="AB21" s="207" t="s">
        <v>327</v>
      </c>
      <c r="AE21" s="123"/>
      <c r="AP21" s="128" t="s">
        <v>244</v>
      </c>
      <c r="AR21" s="118" t="s">
        <v>68</v>
      </c>
      <c r="AV21" s="122" t="s">
        <v>174</v>
      </c>
    </row>
    <row r="22" spans="1:48" s="115" customFormat="1" x14ac:dyDescent="0.15">
      <c r="A22" s="207" t="s">
        <v>51</v>
      </c>
      <c r="B22" s="207" t="s">
        <v>325</v>
      </c>
      <c r="C22" s="207">
        <v>2018</v>
      </c>
      <c r="D22" s="106" t="s">
        <v>387</v>
      </c>
      <c r="E22" s="207" t="s">
        <v>139</v>
      </c>
      <c r="F22" s="207" t="s">
        <v>388</v>
      </c>
      <c r="G22" s="207" t="s">
        <v>42</v>
      </c>
      <c r="H22" s="207" t="s">
        <v>167</v>
      </c>
      <c r="I22" s="207" t="s">
        <v>155</v>
      </c>
      <c r="J22" s="207" t="s">
        <v>38</v>
      </c>
      <c r="K22" s="207" t="s">
        <v>156</v>
      </c>
      <c r="L22" s="207">
        <v>3</v>
      </c>
      <c r="M22" s="207"/>
      <c r="N22" s="207">
        <v>1</v>
      </c>
      <c r="O22" s="207">
        <v>0.8</v>
      </c>
      <c r="P22" s="207">
        <v>0.8</v>
      </c>
      <c r="Q22" s="107">
        <f t="shared" si="0"/>
        <v>0.8</v>
      </c>
      <c r="R22" s="207">
        <v>15.9</v>
      </c>
      <c r="S22" s="207">
        <v>134</v>
      </c>
      <c r="T22" s="108">
        <f t="shared" si="1"/>
        <v>25</v>
      </c>
      <c r="U22" s="207">
        <v>138</v>
      </c>
      <c r="V22" s="109">
        <f t="shared" si="2"/>
        <v>3450</v>
      </c>
      <c r="W22" s="207">
        <v>14</v>
      </c>
      <c r="X22" s="207" t="s">
        <v>46</v>
      </c>
      <c r="Y22" s="207" t="s">
        <v>69</v>
      </c>
      <c r="Z22" s="207" t="s">
        <v>90</v>
      </c>
      <c r="AA22" s="207" t="s">
        <v>84</v>
      </c>
      <c r="AB22" s="207" t="s">
        <v>327</v>
      </c>
      <c r="AP22" s="128" t="s">
        <v>245</v>
      </c>
      <c r="AR22" s="118" t="s">
        <v>83</v>
      </c>
      <c r="AV22" s="122"/>
    </row>
    <row r="23" spans="1:48" s="115" customFormat="1" x14ac:dyDescent="0.15">
      <c r="A23" s="207" t="s">
        <v>51</v>
      </c>
      <c r="B23" s="207" t="s">
        <v>325</v>
      </c>
      <c r="C23" s="207">
        <v>2018</v>
      </c>
      <c r="D23" s="106" t="s">
        <v>387</v>
      </c>
      <c r="E23" s="207" t="s">
        <v>217</v>
      </c>
      <c r="F23" s="207" t="s">
        <v>218</v>
      </c>
      <c r="G23" s="207" t="s">
        <v>36</v>
      </c>
      <c r="H23" s="207" t="s">
        <v>157</v>
      </c>
      <c r="I23" s="207" t="s">
        <v>155</v>
      </c>
      <c r="J23" s="207" t="s">
        <v>38</v>
      </c>
      <c r="K23" s="207" t="s">
        <v>156</v>
      </c>
      <c r="L23" s="207">
        <v>1</v>
      </c>
      <c r="M23" s="207"/>
      <c r="N23" s="207">
        <v>1</v>
      </c>
      <c r="O23" s="207">
        <v>0.8</v>
      </c>
      <c r="P23" s="207">
        <v>0.7</v>
      </c>
      <c r="Q23" s="107">
        <f t="shared" si="0"/>
        <v>0.75</v>
      </c>
      <c r="R23" s="207">
        <v>15.5</v>
      </c>
      <c r="S23" s="207">
        <v>150</v>
      </c>
      <c r="T23" s="108">
        <f t="shared" si="1"/>
        <v>22</v>
      </c>
      <c r="U23" s="207">
        <v>98</v>
      </c>
      <c r="V23" s="109">
        <f t="shared" si="2"/>
        <v>2156</v>
      </c>
      <c r="W23" s="207">
        <v>16</v>
      </c>
      <c r="X23" s="207" t="s">
        <v>46</v>
      </c>
      <c r="Y23" s="207" t="s">
        <v>69</v>
      </c>
      <c r="Z23" s="207" t="s">
        <v>84</v>
      </c>
      <c r="AA23" s="207" t="s">
        <v>55</v>
      </c>
      <c r="AB23" s="207" t="s">
        <v>327</v>
      </c>
      <c r="AP23" s="128" t="s">
        <v>246</v>
      </c>
      <c r="AR23" s="118" t="s">
        <v>61</v>
      </c>
    </row>
    <row r="24" spans="1:48" s="115" customFormat="1" x14ac:dyDescent="0.15">
      <c r="A24" s="207" t="s">
        <v>51</v>
      </c>
      <c r="B24" s="207" t="s">
        <v>325</v>
      </c>
      <c r="C24" s="207">
        <v>2018</v>
      </c>
      <c r="D24" s="106" t="s">
        <v>387</v>
      </c>
      <c r="E24" s="207" t="s">
        <v>217</v>
      </c>
      <c r="F24" s="207" t="s">
        <v>218</v>
      </c>
      <c r="G24" s="207" t="s">
        <v>36</v>
      </c>
      <c r="H24" s="207" t="s">
        <v>157</v>
      </c>
      <c r="I24" s="207" t="s">
        <v>155</v>
      </c>
      <c r="J24" s="207" t="s">
        <v>38</v>
      </c>
      <c r="K24" s="207" t="s">
        <v>156</v>
      </c>
      <c r="L24" s="207">
        <v>2</v>
      </c>
      <c r="M24" s="207"/>
      <c r="N24" s="207">
        <v>1</v>
      </c>
      <c r="O24" s="207">
        <v>0.85</v>
      </c>
      <c r="P24" s="207">
        <v>0.8</v>
      </c>
      <c r="Q24" s="107">
        <f t="shared" si="0"/>
        <v>0.82499999999999996</v>
      </c>
      <c r="R24" s="207">
        <v>14.6</v>
      </c>
      <c r="S24" s="207">
        <v>142</v>
      </c>
      <c r="T24" s="108">
        <f t="shared" si="1"/>
        <v>22</v>
      </c>
      <c r="U24" s="207">
        <v>98</v>
      </c>
      <c r="V24" s="109">
        <f t="shared" si="2"/>
        <v>2156</v>
      </c>
      <c r="W24" s="207">
        <v>16</v>
      </c>
      <c r="X24" s="207" t="s">
        <v>46</v>
      </c>
      <c r="Y24" s="207" t="s">
        <v>69</v>
      </c>
      <c r="Z24" s="207" t="s">
        <v>84</v>
      </c>
      <c r="AA24" s="207" t="s">
        <v>55</v>
      </c>
      <c r="AB24" s="207" t="s">
        <v>327</v>
      </c>
      <c r="AP24" s="128" t="s">
        <v>247</v>
      </c>
      <c r="AR24" s="118" t="s">
        <v>91</v>
      </c>
    </row>
    <row r="25" spans="1:48" s="115" customFormat="1" x14ac:dyDescent="0.15">
      <c r="A25" s="207" t="s">
        <v>51</v>
      </c>
      <c r="B25" s="207" t="s">
        <v>325</v>
      </c>
      <c r="C25" s="207">
        <v>2018</v>
      </c>
      <c r="D25" s="106" t="s">
        <v>387</v>
      </c>
      <c r="E25" s="207" t="s">
        <v>217</v>
      </c>
      <c r="F25" s="207" t="s">
        <v>218</v>
      </c>
      <c r="G25" s="207" t="s">
        <v>36</v>
      </c>
      <c r="H25" s="207" t="s">
        <v>157</v>
      </c>
      <c r="I25" s="207" t="s">
        <v>155</v>
      </c>
      <c r="J25" s="207" t="s">
        <v>38</v>
      </c>
      <c r="K25" s="207" t="s">
        <v>156</v>
      </c>
      <c r="L25" s="207">
        <v>3</v>
      </c>
      <c r="M25" s="207"/>
      <c r="N25" s="207">
        <v>1</v>
      </c>
      <c r="O25" s="207">
        <v>0.8</v>
      </c>
      <c r="P25" s="207">
        <v>0.75</v>
      </c>
      <c r="Q25" s="107">
        <f t="shared" si="0"/>
        <v>0.77500000000000002</v>
      </c>
      <c r="R25" s="207">
        <v>13.9</v>
      </c>
      <c r="S25" s="207">
        <v>140</v>
      </c>
      <c r="T25" s="108">
        <f t="shared" si="1"/>
        <v>22</v>
      </c>
      <c r="U25" s="207">
        <v>98</v>
      </c>
      <c r="V25" s="109">
        <f t="shared" si="2"/>
        <v>2156</v>
      </c>
      <c r="W25" s="207">
        <v>16</v>
      </c>
      <c r="X25" s="207" t="s">
        <v>46</v>
      </c>
      <c r="Y25" s="207" t="s">
        <v>69</v>
      </c>
      <c r="Z25" s="207" t="s">
        <v>84</v>
      </c>
      <c r="AA25" s="207" t="s">
        <v>55</v>
      </c>
      <c r="AB25" s="207" t="s">
        <v>327</v>
      </c>
      <c r="AP25" s="128" t="s">
        <v>248</v>
      </c>
      <c r="AR25" s="128" t="s">
        <v>51</v>
      </c>
    </row>
    <row r="26" spans="1:48" s="115" customFormat="1" x14ac:dyDescent="0.15">
      <c r="A26" s="207" t="s">
        <v>51</v>
      </c>
      <c r="B26" s="207" t="s">
        <v>325</v>
      </c>
      <c r="C26" s="207">
        <v>2018</v>
      </c>
      <c r="D26" s="106" t="s">
        <v>387</v>
      </c>
      <c r="E26" s="207" t="s">
        <v>217</v>
      </c>
      <c r="F26" s="207" t="s">
        <v>218</v>
      </c>
      <c r="G26" s="207" t="s">
        <v>36</v>
      </c>
      <c r="H26" s="207" t="s">
        <v>221</v>
      </c>
      <c r="I26" s="207" t="s">
        <v>155</v>
      </c>
      <c r="J26" s="207" t="s">
        <v>38</v>
      </c>
      <c r="K26" s="207" t="s">
        <v>156</v>
      </c>
      <c r="L26" s="207">
        <v>1</v>
      </c>
      <c r="M26" s="207"/>
      <c r="N26" s="207">
        <v>4</v>
      </c>
      <c r="O26" s="207">
        <v>0.65</v>
      </c>
      <c r="P26" s="207">
        <v>0.7</v>
      </c>
      <c r="Q26" s="107">
        <f t="shared" si="0"/>
        <v>0.67500000000000004</v>
      </c>
      <c r="R26" s="207">
        <v>16.3</v>
      </c>
      <c r="S26" s="207">
        <v>106</v>
      </c>
      <c r="T26" s="108">
        <f t="shared" si="1"/>
        <v>33</v>
      </c>
      <c r="U26" s="207">
        <v>498</v>
      </c>
      <c r="V26" s="109">
        <f t="shared" si="2"/>
        <v>4108.5</v>
      </c>
      <c r="W26" s="207">
        <v>16</v>
      </c>
      <c r="X26" s="207" t="s">
        <v>46</v>
      </c>
      <c r="Y26" s="207" t="s">
        <v>69</v>
      </c>
      <c r="Z26" s="207" t="s">
        <v>84</v>
      </c>
      <c r="AA26" s="207" t="s">
        <v>55</v>
      </c>
      <c r="AB26" s="207" t="s">
        <v>327</v>
      </c>
      <c r="AP26" s="128" t="s">
        <v>249</v>
      </c>
      <c r="AR26" s="115" t="s">
        <v>389</v>
      </c>
    </row>
    <row r="27" spans="1:48" s="115" customFormat="1" x14ac:dyDescent="0.15">
      <c r="A27" s="207" t="s">
        <v>51</v>
      </c>
      <c r="B27" s="207" t="s">
        <v>325</v>
      </c>
      <c r="C27" s="207">
        <v>2018</v>
      </c>
      <c r="D27" s="106" t="s">
        <v>387</v>
      </c>
      <c r="E27" s="207" t="s">
        <v>217</v>
      </c>
      <c r="F27" s="207" t="s">
        <v>218</v>
      </c>
      <c r="G27" s="207" t="s">
        <v>36</v>
      </c>
      <c r="H27" s="207" t="s">
        <v>221</v>
      </c>
      <c r="I27" s="207" t="s">
        <v>155</v>
      </c>
      <c r="J27" s="207" t="s">
        <v>38</v>
      </c>
      <c r="K27" s="207" t="s">
        <v>156</v>
      </c>
      <c r="L27" s="207">
        <v>2</v>
      </c>
      <c r="M27" s="207"/>
      <c r="N27" s="207">
        <v>4</v>
      </c>
      <c r="O27" s="207">
        <v>0.6</v>
      </c>
      <c r="P27" s="207">
        <v>0.65</v>
      </c>
      <c r="Q27" s="107">
        <f t="shared" si="0"/>
        <v>0.625</v>
      </c>
      <c r="R27" s="207">
        <v>15.9</v>
      </c>
      <c r="S27" s="207">
        <v>99</v>
      </c>
      <c r="T27" s="108">
        <f t="shared" si="1"/>
        <v>33</v>
      </c>
      <c r="U27" s="207">
        <v>498</v>
      </c>
      <c r="V27" s="109">
        <f t="shared" si="2"/>
        <v>4108.5</v>
      </c>
      <c r="W27" s="207">
        <v>16</v>
      </c>
      <c r="X27" s="207" t="s">
        <v>46</v>
      </c>
      <c r="Y27" s="207" t="s">
        <v>69</v>
      </c>
      <c r="Z27" s="207" t="s">
        <v>84</v>
      </c>
      <c r="AA27" s="207" t="s">
        <v>55</v>
      </c>
      <c r="AB27" s="207" t="s">
        <v>327</v>
      </c>
      <c r="AP27" s="128" t="s">
        <v>250</v>
      </c>
    </row>
    <row r="28" spans="1:48" s="115" customFormat="1" x14ac:dyDescent="0.15">
      <c r="A28" s="207" t="s">
        <v>51</v>
      </c>
      <c r="B28" s="207" t="s">
        <v>325</v>
      </c>
      <c r="C28" s="207">
        <v>2018</v>
      </c>
      <c r="D28" s="106" t="s">
        <v>387</v>
      </c>
      <c r="E28" s="207" t="s">
        <v>217</v>
      </c>
      <c r="F28" s="207" t="s">
        <v>218</v>
      </c>
      <c r="G28" s="207" t="s">
        <v>36</v>
      </c>
      <c r="H28" s="207" t="s">
        <v>221</v>
      </c>
      <c r="I28" s="207" t="s">
        <v>155</v>
      </c>
      <c r="J28" s="207" t="s">
        <v>38</v>
      </c>
      <c r="K28" s="207" t="s">
        <v>156</v>
      </c>
      <c r="L28" s="207">
        <v>3</v>
      </c>
      <c r="M28" s="207"/>
      <c r="N28" s="207">
        <v>4</v>
      </c>
      <c r="O28" s="207">
        <v>0.6</v>
      </c>
      <c r="P28" s="207">
        <v>0.6</v>
      </c>
      <c r="Q28" s="107">
        <f t="shared" si="0"/>
        <v>0.6</v>
      </c>
      <c r="R28" s="207">
        <v>16.399999999999999</v>
      </c>
      <c r="S28" s="207">
        <v>100</v>
      </c>
      <c r="T28" s="108">
        <f t="shared" si="1"/>
        <v>33</v>
      </c>
      <c r="U28" s="207">
        <v>498</v>
      </c>
      <c r="V28" s="109">
        <f t="shared" si="2"/>
        <v>4108.5</v>
      </c>
      <c r="W28" s="207">
        <v>16</v>
      </c>
      <c r="X28" s="207" t="s">
        <v>46</v>
      </c>
      <c r="Y28" s="207" t="s">
        <v>69</v>
      </c>
      <c r="Z28" s="207" t="s">
        <v>84</v>
      </c>
      <c r="AA28" s="207" t="s">
        <v>55</v>
      </c>
      <c r="AB28" s="207" t="s">
        <v>327</v>
      </c>
    </row>
    <row r="29" spans="1:48" s="115" customFormat="1" x14ac:dyDescent="0.15">
      <c r="A29" s="207" t="s">
        <v>51</v>
      </c>
      <c r="B29" s="207" t="s">
        <v>325</v>
      </c>
      <c r="C29" s="207">
        <v>2018</v>
      </c>
      <c r="D29" s="106" t="s">
        <v>387</v>
      </c>
      <c r="E29" s="207" t="s">
        <v>217</v>
      </c>
      <c r="F29" s="207" t="s">
        <v>218</v>
      </c>
      <c r="G29" s="207" t="s">
        <v>36</v>
      </c>
      <c r="H29" s="207" t="s">
        <v>167</v>
      </c>
      <c r="I29" s="207" t="s">
        <v>155</v>
      </c>
      <c r="J29" s="207" t="s">
        <v>38</v>
      </c>
      <c r="K29" s="207" t="s">
        <v>156</v>
      </c>
      <c r="L29" s="207">
        <v>1</v>
      </c>
      <c r="M29" s="207"/>
      <c r="N29" s="207">
        <v>1</v>
      </c>
      <c r="O29" s="207">
        <v>0.8</v>
      </c>
      <c r="P29" s="207">
        <v>0.7</v>
      </c>
      <c r="Q29" s="107">
        <f t="shared" si="0"/>
        <v>0.75</v>
      </c>
      <c r="R29" s="207">
        <v>15.5</v>
      </c>
      <c r="S29" s="207">
        <v>152</v>
      </c>
      <c r="T29" s="108">
        <f t="shared" si="1"/>
        <v>18</v>
      </c>
      <c r="U29" s="207">
        <v>98</v>
      </c>
      <c r="V29" s="109">
        <f t="shared" si="2"/>
        <v>1764</v>
      </c>
      <c r="W29" s="207">
        <v>16</v>
      </c>
      <c r="X29" s="207" t="s">
        <v>46</v>
      </c>
      <c r="Y29" s="207" t="s">
        <v>69</v>
      </c>
      <c r="Z29" s="207" t="s">
        <v>84</v>
      </c>
      <c r="AA29" s="207" t="s">
        <v>55</v>
      </c>
      <c r="AB29" s="207" t="s">
        <v>327</v>
      </c>
    </row>
    <row r="30" spans="1:48" s="115" customFormat="1" x14ac:dyDescent="0.15">
      <c r="A30" s="207" t="s">
        <v>51</v>
      </c>
      <c r="B30" s="207" t="s">
        <v>325</v>
      </c>
      <c r="C30" s="207">
        <v>2018</v>
      </c>
      <c r="D30" s="106" t="s">
        <v>387</v>
      </c>
      <c r="E30" s="207" t="s">
        <v>217</v>
      </c>
      <c r="F30" s="207" t="s">
        <v>218</v>
      </c>
      <c r="G30" s="207" t="s">
        <v>36</v>
      </c>
      <c r="H30" s="207" t="s">
        <v>167</v>
      </c>
      <c r="I30" s="207" t="s">
        <v>155</v>
      </c>
      <c r="J30" s="207" t="s">
        <v>38</v>
      </c>
      <c r="K30" s="207" t="s">
        <v>156</v>
      </c>
      <c r="L30" s="207">
        <v>2</v>
      </c>
      <c r="M30" s="207"/>
      <c r="N30" s="207">
        <v>1</v>
      </c>
      <c r="O30" s="207">
        <v>0.8</v>
      </c>
      <c r="P30" s="207">
        <v>0.85</v>
      </c>
      <c r="Q30" s="107">
        <f t="shared" si="0"/>
        <v>0.82499999999999996</v>
      </c>
      <c r="R30" s="207">
        <v>15.2</v>
      </c>
      <c r="S30" s="207">
        <v>152</v>
      </c>
      <c r="T30" s="108">
        <f t="shared" si="1"/>
        <v>18</v>
      </c>
      <c r="U30" s="207">
        <v>98</v>
      </c>
      <c r="V30" s="109">
        <f t="shared" si="2"/>
        <v>1764</v>
      </c>
      <c r="W30" s="207">
        <v>16</v>
      </c>
      <c r="X30" s="207" t="s">
        <v>46</v>
      </c>
      <c r="Y30" s="207" t="s">
        <v>69</v>
      </c>
      <c r="Z30" s="207" t="s">
        <v>84</v>
      </c>
      <c r="AA30" s="207" t="s">
        <v>55</v>
      </c>
      <c r="AB30" s="207" t="s">
        <v>327</v>
      </c>
    </row>
    <row r="31" spans="1:48" s="115" customFormat="1" x14ac:dyDescent="0.15">
      <c r="A31" s="207" t="s">
        <v>51</v>
      </c>
      <c r="B31" s="207" t="s">
        <v>325</v>
      </c>
      <c r="C31" s="207">
        <v>2018</v>
      </c>
      <c r="D31" s="106" t="s">
        <v>387</v>
      </c>
      <c r="E31" s="207" t="s">
        <v>217</v>
      </c>
      <c r="F31" s="207" t="s">
        <v>218</v>
      </c>
      <c r="G31" s="207" t="s">
        <v>36</v>
      </c>
      <c r="H31" s="207" t="s">
        <v>167</v>
      </c>
      <c r="I31" s="207" t="s">
        <v>155</v>
      </c>
      <c r="J31" s="207" t="s">
        <v>38</v>
      </c>
      <c r="K31" s="207" t="s">
        <v>156</v>
      </c>
      <c r="L31" s="207">
        <v>3</v>
      </c>
      <c r="M31" s="207"/>
      <c r="N31" s="207">
        <v>1</v>
      </c>
      <c r="O31" s="207">
        <v>0.75</v>
      </c>
      <c r="P31" s="207">
        <v>0.9</v>
      </c>
      <c r="Q31" s="107">
        <f t="shared" si="0"/>
        <v>0.82499999999999996</v>
      </c>
      <c r="R31" s="207">
        <v>14.3</v>
      </c>
      <c r="S31" s="207">
        <v>142</v>
      </c>
      <c r="T31" s="108">
        <f t="shared" si="1"/>
        <v>22</v>
      </c>
      <c r="U31" s="207">
        <v>98</v>
      </c>
      <c r="V31" s="109">
        <f t="shared" si="2"/>
        <v>2156</v>
      </c>
      <c r="W31" s="207">
        <v>16</v>
      </c>
      <c r="X31" s="207" t="s">
        <v>46</v>
      </c>
      <c r="Y31" s="207" t="s">
        <v>69</v>
      </c>
      <c r="Z31" s="207" t="s">
        <v>84</v>
      </c>
      <c r="AA31" s="207" t="s">
        <v>55</v>
      </c>
      <c r="AB31" s="207" t="s">
        <v>327</v>
      </c>
    </row>
    <row r="32" spans="1:48" s="115" customFormat="1" x14ac:dyDescent="0.15">
      <c r="A32" s="207" t="s">
        <v>51</v>
      </c>
      <c r="B32" s="207" t="s">
        <v>325</v>
      </c>
      <c r="C32" s="207">
        <v>2018</v>
      </c>
      <c r="D32" s="106" t="s">
        <v>387</v>
      </c>
      <c r="E32" s="207" t="s">
        <v>175</v>
      </c>
      <c r="F32" s="207" t="s">
        <v>204</v>
      </c>
      <c r="G32" s="207" t="s">
        <v>42</v>
      </c>
      <c r="H32" s="207" t="s">
        <v>157</v>
      </c>
      <c r="I32" s="207" t="s">
        <v>155</v>
      </c>
      <c r="J32" s="207" t="s">
        <v>38</v>
      </c>
      <c r="K32" s="207" t="s">
        <v>156</v>
      </c>
      <c r="L32" s="207">
        <v>1</v>
      </c>
      <c r="M32" s="207"/>
      <c r="N32" s="207">
        <v>3</v>
      </c>
      <c r="O32" s="207">
        <v>1</v>
      </c>
      <c r="P32" s="207">
        <v>0.9</v>
      </c>
      <c r="Q32" s="107">
        <f t="shared" si="0"/>
        <v>0.95</v>
      </c>
      <c r="R32" s="207">
        <v>16.600000000000001</v>
      </c>
      <c r="S32" s="207">
        <v>146</v>
      </c>
      <c r="T32" s="108">
        <f t="shared" si="1"/>
        <v>22</v>
      </c>
      <c r="U32" s="207">
        <v>330</v>
      </c>
      <c r="V32" s="109">
        <f t="shared" si="2"/>
        <v>2420</v>
      </c>
      <c r="W32" s="207">
        <v>18</v>
      </c>
      <c r="X32" s="207" t="s">
        <v>46</v>
      </c>
      <c r="Y32" s="207" t="s">
        <v>69</v>
      </c>
      <c r="Z32" s="207" t="s">
        <v>55</v>
      </c>
      <c r="AA32" s="207" t="s">
        <v>90</v>
      </c>
      <c r="AB32" s="207" t="s">
        <v>327</v>
      </c>
    </row>
    <row r="33" spans="1:28" s="115" customFormat="1" x14ac:dyDescent="0.15">
      <c r="A33" s="207" t="s">
        <v>51</v>
      </c>
      <c r="B33" s="207" t="s">
        <v>325</v>
      </c>
      <c r="C33" s="207">
        <v>2018</v>
      </c>
      <c r="D33" s="106" t="s">
        <v>387</v>
      </c>
      <c r="E33" s="207" t="s">
        <v>175</v>
      </c>
      <c r="F33" s="207" t="s">
        <v>204</v>
      </c>
      <c r="G33" s="207" t="s">
        <v>42</v>
      </c>
      <c r="H33" s="207" t="s">
        <v>157</v>
      </c>
      <c r="I33" s="207" t="s">
        <v>155</v>
      </c>
      <c r="J33" s="207" t="s">
        <v>38</v>
      </c>
      <c r="K33" s="207" t="s">
        <v>156</v>
      </c>
      <c r="L33" s="207">
        <v>2</v>
      </c>
      <c r="M33" s="207"/>
      <c r="N33" s="207">
        <v>3</v>
      </c>
      <c r="O33" s="207">
        <v>0.85</v>
      </c>
      <c r="P33" s="207">
        <v>1.05</v>
      </c>
      <c r="Q33" s="107">
        <f t="shared" si="0"/>
        <v>0.95</v>
      </c>
      <c r="R33" s="207">
        <v>16.2</v>
      </c>
      <c r="S33" s="207">
        <v>142</v>
      </c>
      <c r="T33" s="108">
        <f t="shared" si="1"/>
        <v>22</v>
      </c>
      <c r="U33" s="207">
        <v>330</v>
      </c>
      <c r="V33" s="109">
        <f t="shared" si="2"/>
        <v>2420</v>
      </c>
      <c r="W33" s="207">
        <v>18</v>
      </c>
      <c r="X33" s="207" t="s">
        <v>46</v>
      </c>
      <c r="Y33" s="207" t="s">
        <v>69</v>
      </c>
      <c r="Z33" s="207" t="s">
        <v>55</v>
      </c>
      <c r="AA33" s="207" t="s">
        <v>90</v>
      </c>
      <c r="AB33" s="207" t="s">
        <v>327</v>
      </c>
    </row>
    <row r="34" spans="1:28" s="115" customFormat="1" x14ac:dyDescent="0.15">
      <c r="A34" s="207" t="s">
        <v>51</v>
      </c>
      <c r="B34" s="207" t="s">
        <v>325</v>
      </c>
      <c r="C34" s="207">
        <v>2018</v>
      </c>
      <c r="D34" s="106" t="s">
        <v>387</v>
      </c>
      <c r="E34" s="207" t="s">
        <v>175</v>
      </c>
      <c r="F34" s="207" t="s">
        <v>204</v>
      </c>
      <c r="G34" s="207" t="s">
        <v>42</v>
      </c>
      <c r="H34" s="207" t="s">
        <v>157</v>
      </c>
      <c r="I34" s="207" t="s">
        <v>155</v>
      </c>
      <c r="J34" s="207" t="s">
        <v>38</v>
      </c>
      <c r="K34" s="207" t="s">
        <v>156</v>
      </c>
      <c r="L34" s="207">
        <v>3</v>
      </c>
      <c r="M34" s="207"/>
      <c r="N34" s="207">
        <v>3</v>
      </c>
      <c r="O34" s="207">
        <v>0.95</v>
      </c>
      <c r="P34" s="207">
        <v>1</v>
      </c>
      <c r="Q34" s="107">
        <f t="shared" si="0"/>
        <v>0.97499999999999998</v>
      </c>
      <c r="R34" s="207">
        <v>15.8</v>
      </c>
      <c r="S34" s="207">
        <v>144</v>
      </c>
      <c r="T34" s="108">
        <f t="shared" si="1"/>
        <v>22</v>
      </c>
      <c r="U34" s="207">
        <v>330</v>
      </c>
      <c r="V34" s="109">
        <f t="shared" si="2"/>
        <v>2420</v>
      </c>
      <c r="W34" s="207">
        <v>18</v>
      </c>
      <c r="X34" s="207" t="s">
        <v>46</v>
      </c>
      <c r="Y34" s="207" t="s">
        <v>69</v>
      </c>
      <c r="Z34" s="207" t="s">
        <v>55</v>
      </c>
      <c r="AA34" s="207" t="s">
        <v>90</v>
      </c>
      <c r="AB34" s="207" t="s">
        <v>327</v>
      </c>
    </row>
    <row r="35" spans="1:28" s="115" customFormat="1" x14ac:dyDescent="0.15">
      <c r="A35" s="207" t="s">
        <v>51</v>
      </c>
      <c r="B35" s="207" t="s">
        <v>325</v>
      </c>
      <c r="C35" s="207">
        <v>2018</v>
      </c>
      <c r="D35" s="106" t="s">
        <v>387</v>
      </c>
      <c r="E35" s="207" t="s">
        <v>175</v>
      </c>
      <c r="F35" s="207" t="s">
        <v>204</v>
      </c>
      <c r="G35" s="207" t="s">
        <v>42</v>
      </c>
      <c r="H35" s="207" t="s">
        <v>167</v>
      </c>
      <c r="I35" s="207" t="s">
        <v>155</v>
      </c>
      <c r="J35" s="207" t="s">
        <v>38</v>
      </c>
      <c r="K35" s="207" t="s">
        <v>156</v>
      </c>
      <c r="L35" s="207">
        <v>1</v>
      </c>
      <c r="M35" s="207"/>
      <c r="N35" s="207">
        <v>3</v>
      </c>
      <c r="O35" s="207">
        <v>0.85</v>
      </c>
      <c r="P35" s="207">
        <v>0.8</v>
      </c>
      <c r="Q35" s="107">
        <f t="shared" si="0"/>
        <v>0.82499999999999996</v>
      </c>
      <c r="R35" s="207">
        <v>16.8</v>
      </c>
      <c r="S35" s="207">
        <v>160</v>
      </c>
      <c r="T35" s="108">
        <f t="shared" si="1"/>
        <v>18</v>
      </c>
      <c r="U35" s="207">
        <v>330</v>
      </c>
      <c r="V35" s="109">
        <f t="shared" si="2"/>
        <v>1980</v>
      </c>
      <c r="W35" s="207">
        <v>18</v>
      </c>
      <c r="X35" s="207" t="s">
        <v>46</v>
      </c>
      <c r="Y35" s="207" t="s">
        <v>69</v>
      </c>
      <c r="Z35" s="207" t="s">
        <v>55</v>
      </c>
      <c r="AA35" s="207" t="s">
        <v>90</v>
      </c>
      <c r="AB35" s="207" t="s">
        <v>327</v>
      </c>
    </row>
    <row r="36" spans="1:28" s="115" customFormat="1" x14ac:dyDescent="0.15">
      <c r="A36" s="207" t="s">
        <v>51</v>
      </c>
      <c r="B36" s="207" t="s">
        <v>325</v>
      </c>
      <c r="C36" s="207">
        <v>2018</v>
      </c>
      <c r="D36" s="106" t="s">
        <v>387</v>
      </c>
      <c r="E36" s="207" t="s">
        <v>175</v>
      </c>
      <c r="F36" s="207" t="s">
        <v>204</v>
      </c>
      <c r="G36" s="207" t="s">
        <v>42</v>
      </c>
      <c r="H36" s="207" t="s">
        <v>167</v>
      </c>
      <c r="I36" s="207" t="s">
        <v>155</v>
      </c>
      <c r="J36" s="207" t="s">
        <v>38</v>
      </c>
      <c r="K36" s="207" t="s">
        <v>156</v>
      </c>
      <c r="L36" s="207">
        <v>2</v>
      </c>
      <c r="M36" s="207"/>
      <c r="N36" s="207">
        <v>3</v>
      </c>
      <c r="O36" s="207">
        <v>0.8</v>
      </c>
      <c r="P36" s="207">
        <v>0.9</v>
      </c>
      <c r="Q36" s="107">
        <f t="shared" si="0"/>
        <v>0.85000000000000009</v>
      </c>
      <c r="R36" s="207">
        <v>17.2</v>
      </c>
      <c r="S36" s="207">
        <v>172</v>
      </c>
      <c r="T36" s="108">
        <f t="shared" si="1"/>
        <v>18</v>
      </c>
      <c r="U36" s="207">
        <v>330</v>
      </c>
      <c r="V36" s="109">
        <f t="shared" si="2"/>
        <v>1980</v>
      </c>
      <c r="W36" s="207">
        <v>18</v>
      </c>
      <c r="X36" s="207" t="s">
        <v>46</v>
      </c>
      <c r="Y36" s="207" t="s">
        <v>69</v>
      </c>
      <c r="Z36" s="207" t="s">
        <v>55</v>
      </c>
      <c r="AA36" s="207" t="s">
        <v>90</v>
      </c>
      <c r="AB36" s="207" t="s">
        <v>327</v>
      </c>
    </row>
    <row r="37" spans="1:28" s="115" customFormat="1" x14ac:dyDescent="0.15">
      <c r="A37" s="207" t="s">
        <v>51</v>
      </c>
      <c r="B37" s="207" t="s">
        <v>325</v>
      </c>
      <c r="C37" s="207">
        <v>2018</v>
      </c>
      <c r="D37" s="106" t="s">
        <v>387</v>
      </c>
      <c r="E37" s="207" t="s">
        <v>175</v>
      </c>
      <c r="F37" s="207" t="s">
        <v>204</v>
      </c>
      <c r="G37" s="207" t="s">
        <v>42</v>
      </c>
      <c r="H37" s="207" t="s">
        <v>167</v>
      </c>
      <c r="I37" s="207" t="s">
        <v>155</v>
      </c>
      <c r="J37" s="207" t="s">
        <v>38</v>
      </c>
      <c r="K37" s="207" t="s">
        <v>156</v>
      </c>
      <c r="L37" s="207">
        <v>3</v>
      </c>
      <c r="M37" s="207"/>
      <c r="N37" s="207">
        <v>3</v>
      </c>
      <c r="O37" s="207">
        <v>0.85</v>
      </c>
      <c r="P37" s="207">
        <v>0.85</v>
      </c>
      <c r="Q37" s="107">
        <f t="shared" si="0"/>
        <v>0.85</v>
      </c>
      <c r="R37" s="207">
        <v>17.3</v>
      </c>
      <c r="S37" s="207">
        <v>168</v>
      </c>
      <c r="T37" s="108">
        <f t="shared" si="1"/>
        <v>18</v>
      </c>
      <c r="U37" s="207">
        <v>330</v>
      </c>
      <c r="V37" s="109">
        <f t="shared" si="2"/>
        <v>1980</v>
      </c>
      <c r="W37" s="207">
        <v>18</v>
      </c>
      <c r="X37" s="207" t="s">
        <v>46</v>
      </c>
      <c r="Y37" s="207" t="s">
        <v>69</v>
      </c>
      <c r="Z37" s="207" t="s">
        <v>55</v>
      </c>
      <c r="AA37" s="207" t="s">
        <v>90</v>
      </c>
      <c r="AB37" s="207" t="s">
        <v>327</v>
      </c>
    </row>
    <row r="38" spans="1:28" s="115" customFormat="1" x14ac:dyDescent="0.15">
      <c r="A38" s="207" t="s">
        <v>51</v>
      </c>
      <c r="B38" s="207" t="s">
        <v>325</v>
      </c>
      <c r="C38" s="207">
        <v>2018</v>
      </c>
      <c r="D38" s="106" t="s">
        <v>387</v>
      </c>
      <c r="E38" s="207" t="s">
        <v>220</v>
      </c>
      <c r="F38" s="207" t="s">
        <v>204</v>
      </c>
      <c r="G38" s="207" t="s">
        <v>42</v>
      </c>
      <c r="H38" s="207" t="s">
        <v>157</v>
      </c>
      <c r="I38" s="207" t="s">
        <v>155</v>
      </c>
      <c r="J38" s="207" t="s">
        <v>38</v>
      </c>
      <c r="K38" s="207" t="s">
        <v>156</v>
      </c>
      <c r="L38" s="207">
        <v>1</v>
      </c>
      <c r="M38" s="207"/>
      <c r="N38" s="207">
        <v>3</v>
      </c>
      <c r="O38" s="207">
        <v>0.9</v>
      </c>
      <c r="P38" s="207">
        <v>0.8</v>
      </c>
      <c r="Q38" s="107">
        <f t="shared" si="0"/>
        <v>0.85000000000000009</v>
      </c>
      <c r="R38" s="207">
        <v>16.600000000000001</v>
      </c>
      <c r="S38" s="207">
        <v>176</v>
      </c>
      <c r="T38" s="108">
        <f t="shared" si="1"/>
        <v>18</v>
      </c>
      <c r="U38" s="207">
        <v>398</v>
      </c>
      <c r="V38" s="109">
        <f t="shared" si="2"/>
        <v>2388</v>
      </c>
      <c r="W38" s="207">
        <v>24</v>
      </c>
      <c r="X38" s="207" t="s">
        <v>46</v>
      </c>
      <c r="Y38" s="207" t="s">
        <v>55</v>
      </c>
      <c r="Z38" s="207" t="s">
        <v>97</v>
      </c>
      <c r="AA38" s="207" t="s">
        <v>69</v>
      </c>
      <c r="AB38" s="207" t="s">
        <v>327</v>
      </c>
    </row>
    <row r="39" spans="1:28" s="115" customFormat="1" x14ac:dyDescent="0.15">
      <c r="A39" s="207" t="s">
        <v>51</v>
      </c>
      <c r="B39" s="207" t="s">
        <v>325</v>
      </c>
      <c r="C39" s="207">
        <v>2018</v>
      </c>
      <c r="D39" s="106" t="s">
        <v>387</v>
      </c>
      <c r="E39" s="207" t="s">
        <v>220</v>
      </c>
      <c r="F39" s="207" t="s">
        <v>204</v>
      </c>
      <c r="G39" s="207" t="s">
        <v>42</v>
      </c>
      <c r="H39" s="207" t="s">
        <v>157</v>
      </c>
      <c r="I39" s="207" t="s">
        <v>155</v>
      </c>
      <c r="J39" s="207" t="s">
        <v>38</v>
      </c>
      <c r="K39" s="207" t="s">
        <v>156</v>
      </c>
      <c r="L39" s="207">
        <v>2</v>
      </c>
      <c r="M39" s="207"/>
      <c r="N39" s="207">
        <v>3</v>
      </c>
      <c r="O39" s="207">
        <v>0.85</v>
      </c>
      <c r="P39" s="207">
        <v>0.95</v>
      </c>
      <c r="Q39" s="107">
        <f t="shared" si="0"/>
        <v>0.89999999999999991</v>
      </c>
      <c r="R39" s="207">
        <v>15.8</v>
      </c>
      <c r="S39" s="207">
        <v>168</v>
      </c>
      <c r="T39" s="108">
        <f t="shared" si="1"/>
        <v>18</v>
      </c>
      <c r="U39" s="207">
        <v>398</v>
      </c>
      <c r="V39" s="109">
        <f t="shared" si="2"/>
        <v>2388</v>
      </c>
      <c r="W39" s="207">
        <v>24</v>
      </c>
      <c r="X39" s="207" t="s">
        <v>46</v>
      </c>
      <c r="Y39" s="207" t="s">
        <v>55</v>
      </c>
      <c r="Z39" s="207" t="s">
        <v>97</v>
      </c>
      <c r="AA39" s="207" t="s">
        <v>69</v>
      </c>
      <c r="AB39" s="207" t="s">
        <v>327</v>
      </c>
    </row>
    <row r="40" spans="1:28" s="115" customFormat="1" x14ac:dyDescent="0.15">
      <c r="A40" s="207" t="s">
        <v>51</v>
      </c>
      <c r="B40" s="207" t="s">
        <v>325</v>
      </c>
      <c r="C40" s="207">
        <v>2018</v>
      </c>
      <c r="D40" s="106" t="s">
        <v>387</v>
      </c>
      <c r="E40" s="207" t="s">
        <v>220</v>
      </c>
      <c r="F40" s="207" t="s">
        <v>204</v>
      </c>
      <c r="G40" s="207" t="s">
        <v>42</v>
      </c>
      <c r="H40" s="207" t="s">
        <v>157</v>
      </c>
      <c r="I40" s="207" t="s">
        <v>155</v>
      </c>
      <c r="J40" s="207" t="s">
        <v>38</v>
      </c>
      <c r="K40" s="207" t="s">
        <v>156</v>
      </c>
      <c r="L40" s="207">
        <v>3</v>
      </c>
      <c r="M40" s="207"/>
      <c r="N40" s="207">
        <v>3</v>
      </c>
      <c r="O40" s="207">
        <v>0.85</v>
      </c>
      <c r="P40" s="207">
        <v>0.95</v>
      </c>
      <c r="Q40" s="107">
        <f t="shared" si="0"/>
        <v>0.89999999999999991</v>
      </c>
      <c r="R40" s="207">
        <v>14.9</v>
      </c>
      <c r="S40" s="207">
        <v>162</v>
      </c>
      <c r="T40" s="108">
        <f t="shared" si="1"/>
        <v>18</v>
      </c>
      <c r="U40" s="207">
        <v>398</v>
      </c>
      <c r="V40" s="109">
        <f t="shared" si="2"/>
        <v>2388</v>
      </c>
      <c r="W40" s="207">
        <v>24</v>
      </c>
      <c r="X40" s="207" t="s">
        <v>46</v>
      </c>
      <c r="Y40" s="207" t="s">
        <v>55</v>
      </c>
      <c r="Z40" s="207" t="s">
        <v>97</v>
      </c>
      <c r="AA40" s="207" t="s">
        <v>69</v>
      </c>
      <c r="AB40" s="207" t="s">
        <v>327</v>
      </c>
    </row>
    <row r="41" spans="1:28" s="115" customFormat="1" x14ac:dyDescent="0.15">
      <c r="A41" s="207" t="s">
        <v>51</v>
      </c>
      <c r="B41" s="207" t="s">
        <v>325</v>
      </c>
      <c r="C41" s="207">
        <v>2018</v>
      </c>
      <c r="D41" s="106" t="s">
        <v>387</v>
      </c>
      <c r="E41" s="207" t="s">
        <v>220</v>
      </c>
      <c r="F41" s="207" t="s">
        <v>204</v>
      </c>
      <c r="G41" s="207" t="s">
        <v>42</v>
      </c>
      <c r="H41" s="207" t="s">
        <v>221</v>
      </c>
      <c r="I41" s="207" t="s">
        <v>155</v>
      </c>
      <c r="J41" s="207" t="s">
        <v>38</v>
      </c>
      <c r="K41" s="207" t="s">
        <v>156</v>
      </c>
      <c r="L41" s="207">
        <v>1</v>
      </c>
      <c r="M41" s="207"/>
      <c r="N41" s="207">
        <v>4</v>
      </c>
      <c r="O41" s="207">
        <v>0.7</v>
      </c>
      <c r="P41" s="207">
        <v>0.7</v>
      </c>
      <c r="Q41" s="107">
        <f t="shared" si="0"/>
        <v>0.7</v>
      </c>
      <c r="R41" s="207">
        <v>19.2</v>
      </c>
      <c r="S41" s="207">
        <v>104</v>
      </c>
      <c r="T41" s="108">
        <f t="shared" si="1"/>
        <v>33</v>
      </c>
      <c r="U41" s="207">
        <v>298</v>
      </c>
      <c r="V41" s="109">
        <f t="shared" si="2"/>
        <v>2458.5</v>
      </c>
      <c r="W41" s="207">
        <v>24</v>
      </c>
      <c r="X41" s="207" t="s">
        <v>46</v>
      </c>
      <c r="Y41" s="207" t="s">
        <v>55</v>
      </c>
      <c r="Z41" s="207" t="s">
        <v>97</v>
      </c>
      <c r="AA41" s="207" t="s">
        <v>69</v>
      </c>
      <c r="AB41" s="207" t="s">
        <v>327</v>
      </c>
    </row>
    <row r="42" spans="1:28" s="115" customFormat="1" x14ac:dyDescent="0.15">
      <c r="A42" s="207" t="s">
        <v>51</v>
      </c>
      <c r="B42" s="207" t="s">
        <v>325</v>
      </c>
      <c r="C42" s="207">
        <v>2018</v>
      </c>
      <c r="D42" s="106" t="s">
        <v>387</v>
      </c>
      <c r="E42" s="207" t="s">
        <v>220</v>
      </c>
      <c r="F42" s="207" t="s">
        <v>204</v>
      </c>
      <c r="G42" s="207" t="s">
        <v>42</v>
      </c>
      <c r="H42" s="207" t="s">
        <v>221</v>
      </c>
      <c r="I42" s="207" t="s">
        <v>155</v>
      </c>
      <c r="J42" s="207" t="s">
        <v>38</v>
      </c>
      <c r="K42" s="207" t="s">
        <v>156</v>
      </c>
      <c r="L42" s="207">
        <v>2</v>
      </c>
      <c r="M42" s="207"/>
      <c r="N42" s="207">
        <v>4</v>
      </c>
      <c r="O42" s="207">
        <v>0.85</v>
      </c>
      <c r="P42" s="207">
        <v>0.65</v>
      </c>
      <c r="Q42" s="107">
        <f t="shared" si="0"/>
        <v>0.75</v>
      </c>
      <c r="R42" s="207">
        <v>18.7</v>
      </c>
      <c r="S42" s="207">
        <v>97</v>
      </c>
      <c r="T42" s="108">
        <f t="shared" si="1"/>
        <v>36</v>
      </c>
      <c r="U42" s="207">
        <v>298</v>
      </c>
      <c r="V42" s="109">
        <f t="shared" si="2"/>
        <v>2682</v>
      </c>
      <c r="W42" s="207">
        <v>24</v>
      </c>
      <c r="X42" s="207" t="s">
        <v>46</v>
      </c>
      <c r="Y42" s="207" t="s">
        <v>55</v>
      </c>
      <c r="Z42" s="207" t="s">
        <v>97</v>
      </c>
      <c r="AA42" s="207" t="s">
        <v>69</v>
      </c>
      <c r="AB42" s="207" t="s">
        <v>327</v>
      </c>
    </row>
    <row r="43" spans="1:28" s="115" customFormat="1" x14ac:dyDescent="0.15">
      <c r="A43" s="207" t="s">
        <v>51</v>
      </c>
      <c r="B43" s="207" t="s">
        <v>325</v>
      </c>
      <c r="C43" s="207">
        <v>2018</v>
      </c>
      <c r="D43" s="106" t="s">
        <v>387</v>
      </c>
      <c r="E43" s="207" t="s">
        <v>220</v>
      </c>
      <c r="F43" s="207" t="s">
        <v>204</v>
      </c>
      <c r="G43" s="207" t="s">
        <v>42</v>
      </c>
      <c r="H43" s="207" t="s">
        <v>221</v>
      </c>
      <c r="I43" s="207" t="s">
        <v>155</v>
      </c>
      <c r="J43" s="207" t="s">
        <v>38</v>
      </c>
      <c r="K43" s="207" t="s">
        <v>156</v>
      </c>
      <c r="L43" s="207">
        <v>3</v>
      </c>
      <c r="M43" s="207"/>
      <c r="N43" s="207">
        <v>4</v>
      </c>
      <c r="O43" s="207">
        <v>0.8</v>
      </c>
      <c r="P43" s="207">
        <v>0.75</v>
      </c>
      <c r="Q43" s="107">
        <f t="shared" si="0"/>
        <v>0.77500000000000002</v>
      </c>
      <c r="R43" s="207">
        <v>20.2</v>
      </c>
      <c r="S43" s="207">
        <v>120</v>
      </c>
      <c r="T43" s="108">
        <f t="shared" si="1"/>
        <v>30</v>
      </c>
      <c r="U43" s="207">
        <v>298</v>
      </c>
      <c r="V43" s="109">
        <f t="shared" si="2"/>
        <v>2235</v>
      </c>
      <c r="W43" s="207">
        <v>24</v>
      </c>
      <c r="X43" s="207" t="s">
        <v>46</v>
      </c>
      <c r="Y43" s="207" t="s">
        <v>55</v>
      </c>
      <c r="Z43" s="207" t="s">
        <v>97</v>
      </c>
      <c r="AA43" s="207" t="s">
        <v>69</v>
      </c>
      <c r="AB43" s="207" t="s">
        <v>327</v>
      </c>
    </row>
    <row r="44" spans="1:28" s="115" customFormat="1" x14ac:dyDescent="0.15">
      <c r="A44" s="207" t="s">
        <v>51</v>
      </c>
      <c r="B44" s="207" t="s">
        <v>325</v>
      </c>
      <c r="C44" s="207">
        <v>2018</v>
      </c>
      <c r="D44" s="106" t="s">
        <v>387</v>
      </c>
      <c r="E44" s="207" t="s">
        <v>220</v>
      </c>
      <c r="F44" s="207" t="s">
        <v>204</v>
      </c>
      <c r="G44" s="207" t="s">
        <v>42</v>
      </c>
      <c r="H44" s="207" t="s">
        <v>167</v>
      </c>
      <c r="I44" s="207" t="s">
        <v>155</v>
      </c>
      <c r="J44" s="207" t="s">
        <v>38</v>
      </c>
      <c r="K44" s="207" t="s">
        <v>156</v>
      </c>
      <c r="L44" s="207">
        <v>1</v>
      </c>
      <c r="M44" s="207"/>
      <c r="N44" s="207">
        <v>3</v>
      </c>
      <c r="O44" s="207">
        <v>0.7</v>
      </c>
      <c r="P44" s="207">
        <v>0.7</v>
      </c>
      <c r="Q44" s="107">
        <f t="shared" si="0"/>
        <v>0.7</v>
      </c>
      <c r="R44" s="207">
        <v>17.5</v>
      </c>
      <c r="S44" s="207">
        <v>168</v>
      </c>
      <c r="T44" s="108">
        <f t="shared" si="1"/>
        <v>18</v>
      </c>
      <c r="U44" s="207">
        <v>398</v>
      </c>
      <c r="V44" s="109">
        <f t="shared" si="2"/>
        <v>2388</v>
      </c>
      <c r="W44" s="207">
        <v>24</v>
      </c>
      <c r="X44" s="207" t="s">
        <v>46</v>
      </c>
      <c r="Y44" s="207" t="s">
        <v>55</v>
      </c>
      <c r="Z44" s="207" t="s">
        <v>97</v>
      </c>
      <c r="AA44" s="207" t="s">
        <v>69</v>
      </c>
      <c r="AB44" s="207" t="s">
        <v>327</v>
      </c>
    </row>
    <row r="45" spans="1:28" s="115" customFormat="1" x14ac:dyDescent="0.15">
      <c r="A45" s="207" t="s">
        <v>51</v>
      </c>
      <c r="B45" s="207" t="s">
        <v>325</v>
      </c>
      <c r="C45" s="207">
        <v>2018</v>
      </c>
      <c r="D45" s="106" t="s">
        <v>387</v>
      </c>
      <c r="E45" s="207" t="s">
        <v>220</v>
      </c>
      <c r="F45" s="207" t="s">
        <v>204</v>
      </c>
      <c r="G45" s="207" t="s">
        <v>42</v>
      </c>
      <c r="H45" s="207" t="s">
        <v>167</v>
      </c>
      <c r="I45" s="207" t="s">
        <v>155</v>
      </c>
      <c r="J45" s="207" t="s">
        <v>38</v>
      </c>
      <c r="K45" s="207" t="s">
        <v>156</v>
      </c>
      <c r="L45" s="207">
        <v>2</v>
      </c>
      <c r="M45" s="207"/>
      <c r="N45" s="207">
        <v>3</v>
      </c>
      <c r="O45" s="207">
        <v>0.7</v>
      </c>
      <c r="P45" s="207">
        <v>0.8</v>
      </c>
      <c r="Q45" s="107">
        <f t="shared" si="0"/>
        <v>0.75</v>
      </c>
      <c r="R45" s="207">
        <v>16.8</v>
      </c>
      <c r="S45" s="207">
        <v>168</v>
      </c>
      <c r="T45" s="108">
        <f t="shared" si="1"/>
        <v>18</v>
      </c>
      <c r="U45" s="207">
        <v>398</v>
      </c>
      <c r="V45" s="109">
        <f t="shared" si="2"/>
        <v>2388</v>
      </c>
      <c r="W45" s="207">
        <v>24</v>
      </c>
      <c r="X45" s="207" t="s">
        <v>46</v>
      </c>
      <c r="Y45" s="207" t="s">
        <v>55</v>
      </c>
      <c r="Z45" s="207" t="s">
        <v>97</v>
      </c>
      <c r="AA45" s="207" t="s">
        <v>69</v>
      </c>
      <c r="AB45" s="207" t="s">
        <v>327</v>
      </c>
    </row>
    <row r="46" spans="1:28" s="115" customFormat="1" x14ac:dyDescent="0.15">
      <c r="A46" s="207" t="s">
        <v>51</v>
      </c>
      <c r="B46" s="207" t="s">
        <v>325</v>
      </c>
      <c r="C46" s="207">
        <v>2018</v>
      </c>
      <c r="D46" s="106" t="s">
        <v>387</v>
      </c>
      <c r="E46" s="207" t="s">
        <v>220</v>
      </c>
      <c r="F46" s="207" t="s">
        <v>204</v>
      </c>
      <c r="G46" s="207" t="s">
        <v>42</v>
      </c>
      <c r="H46" s="207" t="s">
        <v>167</v>
      </c>
      <c r="I46" s="207" t="s">
        <v>155</v>
      </c>
      <c r="J46" s="207" t="s">
        <v>38</v>
      </c>
      <c r="K46" s="207" t="s">
        <v>156</v>
      </c>
      <c r="L46" s="207">
        <v>3</v>
      </c>
      <c r="M46" s="207"/>
      <c r="N46" s="207">
        <v>3</v>
      </c>
      <c r="O46" s="207">
        <v>0.75</v>
      </c>
      <c r="P46" s="207">
        <v>0.65</v>
      </c>
      <c r="Q46" s="107">
        <f t="shared" si="0"/>
        <v>0.7</v>
      </c>
      <c r="R46" s="207">
        <v>17.100000000000001</v>
      </c>
      <c r="S46" s="207">
        <v>154</v>
      </c>
      <c r="T46" s="108">
        <f t="shared" si="1"/>
        <v>18</v>
      </c>
      <c r="U46" s="207">
        <v>398</v>
      </c>
      <c r="V46" s="109">
        <f t="shared" si="2"/>
        <v>2388</v>
      </c>
      <c r="W46" s="207">
        <v>24</v>
      </c>
      <c r="X46" s="207" t="s">
        <v>46</v>
      </c>
      <c r="Y46" s="207" t="s">
        <v>55</v>
      </c>
      <c r="Z46" s="207" t="s">
        <v>97</v>
      </c>
      <c r="AA46" s="207" t="s">
        <v>69</v>
      </c>
      <c r="AB46" s="207" t="s">
        <v>327</v>
      </c>
    </row>
    <row r="47" spans="1:28" s="115" customFormat="1" x14ac:dyDescent="0.15">
      <c r="A47" s="207" t="s">
        <v>51</v>
      </c>
      <c r="B47" s="207" t="s">
        <v>325</v>
      </c>
      <c r="C47" s="207">
        <v>2018</v>
      </c>
      <c r="D47" s="106" t="s">
        <v>387</v>
      </c>
      <c r="E47" s="207" t="s">
        <v>209</v>
      </c>
      <c r="F47" s="207" t="s">
        <v>210</v>
      </c>
      <c r="G47" s="207" t="s">
        <v>42</v>
      </c>
      <c r="H47" s="207" t="s">
        <v>157</v>
      </c>
      <c r="I47" s="207" t="s">
        <v>155</v>
      </c>
      <c r="J47" s="207" t="s">
        <v>38</v>
      </c>
      <c r="K47" s="207" t="s">
        <v>156</v>
      </c>
      <c r="L47" s="207">
        <v>1</v>
      </c>
      <c r="M47" s="207"/>
      <c r="N47" s="207">
        <v>1</v>
      </c>
      <c r="O47" s="207">
        <v>1</v>
      </c>
      <c r="P47" s="207">
        <v>1</v>
      </c>
      <c r="Q47" s="107">
        <f t="shared" si="0"/>
        <v>1</v>
      </c>
      <c r="R47" s="207">
        <v>15.2</v>
      </c>
      <c r="S47" s="207">
        <v>142</v>
      </c>
      <c r="T47" s="108">
        <f t="shared" si="1"/>
        <v>22</v>
      </c>
      <c r="U47" s="207">
        <v>99</v>
      </c>
      <c r="V47" s="109">
        <f t="shared" si="2"/>
        <v>2178</v>
      </c>
      <c r="W47" s="207">
        <v>8</v>
      </c>
      <c r="X47" s="207" t="s">
        <v>46</v>
      </c>
      <c r="Y47" s="207" t="s">
        <v>69</v>
      </c>
      <c r="Z47" s="207" t="s">
        <v>55</v>
      </c>
      <c r="AA47" s="207" t="s">
        <v>78</v>
      </c>
      <c r="AB47" s="207" t="s">
        <v>327</v>
      </c>
    </row>
    <row r="48" spans="1:28" s="115" customFormat="1" x14ac:dyDescent="0.15">
      <c r="A48" s="207" t="s">
        <v>51</v>
      </c>
      <c r="B48" s="207" t="s">
        <v>325</v>
      </c>
      <c r="C48" s="207">
        <v>2018</v>
      </c>
      <c r="D48" s="106" t="s">
        <v>387</v>
      </c>
      <c r="E48" s="207" t="s">
        <v>209</v>
      </c>
      <c r="F48" s="207" t="s">
        <v>210</v>
      </c>
      <c r="G48" s="207" t="s">
        <v>42</v>
      </c>
      <c r="H48" s="207" t="s">
        <v>157</v>
      </c>
      <c r="I48" s="207" t="s">
        <v>155</v>
      </c>
      <c r="J48" s="207" t="s">
        <v>38</v>
      </c>
      <c r="K48" s="207" t="s">
        <v>156</v>
      </c>
      <c r="L48" s="207">
        <v>2</v>
      </c>
      <c r="M48" s="207"/>
      <c r="N48" s="207">
        <v>1</v>
      </c>
      <c r="O48" s="207">
        <v>0.95</v>
      </c>
      <c r="P48" s="207">
        <v>1</v>
      </c>
      <c r="Q48" s="107">
        <f t="shared" si="0"/>
        <v>0.97499999999999998</v>
      </c>
      <c r="R48" s="207">
        <v>15.9</v>
      </c>
      <c r="S48" s="207">
        <v>152</v>
      </c>
      <c r="T48" s="108">
        <f t="shared" si="1"/>
        <v>18</v>
      </c>
      <c r="U48" s="207">
        <v>99</v>
      </c>
      <c r="V48" s="109">
        <f t="shared" si="2"/>
        <v>1782</v>
      </c>
      <c r="W48" s="207">
        <v>8</v>
      </c>
      <c r="X48" s="207" t="s">
        <v>46</v>
      </c>
      <c r="Y48" s="207" t="s">
        <v>69</v>
      </c>
      <c r="Z48" s="207" t="s">
        <v>55</v>
      </c>
      <c r="AA48" s="207" t="s">
        <v>78</v>
      </c>
      <c r="AB48" s="207" t="s">
        <v>327</v>
      </c>
    </row>
    <row r="49" spans="1:28" s="115" customFormat="1" x14ac:dyDescent="0.15">
      <c r="A49" s="207" t="s">
        <v>51</v>
      </c>
      <c r="B49" s="207" t="s">
        <v>325</v>
      </c>
      <c r="C49" s="207">
        <v>2018</v>
      </c>
      <c r="D49" s="106" t="s">
        <v>387</v>
      </c>
      <c r="E49" s="207" t="s">
        <v>209</v>
      </c>
      <c r="F49" s="207" t="s">
        <v>210</v>
      </c>
      <c r="G49" s="207" t="s">
        <v>42</v>
      </c>
      <c r="H49" s="207" t="s">
        <v>157</v>
      </c>
      <c r="I49" s="207" t="s">
        <v>155</v>
      </c>
      <c r="J49" s="207" t="s">
        <v>38</v>
      </c>
      <c r="K49" s="207" t="s">
        <v>156</v>
      </c>
      <c r="L49" s="207">
        <v>3</v>
      </c>
      <c r="M49" s="207"/>
      <c r="N49" s="207">
        <v>1</v>
      </c>
      <c r="O49" s="207">
        <v>1.05</v>
      </c>
      <c r="P49" s="207">
        <v>1.1000000000000001</v>
      </c>
      <c r="Q49" s="107">
        <f t="shared" si="0"/>
        <v>1.0750000000000002</v>
      </c>
      <c r="R49" s="207">
        <v>14.9</v>
      </c>
      <c r="S49" s="207">
        <v>140</v>
      </c>
      <c r="T49" s="108">
        <f t="shared" si="1"/>
        <v>22</v>
      </c>
      <c r="U49" s="207">
        <v>99</v>
      </c>
      <c r="V49" s="109">
        <f t="shared" si="2"/>
        <v>2178</v>
      </c>
      <c r="W49" s="207">
        <v>8</v>
      </c>
      <c r="X49" s="207" t="s">
        <v>46</v>
      </c>
      <c r="Y49" s="207" t="s">
        <v>69</v>
      </c>
      <c r="Z49" s="207" t="s">
        <v>55</v>
      </c>
      <c r="AA49" s="207" t="s">
        <v>78</v>
      </c>
      <c r="AB49" s="207" t="s">
        <v>327</v>
      </c>
    </row>
    <row r="50" spans="1:28" s="115" customFormat="1" x14ac:dyDescent="0.15">
      <c r="A50" s="207" t="s">
        <v>51</v>
      </c>
      <c r="B50" s="207" t="s">
        <v>325</v>
      </c>
      <c r="C50" s="207">
        <v>2018</v>
      </c>
      <c r="D50" s="106" t="s">
        <v>387</v>
      </c>
      <c r="E50" s="207" t="s">
        <v>209</v>
      </c>
      <c r="F50" s="207" t="s">
        <v>210</v>
      </c>
      <c r="G50" s="207" t="s">
        <v>42</v>
      </c>
      <c r="H50" s="207" t="s">
        <v>221</v>
      </c>
      <c r="I50" s="207" t="s">
        <v>155</v>
      </c>
      <c r="J50" s="207" t="s">
        <v>38</v>
      </c>
      <c r="K50" s="207" t="s">
        <v>156</v>
      </c>
      <c r="L50" s="207">
        <v>1</v>
      </c>
      <c r="M50" s="207"/>
      <c r="N50" s="207">
        <v>5</v>
      </c>
      <c r="O50" s="207">
        <v>0.6</v>
      </c>
      <c r="P50" s="207">
        <v>0.6</v>
      </c>
      <c r="Q50" s="107">
        <f t="shared" si="0"/>
        <v>0.6</v>
      </c>
      <c r="R50" s="207">
        <v>13.8</v>
      </c>
      <c r="S50" s="207">
        <v>90</v>
      </c>
      <c r="T50" s="108">
        <f t="shared" si="1"/>
        <v>36</v>
      </c>
      <c r="U50" s="207">
        <v>498</v>
      </c>
      <c r="V50" s="109">
        <f t="shared" si="2"/>
        <v>3585.6</v>
      </c>
      <c r="W50" s="207">
        <v>8</v>
      </c>
      <c r="X50" s="207" t="s">
        <v>46</v>
      </c>
      <c r="Y50" s="207" t="s">
        <v>69</v>
      </c>
      <c r="Z50" s="207" t="s">
        <v>55</v>
      </c>
      <c r="AA50" s="207" t="s">
        <v>78</v>
      </c>
      <c r="AB50" s="207" t="s">
        <v>327</v>
      </c>
    </row>
    <row r="51" spans="1:28" s="115" customFormat="1" x14ac:dyDescent="0.15">
      <c r="A51" s="207" t="s">
        <v>51</v>
      </c>
      <c r="B51" s="207" t="s">
        <v>325</v>
      </c>
      <c r="C51" s="207">
        <v>2018</v>
      </c>
      <c r="D51" s="106" t="s">
        <v>387</v>
      </c>
      <c r="E51" s="207" t="s">
        <v>209</v>
      </c>
      <c r="F51" s="207" t="s">
        <v>210</v>
      </c>
      <c r="G51" s="207" t="s">
        <v>42</v>
      </c>
      <c r="H51" s="207" t="s">
        <v>221</v>
      </c>
      <c r="I51" s="207" t="s">
        <v>155</v>
      </c>
      <c r="J51" s="207" t="s">
        <v>38</v>
      </c>
      <c r="K51" s="207" t="s">
        <v>156</v>
      </c>
      <c r="L51" s="207">
        <v>2</v>
      </c>
      <c r="M51" s="207"/>
      <c r="N51" s="207">
        <v>5</v>
      </c>
      <c r="O51" s="207">
        <v>0.5</v>
      </c>
      <c r="P51" s="207">
        <v>0.55000000000000004</v>
      </c>
      <c r="Q51" s="107">
        <f t="shared" si="0"/>
        <v>0.52500000000000002</v>
      </c>
      <c r="R51" s="207">
        <v>12.5</v>
      </c>
      <c r="S51" s="207">
        <v>86</v>
      </c>
      <c r="T51" s="108">
        <f t="shared" si="1"/>
        <v>36</v>
      </c>
      <c r="U51" s="207">
        <v>498</v>
      </c>
      <c r="V51" s="109">
        <f t="shared" si="2"/>
        <v>3585.6</v>
      </c>
      <c r="W51" s="207">
        <v>8</v>
      </c>
      <c r="X51" s="207" t="s">
        <v>46</v>
      </c>
      <c r="Y51" s="207" t="s">
        <v>69</v>
      </c>
      <c r="Z51" s="207" t="s">
        <v>55</v>
      </c>
      <c r="AA51" s="207" t="s">
        <v>78</v>
      </c>
      <c r="AB51" s="207" t="s">
        <v>327</v>
      </c>
    </row>
    <row r="52" spans="1:28" s="115" customFormat="1" x14ac:dyDescent="0.15">
      <c r="A52" s="207" t="s">
        <v>51</v>
      </c>
      <c r="B52" s="207" t="s">
        <v>325</v>
      </c>
      <c r="C52" s="207">
        <v>2018</v>
      </c>
      <c r="D52" s="106" t="s">
        <v>387</v>
      </c>
      <c r="E52" s="207" t="s">
        <v>209</v>
      </c>
      <c r="F52" s="207" t="s">
        <v>210</v>
      </c>
      <c r="G52" s="207" t="s">
        <v>42</v>
      </c>
      <c r="H52" s="207" t="s">
        <v>221</v>
      </c>
      <c r="I52" s="207" t="s">
        <v>155</v>
      </c>
      <c r="J52" s="207" t="s">
        <v>38</v>
      </c>
      <c r="K52" s="207" t="s">
        <v>156</v>
      </c>
      <c r="L52" s="207">
        <v>3</v>
      </c>
      <c r="M52" s="207"/>
      <c r="N52" s="207">
        <v>5</v>
      </c>
      <c r="O52" s="207">
        <v>0.6</v>
      </c>
      <c r="P52" s="207">
        <v>0.65</v>
      </c>
      <c r="Q52" s="107">
        <f t="shared" si="0"/>
        <v>0.625</v>
      </c>
      <c r="R52" s="207">
        <v>14.6</v>
      </c>
      <c r="S52" s="207">
        <v>90</v>
      </c>
      <c r="T52" s="108">
        <f t="shared" si="1"/>
        <v>36</v>
      </c>
      <c r="U52" s="207">
        <v>498</v>
      </c>
      <c r="V52" s="109">
        <f t="shared" si="2"/>
        <v>3585.6</v>
      </c>
      <c r="W52" s="207">
        <v>8</v>
      </c>
      <c r="X52" s="207" t="s">
        <v>46</v>
      </c>
      <c r="Y52" s="207" t="s">
        <v>69</v>
      </c>
      <c r="Z52" s="207" t="s">
        <v>55</v>
      </c>
      <c r="AA52" s="207" t="s">
        <v>78</v>
      </c>
      <c r="AB52" s="207" t="s">
        <v>327</v>
      </c>
    </row>
    <row r="53" spans="1:28" s="115" customFormat="1" x14ac:dyDescent="0.15">
      <c r="A53" s="207" t="s">
        <v>51</v>
      </c>
      <c r="B53" s="207" t="s">
        <v>325</v>
      </c>
      <c r="C53" s="207">
        <v>2018</v>
      </c>
      <c r="D53" s="106" t="s">
        <v>387</v>
      </c>
      <c r="E53" s="207" t="s">
        <v>209</v>
      </c>
      <c r="F53" s="207" t="s">
        <v>210</v>
      </c>
      <c r="G53" s="207" t="s">
        <v>42</v>
      </c>
      <c r="H53" s="207" t="s">
        <v>167</v>
      </c>
      <c r="I53" s="207" t="s">
        <v>155</v>
      </c>
      <c r="J53" s="207" t="s">
        <v>38</v>
      </c>
      <c r="K53" s="207" t="s">
        <v>156</v>
      </c>
      <c r="L53" s="207">
        <v>1</v>
      </c>
      <c r="M53" s="207"/>
      <c r="N53" s="207">
        <v>1</v>
      </c>
      <c r="O53" s="207">
        <v>0.75</v>
      </c>
      <c r="P53" s="207">
        <v>0.75</v>
      </c>
      <c r="Q53" s="107">
        <f t="shared" si="0"/>
        <v>0.75</v>
      </c>
      <c r="R53" s="207">
        <v>14.9</v>
      </c>
      <c r="S53" s="207">
        <v>142</v>
      </c>
      <c r="T53" s="108">
        <f t="shared" si="1"/>
        <v>22</v>
      </c>
      <c r="U53" s="207">
        <v>99</v>
      </c>
      <c r="V53" s="109">
        <f t="shared" si="2"/>
        <v>2178</v>
      </c>
      <c r="W53" s="207">
        <v>8</v>
      </c>
      <c r="X53" s="207" t="s">
        <v>46</v>
      </c>
      <c r="Y53" s="207" t="s">
        <v>69</v>
      </c>
      <c r="Z53" s="207" t="s">
        <v>55</v>
      </c>
      <c r="AA53" s="207" t="s">
        <v>78</v>
      </c>
      <c r="AB53" s="207" t="s">
        <v>327</v>
      </c>
    </row>
    <row r="54" spans="1:28" s="115" customFormat="1" x14ac:dyDescent="0.15">
      <c r="A54" s="207" t="s">
        <v>51</v>
      </c>
      <c r="B54" s="207" t="s">
        <v>325</v>
      </c>
      <c r="C54" s="207">
        <v>2018</v>
      </c>
      <c r="D54" s="106" t="s">
        <v>387</v>
      </c>
      <c r="E54" s="207" t="s">
        <v>209</v>
      </c>
      <c r="F54" s="207" t="s">
        <v>210</v>
      </c>
      <c r="G54" s="207" t="s">
        <v>42</v>
      </c>
      <c r="H54" s="207" t="s">
        <v>167</v>
      </c>
      <c r="I54" s="207" t="s">
        <v>155</v>
      </c>
      <c r="J54" s="207" t="s">
        <v>38</v>
      </c>
      <c r="K54" s="207" t="s">
        <v>156</v>
      </c>
      <c r="L54" s="207">
        <v>2</v>
      </c>
      <c r="M54" s="207"/>
      <c r="N54" s="207">
        <v>1</v>
      </c>
      <c r="O54" s="207">
        <v>0.8</v>
      </c>
      <c r="P54" s="207">
        <v>0.7</v>
      </c>
      <c r="Q54" s="107">
        <f t="shared" si="0"/>
        <v>0.75</v>
      </c>
      <c r="R54" s="207">
        <v>15.3</v>
      </c>
      <c r="S54" s="207">
        <v>142</v>
      </c>
      <c r="T54" s="108">
        <f t="shared" si="1"/>
        <v>22</v>
      </c>
      <c r="U54" s="207">
        <v>99</v>
      </c>
      <c r="V54" s="109">
        <f t="shared" si="2"/>
        <v>2178</v>
      </c>
      <c r="W54" s="207">
        <v>8</v>
      </c>
      <c r="X54" s="207" t="s">
        <v>46</v>
      </c>
      <c r="Y54" s="207" t="s">
        <v>69</v>
      </c>
      <c r="Z54" s="207" t="s">
        <v>55</v>
      </c>
      <c r="AA54" s="207" t="s">
        <v>78</v>
      </c>
      <c r="AB54" s="207" t="s">
        <v>327</v>
      </c>
    </row>
    <row r="55" spans="1:28" s="115" customFormat="1" x14ac:dyDescent="0.15">
      <c r="A55" s="207" t="s">
        <v>51</v>
      </c>
      <c r="B55" s="207" t="s">
        <v>325</v>
      </c>
      <c r="C55" s="207">
        <v>2018</v>
      </c>
      <c r="D55" s="106" t="s">
        <v>387</v>
      </c>
      <c r="E55" s="207" t="s">
        <v>209</v>
      </c>
      <c r="F55" s="207" t="s">
        <v>210</v>
      </c>
      <c r="G55" s="207" t="s">
        <v>42</v>
      </c>
      <c r="H55" s="207" t="s">
        <v>167</v>
      </c>
      <c r="I55" s="207" t="s">
        <v>155</v>
      </c>
      <c r="J55" s="207" t="s">
        <v>38</v>
      </c>
      <c r="K55" s="207" t="s">
        <v>156</v>
      </c>
      <c r="L55" s="207">
        <v>3</v>
      </c>
      <c r="M55" s="207"/>
      <c r="N55" s="207">
        <v>1</v>
      </c>
      <c r="O55" s="207">
        <v>0.75</v>
      </c>
      <c r="P55" s="207">
        <v>0.85</v>
      </c>
      <c r="Q55" s="107">
        <f t="shared" si="0"/>
        <v>0.8</v>
      </c>
      <c r="R55" s="207">
        <v>16.100000000000001</v>
      </c>
      <c r="S55" s="207">
        <v>158</v>
      </c>
      <c r="T55" s="108">
        <f t="shared" si="1"/>
        <v>18</v>
      </c>
      <c r="U55" s="207">
        <v>99</v>
      </c>
      <c r="V55" s="109">
        <f t="shared" si="2"/>
        <v>1782</v>
      </c>
      <c r="W55" s="207">
        <v>8</v>
      </c>
      <c r="X55" s="207" t="s">
        <v>46</v>
      </c>
      <c r="Y55" s="207" t="s">
        <v>69</v>
      </c>
      <c r="Z55" s="207" t="s">
        <v>55</v>
      </c>
      <c r="AA55" s="207" t="s">
        <v>78</v>
      </c>
      <c r="AB55" s="207" t="s">
        <v>327</v>
      </c>
    </row>
    <row r="56" spans="1:28" s="115" customFormat="1" x14ac:dyDescent="0.15">
      <c r="A56" s="207" t="s">
        <v>51</v>
      </c>
      <c r="B56" s="207" t="s">
        <v>325</v>
      </c>
      <c r="C56" s="207">
        <v>2018</v>
      </c>
      <c r="D56" s="106" t="s">
        <v>387</v>
      </c>
      <c r="E56" s="207" t="s">
        <v>215</v>
      </c>
      <c r="F56" s="207" t="s">
        <v>203</v>
      </c>
      <c r="G56" s="207" t="s">
        <v>36</v>
      </c>
      <c r="H56" s="207" t="s">
        <v>157</v>
      </c>
      <c r="I56" s="207" t="s">
        <v>155</v>
      </c>
      <c r="J56" s="207" t="s">
        <v>38</v>
      </c>
      <c r="K56" s="207" t="s">
        <v>156</v>
      </c>
      <c r="L56" s="207">
        <v>1</v>
      </c>
      <c r="M56" s="207"/>
      <c r="N56" s="207">
        <v>1</v>
      </c>
      <c r="O56" s="207">
        <v>0.9</v>
      </c>
      <c r="P56" s="207">
        <v>0.9</v>
      </c>
      <c r="Q56" s="107">
        <f t="shared" si="0"/>
        <v>0.9</v>
      </c>
      <c r="R56" s="207">
        <v>15.2</v>
      </c>
      <c r="S56" s="207">
        <v>92</v>
      </c>
      <c r="T56" s="108">
        <f t="shared" si="1"/>
        <v>36</v>
      </c>
      <c r="U56" s="207">
        <v>68</v>
      </c>
      <c r="V56" s="109">
        <f t="shared" si="2"/>
        <v>2448</v>
      </c>
      <c r="W56" s="207">
        <v>5</v>
      </c>
      <c r="X56" s="207" t="s">
        <v>46</v>
      </c>
      <c r="Y56" s="207" t="s">
        <v>69</v>
      </c>
      <c r="Z56" s="130" t="s">
        <v>97</v>
      </c>
      <c r="AA56" s="130" t="s">
        <v>55</v>
      </c>
      <c r="AB56" s="207" t="s">
        <v>327</v>
      </c>
    </row>
    <row r="57" spans="1:28" s="115" customFormat="1" x14ac:dyDescent="0.15">
      <c r="A57" s="207" t="s">
        <v>51</v>
      </c>
      <c r="B57" s="207" t="s">
        <v>325</v>
      </c>
      <c r="C57" s="207">
        <v>2018</v>
      </c>
      <c r="D57" s="106" t="s">
        <v>387</v>
      </c>
      <c r="E57" s="207" t="s">
        <v>215</v>
      </c>
      <c r="F57" s="207" t="s">
        <v>203</v>
      </c>
      <c r="G57" s="207" t="s">
        <v>36</v>
      </c>
      <c r="H57" s="207" t="s">
        <v>157</v>
      </c>
      <c r="I57" s="207" t="s">
        <v>155</v>
      </c>
      <c r="J57" s="207" t="s">
        <v>38</v>
      </c>
      <c r="K57" s="207" t="s">
        <v>156</v>
      </c>
      <c r="L57" s="207">
        <v>2</v>
      </c>
      <c r="M57" s="207"/>
      <c r="N57" s="207">
        <v>1</v>
      </c>
      <c r="O57" s="207">
        <v>0.85</v>
      </c>
      <c r="P57" s="207">
        <v>0.95</v>
      </c>
      <c r="Q57" s="107">
        <f t="shared" si="0"/>
        <v>0.89999999999999991</v>
      </c>
      <c r="R57" s="207">
        <v>15.5</v>
      </c>
      <c r="S57" s="207">
        <v>96</v>
      </c>
      <c r="T57" s="108">
        <f t="shared" si="1"/>
        <v>36</v>
      </c>
      <c r="U57" s="207">
        <v>68</v>
      </c>
      <c r="V57" s="109">
        <f t="shared" si="2"/>
        <v>2448</v>
      </c>
      <c r="W57" s="207">
        <v>5</v>
      </c>
      <c r="X57" s="207" t="s">
        <v>46</v>
      </c>
      <c r="Y57" s="207" t="s">
        <v>69</v>
      </c>
      <c r="Z57" s="130" t="s">
        <v>97</v>
      </c>
      <c r="AA57" s="130" t="s">
        <v>55</v>
      </c>
      <c r="AB57" s="207" t="s">
        <v>327</v>
      </c>
    </row>
    <row r="58" spans="1:28" s="115" customFormat="1" x14ac:dyDescent="0.15">
      <c r="A58" s="207" t="s">
        <v>51</v>
      </c>
      <c r="B58" s="207" t="s">
        <v>325</v>
      </c>
      <c r="C58" s="207">
        <v>2018</v>
      </c>
      <c r="D58" s="106" t="s">
        <v>387</v>
      </c>
      <c r="E58" s="207" t="s">
        <v>215</v>
      </c>
      <c r="F58" s="207" t="s">
        <v>203</v>
      </c>
      <c r="G58" s="207" t="s">
        <v>36</v>
      </c>
      <c r="H58" s="207" t="s">
        <v>157</v>
      </c>
      <c r="I58" s="207" t="s">
        <v>155</v>
      </c>
      <c r="J58" s="207" t="s">
        <v>38</v>
      </c>
      <c r="K58" s="207" t="s">
        <v>156</v>
      </c>
      <c r="L58" s="207">
        <v>3</v>
      </c>
      <c r="M58" s="207"/>
      <c r="N58" s="207">
        <v>1</v>
      </c>
      <c r="O58" s="207">
        <v>0.85</v>
      </c>
      <c r="P58" s="207">
        <v>0.9</v>
      </c>
      <c r="Q58" s="107">
        <f t="shared" si="0"/>
        <v>0.875</v>
      </c>
      <c r="R58" s="207">
        <v>15.8</v>
      </c>
      <c r="S58" s="207">
        <v>100</v>
      </c>
      <c r="T58" s="108">
        <f t="shared" si="1"/>
        <v>33</v>
      </c>
      <c r="U58" s="207">
        <v>68</v>
      </c>
      <c r="V58" s="109">
        <f t="shared" si="2"/>
        <v>2244</v>
      </c>
      <c r="W58" s="207">
        <v>5</v>
      </c>
      <c r="X58" s="207" t="s">
        <v>46</v>
      </c>
      <c r="Y58" s="207" t="s">
        <v>69</v>
      </c>
      <c r="Z58" s="130" t="s">
        <v>97</v>
      </c>
      <c r="AA58" s="130" t="s">
        <v>55</v>
      </c>
      <c r="AB58" s="207" t="s">
        <v>327</v>
      </c>
    </row>
    <row r="59" spans="1:28" s="115" customFormat="1" x14ac:dyDescent="0.15">
      <c r="A59" s="207" t="s">
        <v>51</v>
      </c>
      <c r="B59" s="207" t="s">
        <v>325</v>
      </c>
      <c r="C59" s="207">
        <v>2018</v>
      </c>
      <c r="D59" s="106" t="s">
        <v>387</v>
      </c>
      <c r="E59" s="207" t="s">
        <v>215</v>
      </c>
      <c r="F59" s="207" t="s">
        <v>203</v>
      </c>
      <c r="G59" s="207" t="s">
        <v>36</v>
      </c>
      <c r="H59" s="207" t="s">
        <v>221</v>
      </c>
      <c r="I59" s="207" t="s">
        <v>155</v>
      </c>
      <c r="J59" s="207" t="s">
        <v>38</v>
      </c>
      <c r="K59" s="207" t="s">
        <v>156</v>
      </c>
      <c r="L59" s="115">
        <v>1</v>
      </c>
      <c r="N59" s="207">
        <v>4</v>
      </c>
      <c r="O59" s="115">
        <v>0.6</v>
      </c>
      <c r="P59" s="115">
        <v>0.55000000000000004</v>
      </c>
      <c r="Q59" s="107">
        <f t="shared" si="0"/>
        <v>0.57499999999999996</v>
      </c>
      <c r="R59" s="115">
        <v>15.7</v>
      </c>
      <c r="S59" s="115">
        <v>100</v>
      </c>
      <c r="T59" s="108">
        <f t="shared" si="1"/>
        <v>33</v>
      </c>
      <c r="U59" s="207">
        <v>398</v>
      </c>
      <c r="V59" s="109">
        <f t="shared" si="2"/>
        <v>3283.5</v>
      </c>
      <c r="W59" s="207">
        <v>5</v>
      </c>
      <c r="X59" s="207" t="s">
        <v>46</v>
      </c>
      <c r="Y59" s="207" t="s">
        <v>69</v>
      </c>
      <c r="Z59" s="130" t="s">
        <v>97</v>
      </c>
      <c r="AA59" s="130" t="s">
        <v>55</v>
      </c>
      <c r="AB59" s="207" t="s">
        <v>327</v>
      </c>
    </row>
    <row r="60" spans="1:28" s="115" customFormat="1" x14ac:dyDescent="0.15">
      <c r="A60" s="207" t="s">
        <v>51</v>
      </c>
      <c r="B60" s="207" t="s">
        <v>325</v>
      </c>
      <c r="C60" s="207">
        <v>2018</v>
      </c>
      <c r="D60" s="106" t="s">
        <v>387</v>
      </c>
      <c r="E60" s="207" t="s">
        <v>215</v>
      </c>
      <c r="F60" s="207" t="s">
        <v>203</v>
      </c>
      <c r="G60" s="207" t="s">
        <v>36</v>
      </c>
      <c r="H60" s="207" t="s">
        <v>221</v>
      </c>
      <c r="I60" s="207" t="s">
        <v>155</v>
      </c>
      <c r="J60" s="207" t="s">
        <v>38</v>
      </c>
      <c r="K60" s="207" t="s">
        <v>156</v>
      </c>
      <c r="L60" s="115">
        <v>2</v>
      </c>
      <c r="N60" s="207">
        <v>4</v>
      </c>
      <c r="O60" s="115">
        <v>0.6</v>
      </c>
      <c r="P60" s="115">
        <v>0.6</v>
      </c>
      <c r="Q60" s="107">
        <f t="shared" si="0"/>
        <v>0.6</v>
      </c>
      <c r="R60" s="115">
        <v>16</v>
      </c>
      <c r="S60" s="115">
        <v>104</v>
      </c>
      <c r="T60" s="108">
        <f t="shared" si="1"/>
        <v>33</v>
      </c>
      <c r="U60" s="207">
        <v>398</v>
      </c>
      <c r="V60" s="109">
        <f t="shared" si="2"/>
        <v>3283.5</v>
      </c>
      <c r="W60" s="207">
        <v>5</v>
      </c>
      <c r="X60" s="207" t="s">
        <v>46</v>
      </c>
      <c r="Y60" s="207" t="s">
        <v>69</v>
      </c>
      <c r="Z60" s="130" t="s">
        <v>97</v>
      </c>
      <c r="AA60" s="130" t="s">
        <v>55</v>
      </c>
      <c r="AB60" s="207" t="s">
        <v>327</v>
      </c>
    </row>
    <row r="61" spans="1:28" s="115" customFormat="1" x14ac:dyDescent="0.15">
      <c r="A61" s="207" t="s">
        <v>51</v>
      </c>
      <c r="B61" s="207" t="s">
        <v>325</v>
      </c>
      <c r="C61" s="207">
        <v>2018</v>
      </c>
      <c r="D61" s="106" t="s">
        <v>387</v>
      </c>
      <c r="E61" s="207" t="s">
        <v>215</v>
      </c>
      <c r="F61" s="207" t="s">
        <v>203</v>
      </c>
      <c r="G61" s="207" t="s">
        <v>36</v>
      </c>
      <c r="H61" s="207" t="s">
        <v>221</v>
      </c>
      <c r="I61" s="207" t="s">
        <v>155</v>
      </c>
      <c r="J61" s="207" t="s">
        <v>38</v>
      </c>
      <c r="K61" s="207" t="s">
        <v>156</v>
      </c>
      <c r="L61" s="115">
        <v>3</v>
      </c>
      <c r="N61" s="207">
        <v>4</v>
      </c>
      <c r="O61" s="115">
        <v>0.55000000000000004</v>
      </c>
      <c r="P61" s="115">
        <v>0.5</v>
      </c>
      <c r="Q61" s="107">
        <f t="shared" si="0"/>
        <v>0.52500000000000002</v>
      </c>
      <c r="R61" s="115">
        <v>15.3</v>
      </c>
      <c r="S61" s="115">
        <v>97</v>
      </c>
      <c r="T61" s="108">
        <f t="shared" si="1"/>
        <v>36</v>
      </c>
      <c r="U61" s="207">
        <v>398</v>
      </c>
      <c r="V61" s="109">
        <f t="shared" si="2"/>
        <v>3582</v>
      </c>
      <c r="W61" s="207">
        <v>5</v>
      </c>
      <c r="X61" s="207" t="s">
        <v>46</v>
      </c>
      <c r="Y61" s="207" t="s">
        <v>69</v>
      </c>
      <c r="Z61" s="130" t="s">
        <v>97</v>
      </c>
      <c r="AA61" s="130" t="s">
        <v>55</v>
      </c>
      <c r="AB61" s="207" t="s">
        <v>327</v>
      </c>
    </row>
    <row r="62" spans="1:28" s="115" customFormat="1" x14ac:dyDescent="0.15">
      <c r="A62" s="207" t="s">
        <v>51</v>
      </c>
      <c r="B62" s="207" t="s">
        <v>325</v>
      </c>
      <c r="C62" s="207">
        <v>2018</v>
      </c>
      <c r="D62" s="106" t="s">
        <v>387</v>
      </c>
      <c r="E62" s="207" t="s">
        <v>215</v>
      </c>
      <c r="F62" s="207" t="s">
        <v>203</v>
      </c>
      <c r="G62" s="207" t="s">
        <v>36</v>
      </c>
      <c r="H62" s="207" t="s">
        <v>167</v>
      </c>
      <c r="I62" s="207" t="s">
        <v>155</v>
      </c>
      <c r="J62" s="207" t="s">
        <v>38</v>
      </c>
      <c r="K62" s="207" t="s">
        <v>156</v>
      </c>
      <c r="L62" s="115">
        <v>1</v>
      </c>
      <c r="N62" s="207">
        <v>3</v>
      </c>
      <c r="O62" s="115">
        <v>0.8</v>
      </c>
      <c r="P62" s="115">
        <v>0.85</v>
      </c>
      <c r="Q62" s="107">
        <f t="shared" si="0"/>
        <v>0.82499999999999996</v>
      </c>
      <c r="R62" s="115">
        <v>17.899999999999999</v>
      </c>
      <c r="S62" s="115">
        <v>208</v>
      </c>
      <c r="T62" s="108">
        <f t="shared" si="1"/>
        <v>16</v>
      </c>
      <c r="U62" s="207">
        <v>498</v>
      </c>
      <c r="V62" s="109">
        <f t="shared" si="2"/>
        <v>2656</v>
      </c>
      <c r="W62" s="207">
        <v>5</v>
      </c>
      <c r="X62" s="207" t="s">
        <v>46</v>
      </c>
      <c r="Y62" s="207" t="s">
        <v>69</v>
      </c>
      <c r="Z62" s="130" t="s">
        <v>97</v>
      </c>
      <c r="AA62" s="130" t="s">
        <v>55</v>
      </c>
      <c r="AB62" s="207" t="s">
        <v>327</v>
      </c>
    </row>
    <row r="63" spans="1:28" s="115" customFormat="1" x14ac:dyDescent="0.15">
      <c r="A63" s="207" t="s">
        <v>51</v>
      </c>
      <c r="B63" s="207" t="s">
        <v>325</v>
      </c>
      <c r="C63" s="207">
        <v>2018</v>
      </c>
      <c r="D63" s="106" t="s">
        <v>387</v>
      </c>
      <c r="E63" s="207" t="s">
        <v>215</v>
      </c>
      <c r="F63" s="207" t="s">
        <v>203</v>
      </c>
      <c r="G63" s="207" t="s">
        <v>36</v>
      </c>
      <c r="H63" s="207" t="s">
        <v>167</v>
      </c>
      <c r="I63" s="207" t="s">
        <v>155</v>
      </c>
      <c r="J63" s="207" t="s">
        <v>38</v>
      </c>
      <c r="K63" s="207" t="s">
        <v>156</v>
      </c>
      <c r="L63" s="115">
        <v>2</v>
      </c>
      <c r="N63" s="207">
        <v>3</v>
      </c>
      <c r="O63" s="115">
        <v>0.85</v>
      </c>
      <c r="P63" s="115">
        <v>0.9</v>
      </c>
      <c r="Q63" s="107">
        <f t="shared" si="0"/>
        <v>0.875</v>
      </c>
      <c r="R63" s="115">
        <v>17.399999999999999</v>
      </c>
      <c r="S63" s="115">
        <v>182</v>
      </c>
      <c r="T63" s="108">
        <f t="shared" si="1"/>
        <v>16</v>
      </c>
      <c r="U63" s="207">
        <v>498</v>
      </c>
      <c r="V63" s="109">
        <f t="shared" si="2"/>
        <v>2656</v>
      </c>
      <c r="W63" s="207">
        <v>5</v>
      </c>
      <c r="X63" s="207" t="s">
        <v>46</v>
      </c>
      <c r="Y63" s="207" t="s">
        <v>69</v>
      </c>
      <c r="Z63" s="130" t="s">
        <v>97</v>
      </c>
      <c r="AA63" s="130" t="s">
        <v>55</v>
      </c>
      <c r="AB63" s="207" t="s">
        <v>327</v>
      </c>
    </row>
    <row r="64" spans="1:28" s="115" customFormat="1" x14ac:dyDescent="0.15">
      <c r="A64" s="207" t="s">
        <v>51</v>
      </c>
      <c r="B64" s="207" t="s">
        <v>325</v>
      </c>
      <c r="C64" s="207">
        <v>2018</v>
      </c>
      <c r="D64" s="106" t="s">
        <v>387</v>
      </c>
      <c r="E64" s="207" t="s">
        <v>215</v>
      </c>
      <c r="F64" s="207" t="s">
        <v>203</v>
      </c>
      <c r="G64" s="207" t="s">
        <v>36</v>
      </c>
      <c r="H64" s="207" t="s">
        <v>167</v>
      </c>
      <c r="I64" s="207" t="s">
        <v>155</v>
      </c>
      <c r="J64" s="207" t="s">
        <v>38</v>
      </c>
      <c r="K64" s="207" t="s">
        <v>156</v>
      </c>
      <c r="L64" s="115">
        <v>3</v>
      </c>
      <c r="N64" s="207">
        <v>3</v>
      </c>
      <c r="O64" s="115">
        <v>0.9</v>
      </c>
      <c r="P64" s="115">
        <v>0.9</v>
      </c>
      <c r="Q64" s="107">
        <f t="shared" si="0"/>
        <v>0.9</v>
      </c>
      <c r="R64" s="115">
        <v>18.2</v>
      </c>
      <c r="S64" s="115">
        <v>192</v>
      </c>
      <c r="T64" s="108">
        <f t="shared" si="1"/>
        <v>16</v>
      </c>
      <c r="U64" s="207">
        <v>498</v>
      </c>
      <c r="V64" s="109">
        <f t="shared" si="2"/>
        <v>2656</v>
      </c>
      <c r="W64" s="207">
        <v>5</v>
      </c>
      <c r="X64" s="207" t="s">
        <v>46</v>
      </c>
      <c r="Y64" s="207" t="s">
        <v>69</v>
      </c>
      <c r="Z64" s="130" t="s">
        <v>97</v>
      </c>
      <c r="AA64" s="130" t="s">
        <v>55</v>
      </c>
      <c r="AB64" s="207" t="s">
        <v>327</v>
      </c>
    </row>
    <row r="65" spans="1:28" s="115" customFormat="1" x14ac:dyDescent="0.15">
      <c r="A65" s="207" t="s">
        <v>51</v>
      </c>
      <c r="B65" s="207" t="s">
        <v>325</v>
      </c>
      <c r="C65" s="207">
        <v>2018</v>
      </c>
      <c r="D65" s="106" t="s">
        <v>387</v>
      </c>
      <c r="E65" s="207" t="s">
        <v>223</v>
      </c>
      <c r="F65" s="207" t="s">
        <v>224</v>
      </c>
      <c r="G65" s="207" t="s">
        <v>36</v>
      </c>
      <c r="H65" s="207" t="s">
        <v>157</v>
      </c>
      <c r="I65" s="207" t="s">
        <v>155</v>
      </c>
      <c r="J65" s="207" t="s">
        <v>38</v>
      </c>
      <c r="K65" s="207" t="s">
        <v>156</v>
      </c>
      <c r="L65" s="115">
        <v>1</v>
      </c>
      <c r="N65" s="207">
        <v>3</v>
      </c>
      <c r="O65" s="115">
        <v>0.6</v>
      </c>
      <c r="P65" s="115">
        <v>0.65</v>
      </c>
      <c r="Q65" s="108">
        <f t="shared" si="0"/>
        <v>0.625</v>
      </c>
      <c r="R65" s="115">
        <v>14.7</v>
      </c>
      <c r="S65" s="115">
        <v>148</v>
      </c>
      <c r="T65" s="108">
        <f t="shared" si="1"/>
        <v>22</v>
      </c>
      <c r="U65" s="207">
        <v>398</v>
      </c>
      <c r="V65" s="108">
        <f t="shared" si="2"/>
        <v>2918.6666666666665</v>
      </c>
      <c r="W65" s="207">
        <v>18</v>
      </c>
      <c r="X65" s="207" t="s">
        <v>46</v>
      </c>
      <c r="Y65" s="207" t="s">
        <v>69</v>
      </c>
      <c r="Z65" s="130" t="s">
        <v>86</v>
      </c>
      <c r="AA65" s="130" t="s">
        <v>84</v>
      </c>
      <c r="AB65" s="207" t="s">
        <v>327</v>
      </c>
    </row>
    <row r="66" spans="1:28" x14ac:dyDescent="0.15">
      <c r="A66" s="207" t="s">
        <v>51</v>
      </c>
      <c r="B66" s="207" t="s">
        <v>325</v>
      </c>
      <c r="C66" s="207">
        <v>2018</v>
      </c>
      <c r="D66" s="106" t="s">
        <v>387</v>
      </c>
      <c r="E66" s="207" t="s">
        <v>223</v>
      </c>
      <c r="F66" s="207" t="s">
        <v>224</v>
      </c>
      <c r="G66" s="207" t="s">
        <v>36</v>
      </c>
      <c r="H66" s="207" t="s">
        <v>157</v>
      </c>
      <c r="I66" s="207" t="s">
        <v>155</v>
      </c>
      <c r="J66" s="207" t="s">
        <v>38</v>
      </c>
      <c r="K66" s="207" t="s">
        <v>156</v>
      </c>
      <c r="L66" s="98">
        <v>2</v>
      </c>
      <c r="N66" s="130">
        <v>3</v>
      </c>
      <c r="O66" s="98">
        <v>0.7</v>
      </c>
      <c r="P66" s="98">
        <v>0.6</v>
      </c>
      <c r="Q66" s="132">
        <f t="shared" ref="Q66:Q85" si="3">IF(OR(O66="",P66=""),"",AVERAGE(O66,P66))</f>
        <v>0.64999999999999991</v>
      </c>
      <c r="R66" s="98">
        <v>15.3</v>
      </c>
      <c r="S66" s="98">
        <v>156</v>
      </c>
      <c r="T66" s="132">
        <f t="shared" ref="T66:T85" si="4">IF(H66="","",IF(OR(H66="GREEN",H66="GK"),IF(S66&gt;=$AX$2,VLOOKUP(S66,$AX$2:$AY$12,2,1),""),IF(S66&gt;=$AZ$2,VLOOKUP(S66,$AZ$2:$BA$12,2,1),"")))</f>
        <v>18</v>
      </c>
      <c r="U66" s="207">
        <v>398</v>
      </c>
      <c r="V66" s="132">
        <f t="shared" ref="V66:V85" si="5">IF(OR(N66="",U66="",T66=""),"",U66/N66*T66)</f>
        <v>2388</v>
      </c>
      <c r="W66" s="207">
        <v>18</v>
      </c>
      <c r="X66" s="207" t="s">
        <v>46</v>
      </c>
      <c r="Y66" s="207" t="s">
        <v>69</v>
      </c>
      <c r="Z66" s="130" t="s">
        <v>86</v>
      </c>
      <c r="AA66" s="130" t="s">
        <v>84</v>
      </c>
      <c r="AB66" s="207" t="s">
        <v>327</v>
      </c>
    </row>
    <row r="67" spans="1:28" x14ac:dyDescent="0.15">
      <c r="A67" s="207" t="s">
        <v>51</v>
      </c>
      <c r="B67" s="207" t="s">
        <v>325</v>
      </c>
      <c r="C67" s="207">
        <v>2018</v>
      </c>
      <c r="D67" s="106" t="s">
        <v>387</v>
      </c>
      <c r="E67" s="207" t="s">
        <v>223</v>
      </c>
      <c r="F67" s="207" t="s">
        <v>224</v>
      </c>
      <c r="G67" s="207" t="s">
        <v>36</v>
      </c>
      <c r="H67" s="207" t="s">
        <v>157</v>
      </c>
      <c r="I67" s="207" t="s">
        <v>155</v>
      </c>
      <c r="J67" s="207" t="s">
        <v>38</v>
      </c>
      <c r="K67" s="207" t="s">
        <v>156</v>
      </c>
      <c r="L67" s="98">
        <v>3</v>
      </c>
      <c r="N67" s="130">
        <v>3</v>
      </c>
      <c r="O67" s="115">
        <v>0.65</v>
      </c>
      <c r="P67" s="98">
        <v>0.65</v>
      </c>
      <c r="Q67" s="132">
        <f t="shared" si="3"/>
        <v>0.65</v>
      </c>
      <c r="R67" s="98">
        <v>14.9</v>
      </c>
      <c r="S67" s="98">
        <v>150</v>
      </c>
      <c r="T67" s="132">
        <f t="shared" si="4"/>
        <v>22</v>
      </c>
      <c r="U67" s="207">
        <v>398</v>
      </c>
      <c r="V67" s="132">
        <f t="shared" si="5"/>
        <v>2918.6666666666665</v>
      </c>
      <c r="W67" s="207">
        <v>18</v>
      </c>
      <c r="X67" s="207" t="s">
        <v>46</v>
      </c>
      <c r="Y67" s="207" t="s">
        <v>69</v>
      </c>
      <c r="Z67" s="130" t="s">
        <v>86</v>
      </c>
      <c r="AA67" s="130" t="s">
        <v>84</v>
      </c>
      <c r="AB67" s="207" t="s">
        <v>327</v>
      </c>
    </row>
    <row r="68" spans="1:28" x14ac:dyDescent="0.15">
      <c r="A68" s="207" t="s">
        <v>51</v>
      </c>
      <c r="B68" s="207" t="s">
        <v>325</v>
      </c>
      <c r="C68" s="207">
        <v>2018</v>
      </c>
      <c r="D68" s="106" t="s">
        <v>387</v>
      </c>
      <c r="E68" s="207" t="s">
        <v>223</v>
      </c>
      <c r="F68" s="207" t="s">
        <v>224</v>
      </c>
      <c r="G68" s="207" t="s">
        <v>36</v>
      </c>
      <c r="H68" s="207" t="s">
        <v>221</v>
      </c>
      <c r="I68" s="207" t="s">
        <v>155</v>
      </c>
      <c r="J68" s="207" t="s">
        <v>38</v>
      </c>
      <c r="K68" s="207" t="s">
        <v>156</v>
      </c>
      <c r="L68" s="98">
        <v>1</v>
      </c>
      <c r="N68" s="130">
        <v>5</v>
      </c>
      <c r="O68" s="98">
        <v>0.8</v>
      </c>
      <c r="P68" s="98">
        <v>0.7</v>
      </c>
      <c r="Q68" s="132">
        <f t="shared" si="3"/>
        <v>0.75</v>
      </c>
      <c r="R68" s="98">
        <v>17.2</v>
      </c>
      <c r="S68" s="98">
        <v>87</v>
      </c>
      <c r="T68" s="132">
        <f t="shared" si="4"/>
        <v>36</v>
      </c>
      <c r="U68" s="207">
        <v>398</v>
      </c>
      <c r="V68" s="132">
        <f t="shared" si="5"/>
        <v>2865.6</v>
      </c>
      <c r="W68" s="207">
        <v>18</v>
      </c>
      <c r="X68" s="207" t="s">
        <v>46</v>
      </c>
      <c r="Y68" s="207" t="s">
        <v>69</v>
      </c>
      <c r="Z68" s="130" t="s">
        <v>86</v>
      </c>
      <c r="AA68" s="130" t="s">
        <v>84</v>
      </c>
      <c r="AB68" s="207" t="s">
        <v>327</v>
      </c>
    </row>
    <row r="69" spans="1:28" x14ac:dyDescent="0.15">
      <c r="A69" s="207" t="s">
        <v>51</v>
      </c>
      <c r="B69" s="207" t="s">
        <v>325</v>
      </c>
      <c r="C69" s="207">
        <v>2018</v>
      </c>
      <c r="D69" s="106" t="s">
        <v>387</v>
      </c>
      <c r="E69" s="207" t="s">
        <v>223</v>
      </c>
      <c r="F69" s="207" t="s">
        <v>224</v>
      </c>
      <c r="G69" s="207" t="s">
        <v>36</v>
      </c>
      <c r="H69" s="207" t="s">
        <v>221</v>
      </c>
      <c r="I69" s="207" t="s">
        <v>155</v>
      </c>
      <c r="J69" s="207" t="s">
        <v>38</v>
      </c>
      <c r="K69" s="207" t="s">
        <v>156</v>
      </c>
      <c r="L69" s="98">
        <v>2</v>
      </c>
      <c r="N69" s="130">
        <v>5</v>
      </c>
      <c r="O69" s="115">
        <v>0.7</v>
      </c>
      <c r="P69" s="98">
        <v>0.75</v>
      </c>
      <c r="Q69" s="132">
        <f t="shared" si="3"/>
        <v>0.72499999999999998</v>
      </c>
      <c r="R69" s="98">
        <v>18.100000000000001</v>
      </c>
      <c r="S69" s="98">
        <v>91</v>
      </c>
      <c r="T69" s="132">
        <f t="shared" si="4"/>
        <v>36</v>
      </c>
      <c r="U69" s="207">
        <v>398</v>
      </c>
      <c r="V69" s="132">
        <f t="shared" si="5"/>
        <v>2865.6</v>
      </c>
      <c r="W69" s="207">
        <v>18</v>
      </c>
      <c r="X69" s="207" t="s">
        <v>46</v>
      </c>
      <c r="Y69" s="207" t="s">
        <v>69</v>
      </c>
      <c r="Z69" s="130" t="s">
        <v>86</v>
      </c>
      <c r="AA69" s="130" t="s">
        <v>84</v>
      </c>
      <c r="AB69" s="207" t="s">
        <v>327</v>
      </c>
    </row>
    <row r="70" spans="1:28" x14ac:dyDescent="0.15">
      <c r="A70" s="207" t="s">
        <v>51</v>
      </c>
      <c r="B70" s="207" t="s">
        <v>325</v>
      </c>
      <c r="C70" s="207">
        <v>2018</v>
      </c>
      <c r="D70" s="106" t="s">
        <v>387</v>
      </c>
      <c r="E70" s="207" t="s">
        <v>223</v>
      </c>
      <c r="F70" s="207" t="s">
        <v>224</v>
      </c>
      <c r="G70" s="207" t="s">
        <v>36</v>
      </c>
      <c r="H70" s="207" t="s">
        <v>221</v>
      </c>
      <c r="I70" s="207" t="s">
        <v>155</v>
      </c>
      <c r="J70" s="207" t="s">
        <v>38</v>
      </c>
      <c r="K70" s="207" t="s">
        <v>156</v>
      </c>
      <c r="L70" s="98">
        <v>3</v>
      </c>
      <c r="N70" s="130">
        <v>5</v>
      </c>
      <c r="O70" s="98">
        <v>0.75</v>
      </c>
      <c r="P70" s="98">
        <v>0.8</v>
      </c>
      <c r="Q70" s="132">
        <f t="shared" si="3"/>
        <v>0.77500000000000002</v>
      </c>
      <c r="R70" s="98">
        <v>18.7</v>
      </c>
      <c r="S70" s="98">
        <v>87</v>
      </c>
      <c r="T70" s="132">
        <f t="shared" si="4"/>
        <v>36</v>
      </c>
      <c r="U70" s="207">
        <v>398</v>
      </c>
      <c r="V70" s="132">
        <f t="shared" si="5"/>
        <v>2865.6</v>
      </c>
      <c r="W70" s="207">
        <v>18</v>
      </c>
      <c r="X70" s="207" t="s">
        <v>46</v>
      </c>
      <c r="Y70" s="207" t="s">
        <v>69</v>
      </c>
      <c r="Z70" s="130" t="s">
        <v>86</v>
      </c>
      <c r="AA70" s="130" t="s">
        <v>84</v>
      </c>
      <c r="AB70" s="207" t="s">
        <v>327</v>
      </c>
    </row>
    <row r="71" spans="1:28" x14ac:dyDescent="0.15">
      <c r="A71" s="207" t="s">
        <v>51</v>
      </c>
      <c r="B71" s="207" t="s">
        <v>325</v>
      </c>
      <c r="C71" s="207">
        <v>2018</v>
      </c>
      <c r="D71" s="106" t="s">
        <v>387</v>
      </c>
      <c r="E71" s="207" t="s">
        <v>223</v>
      </c>
      <c r="F71" s="207" t="s">
        <v>224</v>
      </c>
      <c r="G71" s="207" t="s">
        <v>36</v>
      </c>
      <c r="H71" s="207" t="s">
        <v>167</v>
      </c>
      <c r="I71" s="207" t="s">
        <v>155</v>
      </c>
      <c r="J71" s="207" t="s">
        <v>38</v>
      </c>
      <c r="K71" s="207" t="s">
        <v>156</v>
      </c>
      <c r="L71" s="98">
        <v>1</v>
      </c>
      <c r="N71" s="130">
        <v>3</v>
      </c>
      <c r="O71" s="98">
        <v>0.8</v>
      </c>
      <c r="P71" s="98">
        <v>0.85</v>
      </c>
      <c r="Q71" s="132">
        <f t="shared" si="3"/>
        <v>0.82499999999999996</v>
      </c>
      <c r="R71" s="98">
        <v>15</v>
      </c>
      <c r="S71" s="98">
        <v>160</v>
      </c>
      <c r="T71" s="132">
        <f t="shared" si="4"/>
        <v>18</v>
      </c>
      <c r="U71" s="207">
        <v>398</v>
      </c>
      <c r="V71" s="132">
        <f t="shared" si="5"/>
        <v>2388</v>
      </c>
      <c r="W71" s="207">
        <v>18</v>
      </c>
      <c r="X71" s="207" t="s">
        <v>46</v>
      </c>
      <c r="Y71" s="207" t="s">
        <v>69</v>
      </c>
      <c r="Z71" s="130" t="s">
        <v>86</v>
      </c>
      <c r="AA71" s="130" t="s">
        <v>84</v>
      </c>
      <c r="AB71" s="207" t="s">
        <v>327</v>
      </c>
    </row>
    <row r="72" spans="1:28" x14ac:dyDescent="0.15">
      <c r="A72" s="207" t="s">
        <v>51</v>
      </c>
      <c r="B72" s="207" t="s">
        <v>325</v>
      </c>
      <c r="C72" s="207">
        <v>2018</v>
      </c>
      <c r="D72" s="106" t="s">
        <v>387</v>
      </c>
      <c r="E72" s="207" t="s">
        <v>223</v>
      </c>
      <c r="F72" s="207" t="s">
        <v>224</v>
      </c>
      <c r="G72" s="207" t="s">
        <v>36</v>
      </c>
      <c r="H72" s="207" t="s">
        <v>167</v>
      </c>
      <c r="I72" s="207" t="s">
        <v>155</v>
      </c>
      <c r="J72" s="207" t="s">
        <v>38</v>
      </c>
      <c r="K72" s="207" t="s">
        <v>156</v>
      </c>
      <c r="L72" s="98">
        <v>2</v>
      </c>
      <c r="N72" s="130">
        <v>3</v>
      </c>
      <c r="O72" s="98">
        <v>0.85</v>
      </c>
      <c r="P72" s="98">
        <v>0.75</v>
      </c>
      <c r="Q72" s="132">
        <f t="shared" si="3"/>
        <v>0.8</v>
      </c>
      <c r="R72" s="98">
        <v>15.6</v>
      </c>
      <c r="S72" s="98">
        <v>162</v>
      </c>
      <c r="T72" s="132">
        <f t="shared" si="4"/>
        <v>18</v>
      </c>
      <c r="U72" s="207">
        <v>398</v>
      </c>
      <c r="V72" s="132">
        <f t="shared" si="5"/>
        <v>2388</v>
      </c>
      <c r="W72" s="207">
        <v>18</v>
      </c>
      <c r="X72" s="207" t="s">
        <v>46</v>
      </c>
      <c r="Y72" s="207" t="s">
        <v>69</v>
      </c>
      <c r="Z72" s="130" t="s">
        <v>86</v>
      </c>
      <c r="AA72" s="130" t="s">
        <v>84</v>
      </c>
      <c r="AB72" s="207" t="s">
        <v>327</v>
      </c>
    </row>
    <row r="73" spans="1:28" x14ac:dyDescent="0.15">
      <c r="A73" s="207" t="s">
        <v>51</v>
      </c>
      <c r="B73" s="207" t="s">
        <v>325</v>
      </c>
      <c r="C73" s="207">
        <v>2018</v>
      </c>
      <c r="D73" s="106" t="s">
        <v>387</v>
      </c>
      <c r="E73" s="207" t="s">
        <v>223</v>
      </c>
      <c r="F73" s="207" t="s">
        <v>224</v>
      </c>
      <c r="G73" s="207" t="s">
        <v>36</v>
      </c>
      <c r="H73" s="207" t="s">
        <v>167</v>
      </c>
      <c r="I73" s="207" t="s">
        <v>155</v>
      </c>
      <c r="J73" s="207" t="s">
        <v>38</v>
      </c>
      <c r="K73" s="207" t="s">
        <v>156</v>
      </c>
      <c r="L73" s="98">
        <v>3</v>
      </c>
      <c r="N73" s="130">
        <v>3</v>
      </c>
      <c r="O73" s="98">
        <v>0.8</v>
      </c>
      <c r="P73" s="115">
        <v>0.8</v>
      </c>
      <c r="Q73" s="132">
        <f t="shared" si="3"/>
        <v>0.8</v>
      </c>
      <c r="R73" s="98">
        <v>16.399999999999999</v>
      </c>
      <c r="S73" s="98">
        <v>172</v>
      </c>
      <c r="T73" s="132">
        <f t="shared" si="4"/>
        <v>18</v>
      </c>
      <c r="U73" s="207">
        <v>398</v>
      </c>
      <c r="V73" s="132">
        <f t="shared" si="5"/>
        <v>2388</v>
      </c>
      <c r="W73" s="207">
        <v>18</v>
      </c>
      <c r="X73" s="207" t="s">
        <v>46</v>
      </c>
      <c r="Y73" s="207" t="s">
        <v>69</v>
      </c>
      <c r="Z73" s="130" t="s">
        <v>86</v>
      </c>
      <c r="AA73" s="130" t="s">
        <v>84</v>
      </c>
      <c r="AB73" s="207" t="s">
        <v>327</v>
      </c>
    </row>
    <row r="74" spans="1:28" x14ac:dyDescent="0.15">
      <c r="A74" s="207" t="s">
        <v>51</v>
      </c>
      <c r="B74" s="207" t="s">
        <v>325</v>
      </c>
      <c r="C74" s="207">
        <v>2018</v>
      </c>
      <c r="D74" s="106" t="s">
        <v>387</v>
      </c>
      <c r="E74" s="207" t="s">
        <v>226</v>
      </c>
      <c r="F74" s="207" t="s">
        <v>203</v>
      </c>
      <c r="G74" s="207" t="s">
        <v>42</v>
      </c>
      <c r="H74" s="207" t="s">
        <v>157</v>
      </c>
      <c r="I74" s="207" t="s">
        <v>155</v>
      </c>
      <c r="J74" s="207" t="s">
        <v>38</v>
      </c>
      <c r="K74" s="207" t="s">
        <v>156</v>
      </c>
      <c r="L74" s="98">
        <v>1</v>
      </c>
      <c r="N74" s="130">
        <v>1</v>
      </c>
      <c r="O74" s="98">
        <v>1</v>
      </c>
      <c r="P74" s="98">
        <v>0.95</v>
      </c>
      <c r="Q74" s="132">
        <f t="shared" si="3"/>
        <v>0.97499999999999998</v>
      </c>
      <c r="R74" s="98">
        <v>14.7</v>
      </c>
      <c r="S74" s="98">
        <v>138</v>
      </c>
      <c r="T74" s="132">
        <f t="shared" si="4"/>
        <v>22</v>
      </c>
      <c r="U74" s="98">
        <v>98</v>
      </c>
      <c r="V74" s="132">
        <f t="shared" si="5"/>
        <v>2156</v>
      </c>
      <c r="W74" s="130">
        <v>8</v>
      </c>
      <c r="X74" s="207" t="s">
        <v>46</v>
      </c>
      <c r="Y74" s="207" t="s">
        <v>69</v>
      </c>
      <c r="Z74" s="130" t="s">
        <v>84</v>
      </c>
      <c r="AA74" s="130" t="s">
        <v>55</v>
      </c>
      <c r="AB74" s="207" t="s">
        <v>327</v>
      </c>
    </row>
    <row r="75" spans="1:28" x14ac:dyDescent="0.15">
      <c r="A75" s="207" t="s">
        <v>51</v>
      </c>
      <c r="B75" s="207" t="s">
        <v>325</v>
      </c>
      <c r="C75" s="207">
        <v>2018</v>
      </c>
      <c r="D75" s="106" t="s">
        <v>387</v>
      </c>
      <c r="E75" s="207" t="s">
        <v>226</v>
      </c>
      <c r="F75" s="207" t="s">
        <v>203</v>
      </c>
      <c r="G75" s="207" t="s">
        <v>42</v>
      </c>
      <c r="H75" s="207" t="s">
        <v>157</v>
      </c>
      <c r="I75" s="207" t="s">
        <v>155</v>
      </c>
      <c r="J75" s="207" t="s">
        <v>38</v>
      </c>
      <c r="K75" s="207" t="s">
        <v>156</v>
      </c>
      <c r="L75" s="98">
        <v>2</v>
      </c>
      <c r="N75" s="130">
        <v>1</v>
      </c>
      <c r="O75" s="98">
        <v>0.9</v>
      </c>
      <c r="P75" s="98">
        <v>0.95</v>
      </c>
      <c r="Q75" s="132">
        <f t="shared" si="3"/>
        <v>0.92500000000000004</v>
      </c>
      <c r="R75" s="98">
        <v>15.8</v>
      </c>
      <c r="S75" s="98">
        <v>150</v>
      </c>
      <c r="T75" s="132">
        <f t="shared" si="4"/>
        <v>22</v>
      </c>
      <c r="U75" s="98">
        <v>98</v>
      </c>
      <c r="V75" s="132">
        <f t="shared" si="5"/>
        <v>2156</v>
      </c>
      <c r="W75" s="130">
        <v>8</v>
      </c>
      <c r="X75" s="207" t="s">
        <v>46</v>
      </c>
      <c r="Y75" s="207" t="s">
        <v>69</v>
      </c>
      <c r="Z75" s="130" t="s">
        <v>84</v>
      </c>
      <c r="AA75" s="130" t="s">
        <v>55</v>
      </c>
      <c r="AB75" s="207" t="s">
        <v>327</v>
      </c>
    </row>
    <row r="76" spans="1:28" x14ac:dyDescent="0.15">
      <c r="A76" s="207" t="s">
        <v>51</v>
      </c>
      <c r="B76" s="207" t="s">
        <v>325</v>
      </c>
      <c r="C76" s="207">
        <v>2018</v>
      </c>
      <c r="D76" s="106" t="s">
        <v>387</v>
      </c>
      <c r="E76" s="207" t="s">
        <v>226</v>
      </c>
      <c r="F76" s="207" t="s">
        <v>203</v>
      </c>
      <c r="G76" s="207" t="s">
        <v>42</v>
      </c>
      <c r="H76" s="207" t="s">
        <v>157</v>
      </c>
      <c r="I76" s="207" t="s">
        <v>155</v>
      </c>
      <c r="J76" s="207" t="s">
        <v>38</v>
      </c>
      <c r="K76" s="207" t="s">
        <v>156</v>
      </c>
      <c r="L76" s="98">
        <v>3</v>
      </c>
      <c r="N76" s="130">
        <v>1</v>
      </c>
      <c r="O76" s="98">
        <v>1</v>
      </c>
      <c r="P76" s="98">
        <v>0.85</v>
      </c>
      <c r="Q76" s="132">
        <f t="shared" si="3"/>
        <v>0.92500000000000004</v>
      </c>
      <c r="R76" s="98">
        <v>15.2</v>
      </c>
      <c r="S76" s="98">
        <v>148</v>
      </c>
      <c r="T76" s="132">
        <f t="shared" si="4"/>
        <v>22</v>
      </c>
      <c r="U76" s="98">
        <v>98</v>
      </c>
      <c r="V76" s="132">
        <f t="shared" si="5"/>
        <v>2156</v>
      </c>
      <c r="W76" s="130">
        <v>8</v>
      </c>
      <c r="X76" s="207" t="s">
        <v>46</v>
      </c>
      <c r="Y76" s="207" t="s">
        <v>69</v>
      </c>
      <c r="Z76" s="130" t="s">
        <v>84</v>
      </c>
      <c r="AA76" s="130" t="s">
        <v>55</v>
      </c>
      <c r="AB76" s="207" t="s">
        <v>327</v>
      </c>
    </row>
    <row r="77" spans="1:28" x14ac:dyDescent="0.15">
      <c r="A77" s="207" t="s">
        <v>51</v>
      </c>
      <c r="B77" s="207" t="s">
        <v>325</v>
      </c>
      <c r="C77" s="207">
        <v>2018</v>
      </c>
      <c r="D77" s="106" t="s">
        <v>387</v>
      </c>
      <c r="E77" s="207" t="s">
        <v>226</v>
      </c>
      <c r="F77" s="207" t="s">
        <v>203</v>
      </c>
      <c r="G77" s="207" t="s">
        <v>42</v>
      </c>
      <c r="H77" s="207" t="s">
        <v>221</v>
      </c>
      <c r="I77" s="207" t="s">
        <v>155</v>
      </c>
      <c r="J77" s="207" t="s">
        <v>38</v>
      </c>
      <c r="K77" s="207" t="s">
        <v>156</v>
      </c>
      <c r="L77" s="98">
        <v>1</v>
      </c>
      <c r="N77" s="130">
        <v>5</v>
      </c>
      <c r="O77" s="98">
        <v>0.85</v>
      </c>
      <c r="P77" s="98">
        <v>0.8</v>
      </c>
      <c r="Q77" s="132">
        <f t="shared" si="3"/>
        <v>0.82499999999999996</v>
      </c>
      <c r="R77" s="98">
        <v>18.100000000000001</v>
      </c>
      <c r="S77" s="98">
        <v>91</v>
      </c>
      <c r="T77" s="132">
        <f t="shared" si="4"/>
        <v>36</v>
      </c>
      <c r="U77" s="98">
        <v>398</v>
      </c>
      <c r="V77" s="132">
        <f t="shared" si="5"/>
        <v>2865.6</v>
      </c>
      <c r="W77" s="130">
        <v>8</v>
      </c>
      <c r="X77" s="207" t="s">
        <v>46</v>
      </c>
      <c r="Y77" s="207" t="s">
        <v>69</v>
      </c>
      <c r="Z77" s="130" t="s">
        <v>84</v>
      </c>
      <c r="AA77" s="130" t="s">
        <v>55</v>
      </c>
      <c r="AB77" s="207" t="s">
        <v>327</v>
      </c>
    </row>
    <row r="78" spans="1:28" x14ac:dyDescent="0.15">
      <c r="A78" s="207" t="s">
        <v>51</v>
      </c>
      <c r="B78" s="207" t="s">
        <v>325</v>
      </c>
      <c r="C78" s="207">
        <v>2018</v>
      </c>
      <c r="D78" s="106" t="s">
        <v>387</v>
      </c>
      <c r="E78" s="207" t="s">
        <v>226</v>
      </c>
      <c r="F78" s="207" t="s">
        <v>203</v>
      </c>
      <c r="G78" s="207" t="s">
        <v>42</v>
      </c>
      <c r="H78" s="207" t="s">
        <v>221</v>
      </c>
      <c r="I78" s="207" t="s">
        <v>155</v>
      </c>
      <c r="J78" s="207" t="s">
        <v>38</v>
      </c>
      <c r="K78" s="207" t="s">
        <v>156</v>
      </c>
      <c r="L78" s="98">
        <v>2</v>
      </c>
      <c r="N78" s="130">
        <v>5</v>
      </c>
      <c r="O78" s="98">
        <v>0.9</v>
      </c>
      <c r="P78" s="98">
        <v>0.8</v>
      </c>
      <c r="Q78" s="132">
        <f t="shared" si="3"/>
        <v>0.85000000000000009</v>
      </c>
      <c r="R78" s="98">
        <v>17.8</v>
      </c>
      <c r="S78" s="98">
        <v>84</v>
      </c>
      <c r="T78" s="132">
        <f t="shared" si="4"/>
        <v>36</v>
      </c>
      <c r="U78" s="98">
        <v>398</v>
      </c>
      <c r="V78" s="132">
        <f t="shared" si="5"/>
        <v>2865.6</v>
      </c>
      <c r="W78" s="130">
        <v>8</v>
      </c>
      <c r="X78" s="207" t="s">
        <v>46</v>
      </c>
      <c r="Y78" s="207" t="s">
        <v>69</v>
      </c>
      <c r="Z78" s="130" t="s">
        <v>84</v>
      </c>
      <c r="AA78" s="130" t="s">
        <v>55</v>
      </c>
      <c r="AB78" s="207" t="s">
        <v>327</v>
      </c>
    </row>
    <row r="79" spans="1:28" x14ac:dyDescent="0.15">
      <c r="A79" s="207" t="s">
        <v>51</v>
      </c>
      <c r="B79" s="207" t="s">
        <v>325</v>
      </c>
      <c r="C79" s="207">
        <v>2018</v>
      </c>
      <c r="D79" s="106" t="s">
        <v>387</v>
      </c>
      <c r="E79" s="207" t="s">
        <v>226</v>
      </c>
      <c r="F79" s="207" t="s">
        <v>203</v>
      </c>
      <c r="G79" s="207" t="s">
        <v>42</v>
      </c>
      <c r="H79" s="207" t="s">
        <v>221</v>
      </c>
      <c r="I79" s="207" t="s">
        <v>155</v>
      </c>
      <c r="J79" s="207" t="s">
        <v>38</v>
      </c>
      <c r="K79" s="207" t="s">
        <v>156</v>
      </c>
      <c r="L79" s="98">
        <v>3</v>
      </c>
      <c r="N79" s="130">
        <v>5</v>
      </c>
      <c r="O79" s="98">
        <v>0.85</v>
      </c>
      <c r="P79" s="98">
        <v>0.85</v>
      </c>
      <c r="Q79" s="132">
        <f t="shared" si="3"/>
        <v>0.85</v>
      </c>
      <c r="R79" s="115">
        <v>17.7</v>
      </c>
      <c r="S79" s="98">
        <v>86</v>
      </c>
      <c r="T79" s="132">
        <f t="shared" si="4"/>
        <v>36</v>
      </c>
      <c r="U79" s="98">
        <v>398</v>
      </c>
      <c r="V79" s="132">
        <f t="shared" si="5"/>
        <v>2865.6</v>
      </c>
      <c r="W79" s="130">
        <v>8</v>
      </c>
      <c r="X79" s="207" t="s">
        <v>46</v>
      </c>
      <c r="Y79" s="207" t="s">
        <v>69</v>
      </c>
      <c r="Z79" s="130" t="s">
        <v>84</v>
      </c>
      <c r="AA79" s="130" t="s">
        <v>55</v>
      </c>
      <c r="AB79" s="207" t="s">
        <v>327</v>
      </c>
    </row>
    <row r="80" spans="1:28" x14ac:dyDescent="0.15">
      <c r="A80" s="207" t="s">
        <v>51</v>
      </c>
      <c r="B80" s="207" t="s">
        <v>325</v>
      </c>
      <c r="C80" s="207">
        <v>2018</v>
      </c>
      <c r="D80" s="106" t="s">
        <v>387</v>
      </c>
      <c r="E80" s="207" t="s">
        <v>226</v>
      </c>
      <c r="F80" s="207" t="s">
        <v>203</v>
      </c>
      <c r="G80" s="207" t="s">
        <v>42</v>
      </c>
      <c r="H80" s="207" t="s">
        <v>167</v>
      </c>
      <c r="I80" s="207" t="s">
        <v>155</v>
      </c>
      <c r="J80" s="207" t="s">
        <v>38</v>
      </c>
      <c r="K80" s="207" t="s">
        <v>156</v>
      </c>
      <c r="L80" s="98">
        <v>1</v>
      </c>
      <c r="N80" s="130">
        <v>1</v>
      </c>
      <c r="O80" s="98">
        <v>0.8</v>
      </c>
      <c r="P80" s="98">
        <v>0.7</v>
      </c>
      <c r="Q80" s="132">
        <f t="shared" si="3"/>
        <v>0.75</v>
      </c>
      <c r="R80" s="98">
        <v>15.5</v>
      </c>
      <c r="S80" s="98">
        <v>138</v>
      </c>
      <c r="T80" s="132">
        <f t="shared" si="4"/>
        <v>22</v>
      </c>
      <c r="U80" s="98">
        <v>128</v>
      </c>
      <c r="V80" s="132">
        <f t="shared" si="5"/>
        <v>2816</v>
      </c>
      <c r="W80" s="130">
        <v>8</v>
      </c>
      <c r="X80" s="207" t="s">
        <v>46</v>
      </c>
      <c r="Y80" s="207" t="s">
        <v>69</v>
      </c>
      <c r="Z80" s="130" t="s">
        <v>84</v>
      </c>
      <c r="AA80" s="130" t="s">
        <v>55</v>
      </c>
      <c r="AB80" s="207" t="s">
        <v>327</v>
      </c>
    </row>
    <row r="81" spans="1:28" x14ac:dyDescent="0.15">
      <c r="A81" s="207" t="s">
        <v>51</v>
      </c>
      <c r="B81" s="207" t="s">
        <v>325</v>
      </c>
      <c r="C81" s="207">
        <v>2018</v>
      </c>
      <c r="D81" s="106" t="s">
        <v>387</v>
      </c>
      <c r="E81" s="207" t="s">
        <v>226</v>
      </c>
      <c r="F81" s="207" t="s">
        <v>203</v>
      </c>
      <c r="G81" s="207" t="s">
        <v>42</v>
      </c>
      <c r="H81" s="207" t="s">
        <v>167</v>
      </c>
      <c r="I81" s="207" t="s">
        <v>155</v>
      </c>
      <c r="J81" s="207" t="s">
        <v>38</v>
      </c>
      <c r="K81" s="207" t="s">
        <v>156</v>
      </c>
      <c r="L81" s="98">
        <v>2</v>
      </c>
      <c r="N81" s="130">
        <v>1</v>
      </c>
      <c r="O81" s="98">
        <v>0.85</v>
      </c>
      <c r="P81" s="98">
        <v>0.8</v>
      </c>
      <c r="Q81" s="132">
        <f t="shared" si="3"/>
        <v>0.82499999999999996</v>
      </c>
      <c r="R81" s="98">
        <v>15.8</v>
      </c>
      <c r="S81" s="98">
        <v>144</v>
      </c>
      <c r="T81" s="132">
        <f t="shared" si="4"/>
        <v>22</v>
      </c>
      <c r="U81" s="98">
        <v>128</v>
      </c>
      <c r="V81" s="132">
        <f t="shared" si="5"/>
        <v>2816</v>
      </c>
      <c r="W81" s="130">
        <v>8</v>
      </c>
      <c r="X81" s="207" t="s">
        <v>46</v>
      </c>
      <c r="Y81" s="207" t="s">
        <v>69</v>
      </c>
      <c r="Z81" s="130" t="s">
        <v>84</v>
      </c>
      <c r="AA81" s="130" t="s">
        <v>55</v>
      </c>
      <c r="AB81" s="207" t="s">
        <v>327</v>
      </c>
    </row>
    <row r="82" spans="1:28" x14ac:dyDescent="0.15">
      <c r="A82" s="207" t="s">
        <v>51</v>
      </c>
      <c r="B82" s="207" t="s">
        <v>325</v>
      </c>
      <c r="C82" s="207">
        <v>2018</v>
      </c>
      <c r="D82" s="106" t="s">
        <v>387</v>
      </c>
      <c r="E82" s="207" t="s">
        <v>226</v>
      </c>
      <c r="F82" s="207" t="s">
        <v>203</v>
      </c>
      <c r="G82" s="207" t="s">
        <v>42</v>
      </c>
      <c r="H82" s="207" t="s">
        <v>167</v>
      </c>
      <c r="I82" s="207" t="s">
        <v>155</v>
      </c>
      <c r="J82" s="207" t="s">
        <v>38</v>
      </c>
      <c r="K82" s="207" t="s">
        <v>156</v>
      </c>
      <c r="L82" s="98">
        <v>3</v>
      </c>
      <c r="N82" s="130">
        <v>1</v>
      </c>
      <c r="O82" s="98">
        <v>0.75</v>
      </c>
      <c r="P82" s="98">
        <v>0.8</v>
      </c>
      <c r="Q82" s="132">
        <f t="shared" si="3"/>
        <v>0.77500000000000002</v>
      </c>
      <c r="R82" s="98">
        <v>15.4</v>
      </c>
      <c r="S82" s="98">
        <v>136</v>
      </c>
      <c r="T82" s="132">
        <f t="shared" si="4"/>
        <v>25</v>
      </c>
      <c r="U82" s="98">
        <v>128</v>
      </c>
      <c r="V82" s="132">
        <f t="shared" si="5"/>
        <v>3200</v>
      </c>
      <c r="W82" s="130">
        <v>8</v>
      </c>
      <c r="X82" s="207" t="s">
        <v>46</v>
      </c>
      <c r="Y82" s="207" t="s">
        <v>69</v>
      </c>
      <c r="Z82" s="130" t="s">
        <v>84</v>
      </c>
      <c r="AA82" s="130" t="s">
        <v>55</v>
      </c>
      <c r="AB82" s="207" t="s">
        <v>327</v>
      </c>
    </row>
    <row r="83" spans="1:28" x14ac:dyDescent="0.15">
      <c r="A83" s="207"/>
      <c r="B83" s="207"/>
      <c r="C83" s="130"/>
      <c r="D83" s="131"/>
      <c r="E83" s="207"/>
      <c r="F83" s="207"/>
      <c r="G83" s="130"/>
      <c r="H83" s="130"/>
      <c r="I83" s="130"/>
      <c r="J83" s="130"/>
      <c r="K83" s="207"/>
      <c r="N83" s="130"/>
      <c r="Q83" s="132" t="str">
        <f t="shared" si="3"/>
        <v/>
      </c>
      <c r="T83" s="132" t="str">
        <f t="shared" si="4"/>
        <v/>
      </c>
      <c r="V83" s="132" t="str">
        <f t="shared" si="5"/>
        <v/>
      </c>
      <c r="W83" s="130"/>
      <c r="X83" s="130"/>
      <c r="Y83" s="130"/>
      <c r="Z83" s="130"/>
      <c r="AA83" s="130"/>
      <c r="AB83" s="207"/>
    </row>
    <row r="84" spans="1:28" x14ac:dyDescent="0.15">
      <c r="A84" s="207"/>
      <c r="B84" s="207"/>
      <c r="C84" s="130"/>
      <c r="D84" s="131"/>
      <c r="E84" s="207"/>
      <c r="F84" s="207"/>
      <c r="G84" s="130"/>
      <c r="H84" s="130"/>
      <c r="I84" s="130"/>
      <c r="J84" s="130"/>
      <c r="K84" s="207"/>
      <c r="N84" s="130"/>
      <c r="Q84" s="132" t="str">
        <f t="shared" si="3"/>
        <v/>
      </c>
      <c r="T84" s="132" t="str">
        <f t="shared" si="4"/>
        <v/>
      </c>
      <c r="V84" s="132" t="str">
        <f t="shared" si="5"/>
        <v/>
      </c>
      <c r="W84" s="130"/>
      <c r="X84" s="130"/>
      <c r="Y84" s="130"/>
      <c r="Z84" s="130"/>
      <c r="AA84" s="130"/>
      <c r="AB84" s="207"/>
    </row>
    <row r="85" spans="1:28" x14ac:dyDescent="0.15">
      <c r="A85" s="207"/>
      <c r="B85" s="207"/>
      <c r="C85" s="130"/>
      <c r="D85" s="131"/>
      <c r="E85" s="207"/>
      <c r="F85" s="207"/>
      <c r="G85" s="130"/>
      <c r="H85" s="130"/>
      <c r="I85" s="130"/>
      <c r="J85" s="130"/>
      <c r="K85" s="207"/>
      <c r="N85" s="130"/>
      <c r="Q85" s="132" t="str">
        <f t="shared" si="3"/>
        <v/>
      </c>
      <c r="T85" s="132" t="str">
        <f t="shared" si="4"/>
        <v/>
      </c>
      <c r="V85" s="132" t="str">
        <f t="shared" si="5"/>
        <v/>
      </c>
      <c r="W85" s="130"/>
      <c r="X85" s="130"/>
      <c r="Y85" s="130"/>
      <c r="Z85" s="130"/>
      <c r="AA85" s="130"/>
      <c r="AB85" s="207"/>
    </row>
    <row r="86" spans="1:28" x14ac:dyDescent="0.15">
      <c r="A86" s="207"/>
      <c r="B86" s="207"/>
      <c r="C86" s="130"/>
      <c r="D86" s="131"/>
      <c r="E86" s="207"/>
      <c r="F86" s="207"/>
      <c r="G86" s="130"/>
      <c r="H86" s="130"/>
      <c r="I86" s="130"/>
      <c r="J86" s="130"/>
      <c r="K86" s="207"/>
      <c r="N86" s="130"/>
      <c r="W86" s="130"/>
      <c r="X86" s="130"/>
      <c r="Y86" s="130"/>
      <c r="Z86" s="130"/>
      <c r="AA86" s="130"/>
      <c r="AB86" s="207"/>
    </row>
    <row r="87" spans="1:28" x14ac:dyDescent="0.15">
      <c r="A87" s="207"/>
      <c r="B87" s="207"/>
      <c r="C87" s="130"/>
      <c r="D87" s="131"/>
      <c r="E87" s="207"/>
      <c r="F87" s="207"/>
      <c r="G87" s="130"/>
      <c r="H87" s="130"/>
      <c r="I87" s="130"/>
      <c r="J87" s="130"/>
      <c r="K87" s="207"/>
      <c r="N87" s="130"/>
      <c r="W87" s="130"/>
      <c r="X87" s="130"/>
      <c r="Y87" s="130"/>
      <c r="Z87" s="130"/>
      <c r="AA87" s="130"/>
      <c r="AB87" s="207"/>
    </row>
    <row r="88" spans="1:28" x14ac:dyDescent="0.15">
      <c r="A88" s="207"/>
      <c r="B88" s="207"/>
      <c r="C88" s="130"/>
      <c r="D88" s="131"/>
      <c r="E88" s="207"/>
      <c r="F88" s="207"/>
      <c r="G88" s="130"/>
      <c r="H88" s="130"/>
      <c r="I88" s="130"/>
      <c r="J88" s="130"/>
      <c r="K88" s="207"/>
      <c r="N88" s="130"/>
      <c r="W88" s="130"/>
      <c r="X88" s="130"/>
      <c r="Y88" s="130"/>
      <c r="Z88" s="130"/>
      <c r="AA88" s="130"/>
      <c r="AB88" s="207"/>
    </row>
    <row r="89" spans="1:28" x14ac:dyDescent="0.15">
      <c r="A89" s="207"/>
      <c r="B89" s="207"/>
      <c r="C89" s="130"/>
      <c r="D89" s="131"/>
      <c r="E89" s="207"/>
      <c r="F89" s="207"/>
      <c r="G89" s="130"/>
      <c r="H89" s="130"/>
      <c r="I89" s="130"/>
      <c r="J89" s="130"/>
      <c r="K89" s="207"/>
      <c r="N89" s="130"/>
      <c r="W89" s="130"/>
      <c r="X89" s="130"/>
      <c r="Y89" s="130"/>
      <c r="Z89" s="130"/>
      <c r="AA89" s="130"/>
      <c r="AB89" s="207"/>
    </row>
    <row r="90" spans="1:28" x14ac:dyDescent="0.15">
      <c r="A90" s="207"/>
      <c r="B90" s="207"/>
      <c r="C90" s="130"/>
      <c r="D90" s="131"/>
      <c r="E90" s="207"/>
      <c r="F90" s="207"/>
      <c r="G90" s="130"/>
      <c r="H90" s="130"/>
      <c r="I90" s="130"/>
      <c r="J90" s="130"/>
      <c r="K90" s="130"/>
      <c r="N90" s="130"/>
      <c r="W90" s="130"/>
      <c r="X90" s="130"/>
      <c r="Y90" s="130"/>
      <c r="Z90" s="130"/>
      <c r="AA90" s="130"/>
      <c r="AB90" s="207"/>
    </row>
    <row r="91" spans="1:28" x14ac:dyDescent="0.15">
      <c r="A91" s="207"/>
      <c r="B91" s="207"/>
      <c r="C91" s="130"/>
      <c r="D91" s="131"/>
      <c r="E91" s="207"/>
      <c r="F91" s="207"/>
      <c r="G91" s="130"/>
      <c r="H91" s="130"/>
      <c r="I91" s="130"/>
      <c r="J91" s="130"/>
      <c r="K91" s="130"/>
      <c r="N91" s="130"/>
      <c r="W91" s="130"/>
      <c r="X91" s="130"/>
      <c r="Y91" s="130"/>
      <c r="Z91" s="130"/>
      <c r="AA91" s="130"/>
      <c r="AB91" s="207"/>
    </row>
    <row r="92" spans="1:28" x14ac:dyDescent="0.15">
      <c r="E92" s="207"/>
      <c r="F92" s="207"/>
    </row>
    <row r="93" spans="1:28" x14ac:dyDescent="0.15">
      <c r="E93" s="207"/>
      <c r="F93" s="207"/>
    </row>
    <row r="94" spans="1:28" x14ac:dyDescent="0.15">
      <c r="E94" s="207"/>
      <c r="F94" s="207"/>
    </row>
    <row r="95" spans="1:28" x14ac:dyDescent="0.15">
      <c r="E95" s="207"/>
      <c r="F95" s="207"/>
    </row>
    <row r="96" spans="1:28" x14ac:dyDescent="0.15">
      <c r="E96" s="207"/>
      <c r="F96" s="207"/>
    </row>
    <row r="97" spans="5:6" x14ac:dyDescent="0.15">
      <c r="E97" s="207"/>
      <c r="F97" s="207"/>
    </row>
    <row r="98" spans="5:6" x14ac:dyDescent="0.15">
      <c r="E98" s="207"/>
      <c r="F98" s="207"/>
    </row>
    <row r="99" spans="5:6" x14ac:dyDescent="0.15">
      <c r="E99" s="207"/>
      <c r="F99" s="207"/>
    </row>
    <row r="100" spans="5:6" x14ac:dyDescent="0.15">
      <c r="E100" s="207"/>
      <c r="F100" s="207"/>
    </row>
    <row r="101" spans="5:6" x14ac:dyDescent="0.15">
      <c r="E101" s="207"/>
      <c r="F101" s="207"/>
    </row>
    <row r="102" spans="5:6" x14ac:dyDescent="0.15">
      <c r="E102" s="207"/>
      <c r="F102" s="207"/>
    </row>
    <row r="103" spans="5:6" x14ac:dyDescent="0.15">
      <c r="E103" s="207"/>
      <c r="F103" s="207"/>
    </row>
    <row r="104" spans="5:6" x14ac:dyDescent="0.15">
      <c r="E104" s="207"/>
      <c r="F104" s="207"/>
    </row>
    <row r="105" spans="5:6" x14ac:dyDescent="0.15">
      <c r="E105" s="207"/>
      <c r="F105" s="207"/>
    </row>
    <row r="106" spans="5:6" x14ac:dyDescent="0.15">
      <c r="E106" s="207"/>
      <c r="F106" s="207"/>
    </row>
    <row r="107" spans="5:6" x14ac:dyDescent="0.15">
      <c r="E107" s="207"/>
      <c r="F107" s="207"/>
    </row>
    <row r="108" spans="5:6" x14ac:dyDescent="0.15">
      <c r="E108" s="207"/>
      <c r="F108" s="207"/>
    </row>
    <row r="109" spans="5:6" x14ac:dyDescent="0.15">
      <c r="E109" s="207"/>
      <c r="F109" s="207"/>
    </row>
    <row r="110" spans="5:6" x14ac:dyDescent="0.15">
      <c r="E110" s="207"/>
      <c r="F110" s="207"/>
    </row>
    <row r="111" spans="5:6" x14ac:dyDescent="0.15">
      <c r="E111" s="207"/>
      <c r="F111" s="207"/>
    </row>
    <row r="112" spans="5:6" x14ac:dyDescent="0.15">
      <c r="E112" s="207"/>
      <c r="F112" s="207"/>
    </row>
    <row r="113" spans="5:6" x14ac:dyDescent="0.15">
      <c r="E113" s="207"/>
      <c r="F113" s="207"/>
    </row>
    <row r="114" spans="5:6" x14ac:dyDescent="0.15">
      <c r="E114" s="207"/>
      <c r="F114" s="207"/>
    </row>
    <row r="115" spans="5:6" x14ac:dyDescent="0.15">
      <c r="E115" s="207"/>
      <c r="F115" s="207"/>
    </row>
    <row r="116" spans="5:6" x14ac:dyDescent="0.15">
      <c r="E116" s="207"/>
      <c r="F116" s="207"/>
    </row>
    <row r="117" spans="5:6" x14ac:dyDescent="0.15">
      <c r="E117" s="207"/>
      <c r="F117" s="207"/>
    </row>
    <row r="118" spans="5:6" x14ac:dyDescent="0.15">
      <c r="E118" s="207"/>
      <c r="F118" s="207"/>
    </row>
    <row r="119" spans="5:6" x14ac:dyDescent="0.15">
      <c r="E119" s="207"/>
      <c r="F119" s="207"/>
    </row>
    <row r="120" spans="5:6" x14ac:dyDescent="0.15">
      <c r="E120" s="207"/>
      <c r="F120" s="207"/>
    </row>
    <row r="121" spans="5:6" x14ac:dyDescent="0.15">
      <c r="E121" s="207"/>
      <c r="F121" s="207"/>
    </row>
    <row r="122" spans="5:6" x14ac:dyDescent="0.15">
      <c r="E122" s="207"/>
      <c r="F122" s="207"/>
    </row>
    <row r="123" spans="5:6" x14ac:dyDescent="0.15">
      <c r="E123" s="207"/>
      <c r="F123" s="207"/>
    </row>
    <row r="124" spans="5:6" x14ac:dyDescent="0.15">
      <c r="E124" s="207"/>
      <c r="F124" s="207"/>
    </row>
    <row r="125" spans="5:6" x14ac:dyDescent="0.15">
      <c r="E125" s="207"/>
      <c r="F125" s="207"/>
    </row>
    <row r="126" spans="5:6" x14ac:dyDescent="0.15">
      <c r="E126" s="207"/>
      <c r="F126" s="207"/>
    </row>
    <row r="127" spans="5:6" x14ac:dyDescent="0.15">
      <c r="E127" s="207"/>
      <c r="F127" s="207"/>
    </row>
    <row r="128" spans="5:6" x14ac:dyDescent="0.15">
      <c r="E128" s="207"/>
      <c r="F128" s="207"/>
    </row>
    <row r="129" spans="5:6" x14ac:dyDescent="0.15">
      <c r="E129" s="207"/>
      <c r="F129" s="207"/>
    </row>
    <row r="130" spans="5:6" x14ac:dyDescent="0.15">
      <c r="E130" s="207"/>
      <c r="F130" s="207"/>
    </row>
    <row r="131" spans="5:6" x14ac:dyDescent="0.15">
      <c r="E131" s="207"/>
      <c r="F131" s="207"/>
    </row>
    <row r="132" spans="5:6" x14ac:dyDescent="0.15">
      <c r="E132" s="207"/>
      <c r="F132" s="207"/>
    </row>
    <row r="133" spans="5:6" x14ac:dyDescent="0.15">
      <c r="E133" s="207"/>
      <c r="F133" s="207"/>
    </row>
    <row r="134" spans="5:6" x14ac:dyDescent="0.15">
      <c r="E134" s="207"/>
      <c r="F134" s="207"/>
    </row>
    <row r="135" spans="5:6" x14ac:dyDescent="0.15">
      <c r="E135" s="207"/>
      <c r="F135" s="207"/>
    </row>
    <row r="136" spans="5:6" x14ac:dyDescent="0.15">
      <c r="E136" s="207"/>
      <c r="F136" s="207"/>
    </row>
    <row r="137" spans="5:6" x14ac:dyDescent="0.15">
      <c r="E137" s="207"/>
      <c r="F137" s="207"/>
    </row>
    <row r="138" spans="5:6" x14ac:dyDescent="0.15">
      <c r="E138" s="207"/>
      <c r="F138" s="207"/>
    </row>
    <row r="139" spans="5:6" x14ac:dyDescent="0.15">
      <c r="E139" s="207"/>
      <c r="F139" s="207"/>
    </row>
    <row r="140" spans="5:6" x14ac:dyDescent="0.15">
      <c r="E140" s="207"/>
      <c r="F140" s="207"/>
    </row>
    <row r="141" spans="5:6" x14ac:dyDescent="0.15">
      <c r="E141" s="207"/>
      <c r="F141" s="207"/>
    </row>
    <row r="142" spans="5:6" x14ac:dyDescent="0.15">
      <c r="E142" s="207"/>
      <c r="F142" s="207"/>
    </row>
    <row r="143" spans="5:6" x14ac:dyDescent="0.15">
      <c r="E143" s="207"/>
      <c r="F143" s="207"/>
    </row>
    <row r="144" spans="5:6" x14ac:dyDescent="0.15">
      <c r="E144" s="207"/>
      <c r="F144" s="207"/>
    </row>
    <row r="145" spans="5:6" x14ac:dyDescent="0.15">
      <c r="E145" s="207"/>
      <c r="F145" s="207"/>
    </row>
    <row r="146" spans="5:6" x14ac:dyDescent="0.15">
      <c r="E146" s="207"/>
      <c r="F146" s="207"/>
    </row>
    <row r="147" spans="5:6" x14ac:dyDescent="0.15">
      <c r="E147" s="207"/>
      <c r="F147" s="207"/>
    </row>
    <row r="148" spans="5:6" x14ac:dyDescent="0.15">
      <c r="E148" s="207"/>
      <c r="F148" s="207"/>
    </row>
    <row r="149" spans="5:6" x14ac:dyDescent="0.15">
      <c r="E149" s="207"/>
      <c r="F149" s="207"/>
    </row>
    <row r="150" spans="5:6" x14ac:dyDescent="0.15">
      <c r="E150" s="207"/>
      <c r="F150" s="207"/>
    </row>
    <row r="151" spans="5:6" x14ac:dyDescent="0.15">
      <c r="E151" s="207"/>
      <c r="F151" s="207"/>
    </row>
    <row r="152" spans="5:6" x14ac:dyDescent="0.15">
      <c r="E152" s="207"/>
      <c r="F152" s="207"/>
    </row>
    <row r="153" spans="5:6" x14ac:dyDescent="0.15">
      <c r="E153" s="207"/>
      <c r="F153" s="207"/>
    </row>
    <row r="154" spans="5:6" x14ac:dyDescent="0.15">
      <c r="E154" s="207"/>
      <c r="F154" s="207"/>
    </row>
    <row r="155" spans="5:6" x14ac:dyDescent="0.15">
      <c r="E155" s="207"/>
      <c r="F155" s="207"/>
    </row>
    <row r="156" spans="5:6" x14ac:dyDescent="0.15">
      <c r="E156" s="207"/>
      <c r="F156" s="207"/>
    </row>
    <row r="157" spans="5:6" x14ac:dyDescent="0.15">
      <c r="E157" s="207"/>
      <c r="F157" s="207"/>
    </row>
    <row r="158" spans="5:6" x14ac:dyDescent="0.15">
      <c r="E158" s="207"/>
      <c r="F158" s="207"/>
    </row>
    <row r="159" spans="5:6" x14ac:dyDescent="0.15">
      <c r="E159" s="207"/>
      <c r="F159" s="207"/>
    </row>
    <row r="160" spans="5:6" x14ac:dyDescent="0.15">
      <c r="E160" s="207"/>
      <c r="F160" s="207"/>
    </row>
    <row r="161" spans="5:6" x14ac:dyDescent="0.15">
      <c r="E161" s="207"/>
      <c r="F161" s="207"/>
    </row>
    <row r="162" spans="5:6" x14ac:dyDescent="0.15">
      <c r="E162" s="207"/>
      <c r="F162" s="207"/>
    </row>
    <row r="163" spans="5:6" x14ac:dyDescent="0.15">
      <c r="E163" s="207"/>
      <c r="F163" s="207"/>
    </row>
    <row r="164" spans="5:6" x14ac:dyDescent="0.15">
      <c r="E164" s="207"/>
      <c r="F164" s="207"/>
    </row>
    <row r="165" spans="5:6" x14ac:dyDescent="0.15">
      <c r="E165" s="207"/>
      <c r="F165" s="207"/>
    </row>
    <row r="166" spans="5:6" x14ac:dyDescent="0.15">
      <c r="E166" s="207"/>
      <c r="F166" s="207"/>
    </row>
    <row r="167" spans="5:6" x14ac:dyDescent="0.15">
      <c r="E167" s="207"/>
      <c r="F167" s="207"/>
    </row>
    <row r="168" spans="5:6" x14ac:dyDescent="0.15">
      <c r="E168" s="207"/>
      <c r="F168" s="207"/>
    </row>
    <row r="169" spans="5:6" x14ac:dyDescent="0.15">
      <c r="E169" s="207"/>
      <c r="F169" s="207"/>
    </row>
    <row r="170" spans="5:6" x14ac:dyDescent="0.15">
      <c r="E170" s="207"/>
      <c r="F170" s="207"/>
    </row>
    <row r="171" spans="5:6" x14ac:dyDescent="0.15">
      <c r="E171" s="207"/>
      <c r="F171" s="207"/>
    </row>
    <row r="172" spans="5:6" x14ac:dyDescent="0.15">
      <c r="E172" s="207"/>
      <c r="F172" s="207"/>
    </row>
    <row r="173" spans="5:6" x14ac:dyDescent="0.15">
      <c r="E173" s="207"/>
      <c r="F173" s="207"/>
    </row>
    <row r="174" spans="5:6" x14ac:dyDescent="0.15">
      <c r="E174" s="207"/>
      <c r="F174" s="207"/>
    </row>
    <row r="175" spans="5:6" x14ac:dyDescent="0.15">
      <c r="E175" s="207"/>
      <c r="F175" s="207"/>
    </row>
    <row r="176" spans="5:6" x14ac:dyDescent="0.15">
      <c r="E176" s="207"/>
      <c r="F176" s="207"/>
    </row>
    <row r="177" spans="5:6" x14ac:dyDescent="0.15">
      <c r="E177" s="207"/>
      <c r="F177" s="207"/>
    </row>
    <row r="178" spans="5:6" x14ac:dyDescent="0.15">
      <c r="E178" s="207"/>
      <c r="F178" s="207"/>
    </row>
    <row r="179" spans="5:6" x14ac:dyDescent="0.15">
      <c r="E179" s="207"/>
      <c r="F179" s="207"/>
    </row>
    <row r="180" spans="5:6" x14ac:dyDescent="0.15">
      <c r="E180" s="207"/>
      <c r="F180" s="207"/>
    </row>
    <row r="181" spans="5:6" x14ac:dyDescent="0.15">
      <c r="E181" s="207"/>
      <c r="F181" s="207"/>
    </row>
    <row r="182" spans="5:6" x14ac:dyDescent="0.15">
      <c r="E182" s="207"/>
      <c r="F182" s="207"/>
    </row>
    <row r="183" spans="5:6" x14ac:dyDescent="0.15">
      <c r="E183" s="207"/>
      <c r="F183" s="207"/>
    </row>
    <row r="184" spans="5:6" x14ac:dyDescent="0.15">
      <c r="E184" s="207"/>
      <c r="F184" s="207"/>
    </row>
    <row r="185" spans="5:6" x14ac:dyDescent="0.15">
      <c r="E185" s="207"/>
      <c r="F185" s="207"/>
    </row>
    <row r="186" spans="5:6" x14ac:dyDescent="0.15">
      <c r="E186" s="207"/>
      <c r="F186" s="207"/>
    </row>
    <row r="187" spans="5:6" x14ac:dyDescent="0.15">
      <c r="E187" s="207"/>
      <c r="F187" s="207"/>
    </row>
    <row r="188" spans="5:6" x14ac:dyDescent="0.15">
      <c r="E188" s="207"/>
      <c r="F188" s="207"/>
    </row>
    <row r="189" spans="5:6" x14ac:dyDescent="0.15">
      <c r="E189" s="207"/>
      <c r="F189" s="207"/>
    </row>
    <row r="190" spans="5:6" x14ac:dyDescent="0.15">
      <c r="E190" s="207"/>
      <c r="F190" s="207"/>
    </row>
    <row r="191" spans="5:6" x14ac:dyDescent="0.15">
      <c r="E191" s="207"/>
      <c r="F191" s="207"/>
    </row>
    <row r="192" spans="5:6" x14ac:dyDescent="0.15">
      <c r="E192" s="207"/>
      <c r="F192" s="207"/>
    </row>
    <row r="193" spans="5:6" x14ac:dyDescent="0.15">
      <c r="E193" s="207"/>
      <c r="F193" s="207"/>
    </row>
    <row r="194" spans="5:6" x14ac:dyDescent="0.15">
      <c r="E194" s="207"/>
      <c r="F194" s="207"/>
    </row>
    <row r="195" spans="5:6" x14ac:dyDescent="0.15">
      <c r="E195" s="207"/>
      <c r="F195" s="207"/>
    </row>
    <row r="196" spans="5:6" x14ac:dyDescent="0.15">
      <c r="E196" s="207"/>
      <c r="F196" s="207"/>
    </row>
    <row r="197" spans="5:6" x14ac:dyDescent="0.15">
      <c r="E197" s="207"/>
      <c r="F197" s="207"/>
    </row>
    <row r="198" spans="5:6" x14ac:dyDescent="0.15">
      <c r="E198" s="207"/>
      <c r="F198" s="207"/>
    </row>
    <row r="199" spans="5:6" x14ac:dyDescent="0.15">
      <c r="E199" s="207"/>
      <c r="F199" s="207"/>
    </row>
    <row r="200" spans="5:6" x14ac:dyDescent="0.15">
      <c r="E200" s="207"/>
      <c r="F200" s="207"/>
    </row>
    <row r="201" spans="5:6" x14ac:dyDescent="0.15">
      <c r="E201" s="207"/>
      <c r="F201" s="207"/>
    </row>
    <row r="202" spans="5:6" x14ac:dyDescent="0.15">
      <c r="E202" s="207"/>
      <c r="F202" s="207"/>
    </row>
    <row r="203" spans="5:6" x14ac:dyDescent="0.15">
      <c r="E203" s="207"/>
      <c r="F203" s="207"/>
    </row>
    <row r="204" spans="5:6" x14ac:dyDescent="0.15">
      <c r="E204" s="207"/>
      <c r="F204" s="207"/>
    </row>
    <row r="205" spans="5:6" x14ac:dyDescent="0.15">
      <c r="E205" s="207"/>
      <c r="F205" s="207"/>
    </row>
    <row r="206" spans="5:6" x14ac:dyDescent="0.15">
      <c r="E206" s="207"/>
      <c r="F206" s="207"/>
    </row>
    <row r="207" spans="5:6" x14ac:dyDescent="0.15">
      <c r="E207" s="207"/>
      <c r="F207" s="207"/>
    </row>
    <row r="208" spans="5:6" x14ac:dyDescent="0.15">
      <c r="E208" s="207"/>
      <c r="F208" s="207"/>
    </row>
    <row r="209" spans="5:6" x14ac:dyDescent="0.15">
      <c r="E209" s="207"/>
      <c r="F209" s="207"/>
    </row>
    <row r="210" spans="5:6" x14ac:dyDescent="0.15">
      <c r="E210" s="207"/>
      <c r="F210" s="207"/>
    </row>
    <row r="211" spans="5:6" x14ac:dyDescent="0.15">
      <c r="E211" s="207"/>
      <c r="F211" s="207"/>
    </row>
    <row r="212" spans="5:6" x14ac:dyDescent="0.15">
      <c r="E212" s="207"/>
      <c r="F212" s="207"/>
    </row>
    <row r="213" spans="5:6" x14ac:dyDescent="0.15">
      <c r="E213" s="207"/>
      <c r="F213" s="207"/>
    </row>
    <row r="214" spans="5:6" x14ac:dyDescent="0.15">
      <c r="E214" s="207"/>
      <c r="F214" s="207"/>
    </row>
    <row r="215" spans="5:6" x14ac:dyDescent="0.15">
      <c r="E215" s="207"/>
      <c r="F215" s="207"/>
    </row>
    <row r="216" spans="5:6" x14ac:dyDescent="0.15">
      <c r="E216" s="207"/>
      <c r="F216" s="207"/>
    </row>
    <row r="217" spans="5:6" x14ac:dyDescent="0.15">
      <c r="E217" s="207"/>
      <c r="F217" s="207"/>
    </row>
    <row r="218" spans="5:6" x14ac:dyDescent="0.15">
      <c r="E218" s="207"/>
      <c r="F218" s="207"/>
    </row>
    <row r="219" spans="5:6" x14ac:dyDescent="0.15">
      <c r="E219" s="207"/>
      <c r="F219" s="207"/>
    </row>
    <row r="220" spans="5:6" x14ac:dyDescent="0.15">
      <c r="E220" s="207"/>
      <c r="F220" s="207"/>
    </row>
    <row r="221" spans="5:6" x14ac:dyDescent="0.15">
      <c r="E221" s="207"/>
      <c r="F221" s="207"/>
    </row>
    <row r="222" spans="5:6" x14ac:dyDescent="0.15">
      <c r="E222" s="207"/>
      <c r="F222" s="207"/>
    </row>
    <row r="223" spans="5:6" x14ac:dyDescent="0.15">
      <c r="E223" s="207"/>
      <c r="F223" s="207"/>
    </row>
    <row r="224" spans="5:6" x14ac:dyDescent="0.15">
      <c r="E224" s="207"/>
      <c r="F224" s="207"/>
    </row>
    <row r="225" spans="5:6" x14ac:dyDescent="0.15">
      <c r="E225" s="207"/>
      <c r="F225" s="207"/>
    </row>
    <row r="226" spans="5:6" x14ac:dyDescent="0.15">
      <c r="E226" s="207"/>
      <c r="F226" s="207"/>
    </row>
    <row r="227" spans="5:6" x14ac:dyDescent="0.15">
      <c r="E227" s="207"/>
      <c r="F227" s="207"/>
    </row>
    <row r="228" spans="5:6" x14ac:dyDescent="0.15">
      <c r="E228" s="207"/>
      <c r="F228" s="207"/>
    </row>
    <row r="229" spans="5:6" x14ac:dyDescent="0.15">
      <c r="E229" s="207"/>
      <c r="F229" s="207"/>
    </row>
    <row r="230" spans="5:6" x14ac:dyDescent="0.15">
      <c r="E230" s="207"/>
      <c r="F230" s="207"/>
    </row>
    <row r="231" spans="5:6" x14ac:dyDescent="0.15">
      <c r="E231" s="207"/>
      <c r="F231" s="207"/>
    </row>
    <row r="232" spans="5:6" x14ac:dyDescent="0.15">
      <c r="E232" s="207"/>
      <c r="F232" s="207"/>
    </row>
    <row r="233" spans="5:6" x14ac:dyDescent="0.15">
      <c r="E233" s="207"/>
      <c r="F233" s="207"/>
    </row>
    <row r="234" spans="5:6" x14ac:dyDescent="0.15">
      <c r="E234" s="207"/>
      <c r="F234" s="207"/>
    </row>
    <row r="235" spans="5:6" x14ac:dyDescent="0.15">
      <c r="E235" s="207"/>
      <c r="F235" s="207"/>
    </row>
    <row r="236" spans="5:6" x14ac:dyDescent="0.15">
      <c r="E236" s="207"/>
      <c r="F236" s="207"/>
    </row>
    <row r="237" spans="5:6" x14ac:dyDescent="0.15">
      <c r="E237" s="207"/>
      <c r="F237" s="207"/>
    </row>
    <row r="238" spans="5:6" x14ac:dyDescent="0.15">
      <c r="E238" s="207"/>
      <c r="F238" s="207"/>
    </row>
    <row r="239" spans="5:6" x14ac:dyDescent="0.15">
      <c r="E239" s="207"/>
      <c r="F239" s="207"/>
    </row>
    <row r="240" spans="5:6" x14ac:dyDescent="0.15">
      <c r="E240" s="207"/>
      <c r="F240" s="207"/>
    </row>
    <row r="241" spans="5:6" x14ac:dyDescent="0.15">
      <c r="E241" s="207"/>
      <c r="F241" s="207"/>
    </row>
    <row r="242" spans="5:6" x14ac:dyDescent="0.15">
      <c r="E242" s="207"/>
      <c r="F242" s="207"/>
    </row>
    <row r="243" spans="5:6" x14ac:dyDescent="0.15">
      <c r="E243" s="207"/>
      <c r="F243" s="207"/>
    </row>
    <row r="244" spans="5:6" x14ac:dyDescent="0.15">
      <c r="E244" s="207"/>
      <c r="F244" s="207"/>
    </row>
    <row r="245" spans="5:6" x14ac:dyDescent="0.15">
      <c r="E245" s="207"/>
      <c r="F245" s="207"/>
    </row>
    <row r="246" spans="5:6" x14ac:dyDescent="0.15">
      <c r="E246" s="207"/>
      <c r="F246" s="207"/>
    </row>
    <row r="247" spans="5:6" x14ac:dyDescent="0.15">
      <c r="E247" s="207"/>
      <c r="F247" s="207"/>
    </row>
    <row r="248" spans="5:6" x14ac:dyDescent="0.15">
      <c r="E248" s="207"/>
      <c r="F248" s="207"/>
    </row>
    <row r="249" spans="5:6" x14ac:dyDescent="0.15">
      <c r="E249" s="207"/>
      <c r="F249" s="207"/>
    </row>
    <row r="250" spans="5:6" x14ac:dyDescent="0.15">
      <c r="E250" s="207"/>
      <c r="F250" s="207"/>
    </row>
    <row r="251" spans="5:6" x14ac:dyDescent="0.15">
      <c r="E251" s="207"/>
      <c r="F251" s="207"/>
    </row>
    <row r="252" spans="5:6" x14ac:dyDescent="0.15">
      <c r="E252" s="207"/>
      <c r="F252" s="207"/>
    </row>
    <row r="253" spans="5:6" x14ac:dyDescent="0.15">
      <c r="E253" s="207"/>
      <c r="F253" s="207"/>
    </row>
    <row r="254" spans="5:6" x14ac:dyDescent="0.15">
      <c r="E254" s="207"/>
      <c r="F254" s="207"/>
    </row>
    <row r="255" spans="5:6" x14ac:dyDescent="0.15">
      <c r="E255" s="207"/>
      <c r="F255" s="207"/>
    </row>
    <row r="256" spans="5:6" x14ac:dyDescent="0.15">
      <c r="E256" s="207"/>
      <c r="F256" s="207"/>
    </row>
    <row r="257" spans="5:6" x14ac:dyDescent="0.15">
      <c r="E257" s="207"/>
      <c r="F257" s="207"/>
    </row>
    <row r="258" spans="5:6" x14ac:dyDescent="0.15">
      <c r="E258" s="207"/>
      <c r="F258" s="207"/>
    </row>
    <row r="259" spans="5:6" x14ac:dyDescent="0.15">
      <c r="E259" s="207"/>
      <c r="F259" s="207"/>
    </row>
    <row r="260" spans="5:6" x14ac:dyDescent="0.15">
      <c r="E260" s="207"/>
      <c r="F260" s="207"/>
    </row>
    <row r="261" spans="5:6" x14ac:dyDescent="0.15">
      <c r="E261" s="207"/>
      <c r="F261" s="207"/>
    </row>
    <row r="262" spans="5:6" x14ac:dyDescent="0.15">
      <c r="E262" s="207"/>
      <c r="F262" s="207"/>
    </row>
    <row r="263" spans="5:6" x14ac:dyDescent="0.15">
      <c r="E263" s="207"/>
      <c r="F263" s="207"/>
    </row>
    <row r="264" spans="5:6" x14ac:dyDescent="0.15">
      <c r="E264" s="207"/>
      <c r="F264" s="207"/>
    </row>
    <row r="265" spans="5:6" x14ac:dyDescent="0.15">
      <c r="E265" s="207"/>
      <c r="F265" s="207"/>
    </row>
    <row r="266" spans="5:6" x14ac:dyDescent="0.15">
      <c r="E266" s="207"/>
      <c r="F266" s="207"/>
    </row>
    <row r="267" spans="5:6" x14ac:dyDescent="0.15">
      <c r="E267" s="207"/>
      <c r="F267" s="207"/>
    </row>
    <row r="268" spans="5:6" x14ac:dyDescent="0.15">
      <c r="E268" s="207"/>
      <c r="F268" s="207"/>
    </row>
    <row r="269" spans="5:6" x14ac:dyDescent="0.15">
      <c r="E269" s="207"/>
      <c r="F269" s="207"/>
    </row>
    <row r="270" spans="5:6" x14ac:dyDescent="0.15">
      <c r="E270" s="207"/>
      <c r="F270" s="207"/>
    </row>
    <row r="271" spans="5:6" x14ac:dyDescent="0.15">
      <c r="E271" s="207"/>
      <c r="F271" s="207"/>
    </row>
    <row r="272" spans="5:6" x14ac:dyDescent="0.15">
      <c r="E272" s="207"/>
      <c r="F272" s="207"/>
    </row>
    <row r="273" spans="5:6" x14ac:dyDescent="0.15">
      <c r="E273" s="207"/>
      <c r="F273" s="207"/>
    </row>
    <row r="274" spans="5:6" x14ac:dyDescent="0.15">
      <c r="E274" s="207"/>
      <c r="F274" s="207"/>
    </row>
    <row r="275" spans="5:6" x14ac:dyDescent="0.15">
      <c r="E275" s="207"/>
      <c r="F275" s="207"/>
    </row>
    <row r="276" spans="5:6" x14ac:dyDescent="0.15">
      <c r="E276" s="207"/>
      <c r="F276" s="207"/>
    </row>
    <row r="277" spans="5:6" x14ac:dyDescent="0.15">
      <c r="E277" s="207"/>
      <c r="F277" s="207"/>
    </row>
    <row r="278" spans="5:6" x14ac:dyDescent="0.15">
      <c r="E278" s="207"/>
      <c r="F278" s="207"/>
    </row>
    <row r="279" spans="5:6" x14ac:dyDescent="0.15">
      <c r="E279" s="207"/>
      <c r="F279" s="207"/>
    </row>
    <row r="280" spans="5:6" x14ac:dyDescent="0.15">
      <c r="E280" s="207"/>
      <c r="F280" s="207"/>
    </row>
    <row r="281" spans="5:6" x14ac:dyDescent="0.15">
      <c r="E281" s="207"/>
      <c r="F281" s="207"/>
    </row>
    <row r="282" spans="5:6" x14ac:dyDescent="0.15">
      <c r="E282" s="207"/>
      <c r="F282" s="207"/>
    </row>
    <row r="283" spans="5:6" x14ac:dyDescent="0.15">
      <c r="E283" s="207"/>
      <c r="F283" s="207"/>
    </row>
    <row r="284" spans="5:6" x14ac:dyDescent="0.15">
      <c r="E284" s="207"/>
      <c r="F284" s="207"/>
    </row>
    <row r="285" spans="5:6" x14ac:dyDescent="0.15">
      <c r="E285" s="207"/>
      <c r="F285" s="207"/>
    </row>
    <row r="286" spans="5:6" x14ac:dyDescent="0.15">
      <c r="E286" s="207"/>
      <c r="F286" s="207"/>
    </row>
    <row r="287" spans="5:6" x14ac:dyDescent="0.15">
      <c r="E287" s="207"/>
      <c r="F287" s="207"/>
    </row>
    <row r="288" spans="5:6" x14ac:dyDescent="0.15">
      <c r="E288" s="207"/>
      <c r="F288" s="207"/>
    </row>
    <row r="289" spans="5:6" x14ac:dyDescent="0.15">
      <c r="E289" s="207"/>
      <c r="F289" s="207"/>
    </row>
    <row r="290" spans="5:6" x14ac:dyDescent="0.15">
      <c r="E290" s="207"/>
      <c r="F290" s="207"/>
    </row>
    <row r="291" spans="5:6" x14ac:dyDescent="0.15">
      <c r="E291" s="207"/>
      <c r="F291" s="207"/>
    </row>
    <row r="292" spans="5:6" x14ac:dyDescent="0.15">
      <c r="E292" s="207"/>
      <c r="F292" s="207"/>
    </row>
    <row r="293" spans="5:6" x14ac:dyDescent="0.15">
      <c r="E293" s="207"/>
      <c r="F293" s="207"/>
    </row>
    <row r="294" spans="5:6" x14ac:dyDescent="0.15">
      <c r="E294" s="207"/>
      <c r="F294" s="207"/>
    </row>
    <row r="295" spans="5:6" x14ac:dyDescent="0.15">
      <c r="E295" s="207"/>
      <c r="F295" s="207"/>
    </row>
    <row r="296" spans="5:6" x14ac:dyDescent="0.15">
      <c r="E296" s="207"/>
      <c r="F296" s="207"/>
    </row>
    <row r="297" spans="5:6" x14ac:dyDescent="0.15">
      <c r="E297" s="207"/>
      <c r="F297" s="207"/>
    </row>
    <row r="298" spans="5:6" x14ac:dyDescent="0.15">
      <c r="E298" s="207"/>
      <c r="F298" s="207"/>
    </row>
    <row r="299" spans="5:6" x14ac:dyDescent="0.15">
      <c r="E299" s="207"/>
      <c r="F299" s="207"/>
    </row>
    <row r="300" spans="5:6" x14ac:dyDescent="0.15">
      <c r="E300" s="207"/>
      <c r="F300" s="207"/>
    </row>
    <row r="301" spans="5:6" x14ac:dyDescent="0.15">
      <c r="E301" s="207"/>
      <c r="F301" s="207"/>
    </row>
    <row r="302" spans="5:6" x14ac:dyDescent="0.15">
      <c r="E302" s="207"/>
      <c r="F302" s="207"/>
    </row>
    <row r="303" spans="5:6" x14ac:dyDescent="0.15">
      <c r="E303" s="207"/>
      <c r="F303" s="207"/>
    </row>
    <row r="304" spans="5:6" x14ac:dyDescent="0.15">
      <c r="E304" s="207"/>
      <c r="F304" s="207"/>
    </row>
    <row r="305" spans="5:6" x14ac:dyDescent="0.15">
      <c r="E305" s="207"/>
      <c r="F305" s="207"/>
    </row>
    <row r="306" spans="5:6" x14ac:dyDescent="0.15">
      <c r="E306" s="207"/>
      <c r="F306" s="207"/>
    </row>
    <row r="307" spans="5:6" x14ac:dyDescent="0.15">
      <c r="E307" s="207"/>
      <c r="F307" s="207"/>
    </row>
    <row r="308" spans="5:6" x14ac:dyDescent="0.15">
      <c r="E308" s="207"/>
      <c r="F308" s="207"/>
    </row>
    <row r="309" spans="5:6" x14ac:dyDescent="0.15">
      <c r="E309" s="207"/>
      <c r="F309" s="207"/>
    </row>
    <row r="310" spans="5:6" x14ac:dyDescent="0.15">
      <c r="E310" s="207"/>
      <c r="F310" s="207"/>
    </row>
    <row r="311" spans="5:6" x14ac:dyDescent="0.15">
      <c r="E311" s="207"/>
      <c r="F311" s="207"/>
    </row>
    <row r="312" spans="5:6" x14ac:dyDescent="0.15">
      <c r="E312" s="207"/>
      <c r="F312" s="207"/>
    </row>
    <row r="313" spans="5:6" x14ac:dyDescent="0.15">
      <c r="E313" s="207"/>
      <c r="F313" s="207"/>
    </row>
    <row r="314" spans="5:6" x14ac:dyDescent="0.15">
      <c r="E314" s="207"/>
      <c r="F314" s="207"/>
    </row>
    <row r="315" spans="5:6" x14ac:dyDescent="0.15">
      <c r="E315" s="207"/>
      <c r="F315" s="207"/>
    </row>
    <row r="316" spans="5:6" x14ac:dyDescent="0.15">
      <c r="E316" s="207"/>
      <c r="F316" s="207"/>
    </row>
    <row r="317" spans="5:6" x14ac:dyDescent="0.15">
      <c r="E317" s="207"/>
      <c r="F317" s="207"/>
    </row>
    <row r="318" spans="5:6" x14ac:dyDescent="0.15">
      <c r="E318" s="207"/>
      <c r="F318" s="207"/>
    </row>
    <row r="319" spans="5:6" x14ac:dyDescent="0.15">
      <c r="E319" s="207"/>
      <c r="F319" s="207"/>
    </row>
    <row r="320" spans="5:6" x14ac:dyDescent="0.15">
      <c r="E320" s="207"/>
      <c r="F320" s="207"/>
    </row>
    <row r="321" spans="5:6" x14ac:dyDescent="0.15">
      <c r="E321" s="207"/>
      <c r="F321" s="207"/>
    </row>
    <row r="322" spans="5:6" x14ac:dyDescent="0.15">
      <c r="E322" s="207"/>
      <c r="F322" s="207"/>
    </row>
    <row r="323" spans="5:6" x14ac:dyDescent="0.15">
      <c r="E323" s="207"/>
      <c r="F323" s="207"/>
    </row>
    <row r="324" spans="5:6" x14ac:dyDescent="0.15">
      <c r="E324" s="207"/>
      <c r="F324" s="207"/>
    </row>
    <row r="325" spans="5:6" x14ac:dyDescent="0.15">
      <c r="E325" s="207"/>
      <c r="F325" s="207"/>
    </row>
    <row r="326" spans="5:6" x14ac:dyDescent="0.15">
      <c r="E326" s="207"/>
      <c r="F326" s="207"/>
    </row>
    <row r="327" spans="5:6" x14ac:dyDescent="0.15">
      <c r="E327" s="207"/>
      <c r="F327" s="207"/>
    </row>
    <row r="328" spans="5:6" x14ac:dyDescent="0.15">
      <c r="E328" s="207"/>
      <c r="F328" s="207"/>
    </row>
    <row r="329" spans="5:6" x14ac:dyDescent="0.15">
      <c r="E329" s="207"/>
      <c r="F329" s="207"/>
    </row>
    <row r="330" spans="5:6" x14ac:dyDescent="0.15">
      <c r="E330" s="207"/>
      <c r="F330" s="207"/>
    </row>
    <row r="331" spans="5:6" x14ac:dyDescent="0.15">
      <c r="E331" s="207"/>
      <c r="F331" s="207"/>
    </row>
    <row r="332" spans="5:6" x14ac:dyDescent="0.15">
      <c r="E332" s="207"/>
      <c r="F332" s="207"/>
    </row>
    <row r="333" spans="5:6" x14ac:dyDescent="0.15">
      <c r="E333" s="207"/>
      <c r="F333" s="207"/>
    </row>
    <row r="334" spans="5:6" x14ac:dyDescent="0.15">
      <c r="E334" s="207"/>
      <c r="F334" s="207"/>
    </row>
    <row r="335" spans="5:6" x14ac:dyDescent="0.15">
      <c r="E335" s="207"/>
      <c r="F335" s="207"/>
    </row>
    <row r="336" spans="5:6" x14ac:dyDescent="0.15">
      <c r="E336" s="207"/>
      <c r="F336" s="207"/>
    </row>
    <row r="337" spans="5:6" x14ac:dyDescent="0.15">
      <c r="E337" s="207"/>
      <c r="F337" s="207"/>
    </row>
    <row r="338" spans="5:6" x14ac:dyDescent="0.15">
      <c r="E338" s="207"/>
      <c r="F338" s="207"/>
    </row>
    <row r="339" spans="5:6" x14ac:dyDescent="0.15">
      <c r="E339" s="207"/>
      <c r="F339" s="207"/>
    </row>
    <row r="340" spans="5:6" x14ac:dyDescent="0.15">
      <c r="E340" s="207"/>
      <c r="F340" s="207"/>
    </row>
    <row r="341" spans="5:6" x14ac:dyDescent="0.15">
      <c r="E341" s="207"/>
      <c r="F341" s="207"/>
    </row>
    <row r="342" spans="5:6" x14ac:dyDescent="0.15">
      <c r="E342" s="207"/>
      <c r="F342" s="207"/>
    </row>
    <row r="343" spans="5:6" x14ac:dyDescent="0.15">
      <c r="E343" s="207"/>
      <c r="F343" s="207"/>
    </row>
    <row r="344" spans="5:6" x14ac:dyDescent="0.15">
      <c r="E344" s="207"/>
      <c r="F344" s="207"/>
    </row>
    <row r="345" spans="5:6" x14ac:dyDescent="0.15">
      <c r="E345" s="207"/>
      <c r="F345" s="207"/>
    </row>
    <row r="346" spans="5:6" x14ac:dyDescent="0.15">
      <c r="E346" s="207"/>
      <c r="F346" s="207"/>
    </row>
    <row r="347" spans="5:6" x14ac:dyDescent="0.15">
      <c r="E347" s="207"/>
      <c r="F347" s="207"/>
    </row>
    <row r="348" spans="5:6" x14ac:dyDescent="0.15">
      <c r="E348" s="207"/>
      <c r="F348" s="207"/>
    </row>
    <row r="349" spans="5:6" x14ac:dyDescent="0.15">
      <c r="E349" s="207"/>
      <c r="F349" s="207"/>
    </row>
    <row r="350" spans="5:6" x14ac:dyDescent="0.15">
      <c r="E350" s="207"/>
      <c r="F350" s="207"/>
    </row>
    <row r="351" spans="5:6" x14ac:dyDescent="0.15">
      <c r="E351" s="207"/>
      <c r="F351" s="207"/>
    </row>
    <row r="352" spans="5:6" x14ac:dyDescent="0.15">
      <c r="E352" s="207"/>
      <c r="F352" s="207"/>
    </row>
    <row r="353" spans="5:6" x14ac:dyDescent="0.15">
      <c r="E353" s="207"/>
      <c r="F353" s="207"/>
    </row>
    <row r="354" spans="5:6" x14ac:dyDescent="0.15">
      <c r="E354" s="207"/>
      <c r="F354" s="207"/>
    </row>
    <row r="355" spans="5:6" x14ac:dyDescent="0.15">
      <c r="E355" s="207"/>
      <c r="F355" s="207"/>
    </row>
    <row r="356" spans="5:6" x14ac:dyDescent="0.15">
      <c r="E356" s="207"/>
      <c r="F356" s="207"/>
    </row>
    <row r="357" spans="5:6" x14ac:dyDescent="0.15">
      <c r="E357" s="207"/>
      <c r="F357" s="207"/>
    </row>
    <row r="358" spans="5:6" x14ac:dyDescent="0.15">
      <c r="E358" s="207"/>
      <c r="F358" s="207"/>
    </row>
    <row r="359" spans="5:6" x14ac:dyDescent="0.15">
      <c r="E359" s="207"/>
      <c r="F359" s="207"/>
    </row>
    <row r="360" spans="5:6" x14ac:dyDescent="0.15">
      <c r="E360" s="207"/>
      <c r="F360" s="207"/>
    </row>
    <row r="361" spans="5:6" x14ac:dyDescent="0.15">
      <c r="E361" s="207"/>
      <c r="F361" s="207"/>
    </row>
    <row r="362" spans="5:6" x14ac:dyDescent="0.15">
      <c r="E362" s="207"/>
      <c r="F362" s="207"/>
    </row>
    <row r="363" spans="5:6" x14ac:dyDescent="0.15">
      <c r="E363" s="207"/>
      <c r="F363" s="207"/>
    </row>
    <row r="364" spans="5:6" x14ac:dyDescent="0.15">
      <c r="E364" s="207"/>
      <c r="F364" s="207"/>
    </row>
    <row r="365" spans="5:6" x14ac:dyDescent="0.15">
      <c r="E365" s="207"/>
      <c r="F365" s="207"/>
    </row>
    <row r="366" spans="5:6" x14ac:dyDescent="0.15">
      <c r="E366" s="207"/>
      <c r="F366" s="207"/>
    </row>
    <row r="367" spans="5:6" x14ac:dyDescent="0.15">
      <c r="E367" s="207"/>
      <c r="F367" s="207"/>
    </row>
    <row r="368" spans="5:6" x14ac:dyDescent="0.15">
      <c r="E368" s="207"/>
      <c r="F368" s="207"/>
    </row>
    <row r="369" spans="5:6" x14ac:dyDescent="0.15">
      <c r="E369" s="207"/>
      <c r="F369" s="207"/>
    </row>
    <row r="370" spans="5:6" x14ac:dyDescent="0.15">
      <c r="E370" s="207"/>
      <c r="F370" s="207"/>
    </row>
    <row r="371" spans="5:6" x14ac:dyDescent="0.15">
      <c r="E371" s="207"/>
      <c r="F371" s="207"/>
    </row>
    <row r="372" spans="5:6" x14ac:dyDescent="0.15">
      <c r="E372" s="207"/>
      <c r="F372" s="207"/>
    </row>
    <row r="373" spans="5:6" x14ac:dyDescent="0.15">
      <c r="E373" s="207"/>
      <c r="F373" s="207"/>
    </row>
    <row r="374" spans="5:6" x14ac:dyDescent="0.15">
      <c r="E374" s="207"/>
      <c r="F374" s="207"/>
    </row>
    <row r="375" spans="5:6" x14ac:dyDescent="0.15">
      <c r="E375" s="207"/>
      <c r="F375" s="207"/>
    </row>
    <row r="376" spans="5:6" x14ac:dyDescent="0.15">
      <c r="E376" s="207"/>
      <c r="F376" s="207"/>
    </row>
    <row r="377" spans="5:6" x14ac:dyDescent="0.15">
      <c r="E377" s="207"/>
      <c r="F377" s="207"/>
    </row>
    <row r="378" spans="5:6" x14ac:dyDescent="0.15">
      <c r="E378" s="207"/>
      <c r="F378" s="207"/>
    </row>
    <row r="379" spans="5:6" x14ac:dyDescent="0.15">
      <c r="E379" s="207"/>
      <c r="F379" s="207"/>
    </row>
    <row r="380" spans="5:6" x14ac:dyDescent="0.15">
      <c r="E380" s="207"/>
      <c r="F380" s="207"/>
    </row>
    <row r="381" spans="5:6" x14ac:dyDescent="0.15">
      <c r="E381" s="207"/>
      <c r="F381" s="207"/>
    </row>
    <row r="382" spans="5:6" x14ac:dyDescent="0.15">
      <c r="E382" s="207"/>
      <c r="F382" s="207"/>
    </row>
    <row r="383" spans="5:6" x14ac:dyDescent="0.15">
      <c r="E383" s="207"/>
      <c r="F383" s="207"/>
    </row>
    <row r="384" spans="5:6" x14ac:dyDescent="0.15">
      <c r="E384" s="207"/>
      <c r="F384" s="207"/>
    </row>
    <row r="385" spans="5:6" x14ac:dyDescent="0.15">
      <c r="E385" s="207"/>
      <c r="F385" s="207"/>
    </row>
    <row r="386" spans="5:6" x14ac:dyDescent="0.15">
      <c r="E386" s="207"/>
      <c r="F386" s="207"/>
    </row>
    <row r="387" spans="5:6" x14ac:dyDescent="0.15">
      <c r="E387" s="207"/>
      <c r="F387" s="207"/>
    </row>
    <row r="388" spans="5:6" x14ac:dyDescent="0.15">
      <c r="E388" s="207"/>
      <c r="F388" s="207"/>
    </row>
    <row r="389" spans="5:6" x14ac:dyDescent="0.15">
      <c r="E389" s="207"/>
      <c r="F389" s="207"/>
    </row>
    <row r="390" spans="5:6" x14ac:dyDescent="0.15">
      <c r="E390" s="207"/>
      <c r="F390" s="207"/>
    </row>
    <row r="391" spans="5:6" x14ac:dyDescent="0.15">
      <c r="E391" s="207"/>
      <c r="F391" s="207"/>
    </row>
    <row r="392" spans="5:6" x14ac:dyDescent="0.15">
      <c r="E392" s="207"/>
      <c r="F392" s="207"/>
    </row>
    <row r="393" spans="5:6" x14ac:dyDescent="0.15">
      <c r="E393" s="207"/>
      <c r="F393" s="207"/>
    </row>
    <row r="394" spans="5:6" x14ac:dyDescent="0.15">
      <c r="E394" s="207"/>
      <c r="F394" s="207"/>
    </row>
    <row r="395" spans="5:6" x14ac:dyDescent="0.15">
      <c r="E395" s="207"/>
      <c r="F395" s="207"/>
    </row>
    <row r="396" spans="5:6" x14ac:dyDescent="0.15">
      <c r="E396" s="207"/>
      <c r="F396" s="207"/>
    </row>
    <row r="397" spans="5:6" x14ac:dyDescent="0.15">
      <c r="E397" s="207"/>
      <c r="F397" s="207"/>
    </row>
    <row r="398" spans="5:6" x14ac:dyDescent="0.15">
      <c r="E398" s="207"/>
      <c r="F398" s="207"/>
    </row>
    <row r="399" spans="5:6" x14ac:dyDescent="0.15">
      <c r="E399" s="207"/>
      <c r="F399" s="207"/>
    </row>
    <row r="400" spans="5:6" x14ac:dyDescent="0.15">
      <c r="E400" s="207"/>
      <c r="F400" s="207"/>
    </row>
    <row r="401" spans="5:6" x14ac:dyDescent="0.15">
      <c r="E401" s="207"/>
      <c r="F401" s="207"/>
    </row>
    <row r="402" spans="5:6" x14ac:dyDescent="0.15">
      <c r="E402" s="207"/>
      <c r="F402" s="207"/>
    </row>
    <row r="403" spans="5:6" x14ac:dyDescent="0.15">
      <c r="E403" s="207"/>
      <c r="F403" s="207"/>
    </row>
    <row r="404" spans="5:6" x14ac:dyDescent="0.15">
      <c r="E404" s="207"/>
      <c r="F404" s="207"/>
    </row>
    <row r="405" spans="5:6" x14ac:dyDescent="0.15">
      <c r="E405" s="207"/>
      <c r="F405" s="207"/>
    </row>
    <row r="406" spans="5:6" x14ac:dyDescent="0.15">
      <c r="E406" s="207"/>
      <c r="F406" s="207"/>
    </row>
    <row r="407" spans="5:6" x14ac:dyDescent="0.15">
      <c r="E407" s="207"/>
      <c r="F407" s="207"/>
    </row>
    <row r="408" spans="5:6" x14ac:dyDescent="0.15">
      <c r="E408" s="207"/>
      <c r="F408" s="207"/>
    </row>
    <row r="409" spans="5:6" x14ac:dyDescent="0.15">
      <c r="E409" s="207"/>
      <c r="F409" s="207"/>
    </row>
    <row r="410" spans="5:6" x14ac:dyDescent="0.15">
      <c r="E410" s="207"/>
      <c r="F410" s="207"/>
    </row>
    <row r="411" spans="5:6" x14ac:dyDescent="0.15">
      <c r="E411" s="207"/>
      <c r="F411" s="207"/>
    </row>
    <row r="412" spans="5:6" x14ac:dyDescent="0.15">
      <c r="E412" s="207"/>
      <c r="F412" s="207"/>
    </row>
    <row r="413" spans="5:6" x14ac:dyDescent="0.15">
      <c r="E413" s="207"/>
      <c r="F413" s="207"/>
    </row>
    <row r="414" spans="5:6" x14ac:dyDescent="0.15">
      <c r="E414" s="207"/>
      <c r="F414" s="207"/>
    </row>
    <row r="415" spans="5:6" x14ac:dyDescent="0.15">
      <c r="E415" s="207"/>
      <c r="F415" s="207"/>
    </row>
    <row r="416" spans="5:6" x14ac:dyDescent="0.15">
      <c r="E416" s="207"/>
      <c r="F416" s="207"/>
    </row>
    <row r="417" spans="5:6" x14ac:dyDescent="0.15">
      <c r="E417" s="207"/>
      <c r="F417" s="207"/>
    </row>
    <row r="418" spans="5:6" x14ac:dyDescent="0.15">
      <c r="E418" s="207"/>
      <c r="F418" s="207"/>
    </row>
    <row r="419" spans="5:6" x14ac:dyDescent="0.15">
      <c r="E419" s="207"/>
      <c r="F419" s="207"/>
    </row>
    <row r="420" spans="5:6" x14ac:dyDescent="0.15">
      <c r="E420" s="207"/>
      <c r="F420" s="207"/>
    </row>
    <row r="421" spans="5:6" x14ac:dyDescent="0.15">
      <c r="E421" s="207"/>
      <c r="F421" s="207"/>
    </row>
    <row r="422" spans="5:6" x14ac:dyDescent="0.15">
      <c r="E422" s="207"/>
      <c r="F422" s="207"/>
    </row>
    <row r="423" spans="5:6" x14ac:dyDescent="0.15">
      <c r="E423" s="207"/>
      <c r="F423" s="207"/>
    </row>
    <row r="424" spans="5:6" x14ac:dyDescent="0.15">
      <c r="E424" s="207"/>
      <c r="F424" s="207"/>
    </row>
    <row r="425" spans="5:6" x14ac:dyDescent="0.15">
      <c r="E425" s="207"/>
      <c r="F425" s="207"/>
    </row>
    <row r="426" spans="5:6" x14ac:dyDescent="0.15">
      <c r="E426" s="207"/>
      <c r="F426" s="207"/>
    </row>
    <row r="427" spans="5:6" x14ac:dyDescent="0.15">
      <c r="E427" s="207"/>
      <c r="F427" s="207"/>
    </row>
    <row r="428" spans="5:6" x14ac:dyDescent="0.15">
      <c r="E428" s="207"/>
      <c r="F428" s="207"/>
    </row>
    <row r="429" spans="5:6" x14ac:dyDescent="0.15">
      <c r="E429" s="207"/>
      <c r="F429" s="207"/>
    </row>
    <row r="430" spans="5:6" x14ac:dyDescent="0.15">
      <c r="E430" s="207"/>
      <c r="F430" s="207"/>
    </row>
    <row r="431" spans="5:6" x14ac:dyDescent="0.15">
      <c r="E431" s="207"/>
      <c r="F431" s="207"/>
    </row>
    <row r="432" spans="5:6" x14ac:dyDescent="0.15">
      <c r="E432" s="207"/>
      <c r="F432" s="207"/>
    </row>
    <row r="433" spans="5:6" x14ac:dyDescent="0.15">
      <c r="E433" s="207"/>
      <c r="F433" s="207"/>
    </row>
    <row r="434" spans="5:6" x14ac:dyDescent="0.15">
      <c r="E434" s="207"/>
      <c r="F434" s="207"/>
    </row>
    <row r="435" spans="5:6" x14ac:dyDescent="0.15">
      <c r="E435" s="207"/>
      <c r="F435" s="207"/>
    </row>
    <row r="436" spans="5:6" x14ac:dyDescent="0.15">
      <c r="E436" s="207"/>
      <c r="F436" s="207"/>
    </row>
    <row r="437" spans="5:6" x14ac:dyDescent="0.15">
      <c r="E437" s="207"/>
      <c r="F437" s="207"/>
    </row>
    <row r="438" spans="5:6" x14ac:dyDescent="0.15">
      <c r="E438" s="207"/>
      <c r="F438" s="207"/>
    </row>
    <row r="439" spans="5:6" x14ac:dyDescent="0.15">
      <c r="E439" s="207"/>
      <c r="F439" s="207"/>
    </row>
    <row r="440" spans="5:6" x14ac:dyDescent="0.15">
      <c r="E440" s="207"/>
      <c r="F440" s="207"/>
    </row>
    <row r="441" spans="5:6" x14ac:dyDescent="0.15">
      <c r="E441" s="207"/>
      <c r="F441" s="207"/>
    </row>
    <row r="442" spans="5:6" x14ac:dyDescent="0.15">
      <c r="E442" s="207"/>
      <c r="F442" s="207"/>
    </row>
    <row r="443" spans="5:6" x14ac:dyDescent="0.15">
      <c r="E443" s="207"/>
      <c r="F443" s="207"/>
    </row>
    <row r="444" spans="5:6" x14ac:dyDescent="0.15">
      <c r="E444" s="207"/>
      <c r="F444" s="207"/>
    </row>
    <row r="445" spans="5:6" x14ac:dyDescent="0.15">
      <c r="E445" s="207"/>
      <c r="F445" s="207"/>
    </row>
    <row r="446" spans="5:6" x14ac:dyDescent="0.15">
      <c r="E446" s="207"/>
      <c r="F446" s="207"/>
    </row>
    <row r="447" spans="5:6" x14ac:dyDescent="0.15">
      <c r="E447" s="207"/>
      <c r="F447" s="207"/>
    </row>
    <row r="448" spans="5:6" x14ac:dyDescent="0.15">
      <c r="E448" s="207"/>
      <c r="F448" s="207"/>
    </row>
    <row r="449" spans="5:6" x14ac:dyDescent="0.15">
      <c r="E449" s="207"/>
      <c r="F449" s="207"/>
    </row>
    <row r="450" spans="5:6" x14ac:dyDescent="0.15">
      <c r="E450" s="207"/>
      <c r="F450" s="207"/>
    </row>
    <row r="451" spans="5:6" x14ac:dyDescent="0.15">
      <c r="E451" s="207"/>
      <c r="F451" s="207"/>
    </row>
    <row r="452" spans="5:6" x14ac:dyDescent="0.15">
      <c r="E452" s="207"/>
      <c r="F452" s="207"/>
    </row>
    <row r="453" spans="5:6" x14ac:dyDescent="0.15">
      <c r="E453" s="207"/>
      <c r="F453" s="207"/>
    </row>
    <row r="454" spans="5:6" x14ac:dyDescent="0.15">
      <c r="E454" s="207"/>
      <c r="F454" s="207"/>
    </row>
    <row r="455" spans="5:6" x14ac:dyDescent="0.15">
      <c r="E455" s="207"/>
      <c r="F455" s="207"/>
    </row>
    <row r="456" spans="5:6" x14ac:dyDescent="0.15">
      <c r="E456" s="207"/>
      <c r="F456" s="207"/>
    </row>
    <row r="457" spans="5:6" x14ac:dyDescent="0.15">
      <c r="E457" s="207"/>
      <c r="F457" s="207"/>
    </row>
    <row r="458" spans="5:6" x14ac:dyDescent="0.15">
      <c r="E458" s="207"/>
      <c r="F458" s="207"/>
    </row>
    <row r="459" spans="5:6" x14ac:dyDescent="0.15">
      <c r="E459" s="207"/>
      <c r="F459" s="207"/>
    </row>
    <row r="460" spans="5:6" x14ac:dyDescent="0.15">
      <c r="E460" s="207"/>
      <c r="F460" s="207"/>
    </row>
    <row r="461" spans="5:6" x14ac:dyDescent="0.15">
      <c r="E461" s="207"/>
      <c r="F461" s="207"/>
    </row>
    <row r="462" spans="5:6" x14ac:dyDescent="0.15">
      <c r="E462" s="207"/>
      <c r="F462" s="207"/>
    </row>
    <row r="463" spans="5:6" x14ac:dyDescent="0.15">
      <c r="E463" s="207"/>
      <c r="F463" s="207"/>
    </row>
    <row r="464" spans="5:6" x14ac:dyDescent="0.15">
      <c r="E464" s="207"/>
      <c r="F464" s="207"/>
    </row>
    <row r="465" spans="5:6" x14ac:dyDescent="0.15">
      <c r="E465" s="207"/>
      <c r="F465" s="207"/>
    </row>
    <row r="466" spans="5:6" x14ac:dyDescent="0.15">
      <c r="E466" s="207"/>
      <c r="F466" s="207"/>
    </row>
    <row r="467" spans="5:6" x14ac:dyDescent="0.15">
      <c r="E467" s="207"/>
      <c r="F467" s="207"/>
    </row>
    <row r="468" spans="5:6" x14ac:dyDescent="0.15">
      <c r="E468" s="207"/>
      <c r="F468" s="207"/>
    </row>
    <row r="469" spans="5:6" x14ac:dyDescent="0.15">
      <c r="E469" s="207"/>
      <c r="F469" s="207"/>
    </row>
    <row r="470" spans="5:6" x14ac:dyDescent="0.15">
      <c r="E470" s="207"/>
      <c r="F470" s="207"/>
    </row>
    <row r="471" spans="5:6" x14ac:dyDescent="0.15">
      <c r="E471" s="207"/>
      <c r="F471" s="207"/>
    </row>
    <row r="472" spans="5:6" x14ac:dyDescent="0.15">
      <c r="E472" s="207"/>
      <c r="F472" s="207"/>
    </row>
    <row r="473" spans="5:6" x14ac:dyDescent="0.15">
      <c r="E473" s="207"/>
      <c r="F473" s="207"/>
    </row>
    <row r="474" spans="5:6" x14ac:dyDescent="0.15">
      <c r="E474" s="207"/>
      <c r="F474" s="207"/>
    </row>
    <row r="475" spans="5:6" x14ac:dyDescent="0.15">
      <c r="E475" s="207"/>
      <c r="F475" s="207"/>
    </row>
    <row r="476" spans="5:6" x14ac:dyDescent="0.15">
      <c r="E476" s="207"/>
      <c r="F476" s="207"/>
    </row>
    <row r="477" spans="5:6" x14ac:dyDescent="0.15">
      <c r="E477" s="207"/>
      <c r="F477" s="207"/>
    </row>
    <row r="478" spans="5:6" x14ac:dyDescent="0.15">
      <c r="E478" s="207"/>
      <c r="F478" s="207"/>
    </row>
    <row r="479" spans="5:6" x14ac:dyDescent="0.15">
      <c r="E479" s="207"/>
      <c r="F479" s="207"/>
    </row>
    <row r="480" spans="5:6" x14ac:dyDescent="0.15">
      <c r="E480" s="207"/>
      <c r="F480" s="207"/>
    </row>
    <row r="481" spans="5:6" x14ac:dyDescent="0.15">
      <c r="E481" s="207"/>
      <c r="F481" s="207"/>
    </row>
    <row r="482" spans="5:6" x14ac:dyDescent="0.15">
      <c r="E482" s="207"/>
      <c r="F482" s="207"/>
    </row>
    <row r="483" spans="5:6" x14ac:dyDescent="0.15">
      <c r="E483" s="207"/>
      <c r="F483" s="207"/>
    </row>
    <row r="484" spans="5:6" x14ac:dyDescent="0.15">
      <c r="E484" s="207"/>
      <c r="F484" s="207"/>
    </row>
    <row r="485" spans="5:6" x14ac:dyDescent="0.15">
      <c r="E485" s="207"/>
      <c r="F485" s="207"/>
    </row>
    <row r="486" spans="5:6" x14ac:dyDescent="0.15">
      <c r="E486" s="207"/>
      <c r="F486" s="207"/>
    </row>
    <row r="487" spans="5:6" x14ac:dyDescent="0.15">
      <c r="E487" s="207"/>
      <c r="F487" s="207"/>
    </row>
    <row r="488" spans="5:6" x14ac:dyDescent="0.15">
      <c r="E488" s="207"/>
      <c r="F488" s="207"/>
    </row>
    <row r="489" spans="5:6" x14ac:dyDescent="0.15">
      <c r="E489" s="207"/>
      <c r="F489" s="207"/>
    </row>
    <row r="490" spans="5:6" x14ac:dyDescent="0.15">
      <c r="E490" s="207"/>
      <c r="F490" s="207"/>
    </row>
    <row r="491" spans="5:6" x14ac:dyDescent="0.15">
      <c r="E491" s="207"/>
      <c r="F491" s="207"/>
    </row>
    <row r="492" spans="5:6" x14ac:dyDescent="0.15">
      <c r="E492" s="207"/>
      <c r="F492" s="207"/>
    </row>
    <row r="493" spans="5:6" x14ac:dyDescent="0.15">
      <c r="E493" s="207"/>
      <c r="F493" s="207"/>
    </row>
    <row r="494" spans="5:6" x14ac:dyDescent="0.15">
      <c r="E494" s="207"/>
      <c r="F494" s="207"/>
    </row>
    <row r="495" spans="5:6" x14ac:dyDescent="0.15">
      <c r="E495" s="207"/>
      <c r="F495" s="207"/>
    </row>
    <row r="496" spans="5:6" x14ac:dyDescent="0.15">
      <c r="E496" s="207"/>
      <c r="F496" s="207"/>
    </row>
    <row r="497" spans="5:6" x14ac:dyDescent="0.15">
      <c r="E497" s="207"/>
      <c r="F497" s="207"/>
    </row>
    <row r="498" spans="5:6" x14ac:dyDescent="0.15">
      <c r="E498" s="207"/>
      <c r="F498" s="207"/>
    </row>
    <row r="499" spans="5:6" x14ac:dyDescent="0.15">
      <c r="E499" s="207"/>
      <c r="F499" s="207"/>
    </row>
    <row r="500" spans="5:6" x14ac:dyDescent="0.15">
      <c r="E500" s="207"/>
      <c r="F500" s="207"/>
    </row>
    <row r="501" spans="5:6" x14ac:dyDescent="0.15">
      <c r="E501" s="207"/>
      <c r="F501" s="207"/>
    </row>
    <row r="502" spans="5:6" x14ac:dyDescent="0.15">
      <c r="E502" s="207"/>
      <c r="F502" s="207"/>
    </row>
    <row r="503" spans="5:6" x14ac:dyDescent="0.15">
      <c r="E503" s="207"/>
      <c r="F503" s="207"/>
    </row>
    <row r="504" spans="5:6" x14ac:dyDescent="0.15">
      <c r="E504" s="207"/>
      <c r="F504" s="207"/>
    </row>
    <row r="505" spans="5:6" x14ac:dyDescent="0.15">
      <c r="E505" s="207"/>
      <c r="F505" s="207"/>
    </row>
    <row r="506" spans="5:6" x14ac:dyDescent="0.15">
      <c r="E506" s="207"/>
      <c r="F506" s="207"/>
    </row>
    <row r="507" spans="5:6" x14ac:dyDescent="0.15">
      <c r="E507" s="207"/>
      <c r="F507" s="207"/>
    </row>
    <row r="508" spans="5:6" x14ac:dyDescent="0.15">
      <c r="E508" s="207"/>
      <c r="F508" s="207"/>
    </row>
    <row r="509" spans="5:6" x14ac:dyDescent="0.15">
      <c r="E509" s="207"/>
      <c r="F509" s="207"/>
    </row>
    <row r="510" spans="5:6" x14ac:dyDescent="0.15">
      <c r="E510" s="207"/>
      <c r="F510" s="207"/>
    </row>
    <row r="511" spans="5:6" x14ac:dyDescent="0.15">
      <c r="E511" s="207"/>
      <c r="F511" s="207"/>
    </row>
    <row r="512" spans="5:6" x14ac:dyDescent="0.15">
      <c r="E512" s="207"/>
      <c r="F512" s="207"/>
    </row>
    <row r="513" spans="5:6" x14ac:dyDescent="0.15">
      <c r="E513" s="207"/>
      <c r="F513" s="207"/>
    </row>
    <row r="514" spans="5:6" x14ac:dyDescent="0.15">
      <c r="E514" s="207"/>
      <c r="F514" s="207"/>
    </row>
    <row r="515" spans="5:6" x14ac:dyDescent="0.15">
      <c r="E515" s="207"/>
      <c r="F515" s="207"/>
    </row>
    <row r="516" spans="5:6" x14ac:dyDescent="0.15">
      <c r="E516" s="207"/>
      <c r="F516" s="207"/>
    </row>
    <row r="517" spans="5:6" x14ac:dyDescent="0.15">
      <c r="E517" s="207"/>
      <c r="F517" s="207"/>
    </row>
    <row r="518" spans="5:6" x14ac:dyDescent="0.15">
      <c r="E518" s="207"/>
      <c r="F518" s="207"/>
    </row>
    <row r="519" spans="5:6" x14ac:dyDescent="0.15">
      <c r="E519" s="207"/>
      <c r="F519" s="207"/>
    </row>
    <row r="520" spans="5:6" x14ac:dyDescent="0.15">
      <c r="E520" s="207"/>
      <c r="F520" s="207"/>
    </row>
    <row r="521" spans="5:6" x14ac:dyDescent="0.15">
      <c r="E521" s="207"/>
      <c r="F521" s="207"/>
    </row>
    <row r="522" spans="5:6" x14ac:dyDescent="0.15">
      <c r="E522" s="207"/>
      <c r="F522" s="207"/>
    </row>
    <row r="523" spans="5:6" x14ac:dyDescent="0.15">
      <c r="E523" s="207"/>
      <c r="F523" s="207"/>
    </row>
    <row r="524" spans="5:6" x14ac:dyDescent="0.15">
      <c r="E524" s="207"/>
      <c r="F524" s="207"/>
    </row>
    <row r="525" spans="5:6" x14ac:dyDescent="0.15">
      <c r="E525" s="207"/>
      <c r="F525" s="207"/>
    </row>
    <row r="526" spans="5:6" x14ac:dyDescent="0.15">
      <c r="E526" s="207"/>
      <c r="F526" s="207"/>
    </row>
    <row r="527" spans="5:6" x14ac:dyDescent="0.15">
      <c r="E527" s="207"/>
      <c r="F527" s="207"/>
    </row>
    <row r="528" spans="5:6" x14ac:dyDescent="0.15">
      <c r="E528" s="207"/>
      <c r="F528" s="207"/>
    </row>
    <row r="529" spans="5:6" x14ac:dyDescent="0.15">
      <c r="E529" s="207"/>
      <c r="F529" s="207"/>
    </row>
    <row r="530" spans="5:6" x14ac:dyDescent="0.15">
      <c r="E530" s="207"/>
      <c r="F530" s="207"/>
    </row>
    <row r="531" spans="5:6" x14ac:dyDescent="0.15">
      <c r="E531" s="207"/>
      <c r="F531" s="207"/>
    </row>
    <row r="532" spans="5:6" x14ac:dyDescent="0.15">
      <c r="E532" s="207"/>
      <c r="F532" s="207"/>
    </row>
    <row r="533" spans="5:6" x14ac:dyDescent="0.15">
      <c r="E533" s="207"/>
      <c r="F533" s="207"/>
    </row>
    <row r="534" spans="5:6" x14ac:dyDescent="0.15">
      <c r="E534" s="207"/>
      <c r="F534" s="207"/>
    </row>
    <row r="535" spans="5:6" x14ac:dyDescent="0.15">
      <c r="E535" s="207"/>
      <c r="F535" s="207"/>
    </row>
    <row r="536" spans="5:6" x14ac:dyDescent="0.15">
      <c r="E536" s="207"/>
      <c r="F536" s="207"/>
    </row>
    <row r="537" spans="5:6" x14ac:dyDescent="0.15">
      <c r="E537" s="207"/>
      <c r="F537" s="207"/>
    </row>
    <row r="538" spans="5:6" x14ac:dyDescent="0.15">
      <c r="E538" s="207"/>
      <c r="F538" s="207"/>
    </row>
    <row r="539" spans="5:6" x14ac:dyDescent="0.15">
      <c r="E539" s="207"/>
      <c r="F539" s="207"/>
    </row>
    <row r="540" spans="5:6" x14ac:dyDescent="0.15">
      <c r="E540" s="207"/>
      <c r="F540" s="207"/>
    </row>
    <row r="541" spans="5:6" x14ac:dyDescent="0.15">
      <c r="E541" s="207"/>
      <c r="F541" s="207"/>
    </row>
    <row r="542" spans="5:6" x14ac:dyDescent="0.15">
      <c r="E542" s="207"/>
      <c r="F542" s="207"/>
    </row>
    <row r="543" spans="5:6" x14ac:dyDescent="0.15">
      <c r="E543" s="207"/>
      <c r="F543" s="207"/>
    </row>
    <row r="544" spans="5:6" x14ac:dyDescent="0.15">
      <c r="E544" s="207"/>
      <c r="F544" s="207"/>
    </row>
    <row r="545" spans="5:6" x14ac:dyDescent="0.15">
      <c r="E545" s="207"/>
      <c r="F545" s="207"/>
    </row>
    <row r="546" spans="5:6" x14ac:dyDescent="0.15">
      <c r="E546" s="207"/>
      <c r="F546" s="207"/>
    </row>
    <row r="547" spans="5:6" x14ac:dyDescent="0.15">
      <c r="E547" s="207"/>
      <c r="F547" s="207"/>
    </row>
    <row r="548" spans="5:6" x14ac:dyDescent="0.15">
      <c r="E548" s="207"/>
      <c r="F548" s="207"/>
    </row>
    <row r="549" spans="5:6" x14ac:dyDescent="0.15">
      <c r="E549" s="207"/>
      <c r="F549" s="207"/>
    </row>
    <row r="550" spans="5:6" x14ac:dyDescent="0.15">
      <c r="E550" s="207"/>
      <c r="F550" s="207"/>
    </row>
    <row r="551" spans="5:6" x14ac:dyDescent="0.15">
      <c r="E551" s="207"/>
      <c r="F551" s="207"/>
    </row>
    <row r="552" spans="5:6" x14ac:dyDescent="0.15">
      <c r="E552" s="207"/>
      <c r="F552" s="207"/>
    </row>
    <row r="553" spans="5:6" x14ac:dyDescent="0.15">
      <c r="E553" s="207"/>
      <c r="F553" s="207"/>
    </row>
    <row r="554" spans="5:6" x14ac:dyDescent="0.15">
      <c r="E554" s="207"/>
      <c r="F554" s="207"/>
    </row>
    <row r="555" spans="5:6" x14ac:dyDescent="0.15">
      <c r="E555" s="207"/>
      <c r="F555" s="207"/>
    </row>
    <row r="556" spans="5:6" x14ac:dyDescent="0.15">
      <c r="E556" s="207"/>
      <c r="F556" s="207"/>
    </row>
    <row r="557" spans="5:6" x14ac:dyDescent="0.15">
      <c r="E557" s="207"/>
      <c r="F557" s="207"/>
    </row>
    <row r="558" spans="5:6" x14ac:dyDescent="0.15">
      <c r="E558" s="207"/>
      <c r="F558" s="207"/>
    </row>
    <row r="559" spans="5:6" x14ac:dyDescent="0.15">
      <c r="E559" s="207"/>
      <c r="F559" s="207"/>
    </row>
    <row r="560" spans="5:6" x14ac:dyDescent="0.15">
      <c r="E560" s="207"/>
      <c r="F560" s="207"/>
    </row>
    <row r="561" spans="5:6" x14ac:dyDescent="0.15">
      <c r="E561" s="207"/>
      <c r="F561" s="207"/>
    </row>
    <row r="562" spans="5:6" x14ac:dyDescent="0.15">
      <c r="E562" s="207"/>
      <c r="F562" s="207"/>
    </row>
    <row r="563" spans="5:6" x14ac:dyDescent="0.15">
      <c r="E563" s="207"/>
      <c r="F563" s="207"/>
    </row>
    <row r="564" spans="5:6" x14ac:dyDescent="0.15">
      <c r="E564" s="207"/>
      <c r="F564" s="207"/>
    </row>
    <row r="565" spans="5:6" x14ac:dyDescent="0.15">
      <c r="E565" s="207"/>
      <c r="F565" s="207"/>
    </row>
    <row r="566" spans="5:6" x14ac:dyDescent="0.15">
      <c r="E566" s="207"/>
      <c r="F566" s="207"/>
    </row>
    <row r="567" spans="5:6" x14ac:dyDescent="0.15">
      <c r="E567" s="207"/>
      <c r="F567" s="207"/>
    </row>
    <row r="568" spans="5:6" x14ac:dyDescent="0.15">
      <c r="E568" s="207"/>
      <c r="F568" s="207"/>
    </row>
    <row r="569" spans="5:6" x14ac:dyDescent="0.15">
      <c r="E569" s="207"/>
      <c r="F569" s="207"/>
    </row>
    <row r="570" spans="5:6" x14ac:dyDescent="0.15">
      <c r="E570" s="207"/>
      <c r="F570" s="207"/>
    </row>
    <row r="571" spans="5:6" x14ac:dyDescent="0.15">
      <c r="E571" s="207"/>
      <c r="F571" s="207"/>
    </row>
    <row r="572" spans="5:6" x14ac:dyDescent="0.15">
      <c r="E572" s="207"/>
      <c r="F572" s="207"/>
    </row>
    <row r="573" spans="5:6" x14ac:dyDescent="0.15">
      <c r="E573" s="207"/>
      <c r="F573" s="207"/>
    </row>
    <row r="574" spans="5:6" x14ac:dyDescent="0.15">
      <c r="E574" s="207"/>
      <c r="F574" s="207"/>
    </row>
    <row r="575" spans="5:6" x14ac:dyDescent="0.15">
      <c r="E575" s="207"/>
      <c r="F575" s="207"/>
    </row>
    <row r="576" spans="5:6" x14ac:dyDescent="0.15">
      <c r="E576" s="207"/>
      <c r="F576" s="207"/>
    </row>
    <row r="577" spans="5:6" x14ac:dyDescent="0.15">
      <c r="E577" s="207"/>
      <c r="F577" s="207"/>
    </row>
    <row r="578" spans="5:6" x14ac:dyDescent="0.15">
      <c r="E578" s="207"/>
      <c r="F578" s="207"/>
    </row>
    <row r="579" spans="5:6" x14ac:dyDescent="0.15">
      <c r="E579" s="207"/>
      <c r="F579" s="207"/>
    </row>
    <row r="580" spans="5:6" x14ac:dyDescent="0.15">
      <c r="E580" s="207"/>
      <c r="F580" s="207"/>
    </row>
    <row r="581" spans="5:6" x14ac:dyDescent="0.15">
      <c r="E581" s="207"/>
      <c r="F581" s="207"/>
    </row>
    <row r="582" spans="5:6" x14ac:dyDescent="0.15">
      <c r="E582" s="207"/>
      <c r="F582" s="207"/>
    </row>
    <row r="583" spans="5:6" x14ac:dyDescent="0.15">
      <c r="E583" s="207"/>
      <c r="F583" s="207"/>
    </row>
    <row r="584" spans="5:6" x14ac:dyDescent="0.15">
      <c r="E584" s="207"/>
      <c r="F584" s="207"/>
    </row>
    <row r="585" spans="5:6" x14ac:dyDescent="0.15">
      <c r="E585" s="207"/>
      <c r="F585" s="207"/>
    </row>
    <row r="586" spans="5:6" x14ac:dyDescent="0.15">
      <c r="E586" s="207"/>
      <c r="F586" s="207"/>
    </row>
    <row r="587" spans="5:6" x14ac:dyDescent="0.15">
      <c r="E587" s="207"/>
      <c r="F587" s="207"/>
    </row>
    <row r="588" spans="5:6" x14ac:dyDescent="0.15">
      <c r="E588" s="207"/>
      <c r="F588" s="207"/>
    </row>
    <row r="589" spans="5:6" x14ac:dyDescent="0.15">
      <c r="E589" s="207"/>
      <c r="F589" s="207"/>
    </row>
    <row r="590" spans="5:6" x14ac:dyDescent="0.15">
      <c r="E590" s="207"/>
      <c r="F590" s="207"/>
    </row>
    <row r="591" spans="5:6" x14ac:dyDescent="0.15">
      <c r="E591" s="207"/>
      <c r="F591" s="207"/>
    </row>
    <row r="592" spans="5:6" x14ac:dyDescent="0.15">
      <c r="E592" s="207"/>
      <c r="F592" s="207"/>
    </row>
    <row r="593" spans="5:6" x14ac:dyDescent="0.15">
      <c r="E593" s="207"/>
      <c r="F593" s="207"/>
    </row>
    <row r="594" spans="5:6" x14ac:dyDescent="0.15">
      <c r="E594" s="207"/>
      <c r="F594" s="207"/>
    </row>
    <row r="595" spans="5:6" x14ac:dyDescent="0.15">
      <c r="E595" s="207"/>
      <c r="F595" s="207"/>
    </row>
    <row r="596" spans="5:6" x14ac:dyDescent="0.15">
      <c r="E596" s="207"/>
      <c r="F596" s="207"/>
    </row>
    <row r="597" spans="5:6" x14ac:dyDescent="0.15">
      <c r="E597" s="207"/>
      <c r="F597" s="207"/>
    </row>
    <row r="598" spans="5:6" x14ac:dyDescent="0.15">
      <c r="E598" s="207"/>
      <c r="F598" s="207"/>
    </row>
    <row r="599" spans="5:6" x14ac:dyDescent="0.15">
      <c r="E599" s="207"/>
      <c r="F599" s="207"/>
    </row>
    <row r="600" spans="5:6" x14ac:dyDescent="0.15">
      <c r="E600" s="207"/>
      <c r="F600" s="207"/>
    </row>
    <row r="601" spans="5:6" x14ac:dyDescent="0.15">
      <c r="E601" s="207"/>
      <c r="F601" s="207"/>
    </row>
    <row r="602" spans="5:6" x14ac:dyDescent="0.15">
      <c r="E602" s="207"/>
      <c r="F602" s="207"/>
    </row>
    <row r="603" spans="5:6" x14ac:dyDescent="0.15">
      <c r="E603" s="207"/>
      <c r="F603" s="207"/>
    </row>
    <row r="604" spans="5:6" x14ac:dyDescent="0.15">
      <c r="E604" s="207"/>
      <c r="F604" s="207"/>
    </row>
    <row r="605" spans="5:6" x14ac:dyDescent="0.15">
      <c r="E605" s="207"/>
      <c r="F605" s="207"/>
    </row>
    <row r="606" spans="5:6" x14ac:dyDescent="0.15">
      <c r="E606" s="207"/>
      <c r="F606" s="207"/>
    </row>
    <row r="607" spans="5:6" x14ac:dyDescent="0.15">
      <c r="E607" s="207"/>
      <c r="F607" s="207"/>
    </row>
    <row r="608" spans="5:6" x14ac:dyDescent="0.15">
      <c r="E608" s="207"/>
      <c r="F608" s="207"/>
    </row>
    <row r="609" spans="5:6" x14ac:dyDescent="0.15">
      <c r="E609" s="207"/>
      <c r="F609" s="207"/>
    </row>
    <row r="610" spans="5:6" x14ac:dyDescent="0.15">
      <c r="E610" s="207"/>
      <c r="F610" s="207"/>
    </row>
    <row r="611" spans="5:6" x14ac:dyDescent="0.15">
      <c r="E611" s="207"/>
      <c r="F611" s="207"/>
    </row>
    <row r="612" spans="5:6" x14ac:dyDescent="0.15">
      <c r="E612" s="207"/>
      <c r="F612" s="207"/>
    </row>
    <row r="613" spans="5:6" x14ac:dyDescent="0.15">
      <c r="E613" s="207"/>
      <c r="F613" s="207"/>
    </row>
    <row r="614" spans="5:6" x14ac:dyDescent="0.15">
      <c r="E614" s="207"/>
      <c r="F614" s="207"/>
    </row>
    <row r="615" spans="5:6" x14ac:dyDescent="0.15">
      <c r="E615" s="207"/>
      <c r="F615" s="207"/>
    </row>
    <row r="616" spans="5:6" x14ac:dyDescent="0.15">
      <c r="E616" s="207"/>
      <c r="F616" s="207"/>
    </row>
    <row r="617" spans="5:6" x14ac:dyDescent="0.15">
      <c r="E617" s="207"/>
      <c r="F617" s="207"/>
    </row>
    <row r="618" spans="5:6" x14ac:dyDescent="0.15">
      <c r="E618" s="207"/>
      <c r="F618" s="207"/>
    </row>
    <row r="619" spans="5:6" x14ac:dyDescent="0.15">
      <c r="E619" s="207"/>
      <c r="F619" s="207"/>
    </row>
    <row r="620" spans="5:6" x14ac:dyDescent="0.15">
      <c r="E620" s="207"/>
      <c r="F620" s="207"/>
    </row>
    <row r="621" spans="5:6" x14ac:dyDescent="0.15">
      <c r="E621" s="207"/>
      <c r="F621" s="207"/>
    </row>
    <row r="622" spans="5:6" x14ac:dyDescent="0.15">
      <c r="E622" s="207"/>
      <c r="F622" s="207"/>
    </row>
    <row r="623" spans="5:6" x14ac:dyDescent="0.15">
      <c r="E623" s="207"/>
      <c r="F623" s="207"/>
    </row>
    <row r="624" spans="5:6" x14ac:dyDescent="0.15">
      <c r="E624" s="207"/>
      <c r="F624" s="207"/>
    </row>
    <row r="625" spans="5:6" x14ac:dyDescent="0.15">
      <c r="E625" s="207"/>
      <c r="F625" s="207"/>
    </row>
    <row r="626" spans="5:6" x14ac:dyDescent="0.15">
      <c r="E626" s="207"/>
      <c r="F626" s="207"/>
    </row>
    <row r="627" spans="5:6" x14ac:dyDescent="0.15">
      <c r="E627" s="207"/>
      <c r="F627" s="207"/>
    </row>
    <row r="628" spans="5:6" x14ac:dyDescent="0.15">
      <c r="E628" s="207"/>
      <c r="F628" s="207"/>
    </row>
    <row r="629" spans="5:6" x14ac:dyDescent="0.15">
      <c r="E629" s="207"/>
      <c r="F629" s="207"/>
    </row>
    <row r="630" spans="5:6" x14ac:dyDescent="0.15">
      <c r="E630" s="207"/>
      <c r="F630" s="207"/>
    </row>
    <row r="631" spans="5:6" x14ac:dyDescent="0.15">
      <c r="E631" s="207"/>
      <c r="F631" s="207"/>
    </row>
    <row r="632" spans="5:6" x14ac:dyDescent="0.15">
      <c r="E632" s="207"/>
      <c r="F632" s="207"/>
    </row>
    <row r="633" spans="5:6" x14ac:dyDescent="0.15">
      <c r="E633" s="207"/>
      <c r="F633" s="207"/>
    </row>
    <row r="634" spans="5:6" x14ac:dyDescent="0.15">
      <c r="E634" s="207"/>
      <c r="F634" s="207"/>
    </row>
    <row r="635" spans="5:6" x14ac:dyDescent="0.15">
      <c r="E635" s="207"/>
      <c r="F635" s="207"/>
    </row>
    <row r="636" spans="5:6" x14ac:dyDescent="0.15">
      <c r="E636" s="207"/>
      <c r="F636" s="207"/>
    </row>
    <row r="637" spans="5:6" x14ac:dyDescent="0.15">
      <c r="E637" s="207"/>
      <c r="F637" s="207"/>
    </row>
    <row r="638" spans="5:6" x14ac:dyDescent="0.15">
      <c r="E638" s="207"/>
      <c r="F638" s="207"/>
    </row>
    <row r="639" spans="5:6" x14ac:dyDescent="0.15">
      <c r="E639" s="207"/>
      <c r="F639" s="207"/>
    </row>
    <row r="640" spans="5:6" x14ac:dyDescent="0.15">
      <c r="E640" s="207"/>
      <c r="F640" s="207"/>
    </row>
    <row r="641" spans="5:6" x14ac:dyDescent="0.15">
      <c r="E641" s="207"/>
      <c r="F641" s="207"/>
    </row>
    <row r="642" spans="5:6" x14ac:dyDescent="0.15">
      <c r="E642" s="207"/>
      <c r="F642" s="207"/>
    </row>
    <row r="643" spans="5:6" x14ac:dyDescent="0.15">
      <c r="E643" s="207"/>
      <c r="F643" s="207"/>
    </row>
    <row r="644" spans="5:6" x14ac:dyDescent="0.15">
      <c r="E644" s="207"/>
      <c r="F644" s="207"/>
    </row>
    <row r="645" spans="5:6" x14ac:dyDescent="0.15">
      <c r="E645" s="207"/>
      <c r="F645" s="207"/>
    </row>
    <row r="646" spans="5:6" x14ac:dyDescent="0.15">
      <c r="E646" s="207"/>
      <c r="F646" s="207"/>
    </row>
    <row r="647" spans="5:6" x14ac:dyDescent="0.15">
      <c r="E647" s="207"/>
      <c r="F647" s="207"/>
    </row>
    <row r="648" spans="5:6" x14ac:dyDescent="0.15">
      <c r="E648" s="207"/>
      <c r="F648" s="207"/>
    </row>
    <row r="649" spans="5:6" x14ac:dyDescent="0.15">
      <c r="E649" s="207"/>
      <c r="F649" s="207"/>
    </row>
    <row r="650" spans="5:6" x14ac:dyDescent="0.15">
      <c r="E650" s="207"/>
      <c r="F650" s="207"/>
    </row>
    <row r="651" spans="5:6" x14ac:dyDescent="0.15">
      <c r="E651" s="207"/>
      <c r="F651" s="207"/>
    </row>
    <row r="652" spans="5:6" x14ac:dyDescent="0.15">
      <c r="E652" s="207"/>
      <c r="F652" s="207"/>
    </row>
    <row r="653" spans="5:6" x14ac:dyDescent="0.15">
      <c r="E653" s="207"/>
      <c r="F653" s="207"/>
    </row>
    <row r="654" spans="5:6" x14ac:dyDescent="0.15">
      <c r="E654" s="207"/>
      <c r="F654" s="207"/>
    </row>
    <row r="655" spans="5:6" x14ac:dyDescent="0.15">
      <c r="E655" s="207"/>
      <c r="F655" s="207"/>
    </row>
    <row r="656" spans="5:6" x14ac:dyDescent="0.15">
      <c r="E656" s="207"/>
      <c r="F656" s="207"/>
    </row>
    <row r="657" spans="5:6" x14ac:dyDescent="0.15">
      <c r="E657" s="207"/>
      <c r="F657" s="207"/>
    </row>
    <row r="658" spans="5:6" x14ac:dyDescent="0.15">
      <c r="E658" s="207"/>
      <c r="F658" s="207"/>
    </row>
    <row r="659" spans="5:6" x14ac:dyDescent="0.15">
      <c r="E659" s="207"/>
      <c r="F659" s="207"/>
    </row>
    <row r="660" spans="5:6" x14ac:dyDescent="0.15">
      <c r="E660" s="207"/>
      <c r="F660" s="207"/>
    </row>
    <row r="661" spans="5:6" x14ac:dyDescent="0.15">
      <c r="E661" s="207"/>
      <c r="F661" s="207"/>
    </row>
    <row r="662" spans="5:6" x14ac:dyDescent="0.15">
      <c r="E662" s="207"/>
      <c r="F662" s="207"/>
    </row>
    <row r="663" spans="5:6" x14ac:dyDescent="0.15">
      <c r="E663" s="207"/>
      <c r="F663" s="207"/>
    </row>
    <row r="664" spans="5:6" x14ac:dyDescent="0.15">
      <c r="E664" s="207"/>
      <c r="F664" s="207"/>
    </row>
    <row r="665" spans="5:6" x14ac:dyDescent="0.15">
      <c r="E665" s="207"/>
      <c r="F665" s="207"/>
    </row>
    <row r="666" spans="5:6" x14ac:dyDescent="0.15">
      <c r="E666" s="207"/>
      <c r="F666" s="207"/>
    </row>
    <row r="667" spans="5:6" x14ac:dyDescent="0.15">
      <c r="E667" s="207"/>
      <c r="F667" s="207"/>
    </row>
    <row r="668" spans="5:6" x14ac:dyDescent="0.15">
      <c r="E668" s="207"/>
      <c r="F668" s="207"/>
    </row>
    <row r="669" spans="5:6" x14ac:dyDescent="0.15">
      <c r="E669" s="207"/>
      <c r="F669" s="207"/>
    </row>
    <row r="670" spans="5:6" x14ac:dyDescent="0.15">
      <c r="E670" s="207"/>
      <c r="F670" s="207"/>
    </row>
    <row r="671" spans="5:6" x14ac:dyDescent="0.15">
      <c r="E671" s="207"/>
      <c r="F671" s="207"/>
    </row>
    <row r="672" spans="5:6" x14ac:dyDescent="0.15">
      <c r="E672" s="207"/>
      <c r="F672" s="207"/>
    </row>
    <row r="673" spans="5:6" x14ac:dyDescent="0.15">
      <c r="E673" s="207"/>
      <c r="F673" s="207"/>
    </row>
    <row r="674" spans="5:6" x14ac:dyDescent="0.15">
      <c r="E674" s="207"/>
      <c r="F674" s="207"/>
    </row>
    <row r="675" spans="5:6" x14ac:dyDescent="0.15">
      <c r="E675" s="207"/>
      <c r="F675" s="207"/>
    </row>
    <row r="676" spans="5:6" x14ac:dyDescent="0.15">
      <c r="E676" s="207"/>
      <c r="F676" s="207"/>
    </row>
    <row r="677" spans="5:6" x14ac:dyDescent="0.15">
      <c r="E677" s="207"/>
      <c r="F677" s="207"/>
    </row>
    <row r="678" spans="5:6" x14ac:dyDescent="0.15">
      <c r="E678" s="207"/>
      <c r="F678" s="207"/>
    </row>
    <row r="679" spans="5:6" x14ac:dyDescent="0.15">
      <c r="E679" s="207"/>
      <c r="F679" s="207"/>
    </row>
    <row r="680" spans="5:6" x14ac:dyDescent="0.15">
      <c r="E680" s="207"/>
      <c r="F680" s="207"/>
    </row>
    <row r="681" spans="5:6" x14ac:dyDescent="0.15">
      <c r="E681" s="207"/>
      <c r="F681" s="207"/>
    </row>
    <row r="682" spans="5:6" x14ac:dyDescent="0.15">
      <c r="E682" s="207"/>
      <c r="F682" s="207"/>
    </row>
    <row r="683" spans="5:6" x14ac:dyDescent="0.15">
      <c r="E683" s="207"/>
      <c r="F683" s="207"/>
    </row>
    <row r="684" spans="5:6" x14ac:dyDescent="0.15">
      <c r="E684" s="207"/>
      <c r="F684" s="207"/>
    </row>
    <row r="685" spans="5:6" x14ac:dyDescent="0.15">
      <c r="E685" s="207"/>
      <c r="F685" s="207"/>
    </row>
    <row r="686" spans="5:6" x14ac:dyDescent="0.15">
      <c r="E686" s="207"/>
      <c r="F686" s="207"/>
    </row>
    <row r="687" spans="5:6" x14ac:dyDescent="0.15">
      <c r="E687" s="207"/>
      <c r="F687" s="207"/>
    </row>
    <row r="688" spans="5:6" x14ac:dyDescent="0.15">
      <c r="E688" s="207"/>
      <c r="F688" s="207"/>
    </row>
    <row r="689" spans="5:6" x14ac:dyDescent="0.15">
      <c r="E689" s="207"/>
      <c r="F689" s="207"/>
    </row>
    <row r="690" spans="5:6" x14ac:dyDescent="0.15">
      <c r="E690" s="207"/>
      <c r="F690" s="207"/>
    </row>
    <row r="691" spans="5:6" x14ac:dyDescent="0.15">
      <c r="E691" s="207"/>
      <c r="F691" s="207"/>
    </row>
    <row r="692" spans="5:6" x14ac:dyDescent="0.15">
      <c r="E692" s="207"/>
      <c r="F692" s="207"/>
    </row>
    <row r="693" spans="5:6" x14ac:dyDescent="0.15">
      <c r="E693" s="207"/>
      <c r="F693" s="207"/>
    </row>
    <row r="694" spans="5:6" x14ac:dyDescent="0.15">
      <c r="E694" s="207"/>
      <c r="F694" s="207"/>
    </row>
    <row r="695" spans="5:6" x14ac:dyDescent="0.15">
      <c r="E695" s="207"/>
      <c r="F695" s="207"/>
    </row>
    <row r="696" spans="5:6" x14ac:dyDescent="0.15">
      <c r="E696" s="207"/>
      <c r="F696" s="207"/>
    </row>
    <row r="697" spans="5:6" x14ac:dyDescent="0.15">
      <c r="E697" s="207"/>
      <c r="F697" s="207"/>
    </row>
    <row r="698" spans="5:6" x14ac:dyDescent="0.15">
      <c r="E698" s="207"/>
      <c r="F698" s="207"/>
    </row>
    <row r="699" spans="5:6" x14ac:dyDescent="0.15">
      <c r="E699" s="207"/>
      <c r="F699" s="207"/>
    </row>
    <row r="700" spans="5:6" x14ac:dyDescent="0.15">
      <c r="E700" s="207"/>
      <c r="F700" s="207"/>
    </row>
    <row r="701" spans="5:6" x14ac:dyDescent="0.15">
      <c r="E701" s="207"/>
      <c r="F701" s="207"/>
    </row>
    <row r="702" spans="5:6" x14ac:dyDescent="0.15">
      <c r="E702" s="207"/>
      <c r="F702" s="207"/>
    </row>
    <row r="703" spans="5:6" x14ac:dyDescent="0.15">
      <c r="E703" s="207"/>
      <c r="F703" s="207"/>
    </row>
    <row r="704" spans="5:6" x14ac:dyDescent="0.15">
      <c r="E704" s="207"/>
      <c r="F704" s="207"/>
    </row>
    <row r="705" spans="5:6" x14ac:dyDescent="0.15">
      <c r="E705" s="207"/>
      <c r="F705" s="207"/>
    </row>
    <row r="706" spans="5:6" x14ac:dyDescent="0.15">
      <c r="E706" s="207"/>
      <c r="F706" s="207"/>
    </row>
    <row r="707" spans="5:6" x14ac:dyDescent="0.15">
      <c r="E707" s="207"/>
      <c r="F707" s="207"/>
    </row>
    <row r="708" spans="5:6" x14ac:dyDescent="0.15">
      <c r="E708" s="207"/>
      <c r="F708" s="207"/>
    </row>
    <row r="709" spans="5:6" x14ac:dyDescent="0.15">
      <c r="E709" s="207"/>
      <c r="F709" s="207"/>
    </row>
    <row r="710" spans="5:6" x14ac:dyDescent="0.15">
      <c r="E710" s="207"/>
      <c r="F710" s="207"/>
    </row>
    <row r="711" spans="5:6" x14ac:dyDescent="0.15">
      <c r="E711" s="207"/>
      <c r="F711" s="207"/>
    </row>
    <row r="712" spans="5:6" x14ac:dyDescent="0.15">
      <c r="E712" s="207"/>
      <c r="F712" s="207"/>
    </row>
    <row r="713" spans="5:6" x14ac:dyDescent="0.15">
      <c r="E713" s="207"/>
      <c r="F713" s="207"/>
    </row>
    <row r="714" spans="5:6" x14ac:dyDescent="0.15">
      <c r="E714" s="207"/>
      <c r="F714" s="207"/>
    </row>
    <row r="715" spans="5:6" x14ac:dyDescent="0.15">
      <c r="E715" s="207"/>
      <c r="F715" s="207"/>
    </row>
    <row r="716" spans="5:6" x14ac:dyDescent="0.15">
      <c r="E716" s="207"/>
      <c r="F716" s="207"/>
    </row>
    <row r="717" spans="5:6" x14ac:dyDescent="0.15">
      <c r="E717" s="207"/>
      <c r="F717" s="207"/>
    </row>
    <row r="718" spans="5:6" x14ac:dyDescent="0.15">
      <c r="E718" s="207"/>
      <c r="F718" s="207"/>
    </row>
    <row r="719" spans="5:6" x14ac:dyDescent="0.15">
      <c r="E719" s="207"/>
      <c r="F719" s="207"/>
    </row>
    <row r="720" spans="5:6" x14ac:dyDescent="0.15">
      <c r="E720" s="207"/>
      <c r="F720" s="207"/>
    </row>
    <row r="721" spans="5:6" x14ac:dyDescent="0.15">
      <c r="E721" s="207"/>
      <c r="F721" s="207"/>
    </row>
    <row r="722" spans="5:6" x14ac:dyDescent="0.15">
      <c r="E722" s="207"/>
      <c r="F722" s="207"/>
    </row>
    <row r="723" spans="5:6" x14ac:dyDescent="0.15">
      <c r="E723" s="207"/>
      <c r="F723" s="207"/>
    </row>
    <row r="724" spans="5:6" x14ac:dyDescent="0.15">
      <c r="E724" s="207"/>
      <c r="F724" s="207"/>
    </row>
    <row r="725" spans="5:6" x14ac:dyDescent="0.15">
      <c r="E725" s="207"/>
      <c r="F725" s="207"/>
    </row>
    <row r="726" spans="5:6" x14ac:dyDescent="0.15">
      <c r="E726" s="207"/>
      <c r="F726" s="207"/>
    </row>
    <row r="727" spans="5:6" x14ac:dyDescent="0.15">
      <c r="E727" s="207"/>
      <c r="F727" s="207"/>
    </row>
    <row r="728" spans="5:6" x14ac:dyDescent="0.15">
      <c r="E728" s="207"/>
      <c r="F728" s="207"/>
    </row>
    <row r="729" spans="5:6" x14ac:dyDescent="0.15">
      <c r="E729" s="207"/>
      <c r="F729" s="207"/>
    </row>
    <row r="730" spans="5:6" x14ac:dyDescent="0.15">
      <c r="E730" s="207"/>
      <c r="F730" s="207"/>
    </row>
    <row r="731" spans="5:6" x14ac:dyDescent="0.15">
      <c r="E731" s="207"/>
      <c r="F731" s="207"/>
    </row>
    <row r="732" spans="5:6" x14ac:dyDescent="0.15">
      <c r="E732" s="207"/>
    </row>
  </sheetData>
  <autoFilter ref="A1:BA85"/>
  <phoneticPr fontId="3"/>
  <dataValidations count="15">
    <dataValidation type="decimal" allowBlank="1" showInputMessage="1" showErrorMessage="1" error="硬度を正しく入力して下さい。" sqref="O2:P5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formula1>$AT$2:$AT$3</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formula1>$AL$4:$AL$12</formula1>
    </dataValidation>
    <dataValidation type="list" allowBlank="1" showInputMessage="1" showErrorMessage="1" sqref="H2:H500">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formula1>$AH$2:$AH$11</formula1>
    </dataValidation>
    <dataValidation type="list" allowBlank="1" showInputMessage="1" showErrorMessage="1" sqref="K2:K8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formula1>$AR$2:$AR$25</formula1>
    </dataValidation>
    <dataValidation type="list" allowBlank="1" showInputMessage="1" showErrorMessage="1" sqref="Y2:AA500">
      <formula1>$AV$2:$AV$21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formula1>$AE$2:$AE$19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formula1>$AN$5:$AN$6</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zoomScale="80" zoomScaleNormal="80" workbookViewId="0">
      <selection activeCell="O24" sqref="O24"/>
    </sheetView>
  </sheetViews>
  <sheetFormatPr defaultRowHeight="13.5" x14ac:dyDescent="0.15"/>
  <cols>
    <col min="1" max="3" width="9" style="169" customWidth="1"/>
    <col min="4" max="4" width="10.5" style="169" customWidth="1"/>
    <col min="5" max="5" width="11.25" style="169" bestFit="1" customWidth="1"/>
    <col min="6" max="7" width="9" style="169"/>
    <col min="8" max="10" width="9" style="169" customWidth="1"/>
    <col min="11" max="11" width="11.375" style="169" customWidth="1"/>
    <col min="12" max="16" width="9" style="169" customWidth="1"/>
    <col min="17" max="17" width="9" style="178" customWidth="1"/>
    <col min="18" max="18" width="9" style="169"/>
    <col min="19" max="19" width="9.5" style="169" bestFit="1" customWidth="1"/>
    <col min="20" max="20" width="9" style="178" customWidth="1"/>
    <col min="21" max="21" width="9" style="169"/>
    <col min="22" max="22" width="9" style="178" customWidth="1"/>
    <col min="23" max="28" width="9" style="169"/>
    <col min="29" max="29" width="26.5" style="169" customWidth="1"/>
    <col min="30" max="32" width="9" style="169"/>
    <col min="33" max="33" width="15.75" style="169" bestFit="1" customWidth="1"/>
    <col min="34" max="34" width="15" style="169" bestFit="1" customWidth="1"/>
    <col min="35" max="256" width="9" style="169"/>
    <col min="257" max="259" width="9" style="169" customWidth="1"/>
    <col min="260" max="260" width="10.5" style="169" customWidth="1"/>
    <col min="261" max="261" width="11.25" style="169" bestFit="1" customWidth="1"/>
    <col min="262" max="263" width="9" style="169"/>
    <col min="264" max="273" width="9" style="169" customWidth="1"/>
    <col min="274" max="274" width="9" style="169"/>
    <col min="275" max="275" width="9.5" style="169" bestFit="1" customWidth="1"/>
    <col min="276" max="276" width="9" style="169" customWidth="1"/>
    <col min="277" max="277" width="9" style="169"/>
    <col min="278" max="278" width="9" style="169" customWidth="1"/>
    <col min="279" max="284" width="9" style="169"/>
    <col min="285" max="285" width="26.5" style="169" customWidth="1"/>
    <col min="286" max="288" width="9" style="169"/>
    <col min="289" max="289" width="14.75" style="169" bestFit="1" customWidth="1"/>
    <col min="290" max="512" width="9" style="169"/>
    <col min="513" max="515" width="9" style="169" customWidth="1"/>
    <col min="516" max="516" width="10.5" style="169" customWidth="1"/>
    <col min="517" max="517" width="11.25" style="169" bestFit="1" customWidth="1"/>
    <col min="518" max="519" width="9" style="169"/>
    <col min="520" max="529" width="9" style="169" customWidth="1"/>
    <col min="530" max="530" width="9" style="169"/>
    <col min="531" max="531" width="9.5" style="169" bestFit="1" customWidth="1"/>
    <col min="532" max="532" width="9" style="169" customWidth="1"/>
    <col min="533" max="533" width="9" style="169"/>
    <col min="534" max="534" width="9" style="169" customWidth="1"/>
    <col min="535" max="540" width="9" style="169"/>
    <col min="541" max="541" width="26.5" style="169" customWidth="1"/>
    <col min="542" max="544" width="9" style="169"/>
    <col min="545" max="545" width="14.75" style="169" bestFit="1" customWidth="1"/>
    <col min="546" max="768" width="9" style="169"/>
    <col min="769" max="771" width="9" style="169" customWidth="1"/>
    <col min="772" max="772" width="10.5" style="169" customWidth="1"/>
    <col min="773" max="773" width="11.25" style="169" bestFit="1" customWidth="1"/>
    <col min="774" max="775" width="9" style="169"/>
    <col min="776" max="785" width="9" style="169" customWidth="1"/>
    <col min="786" max="786" width="9" style="169"/>
    <col min="787" max="787" width="9.5" style="169" bestFit="1" customWidth="1"/>
    <col min="788" max="788" width="9" style="169" customWidth="1"/>
    <col min="789" max="789" width="9" style="169"/>
    <col min="790" max="790" width="9" style="169" customWidth="1"/>
    <col min="791" max="796" width="9" style="169"/>
    <col min="797" max="797" width="26.5" style="169" customWidth="1"/>
    <col min="798" max="800" width="9" style="169"/>
    <col min="801" max="801" width="14.75" style="169" bestFit="1" customWidth="1"/>
    <col min="802" max="1024" width="9" style="169"/>
    <col min="1025" max="1027" width="9" style="169" customWidth="1"/>
    <col min="1028" max="1028" width="10.5" style="169" customWidth="1"/>
    <col min="1029" max="1029" width="11.25" style="169" bestFit="1" customWidth="1"/>
    <col min="1030" max="1031" width="9" style="169"/>
    <col min="1032" max="1041" width="9" style="169" customWidth="1"/>
    <col min="1042" max="1042" width="9" style="169"/>
    <col min="1043" max="1043" width="9.5" style="169" bestFit="1" customWidth="1"/>
    <col min="1044" max="1044" width="9" style="169" customWidth="1"/>
    <col min="1045" max="1045" width="9" style="169"/>
    <col min="1046" max="1046" width="9" style="169" customWidth="1"/>
    <col min="1047" max="1052" width="9" style="169"/>
    <col min="1053" max="1053" width="26.5" style="169" customWidth="1"/>
    <col min="1054" max="1056" width="9" style="169"/>
    <col min="1057" max="1057" width="14.75" style="169" bestFit="1" customWidth="1"/>
    <col min="1058" max="1280" width="9" style="169"/>
    <col min="1281" max="1283" width="9" style="169" customWidth="1"/>
    <col min="1284" max="1284" width="10.5" style="169" customWidth="1"/>
    <col min="1285" max="1285" width="11.25" style="169" bestFit="1" customWidth="1"/>
    <col min="1286" max="1287" width="9" style="169"/>
    <col min="1288" max="1297" width="9" style="169" customWidth="1"/>
    <col min="1298" max="1298" width="9" style="169"/>
    <col min="1299" max="1299" width="9.5" style="169" bestFit="1" customWidth="1"/>
    <col min="1300" max="1300" width="9" style="169" customWidth="1"/>
    <col min="1301" max="1301" width="9" style="169"/>
    <col min="1302" max="1302" width="9" style="169" customWidth="1"/>
    <col min="1303" max="1308" width="9" style="169"/>
    <col min="1309" max="1309" width="26.5" style="169" customWidth="1"/>
    <col min="1310" max="1312" width="9" style="169"/>
    <col min="1313" max="1313" width="14.75" style="169" bestFit="1" customWidth="1"/>
    <col min="1314" max="1536" width="9" style="169"/>
    <col min="1537" max="1539" width="9" style="169" customWidth="1"/>
    <col min="1540" max="1540" width="10.5" style="169" customWidth="1"/>
    <col min="1541" max="1541" width="11.25" style="169" bestFit="1" customWidth="1"/>
    <col min="1542" max="1543" width="9" style="169"/>
    <col min="1544" max="1553" width="9" style="169" customWidth="1"/>
    <col min="1554" max="1554" width="9" style="169"/>
    <col min="1555" max="1555" width="9.5" style="169" bestFit="1" customWidth="1"/>
    <col min="1556" max="1556" width="9" style="169" customWidth="1"/>
    <col min="1557" max="1557" width="9" style="169"/>
    <col min="1558" max="1558" width="9" style="169" customWidth="1"/>
    <col min="1559" max="1564" width="9" style="169"/>
    <col min="1565" max="1565" width="26.5" style="169" customWidth="1"/>
    <col min="1566" max="1568" width="9" style="169"/>
    <col min="1569" max="1569" width="14.75" style="169" bestFit="1" customWidth="1"/>
    <col min="1570" max="1792" width="9" style="169"/>
    <col min="1793" max="1795" width="9" style="169" customWidth="1"/>
    <col min="1796" max="1796" width="10.5" style="169" customWidth="1"/>
    <col min="1797" max="1797" width="11.25" style="169" bestFit="1" customWidth="1"/>
    <col min="1798" max="1799" width="9" style="169"/>
    <col min="1800" max="1809" width="9" style="169" customWidth="1"/>
    <col min="1810" max="1810" width="9" style="169"/>
    <col min="1811" max="1811" width="9.5" style="169" bestFit="1" customWidth="1"/>
    <col min="1812" max="1812" width="9" style="169" customWidth="1"/>
    <col min="1813" max="1813" width="9" style="169"/>
    <col min="1814" max="1814" width="9" style="169" customWidth="1"/>
    <col min="1815" max="1820" width="9" style="169"/>
    <col min="1821" max="1821" width="26.5" style="169" customWidth="1"/>
    <col min="1822" max="1824" width="9" style="169"/>
    <col min="1825" max="1825" width="14.75" style="169" bestFit="1" customWidth="1"/>
    <col min="1826" max="2048" width="9" style="169"/>
    <col min="2049" max="2051" width="9" style="169" customWidth="1"/>
    <col min="2052" max="2052" width="10.5" style="169" customWidth="1"/>
    <col min="2053" max="2053" width="11.25" style="169" bestFit="1" customWidth="1"/>
    <col min="2054" max="2055" width="9" style="169"/>
    <col min="2056" max="2065" width="9" style="169" customWidth="1"/>
    <col min="2066" max="2066" width="9" style="169"/>
    <col min="2067" max="2067" width="9.5" style="169" bestFit="1" customWidth="1"/>
    <col min="2068" max="2068" width="9" style="169" customWidth="1"/>
    <col min="2069" max="2069" width="9" style="169"/>
    <col min="2070" max="2070" width="9" style="169" customWidth="1"/>
    <col min="2071" max="2076" width="9" style="169"/>
    <col min="2077" max="2077" width="26.5" style="169" customWidth="1"/>
    <col min="2078" max="2080" width="9" style="169"/>
    <col min="2081" max="2081" width="14.75" style="169" bestFit="1" customWidth="1"/>
    <col min="2082" max="2304" width="9" style="169"/>
    <col min="2305" max="2307" width="9" style="169" customWidth="1"/>
    <col min="2308" max="2308" width="10.5" style="169" customWidth="1"/>
    <col min="2309" max="2309" width="11.25" style="169" bestFit="1" customWidth="1"/>
    <col min="2310" max="2311" width="9" style="169"/>
    <col min="2312" max="2321" width="9" style="169" customWidth="1"/>
    <col min="2322" max="2322" width="9" style="169"/>
    <col min="2323" max="2323" width="9.5" style="169" bestFit="1" customWidth="1"/>
    <col min="2324" max="2324" width="9" style="169" customWidth="1"/>
    <col min="2325" max="2325" width="9" style="169"/>
    <col min="2326" max="2326" width="9" style="169" customWidth="1"/>
    <col min="2327" max="2332" width="9" style="169"/>
    <col min="2333" max="2333" width="26.5" style="169" customWidth="1"/>
    <col min="2334" max="2336" width="9" style="169"/>
    <col min="2337" max="2337" width="14.75" style="169" bestFit="1" customWidth="1"/>
    <col min="2338" max="2560" width="9" style="169"/>
    <col min="2561" max="2563" width="9" style="169" customWidth="1"/>
    <col min="2564" max="2564" width="10.5" style="169" customWidth="1"/>
    <col min="2565" max="2565" width="11.25" style="169" bestFit="1" customWidth="1"/>
    <col min="2566" max="2567" width="9" style="169"/>
    <col min="2568" max="2577" width="9" style="169" customWidth="1"/>
    <col min="2578" max="2578" width="9" style="169"/>
    <col min="2579" max="2579" width="9.5" style="169" bestFit="1" customWidth="1"/>
    <col min="2580" max="2580" width="9" style="169" customWidth="1"/>
    <col min="2581" max="2581" width="9" style="169"/>
    <col min="2582" max="2582" width="9" style="169" customWidth="1"/>
    <col min="2583" max="2588" width="9" style="169"/>
    <col min="2589" max="2589" width="26.5" style="169" customWidth="1"/>
    <col min="2590" max="2592" width="9" style="169"/>
    <col min="2593" max="2593" width="14.75" style="169" bestFit="1" customWidth="1"/>
    <col min="2594" max="2816" width="9" style="169"/>
    <col min="2817" max="2819" width="9" style="169" customWidth="1"/>
    <col min="2820" max="2820" width="10.5" style="169" customWidth="1"/>
    <col min="2821" max="2821" width="11.25" style="169" bestFit="1" customWidth="1"/>
    <col min="2822" max="2823" width="9" style="169"/>
    <col min="2824" max="2833" width="9" style="169" customWidth="1"/>
    <col min="2834" max="2834" width="9" style="169"/>
    <col min="2835" max="2835" width="9.5" style="169" bestFit="1" customWidth="1"/>
    <col min="2836" max="2836" width="9" style="169" customWidth="1"/>
    <col min="2837" max="2837" width="9" style="169"/>
    <col min="2838" max="2838" width="9" style="169" customWidth="1"/>
    <col min="2839" max="2844" width="9" style="169"/>
    <col min="2845" max="2845" width="26.5" style="169" customWidth="1"/>
    <col min="2846" max="2848" width="9" style="169"/>
    <col min="2849" max="2849" width="14.75" style="169" bestFit="1" customWidth="1"/>
    <col min="2850" max="3072" width="9" style="169"/>
    <col min="3073" max="3075" width="9" style="169" customWidth="1"/>
    <col min="3076" max="3076" width="10.5" style="169" customWidth="1"/>
    <col min="3077" max="3077" width="11.25" style="169" bestFit="1" customWidth="1"/>
    <col min="3078" max="3079" width="9" style="169"/>
    <col min="3080" max="3089" width="9" style="169" customWidth="1"/>
    <col min="3090" max="3090" width="9" style="169"/>
    <col min="3091" max="3091" width="9.5" style="169" bestFit="1" customWidth="1"/>
    <col min="3092" max="3092" width="9" style="169" customWidth="1"/>
    <col min="3093" max="3093" width="9" style="169"/>
    <col min="3094" max="3094" width="9" style="169" customWidth="1"/>
    <col min="3095" max="3100" width="9" style="169"/>
    <col min="3101" max="3101" width="26.5" style="169" customWidth="1"/>
    <col min="3102" max="3104" width="9" style="169"/>
    <col min="3105" max="3105" width="14.75" style="169" bestFit="1" customWidth="1"/>
    <col min="3106" max="3328" width="9" style="169"/>
    <col min="3329" max="3331" width="9" style="169" customWidth="1"/>
    <col min="3332" max="3332" width="10.5" style="169" customWidth="1"/>
    <col min="3333" max="3333" width="11.25" style="169" bestFit="1" customWidth="1"/>
    <col min="3334" max="3335" width="9" style="169"/>
    <col min="3336" max="3345" width="9" style="169" customWidth="1"/>
    <col min="3346" max="3346" width="9" style="169"/>
    <col min="3347" max="3347" width="9.5" style="169" bestFit="1" customWidth="1"/>
    <col min="3348" max="3348" width="9" style="169" customWidth="1"/>
    <col min="3349" max="3349" width="9" style="169"/>
    <col min="3350" max="3350" width="9" style="169" customWidth="1"/>
    <col min="3351" max="3356" width="9" style="169"/>
    <col min="3357" max="3357" width="26.5" style="169" customWidth="1"/>
    <col min="3358" max="3360" width="9" style="169"/>
    <col min="3361" max="3361" width="14.75" style="169" bestFit="1" customWidth="1"/>
    <col min="3362" max="3584" width="9" style="169"/>
    <col min="3585" max="3587" width="9" style="169" customWidth="1"/>
    <col min="3588" max="3588" width="10.5" style="169" customWidth="1"/>
    <col min="3589" max="3589" width="11.25" style="169" bestFit="1" customWidth="1"/>
    <col min="3590" max="3591" width="9" style="169"/>
    <col min="3592" max="3601" width="9" style="169" customWidth="1"/>
    <col min="3602" max="3602" width="9" style="169"/>
    <col min="3603" max="3603" width="9.5" style="169" bestFit="1" customWidth="1"/>
    <col min="3604" max="3604" width="9" style="169" customWidth="1"/>
    <col min="3605" max="3605" width="9" style="169"/>
    <col min="3606" max="3606" width="9" style="169" customWidth="1"/>
    <col min="3607" max="3612" width="9" style="169"/>
    <col min="3613" max="3613" width="26.5" style="169" customWidth="1"/>
    <col min="3614" max="3616" width="9" style="169"/>
    <col min="3617" max="3617" width="14.75" style="169" bestFit="1" customWidth="1"/>
    <col min="3618" max="3840" width="9" style="169"/>
    <col min="3841" max="3843" width="9" style="169" customWidth="1"/>
    <col min="3844" max="3844" width="10.5" style="169" customWidth="1"/>
    <col min="3845" max="3845" width="11.25" style="169" bestFit="1" customWidth="1"/>
    <col min="3846" max="3847" width="9" style="169"/>
    <col min="3848" max="3857" width="9" style="169" customWidth="1"/>
    <col min="3858" max="3858" width="9" style="169"/>
    <col min="3859" max="3859" width="9.5" style="169" bestFit="1" customWidth="1"/>
    <col min="3860" max="3860" width="9" style="169" customWidth="1"/>
    <col min="3861" max="3861" width="9" style="169"/>
    <col min="3862" max="3862" width="9" style="169" customWidth="1"/>
    <col min="3863" max="3868" width="9" style="169"/>
    <col min="3869" max="3869" width="26.5" style="169" customWidth="1"/>
    <col min="3870" max="3872" width="9" style="169"/>
    <col min="3873" max="3873" width="14.75" style="169" bestFit="1" customWidth="1"/>
    <col min="3874" max="4096" width="9" style="169"/>
    <col min="4097" max="4099" width="9" style="169" customWidth="1"/>
    <col min="4100" max="4100" width="10.5" style="169" customWidth="1"/>
    <col min="4101" max="4101" width="11.25" style="169" bestFit="1" customWidth="1"/>
    <col min="4102" max="4103" width="9" style="169"/>
    <col min="4104" max="4113" width="9" style="169" customWidth="1"/>
    <col min="4114" max="4114" width="9" style="169"/>
    <col min="4115" max="4115" width="9.5" style="169" bestFit="1" customWidth="1"/>
    <col min="4116" max="4116" width="9" style="169" customWidth="1"/>
    <col min="4117" max="4117" width="9" style="169"/>
    <col min="4118" max="4118" width="9" style="169" customWidth="1"/>
    <col min="4119" max="4124" width="9" style="169"/>
    <col min="4125" max="4125" width="26.5" style="169" customWidth="1"/>
    <col min="4126" max="4128" width="9" style="169"/>
    <col min="4129" max="4129" width="14.75" style="169" bestFit="1" customWidth="1"/>
    <col min="4130" max="4352" width="9" style="169"/>
    <col min="4353" max="4355" width="9" style="169" customWidth="1"/>
    <col min="4356" max="4356" width="10.5" style="169" customWidth="1"/>
    <col min="4357" max="4357" width="11.25" style="169" bestFit="1" customWidth="1"/>
    <col min="4358" max="4359" width="9" style="169"/>
    <col min="4360" max="4369" width="9" style="169" customWidth="1"/>
    <col min="4370" max="4370" width="9" style="169"/>
    <col min="4371" max="4371" width="9.5" style="169" bestFit="1" customWidth="1"/>
    <col min="4372" max="4372" width="9" style="169" customWidth="1"/>
    <col min="4373" max="4373" width="9" style="169"/>
    <col min="4374" max="4374" width="9" style="169" customWidth="1"/>
    <col min="4375" max="4380" width="9" style="169"/>
    <col min="4381" max="4381" width="26.5" style="169" customWidth="1"/>
    <col min="4382" max="4384" width="9" style="169"/>
    <col min="4385" max="4385" width="14.75" style="169" bestFit="1" customWidth="1"/>
    <col min="4386" max="4608" width="9" style="169"/>
    <col min="4609" max="4611" width="9" style="169" customWidth="1"/>
    <col min="4612" max="4612" width="10.5" style="169" customWidth="1"/>
    <col min="4613" max="4613" width="11.25" style="169" bestFit="1" customWidth="1"/>
    <col min="4614" max="4615" width="9" style="169"/>
    <col min="4616" max="4625" width="9" style="169" customWidth="1"/>
    <col min="4626" max="4626" width="9" style="169"/>
    <col min="4627" max="4627" width="9.5" style="169" bestFit="1" customWidth="1"/>
    <col min="4628" max="4628" width="9" style="169" customWidth="1"/>
    <col min="4629" max="4629" width="9" style="169"/>
    <col min="4630" max="4630" width="9" style="169" customWidth="1"/>
    <col min="4631" max="4636" width="9" style="169"/>
    <col min="4637" max="4637" width="26.5" style="169" customWidth="1"/>
    <col min="4638" max="4640" width="9" style="169"/>
    <col min="4641" max="4641" width="14.75" style="169" bestFit="1" customWidth="1"/>
    <col min="4642" max="4864" width="9" style="169"/>
    <col min="4865" max="4867" width="9" style="169" customWidth="1"/>
    <col min="4868" max="4868" width="10.5" style="169" customWidth="1"/>
    <col min="4869" max="4869" width="11.25" style="169" bestFit="1" customWidth="1"/>
    <col min="4870" max="4871" width="9" style="169"/>
    <col min="4872" max="4881" width="9" style="169" customWidth="1"/>
    <col min="4882" max="4882" width="9" style="169"/>
    <col min="4883" max="4883" width="9.5" style="169" bestFit="1" customWidth="1"/>
    <col min="4884" max="4884" width="9" style="169" customWidth="1"/>
    <col min="4885" max="4885" width="9" style="169"/>
    <col min="4886" max="4886" width="9" style="169" customWidth="1"/>
    <col min="4887" max="4892" width="9" style="169"/>
    <col min="4893" max="4893" width="26.5" style="169" customWidth="1"/>
    <col min="4894" max="4896" width="9" style="169"/>
    <col min="4897" max="4897" width="14.75" style="169" bestFit="1" customWidth="1"/>
    <col min="4898" max="5120" width="9" style="169"/>
    <col min="5121" max="5123" width="9" style="169" customWidth="1"/>
    <col min="5124" max="5124" width="10.5" style="169" customWidth="1"/>
    <col min="5125" max="5125" width="11.25" style="169" bestFit="1" customWidth="1"/>
    <col min="5126" max="5127" width="9" style="169"/>
    <col min="5128" max="5137" width="9" style="169" customWidth="1"/>
    <col min="5138" max="5138" width="9" style="169"/>
    <col min="5139" max="5139" width="9.5" style="169" bestFit="1" customWidth="1"/>
    <col min="5140" max="5140" width="9" style="169" customWidth="1"/>
    <col min="5141" max="5141" width="9" style="169"/>
    <col min="5142" max="5142" width="9" style="169" customWidth="1"/>
    <col min="5143" max="5148" width="9" style="169"/>
    <col min="5149" max="5149" width="26.5" style="169" customWidth="1"/>
    <col min="5150" max="5152" width="9" style="169"/>
    <col min="5153" max="5153" width="14.75" style="169" bestFit="1" customWidth="1"/>
    <col min="5154" max="5376" width="9" style="169"/>
    <col min="5377" max="5379" width="9" style="169" customWidth="1"/>
    <col min="5380" max="5380" width="10.5" style="169" customWidth="1"/>
    <col min="5381" max="5381" width="11.25" style="169" bestFit="1" customWidth="1"/>
    <col min="5382" max="5383" width="9" style="169"/>
    <col min="5384" max="5393" width="9" style="169" customWidth="1"/>
    <col min="5394" max="5394" width="9" style="169"/>
    <col min="5395" max="5395" width="9.5" style="169" bestFit="1" customWidth="1"/>
    <col min="5396" max="5396" width="9" style="169" customWidth="1"/>
    <col min="5397" max="5397" width="9" style="169"/>
    <col min="5398" max="5398" width="9" style="169" customWidth="1"/>
    <col min="5399" max="5404" width="9" style="169"/>
    <col min="5405" max="5405" width="26.5" style="169" customWidth="1"/>
    <col min="5406" max="5408" width="9" style="169"/>
    <col min="5409" max="5409" width="14.75" style="169" bestFit="1" customWidth="1"/>
    <col min="5410" max="5632" width="9" style="169"/>
    <col min="5633" max="5635" width="9" style="169" customWidth="1"/>
    <col min="5636" max="5636" width="10.5" style="169" customWidth="1"/>
    <col min="5637" max="5637" width="11.25" style="169" bestFit="1" customWidth="1"/>
    <col min="5638" max="5639" width="9" style="169"/>
    <col min="5640" max="5649" width="9" style="169" customWidth="1"/>
    <col min="5650" max="5650" width="9" style="169"/>
    <col min="5651" max="5651" width="9.5" style="169" bestFit="1" customWidth="1"/>
    <col min="5652" max="5652" width="9" style="169" customWidth="1"/>
    <col min="5653" max="5653" width="9" style="169"/>
    <col min="5654" max="5654" width="9" style="169" customWidth="1"/>
    <col min="5655" max="5660" width="9" style="169"/>
    <col min="5661" max="5661" width="26.5" style="169" customWidth="1"/>
    <col min="5662" max="5664" width="9" style="169"/>
    <col min="5665" max="5665" width="14.75" style="169" bestFit="1" customWidth="1"/>
    <col min="5666" max="5888" width="9" style="169"/>
    <col min="5889" max="5891" width="9" style="169" customWidth="1"/>
    <col min="5892" max="5892" width="10.5" style="169" customWidth="1"/>
    <col min="5893" max="5893" width="11.25" style="169" bestFit="1" customWidth="1"/>
    <col min="5894" max="5895" width="9" style="169"/>
    <col min="5896" max="5905" width="9" style="169" customWidth="1"/>
    <col min="5906" max="5906" width="9" style="169"/>
    <col min="5907" max="5907" width="9.5" style="169" bestFit="1" customWidth="1"/>
    <col min="5908" max="5908" width="9" style="169" customWidth="1"/>
    <col min="5909" max="5909" width="9" style="169"/>
    <col min="5910" max="5910" width="9" style="169" customWidth="1"/>
    <col min="5911" max="5916" width="9" style="169"/>
    <col min="5917" max="5917" width="26.5" style="169" customWidth="1"/>
    <col min="5918" max="5920" width="9" style="169"/>
    <col min="5921" max="5921" width="14.75" style="169" bestFit="1" customWidth="1"/>
    <col min="5922" max="6144" width="9" style="169"/>
    <col min="6145" max="6147" width="9" style="169" customWidth="1"/>
    <col min="6148" max="6148" width="10.5" style="169" customWidth="1"/>
    <col min="6149" max="6149" width="11.25" style="169" bestFit="1" customWidth="1"/>
    <col min="6150" max="6151" width="9" style="169"/>
    <col min="6152" max="6161" width="9" style="169" customWidth="1"/>
    <col min="6162" max="6162" width="9" style="169"/>
    <col min="6163" max="6163" width="9.5" style="169" bestFit="1" customWidth="1"/>
    <col min="6164" max="6164" width="9" style="169" customWidth="1"/>
    <col min="6165" max="6165" width="9" style="169"/>
    <col min="6166" max="6166" width="9" style="169" customWidth="1"/>
    <col min="6167" max="6172" width="9" style="169"/>
    <col min="6173" max="6173" width="26.5" style="169" customWidth="1"/>
    <col min="6174" max="6176" width="9" style="169"/>
    <col min="6177" max="6177" width="14.75" style="169" bestFit="1" customWidth="1"/>
    <col min="6178" max="6400" width="9" style="169"/>
    <col min="6401" max="6403" width="9" style="169" customWidth="1"/>
    <col min="6404" max="6404" width="10.5" style="169" customWidth="1"/>
    <col min="6405" max="6405" width="11.25" style="169" bestFit="1" customWidth="1"/>
    <col min="6406" max="6407" width="9" style="169"/>
    <col min="6408" max="6417" width="9" style="169" customWidth="1"/>
    <col min="6418" max="6418" width="9" style="169"/>
    <col min="6419" max="6419" width="9.5" style="169" bestFit="1" customWidth="1"/>
    <col min="6420" max="6420" width="9" style="169" customWidth="1"/>
    <col min="6421" max="6421" width="9" style="169"/>
    <col min="6422" max="6422" width="9" style="169" customWidth="1"/>
    <col min="6423" max="6428" width="9" style="169"/>
    <col min="6429" max="6429" width="26.5" style="169" customWidth="1"/>
    <col min="6430" max="6432" width="9" style="169"/>
    <col min="6433" max="6433" width="14.75" style="169" bestFit="1" customWidth="1"/>
    <col min="6434" max="6656" width="9" style="169"/>
    <col min="6657" max="6659" width="9" style="169" customWidth="1"/>
    <col min="6660" max="6660" width="10.5" style="169" customWidth="1"/>
    <col min="6661" max="6661" width="11.25" style="169" bestFit="1" customWidth="1"/>
    <col min="6662" max="6663" width="9" style="169"/>
    <col min="6664" max="6673" width="9" style="169" customWidth="1"/>
    <col min="6674" max="6674" width="9" style="169"/>
    <col min="6675" max="6675" width="9.5" style="169" bestFit="1" customWidth="1"/>
    <col min="6676" max="6676" width="9" style="169" customWidth="1"/>
    <col min="6677" max="6677" width="9" style="169"/>
    <col min="6678" max="6678" width="9" style="169" customWidth="1"/>
    <col min="6679" max="6684" width="9" style="169"/>
    <col min="6685" max="6685" width="26.5" style="169" customWidth="1"/>
    <col min="6686" max="6688" width="9" style="169"/>
    <col min="6689" max="6689" width="14.75" style="169" bestFit="1" customWidth="1"/>
    <col min="6690" max="6912" width="9" style="169"/>
    <col min="6913" max="6915" width="9" style="169" customWidth="1"/>
    <col min="6916" max="6916" width="10.5" style="169" customWidth="1"/>
    <col min="6917" max="6917" width="11.25" style="169" bestFit="1" customWidth="1"/>
    <col min="6918" max="6919" width="9" style="169"/>
    <col min="6920" max="6929" width="9" style="169" customWidth="1"/>
    <col min="6930" max="6930" width="9" style="169"/>
    <col min="6931" max="6931" width="9.5" style="169" bestFit="1" customWidth="1"/>
    <col min="6932" max="6932" width="9" style="169" customWidth="1"/>
    <col min="6933" max="6933" width="9" style="169"/>
    <col min="6934" max="6934" width="9" style="169" customWidth="1"/>
    <col min="6935" max="6940" width="9" style="169"/>
    <col min="6941" max="6941" width="26.5" style="169" customWidth="1"/>
    <col min="6942" max="6944" width="9" style="169"/>
    <col min="6945" max="6945" width="14.75" style="169" bestFit="1" customWidth="1"/>
    <col min="6946" max="7168" width="9" style="169"/>
    <col min="7169" max="7171" width="9" style="169" customWidth="1"/>
    <col min="7172" max="7172" width="10.5" style="169" customWidth="1"/>
    <col min="7173" max="7173" width="11.25" style="169" bestFit="1" customWidth="1"/>
    <col min="7174" max="7175" width="9" style="169"/>
    <col min="7176" max="7185" width="9" style="169" customWidth="1"/>
    <col min="7186" max="7186" width="9" style="169"/>
    <col min="7187" max="7187" width="9.5" style="169" bestFit="1" customWidth="1"/>
    <col min="7188" max="7188" width="9" style="169" customWidth="1"/>
    <col min="7189" max="7189" width="9" style="169"/>
    <col min="7190" max="7190" width="9" style="169" customWidth="1"/>
    <col min="7191" max="7196" width="9" style="169"/>
    <col min="7197" max="7197" width="26.5" style="169" customWidth="1"/>
    <col min="7198" max="7200" width="9" style="169"/>
    <col min="7201" max="7201" width="14.75" style="169" bestFit="1" customWidth="1"/>
    <col min="7202" max="7424" width="9" style="169"/>
    <col min="7425" max="7427" width="9" style="169" customWidth="1"/>
    <col min="7428" max="7428" width="10.5" style="169" customWidth="1"/>
    <col min="7429" max="7429" width="11.25" style="169" bestFit="1" customWidth="1"/>
    <col min="7430" max="7431" width="9" style="169"/>
    <col min="7432" max="7441" width="9" style="169" customWidth="1"/>
    <col min="7442" max="7442" width="9" style="169"/>
    <col min="7443" max="7443" width="9.5" style="169" bestFit="1" customWidth="1"/>
    <col min="7444" max="7444" width="9" style="169" customWidth="1"/>
    <col min="7445" max="7445" width="9" style="169"/>
    <col min="7446" max="7446" width="9" style="169" customWidth="1"/>
    <col min="7447" max="7452" width="9" style="169"/>
    <col min="7453" max="7453" width="26.5" style="169" customWidth="1"/>
    <col min="7454" max="7456" width="9" style="169"/>
    <col min="7457" max="7457" width="14.75" style="169" bestFit="1" customWidth="1"/>
    <col min="7458" max="7680" width="9" style="169"/>
    <col min="7681" max="7683" width="9" style="169" customWidth="1"/>
    <col min="7684" max="7684" width="10.5" style="169" customWidth="1"/>
    <col min="7685" max="7685" width="11.25" style="169" bestFit="1" customWidth="1"/>
    <col min="7686" max="7687" width="9" style="169"/>
    <col min="7688" max="7697" width="9" style="169" customWidth="1"/>
    <col min="7698" max="7698" width="9" style="169"/>
    <col min="7699" max="7699" width="9.5" style="169" bestFit="1" customWidth="1"/>
    <col min="7700" max="7700" width="9" style="169" customWidth="1"/>
    <col min="7701" max="7701" width="9" style="169"/>
    <col min="7702" max="7702" width="9" style="169" customWidth="1"/>
    <col min="7703" max="7708" width="9" style="169"/>
    <col min="7709" max="7709" width="26.5" style="169" customWidth="1"/>
    <col min="7710" max="7712" width="9" style="169"/>
    <col min="7713" max="7713" width="14.75" style="169" bestFit="1" customWidth="1"/>
    <col min="7714" max="7936" width="9" style="169"/>
    <col min="7937" max="7939" width="9" style="169" customWidth="1"/>
    <col min="7940" max="7940" width="10.5" style="169" customWidth="1"/>
    <col min="7941" max="7941" width="11.25" style="169" bestFit="1" customWidth="1"/>
    <col min="7942" max="7943" width="9" style="169"/>
    <col min="7944" max="7953" width="9" style="169" customWidth="1"/>
    <col min="7954" max="7954" width="9" style="169"/>
    <col min="7955" max="7955" width="9.5" style="169" bestFit="1" customWidth="1"/>
    <col min="7956" max="7956" width="9" style="169" customWidth="1"/>
    <col min="7957" max="7957" width="9" style="169"/>
    <col min="7958" max="7958" width="9" style="169" customWidth="1"/>
    <col min="7959" max="7964" width="9" style="169"/>
    <col min="7965" max="7965" width="26.5" style="169" customWidth="1"/>
    <col min="7966" max="7968" width="9" style="169"/>
    <col min="7969" max="7969" width="14.75" style="169" bestFit="1" customWidth="1"/>
    <col min="7970" max="8192" width="9" style="169"/>
    <col min="8193" max="8195" width="9" style="169" customWidth="1"/>
    <col min="8196" max="8196" width="10.5" style="169" customWidth="1"/>
    <col min="8197" max="8197" width="11.25" style="169" bestFit="1" customWidth="1"/>
    <col min="8198" max="8199" width="9" style="169"/>
    <col min="8200" max="8209" width="9" style="169" customWidth="1"/>
    <col min="8210" max="8210" width="9" style="169"/>
    <col min="8211" max="8211" width="9.5" style="169" bestFit="1" customWidth="1"/>
    <col min="8212" max="8212" width="9" style="169" customWidth="1"/>
    <col min="8213" max="8213" width="9" style="169"/>
    <col min="8214" max="8214" width="9" style="169" customWidth="1"/>
    <col min="8215" max="8220" width="9" style="169"/>
    <col min="8221" max="8221" width="26.5" style="169" customWidth="1"/>
    <col min="8222" max="8224" width="9" style="169"/>
    <col min="8225" max="8225" width="14.75" style="169" bestFit="1" customWidth="1"/>
    <col min="8226" max="8448" width="9" style="169"/>
    <col min="8449" max="8451" width="9" style="169" customWidth="1"/>
    <col min="8452" max="8452" width="10.5" style="169" customWidth="1"/>
    <col min="8453" max="8453" width="11.25" style="169" bestFit="1" customWidth="1"/>
    <col min="8454" max="8455" width="9" style="169"/>
    <col min="8456" max="8465" width="9" style="169" customWidth="1"/>
    <col min="8466" max="8466" width="9" style="169"/>
    <col min="8467" max="8467" width="9.5" style="169" bestFit="1" customWidth="1"/>
    <col min="8468" max="8468" width="9" style="169" customWidth="1"/>
    <col min="8469" max="8469" width="9" style="169"/>
    <col min="8470" max="8470" width="9" style="169" customWidth="1"/>
    <col min="8471" max="8476" width="9" style="169"/>
    <col min="8477" max="8477" width="26.5" style="169" customWidth="1"/>
    <col min="8478" max="8480" width="9" style="169"/>
    <col min="8481" max="8481" width="14.75" style="169" bestFit="1" customWidth="1"/>
    <col min="8482" max="8704" width="9" style="169"/>
    <col min="8705" max="8707" width="9" style="169" customWidth="1"/>
    <col min="8708" max="8708" width="10.5" style="169" customWidth="1"/>
    <col min="8709" max="8709" width="11.25" style="169" bestFit="1" customWidth="1"/>
    <col min="8710" max="8711" width="9" style="169"/>
    <col min="8712" max="8721" width="9" style="169" customWidth="1"/>
    <col min="8722" max="8722" width="9" style="169"/>
    <col min="8723" max="8723" width="9.5" style="169" bestFit="1" customWidth="1"/>
    <col min="8724" max="8724" width="9" style="169" customWidth="1"/>
    <col min="8725" max="8725" width="9" style="169"/>
    <col min="8726" max="8726" width="9" style="169" customWidth="1"/>
    <col min="8727" max="8732" width="9" style="169"/>
    <col min="8733" max="8733" width="26.5" style="169" customWidth="1"/>
    <col min="8734" max="8736" width="9" style="169"/>
    <col min="8737" max="8737" width="14.75" style="169" bestFit="1" customWidth="1"/>
    <col min="8738" max="8960" width="9" style="169"/>
    <col min="8961" max="8963" width="9" style="169" customWidth="1"/>
    <col min="8964" max="8964" width="10.5" style="169" customWidth="1"/>
    <col min="8965" max="8965" width="11.25" style="169" bestFit="1" customWidth="1"/>
    <col min="8966" max="8967" width="9" style="169"/>
    <col min="8968" max="8977" width="9" style="169" customWidth="1"/>
    <col min="8978" max="8978" width="9" style="169"/>
    <col min="8979" max="8979" width="9.5" style="169" bestFit="1" customWidth="1"/>
    <col min="8980" max="8980" width="9" style="169" customWidth="1"/>
    <col min="8981" max="8981" width="9" style="169"/>
    <col min="8982" max="8982" width="9" style="169" customWidth="1"/>
    <col min="8983" max="8988" width="9" style="169"/>
    <col min="8989" max="8989" width="26.5" style="169" customWidth="1"/>
    <col min="8990" max="8992" width="9" style="169"/>
    <col min="8993" max="8993" width="14.75" style="169" bestFit="1" customWidth="1"/>
    <col min="8994" max="9216" width="9" style="169"/>
    <col min="9217" max="9219" width="9" style="169" customWidth="1"/>
    <col min="9220" max="9220" width="10.5" style="169" customWidth="1"/>
    <col min="9221" max="9221" width="11.25" style="169" bestFit="1" customWidth="1"/>
    <col min="9222" max="9223" width="9" style="169"/>
    <col min="9224" max="9233" width="9" style="169" customWidth="1"/>
    <col min="9234" max="9234" width="9" style="169"/>
    <col min="9235" max="9235" width="9.5" style="169" bestFit="1" customWidth="1"/>
    <col min="9236" max="9236" width="9" style="169" customWidth="1"/>
    <col min="9237" max="9237" width="9" style="169"/>
    <col min="9238" max="9238" width="9" style="169" customWidth="1"/>
    <col min="9239" max="9244" width="9" style="169"/>
    <col min="9245" max="9245" width="26.5" style="169" customWidth="1"/>
    <col min="9246" max="9248" width="9" style="169"/>
    <col min="9249" max="9249" width="14.75" style="169" bestFit="1" customWidth="1"/>
    <col min="9250" max="9472" width="9" style="169"/>
    <col min="9473" max="9475" width="9" style="169" customWidth="1"/>
    <col min="9476" max="9476" width="10.5" style="169" customWidth="1"/>
    <col min="9477" max="9477" width="11.25" style="169" bestFit="1" customWidth="1"/>
    <col min="9478" max="9479" width="9" style="169"/>
    <col min="9480" max="9489" width="9" style="169" customWidth="1"/>
    <col min="9490" max="9490" width="9" style="169"/>
    <col min="9491" max="9491" width="9.5" style="169" bestFit="1" customWidth="1"/>
    <col min="9492" max="9492" width="9" style="169" customWidth="1"/>
    <col min="9493" max="9493" width="9" style="169"/>
    <col min="9494" max="9494" width="9" style="169" customWidth="1"/>
    <col min="9495" max="9500" width="9" style="169"/>
    <col min="9501" max="9501" width="26.5" style="169" customWidth="1"/>
    <col min="9502" max="9504" width="9" style="169"/>
    <col min="9505" max="9505" width="14.75" style="169" bestFit="1" customWidth="1"/>
    <col min="9506" max="9728" width="9" style="169"/>
    <col min="9729" max="9731" width="9" style="169" customWidth="1"/>
    <col min="9732" max="9732" width="10.5" style="169" customWidth="1"/>
    <col min="9733" max="9733" width="11.25" style="169" bestFit="1" customWidth="1"/>
    <col min="9734" max="9735" width="9" style="169"/>
    <col min="9736" max="9745" width="9" style="169" customWidth="1"/>
    <col min="9746" max="9746" width="9" style="169"/>
    <col min="9747" max="9747" width="9.5" style="169" bestFit="1" customWidth="1"/>
    <col min="9748" max="9748" width="9" style="169" customWidth="1"/>
    <col min="9749" max="9749" width="9" style="169"/>
    <col min="9750" max="9750" width="9" style="169" customWidth="1"/>
    <col min="9751" max="9756" width="9" style="169"/>
    <col min="9757" max="9757" width="26.5" style="169" customWidth="1"/>
    <col min="9758" max="9760" width="9" style="169"/>
    <col min="9761" max="9761" width="14.75" style="169" bestFit="1" customWidth="1"/>
    <col min="9762" max="9984" width="9" style="169"/>
    <col min="9985" max="9987" width="9" style="169" customWidth="1"/>
    <col min="9988" max="9988" width="10.5" style="169" customWidth="1"/>
    <col min="9989" max="9989" width="11.25" style="169" bestFit="1" customWidth="1"/>
    <col min="9990" max="9991" width="9" style="169"/>
    <col min="9992" max="10001" width="9" style="169" customWidth="1"/>
    <col min="10002" max="10002" width="9" style="169"/>
    <col min="10003" max="10003" width="9.5" style="169" bestFit="1" customWidth="1"/>
    <col min="10004" max="10004" width="9" style="169" customWidth="1"/>
    <col min="10005" max="10005" width="9" style="169"/>
    <col min="10006" max="10006" width="9" style="169" customWidth="1"/>
    <col min="10007" max="10012" width="9" style="169"/>
    <col min="10013" max="10013" width="26.5" style="169" customWidth="1"/>
    <col min="10014" max="10016" width="9" style="169"/>
    <col min="10017" max="10017" width="14.75" style="169" bestFit="1" customWidth="1"/>
    <col min="10018" max="10240" width="9" style="169"/>
    <col min="10241" max="10243" width="9" style="169" customWidth="1"/>
    <col min="10244" max="10244" width="10.5" style="169" customWidth="1"/>
    <col min="10245" max="10245" width="11.25" style="169" bestFit="1" customWidth="1"/>
    <col min="10246" max="10247" width="9" style="169"/>
    <col min="10248" max="10257" width="9" style="169" customWidth="1"/>
    <col min="10258" max="10258" width="9" style="169"/>
    <col min="10259" max="10259" width="9.5" style="169" bestFit="1" customWidth="1"/>
    <col min="10260" max="10260" width="9" style="169" customWidth="1"/>
    <col min="10261" max="10261" width="9" style="169"/>
    <col min="10262" max="10262" width="9" style="169" customWidth="1"/>
    <col min="10263" max="10268" width="9" style="169"/>
    <col min="10269" max="10269" width="26.5" style="169" customWidth="1"/>
    <col min="10270" max="10272" width="9" style="169"/>
    <col min="10273" max="10273" width="14.75" style="169" bestFit="1" customWidth="1"/>
    <col min="10274" max="10496" width="9" style="169"/>
    <col min="10497" max="10499" width="9" style="169" customWidth="1"/>
    <col min="10500" max="10500" width="10.5" style="169" customWidth="1"/>
    <col min="10501" max="10501" width="11.25" style="169" bestFit="1" customWidth="1"/>
    <col min="10502" max="10503" width="9" style="169"/>
    <col min="10504" max="10513" width="9" style="169" customWidth="1"/>
    <col min="10514" max="10514" width="9" style="169"/>
    <col min="10515" max="10515" width="9.5" style="169" bestFit="1" customWidth="1"/>
    <col min="10516" max="10516" width="9" style="169" customWidth="1"/>
    <col min="10517" max="10517" width="9" style="169"/>
    <col min="10518" max="10518" width="9" style="169" customWidth="1"/>
    <col min="10519" max="10524" width="9" style="169"/>
    <col min="10525" max="10525" width="26.5" style="169" customWidth="1"/>
    <col min="10526" max="10528" width="9" style="169"/>
    <col min="10529" max="10529" width="14.75" style="169" bestFit="1" customWidth="1"/>
    <col min="10530" max="10752" width="9" style="169"/>
    <col min="10753" max="10755" width="9" style="169" customWidth="1"/>
    <col min="10756" max="10756" width="10.5" style="169" customWidth="1"/>
    <col min="10757" max="10757" width="11.25" style="169" bestFit="1" customWidth="1"/>
    <col min="10758" max="10759" width="9" style="169"/>
    <col min="10760" max="10769" width="9" style="169" customWidth="1"/>
    <col min="10770" max="10770" width="9" style="169"/>
    <col min="10771" max="10771" width="9.5" style="169" bestFit="1" customWidth="1"/>
    <col min="10772" max="10772" width="9" style="169" customWidth="1"/>
    <col min="10773" max="10773" width="9" style="169"/>
    <col min="10774" max="10774" width="9" style="169" customWidth="1"/>
    <col min="10775" max="10780" width="9" style="169"/>
    <col min="10781" max="10781" width="26.5" style="169" customWidth="1"/>
    <col min="10782" max="10784" width="9" style="169"/>
    <col min="10785" max="10785" width="14.75" style="169" bestFit="1" customWidth="1"/>
    <col min="10786" max="11008" width="9" style="169"/>
    <col min="11009" max="11011" width="9" style="169" customWidth="1"/>
    <col min="11012" max="11012" width="10.5" style="169" customWidth="1"/>
    <col min="11013" max="11013" width="11.25" style="169" bestFit="1" customWidth="1"/>
    <col min="11014" max="11015" width="9" style="169"/>
    <col min="11016" max="11025" width="9" style="169" customWidth="1"/>
    <col min="11026" max="11026" width="9" style="169"/>
    <col min="11027" max="11027" width="9.5" style="169" bestFit="1" customWidth="1"/>
    <col min="11028" max="11028" width="9" style="169" customWidth="1"/>
    <col min="11029" max="11029" width="9" style="169"/>
    <col min="11030" max="11030" width="9" style="169" customWidth="1"/>
    <col min="11031" max="11036" width="9" style="169"/>
    <col min="11037" max="11037" width="26.5" style="169" customWidth="1"/>
    <col min="11038" max="11040" width="9" style="169"/>
    <col min="11041" max="11041" width="14.75" style="169" bestFit="1" customWidth="1"/>
    <col min="11042" max="11264" width="9" style="169"/>
    <col min="11265" max="11267" width="9" style="169" customWidth="1"/>
    <col min="11268" max="11268" width="10.5" style="169" customWidth="1"/>
    <col min="11269" max="11269" width="11.25" style="169" bestFit="1" customWidth="1"/>
    <col min="11270" max="11271" width="9" style="169"/>
    <col min="11272" max="11281" width="9" style="169" customWidth="1"/>
    <col min="11282" max="11282" width="9" style="169"/>
    <col min="11283" max="11283" width="9.5" style="169" bestFit="1" customWidth="1"/>
    <col min="11284" max="11284" width="9" style="169" customWidth="1"/>
    <col min="11285" max="11285" width="9" style="169"/>
    <col min="11286" max="11286" width="9" style="169" customWidth="1"/>
    <col min="11287" max="11292" width="9" style="169"/>
    <col min="11293" max="11293" width="26.5" style="169" customWidth="1"/>
    <col min="11294" max="11296" width="9" style="169"/>
    <col min="11297" max="11297" width="14.75" style="169" bestFit="1" customWidth="1"/>
    <col min="11298" max="11520" width="9" style="169"/>
    <col min="11521" max="11523" width="9" style="169" customWidth="1"/>
    <col min="11524" max="11524" width="10.5" style="169" customWidth="1"/>
    <col min="11525" max="11525" width="11.25" style="169" bestFit="1" customWidth="1"/>
    <col min="11526" max="11527" width="9" style="169"/>
    <col min="11528" max="11537" width="9" style="169" customWidth="1"/>
    <col min="11538" max="11538" width="9" style="169"/>
    <col min="11539" max="11539" width="9.5" style="169" bestFit="1" customWidth="1"/>
    <col min="11540" max="11540" width="9" style="169" customWidth="1"/>
    <col min="11541" max="11541" width="9" style="169"/>
    <col min="11542" max="11542" width="9" style="169" customWidth="1"/>
    <col min="11543" max="11548" width="9" style="169"/>
    <col min="11549" max="11549" width="26.5" style="169" customWidth="1"/>
    <col min="11550" max="11552" width="9" style="169"/>
    <col min="11553" max="11553" width="14.75" style="169" bestFit="1" customWidth="1"/>
    <col min="11554" max="11776" width="9" style="169"/>
    <col min="11777" max="11779" width="9" style="169" customWidth="1"/>
    <col min="11780" max="11780" width="10.5" style="169" customWidth="1"/>
    <col min="11781" max="11781" width="11.25" style="169" bestFit="1" customWidth="1"/>
    <col min="11782" max="11783" width="9" style="169"/>
    <col min="11784" max="11793" width="9" style="169" customWidth="1"/>
    <col min="11794" max="11794" width="9" style="169"/>
    <col min="11795" max="11795" width="9.5" style="169" bestFit="1" customWidth="1"/>
    <col min="11796" max="11796" width="9" style="169" customWidth="1"/>
    <col min="11797" max="11797" width="9" style="169"/>
    <col min="11798" max="11798" width="9" style="169" customWidth="1"/>
    <col min="11799" max="11804" width="9" style="169"/>
    <col min="11805" max="11805" width="26.5" style="169" customWidth="1"/>
    <col min="11806" max="11808" width="9" style="169"/>
    <col min="11809" max="11809" width="14.75" style="169" bestFit="1" customWidth="1"/>
    <col min="11810" max="12032" width="9" style="169"/>
    <col min="12033" max="12035" width="9" style="169" customWidth="1"/>
    <col min="12036" max="12036" width="10.5" style="169" customWidth="1"/>
    <col min="12037" max="12037" width="11.25" style="169" bestFit="1" customWidth="1"/>
    <col min="12038" max="12039" width="9" style="169"/>
    <col min="12040" max="12049" width="9" style="169" customWidth="1"/>
    <col min="12050" max="12050" width="9" style="169"/>
    <col min="12051" max="12051" width="9.5" style="169" bestFit="1" customWidth="1"/>
    <col min="12052" max="12052" width="9" style="169" customWidth="1"/>
    <col min="12053" max="12053" width="9" style="169"/>
    <col min="12054" max="12054" width="9" style="169" customWidth="1"/>
    <col min="12055" max="12060" width="9" style="169"/>
    <col min="12061" max="12061" width="26.5" style="169" customWidth="1"/>
    <col min="12062" max="12064" width="9" style="169"/>
    <col min="12065" max="12065" width="14.75" style="169" bestFit="1" customWidth="1"/>
    <col min="12066" max="12288" width="9" style="169"/>
    <col min="12289" max="12291" width="9" style="169" customWidth="1"/>
    <col min="12292" max="12292" width="10.5" style="169" customWidth="1"/>
    <col min="12293" max="12293" width="11.25" style="169" bestFit="1" customWidth="1"/>
    <col min="12294" max="12295" width="9" style="169"/>
    <col min="12296" max="12305" width="9" style="169" customWidth="1"/>
    <col min="12306" max="12306" width="9" style="169"/>
    <col min="12307" max="12307" width="9.5" style="169" bestFit="1" customWidth="1"/>
    <col min="12308" max="12308" width="9" style="169" customWidth="1"/>
    <col min="12309" max="12309" width="9" style="169"/>
    <col min="12310" max="12310" width="9" style="169" customWidth="1"/>
    <col min="12311" max="12316" width="9" style="169"/>
    <col min="12317" max="12317" width="26.5" style="169" customWidth="1"/>
    <col min="12318" max="12320" width="9" style="169"/>
    <col min="12321" max="12321" width="14.75" style="169" bestFit="1" customWidth="1"/>
    <col min="12322" max="12544" width="9" style="169"/>
    <col min="12545" max="12547" width="9" style="169" customWidth="1"/>
    <col min="12548" max="12548" width="10.5" style="169" customWidth="1"/>
    <col min="12549" max="12549" width="11.25" style="169" bestFit="1" customWidth="1"/>
    <col min="12550" max="12551" width="9" style="169"/>
    <col min="12552" max="12561" width="9" style="169" customWidth="1"/>
    <col min="12562" max="12562" width="9" style="169"/>
    <col min="12563" max="12563" width="9.5" style="169" bestFit="1" customWidth="1"/>
    <col min="12564" max="12564" width="9" style="169" customWidth="1"/>
    <col min="12565" max="12565" width="9" style="169"/>
    <col min="12566" max="12566" width="9" style="169" customWidth="1"/>
    <col min="12567" max="12572" width="9" style="169"/>
    <col min="12573" max="12573" width="26.5" style="169" customWidth="1"/>
    <col min="12574" max="12576" width="9" style="169"/>
    <col min="12577" max="12577" width="14.75" style="169" bestFit="1" customWidth="1"/>
    <col min="12578" max="12800" width="9" style="169"/>
    <col min="12801" max="12803" width="9" style="169" customWidth="1"/>
    <col min="12804" max="12804" width="10.5" style="169" customWidth="1"/>
    <col min="12805" max="12805" width="11.25" style="169" bestFit="1" customWidth="1"/>
    <col min="12806" max="12807" width="9" style="169"/>
    <col min="12808" max="12817" width="9" style="169" customWidth="1"/>
    <col min="12818" max="12818" width="9" style="169"/>
    <col min="12819" max="12819" width="9.5" style="169" bestFit="1" customWidth="1"/>
    <col min="12820" max="12820" width="9" style="169" customWidth="1"/>
    <col min="12821" max="12821" width="9" style="169"/>
    <col min="12822" max="12822" width="9" style="169" customWidth="1"/>
    <col min="12823" max="12828" width="9" style="169"/>
    <col min="12829" max="12829" width="26.5" style="169" customWidth="1"/>
    <col min="12830" max="12832" width="9" style="169"/>
    <col min="12833" max="12833" width="14.75" style="169" bestFit="1" customWidth="1"/>
    <col min="12834" max="13056" width="9" style="169"/>
    <col min="13057" max="13059" width="9" style="169" customWidth="1"/>
    <col min="13060" max="13060" width="10.5" style="169" customWidth="1"/>
    <col min="13061" max="13061" width="11.25" style="169" bestFit="1" customWidth="1"/>
    <col min="13062" max="13063" width="9" style="169"/>
    <col min="13064" max="13073" width="9" style="169" customWidth="1"/>
    <col min="13074" max="13074" width="9" style="169"/>
    <col min="13075" max="13075" width="9.5" style="169" bestFit="1" customWidth="1"/>
    <col min="13076" max="13076" width="9" style="169" customWidth="1"/>
    <col min="13077" max="13077" width="9" style="169"/>
    <col min="13078" max="13078" width="9" style="169" customWidth="1"/>
    <col min="13079" max="13084" width="9" style="169"/>
    <col min="13085" max="13085" width="26.5" style="169" customWidth="1"/>
    <col min="13086" max="13088" width="9" style="169"/>
    <col min="13089" max="13089" width="14.75" style="169" bestFit="1" customWidth="1"/>
    <col min="13090" max="13312" width="9" style="169"/>
    <col min="13313" max="13315" width="9" style="169" customWidth="1"/>
    <col min="13316" max="13316" width="10.5" style="169" customWidth="1"/>
    <col min="13317" max="13317" width="11.25" style="169" bestFit="1" customWidth="1"/>
    <col min="13318" max="13319" width="9" style="169"/>
    <col min="13320" max="13329" width="9" style="169" customWidth="1"/>
    <col min="13330" max="13330" width="9" style="169"/>
    <col min="13331" max="13331" width="9.5" style="169" bestFit="1" customWidth="1"/>
    <col min="13332" max="13332" width="9" style="169" customWidth="1"/>
    <col min="13333" max="13333" width="9" style="169"/>
    <col min="13334" max="13334" width="9" style="169" customWidth="1"/>
    <col min="13335" max="13340" width="9" style="169"/>
    <col min="13341" max="13341" width="26.5" style="169" customWidth="1"/>
    <col min="13342" max="13344" width="9" style="169"/>
    <col min="13345" max="13345" width="14.75" style="169" bestFit="1" customWidth="1"/>
    <col min="13346" max="13568" width="9" style="169"/>
    <col min="13569" max="13571" width="9" style="169" customWidth="1"/>
    <col min="13572" max="13572" width="10.5" style="169" customWidth="1"/>
    <col min="13573" max="13573" width="11.25" style="169" bestFit="1" customWidth="1"/>
    <col min="13574" max="13575" width="9" style="169"/>
    <col min="13576" max="13585" width="9" style="169" customWidth="1"/>
    <col min="13586" max="13586" width="9" style="169"/>
    <col min="13587" max="13587" width="9.5" style="169" bestFit="1" customWidth="1"/>
    <col min="13588" max="13588" width="9" style="169" customWidth="1"/>
    <col min="13589" max="13589" width="9" style="169"/>
    <col min="13590" max="13590" width="9" style="169" customWidth="1"/>
    <col min="13591" max="13596" width="9" style="169"/>
    <col min="13597" max="13597" width="26.5" style="169" customWidth="1"/>
    <col min="13598" max="13600" width="9" style="169"/>
    <col min="13601" max="13601" width="14.75" style="169" bestFit="1" customWidth="1"/>
    <col min="13602" max="13824" width="9" style="169"/>
    <col min="13825" max="13827" width="9" style="169" customWidth="1"/>
    <col min="13828" max="13828" width="10.5" style="169" customWidth="1"/>
    <col min="13829" max="13829" width="11.25" style="169" bestFit="1" customWidth="1"/>
    <col min="13830" max="13831" width="9" style="169"/>
    <col min="13832" max="13841" width="9" style="169" customWidth="1"/>
    <col min="13842" max="13842" width="9" style="169"/>
    <col min="13843" max="13843" width="9.5" style="169" bestFit="1" customWidth="1"/>
    <col min="13844" max="13844" width="9" style="169" customWidth="1"/>
    <col min="13845" max="13845" width="9" style="169"/>
    <col min="13846" max="13846" width="9" style="169" customWidth="1"/>
    <col min="13847" max="13852" width="9" style="169"/>
    <col min="13853" max="13853" width="26.5" style="169" customWidth="1"/>
    <col min="13854" max="13856" width="9" style="169"/>
    <col min="13857" max="13857" width="14.75" style="169" bestFit="1" customWidth="1"/>
    <col min="13858" max="14080" width="9" style="169"/>
    <col min="14081" max="14083" width="9" style="169" customWidth="1"/>
    <col min="14084" max="14084" width="10.5" style="169" customWidth="1"/>
    <col min="14085" max="14085" width="11.25" style="169" bestFit="1" customWidth="1"/>
    <col min="14086" max="14087" width="9" style="169"/>
    <col min="14088" max="14097" width="9" style="169" customWidth="1"/>
    <col min="14098" max="14098" width="9" style="169"/>
    <col min="14099" max="14099" width="9.5" style="169" bestFit="1" customWidth="1"/>
    <col min="14100" max="14100" width="9" style="169" customWidth="1"/>
    <col min="14101" max="14101" width="9" style="169"/>
    <col min="14102" max="14102" width="9" style="169" customWidth="1"/>
    <col min="14103" max="14108" width="9" style="169"/>
    <col min="14109" max="14109" width="26.5" style="169" customWidth="1"/>
    <col min="14110" max="14112" width="9" style="169"/>
    <col min="14113" max="14113" width="14.75" style="169" bestFit="1" customWidth="1"/>
    <col min="14114" max="14336" width="9" style="169"/>
    <col min="14337" max="14339" width="9" style="169" customWidth="1"/>
    <col min="14340" max="14340" width="10.5" style="169" customWidth="1"/>
    <col min="14341" max="14341" width="11.25" style="169" bestFit="1" customWidth="1"/>
    <col min="14342" max="14343" width="9" style="169"/>
    <col min="14344" max="14353" width="9" style="169" customWidth="1"/>
    <col min="14354" max="14354" width="9" style="169"/>
    <col min="14355" max="14355" width="9.5" style="169" bestFit="1" customWidth="1"/>
    <col min="14356" max="14356" width="9" style="169" customWidth="1"/>
    <col min="14357" max="14357" width="9" style="169"/>
    <col min="14358" max="14358" width="9" style="169" customWidth="1"/>
    <col min="14359" max="14364" width="9" style="169"/>
    <col min="14365" max="14365" width="26.5" style="169" customWidth="1"/>
    <col min="14366" max="14368" width="9" style="169"/>
    <col min="14369" max="14369" width="14.75" style="169" bestFit="1" customWidth="1"/>
    <col min="14370" max="14592" width="9" style="169"/>
    <col min="14593" max="14595" width="9" style="169" customWidth="1"/>
    <col min="14596" max="14596" width="10.5" style="169" customWidth="1"/>
    <col min="14597" max="14597" width="11.25" style="169" bestFit="1" customWidth="1"/>
    <col min="14598" max="14599" width="9" style="169"/>
    <col min="14600" max="14609" width="9" style="169" customWidth="1"/>
    <col min="14610" max="14610" width="9" style="169"/>
    <col min="14611" max="14611" width="9.5" style="169" bestFit="1" customWidth="1"/>
    <col min="14612" max="14612" width="9" style="169" customWidth="1"/>
    <col min="14613" max="14613" width="9" style="169"/>
    <col min="14614" max="14614" width="9" style="169" customWidth="1"/>
    <col min="14615" max="14620" width="9" style="169"/>
    <col min="14621" max="14621" width="26.5" style="169" customWidth="1"/>
    <col min="14622" max="14624" width="9" style="169"/>
    <col min="14625" max="14625" width="14.75" style="169" bestFit="1" customWidth="1"/>
    <col min="14626" max="14848" width="9" style="169"/>
    <col min="14849" max="14851" width="9" style="169" customWidth="1"/>
    <col min="14852" max="14852" width="10.5" style="169" customWidth="1"/>
    <col min="14853" max="14853" width="11.25" style="169" bestFit="1" customWidth="1"/>
    <col min="14854" max="14855" width="9" style="169"/>
    <col min="14856" max="14865" width="9" style="169" customWidth="1"/>
    <col min="14866" max="14866" width="9" style="169"/>
    <col min="14867" max="14867" width="9.5" style="169" bestFit="1" customWidth="1"/>
    <col min="14868" max="14868" width="9" style="169" customWidth="1"/>
    <col min="14869" max="14869" width="9" style="169"/>
    <col min="14870" max="14870" width="9" style="169" customWidth="1"/>
    <col min="14871" max="14876" width="9" style="169"/>
    <col min="14877" max="14877" width="26.5" style="169" customWidth="1"/>
    <col min="14878" max="14880" width="9" style="169"/>
    <col min="14881" max="14881" width="14.75" style="169" bestFit="1" customWidth="1"/>
    <col min="14882" max="15104" width="9" style="169"/>
    <col min="15105" max="15107" width="9" style="169" customWidth="1"/>
    <col min="15108" max="15108" width="10.5" style="169" customWidth="1"/>
    <col min="15109" max="15109" width="11.25" style="169" bestFit="1" customWidth="1"/>
    <col min="15110" max="15111" width="9" style="169"/>
    <col min="15112" max="15121" width="9" style="169" customWidth="1"/>
    <col min="15122" max="15122" width="9" style="169"/>
    <col min="15123" max="15123" width="9.5" style="169" bestFit="1" customWidth="1"/>
    <col min="15124" max="15124" width="9" style="169" customWidth="1"/>
    <col min="15125" max="15125" width="9" style="169"/>
    <col min="15126" max="15126" width="9" style="169" customWidth="1"/>
    <col min="15127" max="15132" width="9" style="169"/>
    <col min="15133" max="15133" width="26.5" style="169" customWidth="1"/>
    <col min="15134" max="15136" width="9" style="169"/>
    <col min="15137" max="15137" width="14.75" style="169" bestFit="1" customWidth="1"/>
    <col min="15138" max="15360" width="9" style="169"/>
    <col min="15361" max="15363" width="9" style="169" customWidth="1"/>
    <col min="15364" max="15364" width="10.5" style="169" customWidth="1"/>
    <col min="15365" max="15365" width="11.25" style="169" bestFit="1" customWidth="1"/>
    <col min="15366" max="15367" width="9" style="169"/>
    <col min="15368" max="15377" width="9" style="169" customWidth="1"/>
    <col min="15378" max="15378" width="9" style="169"/>
    <col min="15379" max="15379" width="9.5" style="169" bestFit="1" customWidth="1"/>
    <col min="15380" max="15380" width="9" style="169" customWidth="1"/>
    <col min="15381" max="15381" width="9" style="169"/>
    <col min="15382" max="15382" width="9" style="169" customWidth="1"/>
    <col min="15383" max="15388" width="9" style="169"/>
    <col min="15389" max="15389" width="26.5" style="169" customWidth="1"/>
    <col min="15390" max="15392" width="9" style="169"/>
    <col min="15393" max="15393" width="14.75" style="169" bestFit="1" customWidth="1"/>
    <col min="15394" max="15616" width="9" style="169"/>
    <col min="15617" max="15619" width="9" style="169" customWidth="1"/>
    <col min="15620" max="15620" width="10.5" style="169" customWidth="1"/>
    <col min="15621" max="15621" width="11.25" style="169" bestFit="1" customWidth="1"/>
    <col min="15622" max="15623" width="9" style="169"/>
    <col min="15624" max="15633" width="9" style="169" customWidth="1"/>
    <col min="15634" max="15634" width="9" style="169"/>
    <col min="15635" max="15635" width="9.5" style="169" bestFit="1" customWidth="1"/>
    <col min="15636" max="15636" width="9" style="169" customWidth="1"/>
    <col min="15637" max="15637" width="9" style="169"/>
    <col min="15638" max="15638" width="9" style="169" customWidth="1"/>
    <col min="15639" max="15644" width="9" style="169"/>
    <col min="15645" max="15645" width="26.5" style="169" customWidth="1"/>
    <col min="15646" max="15648" width="9" style="169"/>
    <col min="15649" max="15649" width="14.75" style="169" bestFit="1" customWidth="1"/>
    <col min="15650" max="15872" width="9" style="169"/>
    <col min="15873" max="15875" width="9" style="169" customWidth="1"/>
    <col min="15876" max="15876" width="10.5" style="169" customWidth="1"/>
    <col min="15877" max="15877" width="11.25" style="169" bestFit="1" customWidth="1"/>
    <col min="15878" max="15879" width="9" style="169"/>
    <col min="15880" max="15889" width="9" style="169" customWidth="1"/>
    <col min="15890" max="15890" width="9" style="169"/>
    <col min="15891" max="15891" width="9.5" style="169" bestFit="1" customWidth="1"/>
    <col min="15892" max="15892" width="9" style="169" customWidth="1"/>
    <col min="15893" max="15893" width="9" style="169"/>
    <col min="15894" max="15894" width="9" style="169" customWidth="1"/>
    <col min="15895" max="15900" width="9" style="169"/>
    <col min="15901" max="15901" width="26.5" style="169" customWidth="1"/>
    <col min="15902" max="15904" width="9" style="169"/>
    <col min="15905" max="15905" width="14.75" style="169" bestFit="1" customWidth="1"/>
    <col min="15906" max="16128" width="9" style="169"/>
    <col min="16129" max="16131" width="9" style="169" customWidth="1"/>
    <col min="16132" max="16132" width="10.5" style="169" customWidth="1"/>
    <col min="16133" max="16133" width="11.25" style="169" bestFit="1" customWidth="1"/>
    <col min="16134" max="16135" width="9" style="169"/>
    <col min="16136" max="16145" width="9" style="169" customWidth="1"/>
    <col min="16146" max="16146" width="9" style="169"/>
    <col min="16147" max="16147" width="9.5" style="169" bestFit="1" customWidth="1"/>
    <col min="16148" max="16148" width="9" style="169" customWidth="1"/>
    <col min="16149" max="16149" width="9" style="169"/>
    <col min="16150" max="16150" width="9" style="169" customWidth="1"/>
    <col min="16151" max="16156" width="9" style="169"/>
    <col min="16157" max="16157" width="26.5" style="169" customWidth="1"/>
    <col min="16158" max="16160" width="9" style="169"/>
    <col min="16161" max="16161" width="14.75" style="169" bestFit="1" customWidth="1"/>
    <col min="16162" max="16384" width="9" style="169"/>
  </cols>
  <sheetData>
    <row r="1" spans="1:53" ht="44.25" customHeight="1" x14ac:dyDescent="0.15">
      <c r="A1" s="234" t="s">
        <v>484</v>
      </c>
      <c r="B1" s="163" t="s">
        <v>1</v>
      </c>
      <c r="C1" s="163" t="s">
        <v>159</v>
      </c>
      <c r="D1" s="164" t="s">
        <v>3</v>
      </c>
      <c r="E1" s="164" t="s">
        <v>485</v>
      </c>
      <c r="F1" s="164" t="s">
        <v>5</v>
      </c>
      <c r="G1" s="164" t="s">
        <v>6</v>
      </c>
      <c r="H1" s="164" t="s">
        <v>486</v>
      </c>
      <c r="I1" s="164" t="s">
        <v>8</v>
      </c>
      <c r="J1" s="164" t="s">
        <v>9</v>
      </c>
      <c r="K1" s="164" t="s">
        <v>10</v>
      </c>
      <c r="L1" s="164" t="s">
        <v>337</v>
      </c>
      <c r="M1" s="164" t="s">
        <v>12</v>
      </c>
      <c r="N1" s="164" t="s">
        <v>13</v>
      </c>
      <c r="O1" s="164" t="s">
        <v>338</v>
      </c>
      <c r="P1" s="164" t="s">
        <v>15</v>
      </c>
      <c r="Q1" s="165" t="s">
        <v>16</v>
      </c>
      <c r="R1" s="164" t="s">
        <v>340</v>
      </c>
      <c r="S1" s="164" t="s">
        <v>341</v>
      </c>
      <c r="T1" s="165" t="s">
        <v>19</v>
      </c>
      <c r="U1" s="166" t="s">
        <v>108</v>
      </c>
      <c r="V1" s="167" t="s">
        <v>20</v>
      </c>
      <c r="W1" s="164" t="s">
        <v>21</v>
      </c>
      <c r="X1" s="164" t="s">
        <v>22</v>
      </c>
      <c r="Y1" s="164" t="s">
        <v>23</v>
      </c>
      <c r="Z1" s="164" t="s">
        <v>24</v>
      </c>
      <c r="AA1" s="235" t="s">
        <v>25</v>
      </c>
      <c r="AB1" s="236" t="s">
        <v>162</v>
      </c>
      <c r="AC1" s="237"/>
      <c r="AE1" s="170" t="s">
        <v>0</v>
      </c>
      <c r="AF1" s="171"/>
      <c r="AG1" s="170" t="s">
        <v>4</v>
      </c>
      <c r="AH1" s="170" t="s">
        <v>5</v>
      </c>
      <c r="AI1" s="171"/>
      <c r="AJ1" s="170" t="s">
        <v>6</v>
      </c>
      <c r="AK1" s="171"/>
      <c r="AL1" s="172" t="s">
        <v>7</v>
      </c>
      <c r="AM1" s="171"/>
      <c r="AN1" s="172" t="s">
        <v>8</v>
      </c>
      <c r="AO1" s="171"/>
      <c r="AP1" s="172" t="s">
        <v>27</v>
      </c>
      <c r="AQ1" s="171"/>
      <c r="AR1" s="172" t="s">
        <v>10</v>
      </c>
      <c r="AS1" s="171"/>
      <c r="AT1" s="173" t="s">
        <v>28</v>
      </c>
      <c r="AU1" s="171"/>
      <c r="AV1" s="172" t="s">
        <v>29</v>
      </c>
      <c r="AX1" s="174" t="s">
        <v>487</v>
      </c>
      <c r="AY1" s="175" t="s">
        <v>164</v>
      </c>
      <c r="AZ1" s="175" t="s">
        <v>165</v>
      </c>
      <c r="BA1" s="176" t="s">
        <v>346</v>
      </c>
    </row>
    <row r="2" spans="1:53" s="137" customFormat="1" x14ac:dyDescent="0.15">
      <c r="A2" s="133" t="s">
        <v>61</v>
      </c>
      <c r="B2" s="133" t="s">
        <v>326</v>
      </c>
      <c r="C2" s="133">
        <v>2018</v>
      </c>
      <c r="D2" s="238" t="s">
        <v>488</v>
      </c>
      <c r="E2" s="133" t="s">
        <v>489</v>
      </c>
      <c r="F2" s="133" t="s">
        <v>490</v>
      </c>
      <c r="G2" s="133" t="s">
        <v>42</v>
      </c>
      <c r="H2" s="208" t="s">
        <v>167</v>
      </c>
      <c r="I2" s="208" t="s">
        <v>155</v>
      </c>
      <c r="J2" s="133" t="s">
        <v>38</v>
      </c>
      <c r="K2" s="208" t="s">
        <v>156</v>
      </c>
      <c r="L2" s="208">
        <v>1</v>
      </c>
      <c r="M2" s="208"/>
      <c r="N2" s="208">
        <v>4</v>
      </c>
      <c r="O2" s="208">
        <v>0.65</v>
      </c>
      <c r="P2" s="208">
        <v>0.65</v>
      </c>
      <c r="Q2" s="134">
        <f t="shared" ref="Q2:Q66" si="0">IF(OR(O2="",P2=""),"",AVERAGE(O2,P2))</f>
        <v>0.65</v>
      </c>
      <c r="R2" s="208">
        <v>17.3</v>
      </c>
      <c r="S2" s="208">
        <v>110</v>
      </c>
      <c r="T2" s="135">
        <f t="shared" ref="T2:T65" si="1">IF(H2="","",IF(OR(H2="GREEN",H2="GK"),IF(S2&gt;=$AX$2,VLOOKUP(S2,$AX$2:$AY$15,2,1),""),IF(S2&gt;=$AZ$2,VLOOKUP(S2,$AZ$2:$BA$15,2,1),"")))</f>
        <v>33</v>
      </c>
      <c r="U2" s="208">
        <v>500</v>
      </c>
      <c r="V2" s="239">
        <f>IF(OR(N2="",U2="",T2=""),"",U2/N2*T2)</f>
        <v>4125</v>
      </c>
      <c r="W2" s="208">
        <v>3</v>
      </c>
      <c r="X2" s="133" t="s">
        <v>39</v>
      </c>
      <c r="Y2" s="208" t="s">
        <v>84</v>
      </c>
      <c r="Z2" s="208" t="s">
        <v>47</v>
      </c>
      <c r="AA2" s="208" t="s">
        <v>86</v>
      </c>
      <c r="AB2" s="133" t="s">
        <v>328</v>
      </c>
      <c r="AC2" s="136"/>
      <c r="AE2" s="179" t="s">
        <v>35</v>
      </c>
      <c r="AG2" s="49" t="s">
        <v>489</v>
      </c>
      <c r="AH2" s="49" t="s">
        <v>490</v>
      </c>
      <c r="AJ2" s="138" t="s">
        <v>36</v>
      </c>
      <c r="AL2" s="180" t="s">
        <v>127</v>
      </c>
      <c r="AN2" s="138" t="s">
        <v>37</v>
      </c>
      <c r="AP2" s="180" t="s">
        <v>38</v>
      </c>
      <c r="AR2" s="180" t="s">
        <v>120</v>
      </c>
      <c r="AT2" s="138" t="s">
        <v>39</v>
      </c>
      <c r="AV2" s="180" t="s">
        <v>40</v>
      </c>
      <c r="AX2" s="240">
        <v>1</v>
      </c>
      <c r="AY2" s="241">
        <v>50</v>
      </c>
      <c r="AZ2" s="241">
        <v>1</v>
      </c>
      <c r="BA2" s="242">
        <v>50</v>
      </c>
    </row>
    <row r="3" spans="1:53" x14ac:dyDescent="0.15">
      <c r="A3" s="133" t="s">
        <v>61</v>
      </c>
      <c r="B3" s="133" t="s">
        <v>326</v>
      </c>
      <c r="C3" s="133">
        <v>2018</v>
      </c>
      <c r="D3" s="238" t="s">
        <v>488</v>
      </c>
      <c r="E3" s="133" t="s">
        <v>489</v>
      </c>
      <c r="F3" s="133" t="s">
        <v>490</v>
      </c>
      <c r="G3" s="133" t="s">
        <v>42</v>
      </c>
      <c r="H3" s="208" t="s">
        <v>167</v>
      </c>
      <c r="I3" s="208" t="s">
        <v>155</v>
      </c>
      <c r="J3" s="133" t="s">
        <v>38</v>
      </c>
      <c r="K3" s="208" t="s">
        <v>156</v>
      </c>
      <c r="L3" s="208">
        <v>2</v>
      </c>
      <c r="M3" s="208"/>
      <c r="N3" s="208">
        <v>4</v>
      </c>
      <c r="O3" s="208">
        <v>0.7</v>
      </c>
      <c r="P3" s="208">
        <v>0.7</v>
      </c>
      <c r="Q3" s="134">
        <f t="shared" si="0"/>
        <v>0.7</v>
      </c>
      <c r="R3" s="208">
        <v>17.3</v>
      </c>
      <c r="S3" s="208">
        <v>118</v>
      </c>
      <c r="T3" s="135">
        <f t="shared" si="1"/>
        <v>30</v>
      </c>
      <c r="U3" s="208">
        <v>500</v>
      </c>
      <c r="V3" s="239">
        <f t="shared" ref="V3:V66" si="2">IF(OR(N3="",U3="",T3=""),"",U3/N3*T3)</f>
        <v>3750</v>
      </c>
      <c r="W3" s="208">
        <v>3</v>
      </c>
      <c r="X3" s="133" t="s">
        <v>39</v>
      </c>
      <c r="Y3" s="208" t="s">
        <v>84</v>
      </c>
      <c r="Z3" s="208" t="s">
        <v>47</v>
      </c>
      <c r="AA3" s="208" t="s">
        <v>86</v>
      </c>
      <c r="AB3" s="133" t="s">
        <v>328</v>
      </c>
      <c r="AC3" s="136"/>
      <c r="AE3" s="184" t="s">
        <v>41</v>
      </c>
      <c r="AG3" s="49" t="s">
        <v>491</v>
      </c>
      <c r="AH3" s="49" t="s">
        <v>492</v>
      </c>
      <c r="AJ3" s="185" t="s">
        <v>42</v>
      </c>
      <c r="AL3" s="185" t="s">
        <v>128</v>
      </c>
      <c r="AN3" s="185" t="s">
        <v>43</v>
      </c>
      <c r="AP3" s="185" t="s">
        <v>44</v>
      </c>
      <c r="AR3" s="199" t="s">
        <v>45</v>
      </c>
      <c r="AT3" s="185" t="s">
        <v>46</v>
      </c>
      <c r="AV3" s="199" t="s">
        <v>47</v>
      </c>
      <c r="AX3" s="186">
        <v>72</v>
      </c>
      <c r="AY3" s="187">
        <v>46</v>
      </c>
      <c r="AZ3" s="187">
        <v>71</v>
      </c>
      <c r="BA3" s="188">
        <v>42</v>
      </c>
    </row>
    <row r="4" spans="1:53" x14ac:dyDescent="0.15">
      <c r="A4" s="133" t="s">
        <v>61</v>
      </c>
      <c r="B4" s="133" t="s">
        <v>326</v>
      </c>
      <c r="C4" s="133">
        <v>2018</v>
      </c>
      <c r="D4" s="238" t="s">
        <v>488</v>
      </c>
      <c r="E4" s="133" t="s">
        <v>489</v>
      </c>
      <c r="F4" s="133" t="s">
        <v>490</v>
      </c>
      <c r="G4" s="133" t="s">
        <v>42</v>
      </c>
      <c r="H4" s="208" t="s">
        <v>167</v>
      </c>
      <c r="I4" s="208" t="s">
        <v>155</v>
      </c>
      <c r="J4" s="133" t="s">
        <v>38</v>
      </c>
      <c r="K4" s="208" t="s">
        <v>156</v>
      </c>
      <c r="L4" s="208">
        <v>3</v>
      </c>
      <c r="M4" s="208"/>
      <c r="N4" s="208">
        <v>4</v>
      </c>
      <c r="O4" s="208">
        <v>0.8</v>
      </c>
      <c r="P4" s="208">
        <v>0.7</v>
      </c>
      <c r="Q4" s="134">
        <f t="shared" si="0"/>
        <v>0.75</v>
      </c>
      <c r="R4" s="208">
        <v>17.100000000000001</v>
      </c>
      <c r="S4" s="208">
        <v>110</v>
      </c>
      <c r="T4" s="135">
        <f t="shared" si="1"/>
        <v>33</v>
      </c>
      <c r="U4" s="208">
        <v>500</v>
      </c>
      <c r="V4" s="239">
        <f t="shared" si="2"/>
        <v>4125</v>
      </c>
      <c r="W4" s="208">
        <v>3</v>
      </c>
      <c r="X4" s="133" t="s">
        <v>39</v>
      </c>
      <c r="Y4" s="208" t="s">
        <v>84</v>
      </c>
      <c r="Z4" s="208" t="s">
        <v>47</v>
      </c>
      <c r="AA4" s="208" t="s">
        <v>86</v>
      </c>
      <c r="AB4" s="133" t="s">
        <v>328</v>
      </c>
      <c r="AC4" s="136"/>
      <c r="AE4" s="184" t="s">
        <v>34</v>
      </c>
      <c r="AG4" s="49" t="s">
        <v>493</v>
      </c>
      <c r="AH4" s="49" t="s">
        <v>494</v>
      </c>
      <c r="AJ4" s="189" t="s">
        <v>48</v>
      </c>
      <c r="AL4" s="189" t="s">
        <v>129</v>
      </c>
      <c r="AN4" s="190" t="s">
        <v>49</v>
      </c>
      <c r="AP4" s="185" t="s">
        <v>495</v>
      </c>
      <c r="AR4" s="199" t="s">
        <v>496</v>
      </c>
      <c r="AT4" s="190"/>
      <c r="AV4" s="199" t="s">
        <v>50</v>
      </c>
      <c r="AX4" s="186">
        <v>75</v>
      </c>
      <c r="AY4" s="187">
        <v>42</v>
      </c>
      <c r="AZ4" s="187">
        <v>76</v>
      </c>
      <c r="BA4" s="188">
        <v>39</v>
      </c>
    </row>
    <row r="5" spans="1:53" x14ac:dyDescent="0.15">
      <c r="A5" s="133" t="s">
        <v>61</v>
      </c>
      <c r="B5" s="133" t="s">
        <v>497</v>
      </c>
      <c r="C5" s="133">
        <v>2018</v>
      </c>
      <c r="D5" s="238" t="s">
        <v>498</v>
      </c>
      <c r="E5" s="133" t="s">
        <v>489</v>
      </c>
      <c r="F5" s="133" t="s">
        <v>490</v>
      </c>
      <c r="G5" s="133" t="s">
        <v>42</v>
      </c>
      <c r="H5" s="208" t="s">
        <v>127</v>
      </c>
      <c r="I5" s="208" t="s">
        <v>155</v>
      </c>
      <c r="J5" s="133" t="s">
        <v>80</v>
      </c>
      <c r="K5" s="208" t="s">
        <v>45</v>
      </c>
      <c r="L5" s="208">
        <v>1</v>
      </c>
      <c r="M5" s="208"/>
      <c r="N5" s="208">
        <v>5</v>
      </c>
      <c r="O5" s="208">
        <v>1.1499999999999999</v>
      </c>
      <c r="P5" s="208">
        <v>1.3</v>
      </c>
      <c r="Q5" s="134">
        <f t="shared" si="0"/>
        <v>1.2250000000000001</v>
      </c>
      <c r="R5" s="208">
        <v>11.1</v>
      </c>
      <c r="S5" s="208">
        <v>78</v>
      </c>
      <c r="T5" s="135">
        <f t="shared" si="1"/>
        <v>39</v>
      </c>
      <c r="U5" s="208">
        <v>248</v>
      </c>
      <c r="V5" s="239">
        <f t="shared" si="2"/>
        <v>1934.4</v>
      </c>
      <c r="W5" s="208">
        <v>3</v>
      </c>
      <c r="X5" s="133" t="s">
        <v>39</v>
      </c>
      <c r="Y5" s="208" t="s">
        <v>84</v>
      </c>
      <c r="Z5" s="208" t="s">
        <v>47</v>
      </c>
      <c r="AA5" s="208" t="s">
        <v>86</v>
      </c>
      <c r="AB5" s="133" t="s">
        <v>499</v>
      </c>
      <c r="AC5" s="136"/>
      <c r="AE5" s="184" t="s">
        <v>51</v>
      </c>
      <c r="AG5" s="49" t="s">
        <v>500</v>
      </c>
      <c r="AH5" s="49" t="s">
        <v>501</v>
      </c>
      <c r="AJ5" s="189"/>
      <c r="AL5" s="191" t="s">
        <v>502</v>
      </c>
      <c r="AN5" s="191" t="s">
        <v>503</v>
      </c>
      <c r="AP5" s="185" t="s">
        <v>504</v>
      </c>
      <c r="AR5" s="199" t="s">
        <v>54</v>
      </c>
      <c r="AT5" s="208"/>
      <c r="AV5" s="199" t="s">
        <v>55</v>
      </c>
      <c r="AX5" s="186">
        <v>84</v>
      </c>
      <c r="AY5" s="187">
        <v>39</v>
      </c>
      <c r="AZ5" s="187">
        <v>84</v>
      </c>
      <c r="BA5" s="188">
        <v>36</v>
      </c>
    </row>
    <row r="6" spans="1:53" x14ac:dyDescent="0.15">
      <c r="A6" s="133" t="s">
        <v>61</v>
      </c>
      <c r="B6" s="133" t="s">
        <v>497</v>
      </c>
      <c r="C6" s="133">
        <v>2018</v>
      </c>
      <c r="D6" s="238" t="s">
        <v>498</v>
      </c>
      <c r="E6" s="133" t="s">
        <v>489</v>
      </c>
      <c r="F6" s="133" t="s">
        <v>490</v>
      </c>
      <c r="G6" s="133" t="s">
        <v>42</v>
      </c>
      <c r="H6" s="208" t="s">
        <v>127</v>
      </c>
      <c r="I6" s="208" t="s">
        <v>155</v>
      </c>
      <c r="J6" s="133" t="s">
        <v>80</v>
      </c>
      <c r="K6" s="208" t="s">
        <v>45</v>
      </c>
      <c r="L6" s="208">
        <v>2</v>
      </c>
      <c r="M6" s="208"/>
      <c r="N6" s="208">
        <v>5</v>
      </c>
      <c r="O6" s="208">
        <v>2.4500000000000002</v>
      </c>
      <c r="P6" s="208">
        <v>2.75</v>
      </c>
      <c r="Q6" s="134">
        <f t="shared" si="0"/>
        <v>2.6</v>
      </c>
      <c r="R6" s="208">
        <v>10.8</v>
      </c>
      <c r="S6" s="208">
        <v>87</v>
      </c>
      <c r="T6" s="135">
        <f t="shared" si="1"/>
        <v>36</v>
      </c>
      <c r="U6" s="208">
        <v>248</v>
      </c>
      <c r="V6" s="239">
        <f t="shared" si="2"/>
        <v>1785.6000000000001</v>
      </c>
      <c r="W6" s="208">
        <v>3</v>
      </c>
      <c r="X6" s="133" t="s">
        <v>39</v>
      </c>
      <c r="Y6" s="208" t="s">
        <v>84</v>
      </c>
      <c r="Z6" s="208" t="s">
        <v>47</v>
      </c>
      <c r="AA6" s="208" t="s">
        <v>86</v>
      </c>
      <c r="AB6" s="133" t="s">
        <v>499</v>
      </c>
      <c r="AC6" s="136"/>
      <c r="AE6" s="184" t="s">
        <v>56</v>
      </c>
      <c r="AG6" s="49" t="s">
        <v>505</v>
      </c>
      <c r="AH6" s="49" t="s">
        <v>506</v>
      </c>
      <c r="AJ6" s="189"/>
      <c r="AL6" s="191" t="s">
        <v>507</v>
      </c>
      <c r="AN6" s="191" t="s">
        <v>508</v>
      </c>
      <c r="AP6" s="185" t="s">
        <v>53</v>
      </c>
      <c r="AR6" s="199" t="s">
        <v>59</v>
      </c>
      <c r="AT6" s="208"/>
      <c r="AV6" s="199" t="s">
        <v>60</v>
      </c>
      <c r="AX6" s="186">
        <v>97</v>
      </c>
      <c r="AY6" s="187">
        <v>36</v>
      </c>
      <c r="AZ6" s="187">
        <v>99</v>
      </c>
      <c r="BA6" s="188">
        <v>33</v>
      </c>
    </row>
    <row r="7" spans="1:53" x14ac:dyDescent="0.15">
      <c r="A7" s="133" t="s">
        <v>61</v>
      </c>
      <c r="B7" s="133" t="s">
        <v>497</v>
      </c>
      <c r="C7" s="133">
        <v>2018</v>
      </c>
      <c r="D7" s="238" t="s">
        <v>498</v>
      </c>
      <c r="E7" s="133" t="s">
        <v>489</v>
      </c>
      <c r="F7" s="133" t="s">
        <v>490</v>
      </c>
      <c r="G7" s="133" t="s">
        <v>42</v>
      </c>
      <c r="H7" s="208" t="s">
        <v>127</v>
      </c>
      <c r="I7" s="208" t="s">
        <v>155</v>
      </c>
      <c r="J7" s="133" t="s">
        <v>80</v>
      </c>
      <c r="K7" s="208" t="s">
        <v>45</v>
      </c>
      <c r="L7" s="208">
        <v>3</v>
      </c>
      <c r="M7" s="208"/>
      <c r="N7" s="208">
        <v>5</v>
      </c>
      <c r="O7" s="208">
        <v>4.3</v>
      </c>
      <c r="P7" s="208">
        <v>4.8499999999999996</v>
      </c>
      <c r="Q7" s="134">
        <f t="shared" si="0"/>
        <v>4.5749999999999993</v>
      </c>
      <c r="R7" s="208">
        <v>10.9</v>
      </c>
      <c r="S7" s="208">
        <v>85</v>
      </c>
      <c r="T7" s="135">
        <f t="shared" si="1"/>
        <v>36</v>
      </c>
      <c r="U7" s="208">
        <v>248</v>
      </c>
      <c r="V7" s="239">
        <f t="shared" si="2"/>
        <v>1785.6000000000001</v>
      </c>
      <c r="W7" s="208">
        <v>3</v>
      </c>
      <c r="X7" s="133" t="s">
        <v>39</v>
      </c>
      <c r="Y7" s="208" t="s">
        <v>84</v>
      </c>
      <c r="Z7" s="208" t="s">
        <v>47</v>
      </c>
      <c r="AA7" s="208" t="s">
        <v>86</v>
      </c>
      <c r="AB7" s="133" t="s">
        <v>499</v>
      </c>
      <c r="AC7" s="136"/>
      <c r="AE7" s="184" t="s">
        <v>61</v>
      </c>
      <c r="AG7" s="49" t="s">
        <v>509</v>
      </c>
      <c r="AH7" s="49" t="s">
        <v>510</v>
      </c>
      <c r="AJ7" s="189"/>
      <c r="AL7" s="196" t="s">
        <v>511</v>
      </c>
      <c r="AN7" s="243"/>
      <c r="AP7" s="185" t="s">
        <v>58</v>
      </c>
      <c r="AR7" s="192" t="s">
        <v>122</v>
      </c>
      <c r="AT7" s="208"/>
      <c r="AV7" s="199" t="s">
        <v>64</v>
      </c>
      <c r="AX7" s="186">
        <v>109</v>
      </c>
      <c r="AY7" s="187">
        <v>33</v>
      </c>
      <c r="AZ7" s="187">
        <v>113</v>
      </c>
      <c r="BA7" s="188">
        <v>30</v>
      </c>
    </row>
    <row r="8" spans="1:53" x14ac:dyDescent="0.15">
      <c r="A8" s="133" t="s">
        <v>61</v>
      </c>
      <c r="B8" s="133" t="s">
        <v>512</v>
      </c>
      <c r="C8" s="133">
        <v>2018</v>
      </c>
      <c r="D8" s="238" t="s">
        <v>513</v>
      </c>
      <c r="E8" s="133" t="s">
        <v>491</v>
      </c>
      <c r="F8" s="133" t="s">
        <v>492</v>
      </c>
      <c r="G8" s="133" t="s">
        <v>42</v>
      </c>
      <c r="H8" s="208" t="s">
        <v>157</v>
      </c>
      <c r="I8" s="208" t="s">
        <v>155</v>
      </c>
      <c r="J8" s="133" t="s">
        <v>38</v>
      </c>
      <c r="K8" s="208" t="s">
        <v>156</v>
      </c>
      <c r="L8" s="208">
        <v>1</v>
      </c>
      <c r="M8" s="208"/>
      <c r="N8" s="208">
        <v>1</v>
      </c>
      <c r="O8" s="208">
        <v>0.7</v>
      </c>
      <c r="P8" s="208">
        <v>0.8</v>
      </c>
      <c r="Q8" s="134">
        <f t="shared" si="0"/>
        <v>0.75</v>
      </c>
      <c r="R8" s="208">
        <v>17.5</v>
      </c>
      <c r="S8" s="208">
        <v>137</v>
      </c>
      <c r="T8" s="135">
        <f t="shared" si="1"/>
        <v>25</v>
      </c>
      <c r="U8" s="208">
        <v>138</v>
      </c>
      <c r="V8" s="239">
        <f t="shared" si="2"/>
        <v>3450</v>
      </c>
      <c r="W8" s="208">
        <v>5</v>
      </c>
      <c r="X8" s="133" t="s">
        <v>46</v>
      </c>
      <c r="Y8" s="208" t="s">
        <v>97</v>
      </c>
      <c r="Z8" s="208" t="s">
        <v>78</v>
      </c>
      <c r="AA8" s="208" t="s">
        <v>69</v>
      </c>
      <c r="AB8" s="133" t="s">
        <v>514</v>
      </c>
      <c r="AC8" s="136"/>
      <c r="AE8" s="184" t="s">
        <v>59</v>
      </c>
      <c r="AG8" s="49" t="s">
        <v>515</v>
      </c>
      <c r="AH8" s="49" t="s">
        <v>516</v>
      </c>
      <c r="AJ8" s="190"/>
      <c r="AL8" s="196" t="s">
        <v>517</v>
      </c>
      <c r="AN8" s="191"/>
      <c r="AP8" s="185" t="s">
        <v>62</v>
      </c>
      <c r="AR8" s="199" t="s">
        <v>81</v>
      </c>
      <c r="AV8" s="199" t="s">
        <v>97</v>
      </c>
      <c r="AX8" s="186">
        <v>119</v>
      </c>
      <c r="AY8" s="187">
        <v>30</v>
      </c>
      <c r="AZ8" s="187">
        <v>121</v>
      </c>
      <c r="BA8" s="188">
        <v>27</v>
      </c>
    </row>
    <row r="9" spans="1:53" x14ac:dyDescent="0.15">
      <c r="A9" s="133" t="s">
        <v>61</v>
      </c>
      <c r="B9" s="133" t="s">
        <v>512</v>
      </c>
      <c r="C9" s="133">
        <v>2018</v>
      </c>
      <c r="D9" s="238" t="s">
        <v>513</v>
      </c>
      <c r="E9" s="133" t="s">
        <v>491</v>
      </c>
      <c r="F9" s="133" t="s">
        <v>492</v>
      </c>
      <c r="G9" s="133" t="s">
        <v>42</v>
      </c>
      <c r="H9" s="208" t="s">
        <v>157</v>
      </c>
      <c r="I9" s="208" t="s">
        <v>155</v>
      </c>
      <c r="J9" s="133" t="s">
        <v>38</v>
      </c>
      <c r="K9" s="208" t="s">
        <v>156</v>
      </c>
      <c r="L9" s="208">
        <v>2</v>
      </c>
      <c r="M9" s="208"/>
      <c r="N9" s="208">
        <v>1</v>
      </c>
      <c r="O9" s="208">
        <v>0.85</v>
      </c>
      <c r="P9" s="208">
        <v>0.75</v>
      </c>
      <c r="Q9" s="134">
        <f t="shared" si="0"/>
        <v>0.8</v>
      </c>
      <c r="R9" s="136">
        <v>13.2</v>
      </c>
      <c r="S9" s="208">
        <v>138</v>
      </c>
      <c r="T9" s="135">
        <f t="shared" si="1"/>
        <v>22</v>
      </c>
      <c r="U9" s="208">
        <v>138</v>
      </c>
      <c r="V9" s="239">
        <f t="shared" si="2"/>
        <v>3036</v>
      </c>
      <c r="W9" s="208">
        <v>5</v>
      </c>
      <c r="X9" s="133" t="s">
        <v>46</v>
      </c>
      <c r="Y9" s="208" t="s">
        <v>97</v>
      </c>
      <c r="Z9" s="208" t="s">
        <v>78</v>
      </c>
      <c r="AA9" s="208" t="s">
        <v>69</v>
      </c>
      <c r="AB9" s="133" t="s">
        <v>514</v>
      </c>
      <c r="AC9" s="136"/>
      <c r="AE9" s="184" t="s">
        <v>98</v>
      </c>
      <c r="AG9" s="49" t="s">
        <v>133</v>
      </c>
      <c r="AH9" s="49" t="s">
        <v>518</v>
      </c>
      <c r="AL9" s="191"/>
      <c r="AN9" s="191"/>
      <c r="AP9" s="185" t="s">
        <v>95</v>
      </c>
      <c r="AR9" s="192" t="s">
        <v>89</v>
      </c>
      <c r="AV9" s="199" t="s">
        <v>102</v>
      </c>
      <c r="AX9" s="186">
        <v>128</v>
      </c>
      <c r="AY9" s="187">
        <v>27</v>
      </c>
      <c r="AZ9" s="187">
        <v>129</v>
      </c>
      <c r="BA9" s="188">
        <v>25</v>
      </c>
    </row>
    <row r="10" spans="1:53" x14ac:dyDescent="0.15">
      <c r="A10" s="133" t="s">
        <v>61</v>
      </c>
      <c r="B10" s="133" t="s">
        <v>519</v>
      </c>
      <c r="C10" s="133">
        <v>2018</v>
      </c>
      <c r="D10" s="238" t="s">
        <v>520</v>
      </c>
      <c r="E10" s="133" t="s">
        <v>491</v>
      </c>
      <c r="F10" s="133" t="s">
        <v>492</v>
      </c>
      <c r="G10" s="133" t="s">
        <v>42</v>
      </c>
      <c r="H10" s="208" t="s">
        <v>157</v>
      </c>
      <c r="I10" s="208" t="s">
        <v>155</v>
      </c>
      <c r="J10" s="133" t="s">
        <v>38</v>
      </c>
      <c r="K10" s="208" t="s">
        <v>156</v>
      </c>
      <c r="L10" s="208">
        <v>3</v>
      </c>
      <c r="M10" s="208"/>
      <c r="N10" s="208">
        <v>1</v>
      </c>
      <c r="O10" s="208">
        <v>1</v>
      </c>
      <c r="P10" s="208">
        <v>1</v>
      </c>
      <c r="Q10" s="134">
        <f t="shared" si="0"/>
        <v>1</v>
      </c>
      <c r="R10" s="208">
        <v>14.4</v>
      </c>
      <c r="S10" s="208">
        <v>134</v>
      </c>
      <c r="T10" s="135">
        <f t="shared" si="1"/>
        <v>25</v>
      </c>
      <c r="U10" s="208">
        <v>138</v>
      </c>
      <c r="V10" s="239">
        <f t="shared" si="2"/>
        <v>3450</v>
      </c>
      <c r="W10" s="208">
        <v>5</v>
      </c>
      <c r="X10" s="133" t="s">
        <v>46</v>
      </c>
      <c r="Y10" s="208" t="s">
        <v>97</v>
      </c>
      <c r="Z10" s="208" t="s">
        <v>78</v>
      </c>
      <c r="AA10" s="208" t="s">
        <v>69</v>
      </c>
      <c r="AB10" s="133" t="s">
        <v>521</v>
      </c>
      <c r="AC10" s="136"/>
      <c r="AE10" s="184" t="s">
        <v>103</v>
      </c>
      <c r="AG10" s="49" t="s">
        <v>522</v>
      </c>
      <c r="AH10" s="49" t="s">
        <v>523</v>
      </c>
      <c r="AL10" s="189"/>
      <c r="AP10" s="185" t="s">
        <v>100</v>
      </c>
      <c r="AR10" s="192" t="s">
        <v>123</v>
      </c>
      <c r="AV10" s="199" t="s">
        <v>106</v>
      </c>
      <c r="AX10" s="186">
        <v>138</v>
      </c>
      <c r="AY10" s="187">
        <v>25</v>
      </c>
      <c r="AZ10" s="187">
        <v>138</v>
      </c>
      <c r="BA10" s="188">
        <v>22</v>
      </c>
    </row>
    <row r="11" spans="1:53" x14ac:dyDescent="0.15">
      <c r="A11" s="133" t="s">
        <v>61</v>
      </c>
      <c r="B11" s="133" t="s">
        <v>519</v>
      </c>
      <c r="C11" s="133">
        <v>2018</v>
      </c>
      <c r="D11" s="238" t="s">
        <v>520</v>
      </c>
      <c r="E11" s="133" t="s">
        <v>491</v>
      </c>
      <c r="F11" s="133" t="s">
        <v>492</v>
      </c>
      <c r="G11" s="133" t="s">
        <v>42</v>
      </c>
      <c r="H11" s="208" t="s">
        <v>167</v>
      </c>
      <c r="I11" s="208" t="s">
        <v>155</v>
      </c>
      <c r="J11" s="133" t="s">
        <v>38</v>
      </c>
      <c r="K11" s="208" t="s">
        <v>156</v>
      </c>
      <c r="L11" s="208">
        <v>1</v>
      </c>
      <c r="M11" s="208"/>
      <c r="N11" s="208">
        <v>1</v>
      </c>
      <c r="O11" s="208">
        <v>0.55000000000000004</v>
      </c>
      <c r="P11" s="208">
        <v>0.5</v>
      </c>
      <c r="Q11" s="134">
        <f t="shared" si="0"/>
        <v>0.52500000000000002</v>
      </c>
      <c r="R11" s="208">
        <v>17.600000000000001</v>
      </c>
      <c r="S11" s="208">
        <v>137</v>
      </c>
      <c r="T11" s="135">
        <f t="shared" si="1"/>
        <v>25</v>
      </c>
      <c r="U11" s="208">
        <v>158</v>
      </c>
      <c r="V11" s="239">
        <f t="shared" si="2"/>
        <v>3950</v>
      </c>
      <c r="W11" s="208">
        <v>5</v>
      </c>
      <c r="X11" s="133" t="s">
        <v>46</v>
      </c>
      <c r="Y11" s="208" t="s">
        <v>97</v>
      </c>
      <c r="Z11" s="208" t="s">
        <v>78</v>
      </c>
      <c r="AA11" s="208" t="s">
        <v>69</v>
      </c>
      <c r="AB11" s="133" t="s">
        <v>521</v>
      </c>
      <c r="AC11" s="136"/>
      <c r="AE11" s="184" t="s">
        <v>65</v>
      </c>
      <c r="AG11" s="49" t="s">
        <v>524</v>
      </c>
      <c r="AH11" s="49" t="s">
        <v>523</v>
      </c>
      <c r="AL11" s="244"/>
      <c r="AP11" s="185" t="s">
        <v>104</v>
      </c>
      <c r="AR11" s="192" t="s">
        <v>87</v>
      </c>
      <c r="AV11" s="245" t="s">
        <v>525</v>
      </c>
      <c r="AX11" s="186">
        <v>151</v>
      </c>
      <c r="AY11" s="187">
        <v>22</v>
      </c>
      <c r="AZ11" s="187">
        <v>152</v>
      </c>
      <c r="BA11" s="188">
        <v>18</v>
      </c>
    </row>
    <row r="12" spans="1:53" x14ac:dyDescent="0.15">
      <c r="A12" s="133" t="s">
        <v>61</v>
      </c>
      <c r="B12" s="133" t="s">
        <v>526</v>
      </c>
      <c r="C12" s="133">
        <v>2018</v>
      </c>
      <c r="D12" s="238" t="s">
        <v>527</v>
      </c>
      <c r="E12" s="133" t="s">
        <v>491</v>
      </c>
      <c r="F12" s="133" t="s">
        <v>492</v>
      </c>
      <c r="G12" s="133" t="s">
        <v>42</v>
      </c>
      <c r="H12" s="208" t="s">
        <v>167</v>
      </c>
      <c r="I12" s="208" t="s">
        <v>155</v>
      </c>
      <c r="J12" s="133" t="s">
        <v>38</v>
      </c>
      <c r="K12" s="208" t="s">
        <v>156</v>
      </c>
      <c r="L12" s="208">
        <v>2</v>
      </c>
      <c r="M12" s="208"/>
      <c r="N12" s="208">
        <v>1</v>
      </c>
      <c r="O12" s="208">
        <v>0.55000000000000004</v>
      </c>
      <c r="P12" s="208">
        <v>0.55000000000000004</v>
      </c>
      <c r="Q12" s="134">
        <f t="shared" si="0"/>
        <v>0.55000000000000004</v>
      </c>
      <c r="R12" s="136">
        <v>17.399999999999999</v>
      </c>
      <c r="S12" s="208">
        <v>133</v>
      </c>
      <c r="T12" s="135">
        <f t="shared" si="1"/>
        <v>25</v>
      </c>
      <c r="U12" s="208">
        <v>158</v>
      </c>
      <c r="V12" s="239">
        <f t="shared" si="2"/>
        <v>3950</v>
      </c>
      <c r="W12" s="208">
        <v>5</v>
      </c>
      <c r="X12" s="133" t="s">
        <v>46</v>
      </c>
      <c r="Y12" s="208" t="s">
        <v>97</v>
      </c>
      <c r="Z12" s="208" t="s">
        <v>78</v>
      </c>
      <c r="AA12" s="208" t="s">
        <v>69</v>
      </c>
      <c r="AB12" s="133" t="s">
        <v>528</v>
      </c>
      <c r="AC12" s="136"/>
      <c r="AE12" s="184" t="s">
        <v>70</v>
      </c>
      <c r="AG12" s="185"/>
      <c r="AH12" s="184"/>
      <c r="AL12" s="244"/>
      <c r="AP12" s="185" t="s">
        <v>67</v>
      </c>
      <c r="AR12" s="192" t="s">
        <v>124</v>
      </c>
      <c r="AV12" s="245" t="s">
        <v>529</v>
      </c>
      <c r="AX12" s="186">
        <v>180</v>
      </c>
      <c r="AY12" s="187">
        <v>18</v>
      </c>
      <c r="AZ12" s="187">
        <v>181</v>
      </c>
      <c r="BA12" s="188">
        <v>16</v>
      </c>
    </row>
    <row r="13" spans="1:53" x14ac:dyDescent="0.15">
      <c r="A13" s="133" t="s">
        <v>61</v>
      </c>
      <c r="B13" s="133" t="s">
        <v>530</v>
      </c>
      <c r="C13" s="133">
        <v>2018</v>
      </c>
      <c r="D13" s="238" t="s">
        <v>531</v>
      </c>
      <c r="E13" s="133" t="s">
        <v>491</v>
      </c>
      <c r="F13" s="133" t="s">
        <v>492</v>
      </c>
      <c r="G13" s="133" t="s">
        <v>42</v>
      </c>
      <c r="H13" s="208" t="s">
        <v>167</v>
      </c>
      <c r="I13" s="208" t="s">
        <v>155</v>
      </c>
      <c r="J13" s="133" t="s">
        <v>38</v>
      </c>
      <c r="K13" s="208" t="s">
        <v>156</v>
      </c>
      <c r="L13" s="208">
        <v>3</v>
      </c>
      <c r="M13" s="208"/>
      <c r="N13" s="208">
        <v>1</v>
      </c>
      <c r="O13" s="208">
        <v>0.65</v>
      </c>
      <c r="P13" s="208">
        <v>0.55000000000000004</v>
      </c>
      <c r="Q13" s="134">
        <f t="shared" si="0"/>
        <v>0.60000000000000009</v>
      </c>
      <c r="R13" s="208">
        <v>17.899999999999999</v>
      </c>
      <c r="S13" s="208">
        <v>149</v>
      </c>
      <c r="T13" s="135">
        <f t="shared" si="1"/>
        <v>22</v>
      </c>
      <c r="U13" s="208">
        <v>158</v>
      </c>
      <c r="V13" s="239">
        <f t="shared" si="2"/>
        <v>3476</v>
      </c>
      <c r="W13" s="208">
        <v>5</v>
      </c>
      <c r="X13" s="133" t="s">
        <v>46</v>
      </c>
      <c r="Y13" s="208" t="s">
        <v>97</v>
      </c>
      <c r="Z13" s="208" t="s">
        <v>78</v>
      </c>
      <c r="AA13" s="208" t="s">
        <v>69</v>
      </c>
      <c r="AB13" s="133" t="s">
        <v>532</v>
      </c>
      <c r="AC13" s="136"/>
      <c r="AE13" s="184" t="s">
        <v>73</v>
      </c>
      <c r="AG13" s="185"/>
      <c r="AH13" s="184"/>
      <c r="AL13" s="246"/>
      <c r="AP13" s="185" t="s">
        <v>71</v>
      </c>
      <c r="AR13" s="192" t="s">
        <v>103</v>
      </c>
      <c r="AV13" s="245" t="s">
        <v>533</v>
      </c>
      <c r="AX13" s="186"/>
      <c r="AY13" s="187"/>
      <c r="AZ13" s="187"/>
      <c r="BA13" s="188"/>
    </row>
    <row r="14" spans="1:53" x14ac:dyDescent="0.15">
      <c r="A14" s="133" t="s">
        <v>61</v>
      </c>
      <c r="B14" s="133" t="s">
        <v>534</v>
      </c>
      <c r="C14" s="133">
        <v>2018</v>
      </c>
      <c r="D14" s="238" t="s">
        <v>535</v>
      </c>
      <c r="E14" s="133" t="s">
        <v>493</v>
      </c>
      <c r="F14" s="133" t="s">
        <v>494</v>
      </c>
      <c r="G14" s="133" t="s">
        <v>42</v>
      </c>
      <c r="H14" s="208" t="s">
        <v>157</v>
      </c>
      <c r="I14" s="208" t="s">
        <v>155</v>
      </c>
      <c r="J14" s="133" t="s">
        <v>38</v>
      </c>
      <c r="K14" s="208" t="s">
        <v>156</v>
      </c>
      <c r="L14" s="208">
        <v>1</v>
      </c>
      <c r="M14" s="208"/>
      <c r="N14" s="208">
        <v>1</v>
      </c>
      <c r="O14" s="208">
        <v>0.8</v>
      </c>
      <c r="P14" s="208">
        <v>0.8</v>
      </c>
      <c r="Q14" s="134">
        <f t="shared" si="0"/>
        <v>0.8</v>
      </c>
      <c r="R14" s="208">
        <v>17.2</v>
      </c>
      <c r="S14" s="208">
        <v>160</v>
      </c>
      <c r="T14" s="135">
        <f t="shared" si="1"/>
        <v>18</v>
      </c>
      <c r="U14" s="208">
        <v>128</v>
      </c>
      <c r="V14" s="239">
        <f t="shared" si="2"/>
        <v>2304</v>
      </c>
      <c r="W14" s="208">
        <v>9</v>
      </c>
      <c r="X14" s="133" t="s">
        <v>46</v>
      </c>
      <c r="Y14" s="208" t="s">
        <v>55</v>
      </c>
      <c r="Z14" s="208" t="s">
        <v>69</v>
      </c>
      <c r="AA14" s="208" t="s">
        <v>47</v>
      </c>
      <c r="AB14" s="133" t="s">
        <v>536</v>
      </c>
      <c r="AC14" s="136"/>
      <c r="AE14" s="184" t="s">
        <v>76</v>
      </c>
      <c r="AG14" s="185"/>
      <c r="AH14" s="184"/>
      <c r="AL14" s="196"/>
      <c r="AP14" s="185" t="s">
        <v>74</v>
      </c>
      <c r="AR14" s="192" t="s">
        <v>125</v>
      </c>
      <c r="AV14" s="245" t="s">
        <v>537</v>
      </c>
      <c r="AX14" s="186"/>
      <c r="AY14" s="187"/>
      <c r="AZ14" s="187"/>
      <c r="BA14" s="188"/>
    </row>
    <row r="15" spans="1:53" x14ac:dyDescent="0.15">
      <c r="A15" s="133" t="s">
        <v>61</v>
      </c>
      <c r="B15" s="133" t="s">
        <v>534</v>
      </c>
      <c r="C15" s="133">
        <v>2018</v>
      </c>
      <c r="D15" s="238" t="s">
        <v>535</v>
      </c>
      <c r="E15" s="133" t="s">
        <v>493</v>
      </c>
      <c r="F15" s="133" t="s">
        <v>494</v>
      </c>
      <c r="G15" s="133" t="s">
        <v>42</v>
      </c>
      <c r="H15" s="208" t="s">
        <v>157</v>
      </c>
      <c r="I15" s="208" t="s">
        <v>155</v>
      </c>
      <c r="J15" s="133" t="s">
        <v>38</v>
      </c>
      <c r="K15" s="208" t="s">
        <v>156</v>
      </c>
      <c r="L15" s="208">
        <v>2</v>
      </c>
      <c r="M15" s="208"/>
      <c r="N15" s="208">
        <v>1</v>
      </c>
      <c r="O15" s="208">
        <v>0.9</v>
      </c>
      <c r="P15" s="208">
        <v>0.9</v>
      </c>
      <c r="Q15" s="134">
        <f t="shared" si="0"/>
        <v>0.9</v>
      </c>
      <c r="R15" s="136">
        <v>16.899999999999999</v>
      </c>
      <c r="S15" s="208">
        <v>171</v>
      </c>
      <c r="T15" s="135">
        <f t="shared" si="1"/>
        <v>18</v>
      </c>
      <c r="U15" s="208">
        <v>128</v>
      </c>
      <c r="V15" s="239">
        <f t="shared" si="2"/>
        <v>2304</v>
      </c>
      <c r="W15" s="208">
        <v>9</v>
      </c>
      <c r="X15" s="133" t="s">
        <v>46</v>
      </c>
      <c r="Y15" s="208" t="s">
        <v>55</v>
      </c>
      <c r="Z15" s="208" t="s">
        <v>69</v>
      </c>
      <c r="AA15" s="208" t="s">
        <v>47</v>
      </c>
      <c r="AB15" s="133" t="s">
        <v>536</v>
      </c>
      <c r="AC15" s="136"/>
      <c r="AE15" s="184" t="s">
        <v>79</v>
      </c>
      <c r="AG15" s="185"/>
      <c r="AH15" s="185"/>
      <c r="AL15" s="196"/>
      <c r="AP15" s="185" t="s">
        <v>77</v>
      </c>
      <c r="AR15" s="192" t="s">
        <v>94</v>
      </c>
      <c r="AV15" s="245" t="s">
        <v>538</v>
      </c>
      <c r="AX15" s="193"/>
      <c r="AY15" s="194"/>
      <c r="AZ15" s="194"/>
      <c r="BA15" s="195"/>
    </row>
    <row r="16" spans="1:53" x14ac:dyDescent="0.15">
      <c r="A16" s="133" t="s">
        <v>61</v>
      </c>
      <c r="B16" s="133" t="s">
        <v>539</v>
      </c>
      <c r="C16" s="133">
        <v>2018</v>
      </c>
      <c r="D16" s="238" t="s">
        <v>540</v>
      </c>
      <c r="E16" s="133" t="s">
        <v>493</v>
      </c>
      <c r="F16" s="133" t="s">
        <v>494</v>
      </c>
      <c r="G16" s="133" t="s">
        <v>42</v>
      </c>
      <c r="H16" s="208" t="s">
        <v>157</v>
      </c>
      <c r="I16" s="208" t="s">
        <v>155</v>
      </c>
      <c r="J16" s="133" t="s">
        <v>38</v>
      </c>
      <c r="K16" s="208" t="s">
        <v>156</v>
      </c>
      <c r="L16" s="208">
        <v>3</v>
      </c>
      <c r="M16" s="208"/>
      <c r="N16" s="208">
        <v>1</v>
      </c>
      <c r="O16" s="208">
        <v>0.95</v>
      </c>
      <c r="P16" s="208">
        <v>0.65</v>
      </c>
      <c r="Q16" s="134">
        <f t="shared" si="0"/>
        <v>0.8</v>
      </c>
      <c r="R16" s="208">
        <v>17.2</v>
      </c>
      <c r="S16" s="208">
        <v>158</v>
      </c>
      <c r="T16" s="135">
        <f t="shared" si="1"/>
        <v>18</v>
      </c>
      <c r="U16" s="208">
        <v>128</v>
      </c>
      <c r="V16" s="239">
        <f t="shared" si="2"/>
        <v>2304</v>
      </c>
      <c r="W16" s="208">
        <v>9</v>
      </c>
      <c r="X16" s="133" t="s">
        <v>46</v>
      </c>
      <c r="Y16" s="208" t="s">
        <v>55</v>
      </c>
      <c r="Z16" s="208" t="s">
        <v>69</v>
      </c>
      <c r="AA16" s="208" t="s">
        <v>47</v>
      </c>
      <c r="AB16" s="133" t="s">
        <v>541</v>
      </c>
      <c r="AC16" s="136"/>
      <c r="AE16" s="184" t="s">
        <v>82</v>
      </c>
      <c r="AG16" s="185"/>
      <c r="AH16" s="185"/>
      <c r="AP16" s="185" t="s">
        <v>80</v>
      </c>
      <c r="AR16" s="199" t="s">
        <v>63</v>
      </c>
      <c r="AV16" s="245" t="s">
        <v>542</v>
      </c>
    </row>
    <row r="17" spans="1:48" x14ac:dyDescent="0.15">
      <c r="A17" s="133" t="s">
        <v>61</v>
      </c>
      <c r="B17" s="133" t="s">
        <v>539</v>
      </c>
      <c r="C17" s="133">
        <v>2018</v>
      </c>
      <c r="D17" s="238" t="s">
        <v>540</v>
      </c>
      <c r="E17" s="133" t="s">
        <v>493</v>
      </c>
      <c r="F17" s="133" t="s">
        <v>494</v>
      </c>
      <c r="G17" s="133" t="s">
        <v>42</v>
      </c>
      <c r="H17" s="208" t="s">
        <v>221</v>
      </c>
      <c r="I17" s="208" t="s">
        <v>155</v>
      </c>
      <c r="J17" s="133" t="s">
        <v>38</v>
      </c>
      <c r="K17" s="208" t="s">
        <v>156</v>
      </c>
      <c r="L17" s="208">
        <v>1</v>
      </c>
      <c r="M17" s="208"/>
      <c r="N17" s="208">
        <v>4</v>
      </c>
      <c r="O17" s="208">
        <v>0.5</v>
      </c>
      <c r="P17" s="208">
        <v>0.5</v>
      </c>
      <c r="Q17" s="134">
        <f t="shared" si="0"/>
        <v>0.5</v>
      </c>
      <c r="R17" s="208">
        <v>17.5</v>
      </c>
      <c r="S17" s="208">
        <v>96</v>
      </c>
      <c r="T17" s="135">
        <f t="shared" si="1"/>
        <v>36</v>
      </c>
      <c r="U17" s="208">
        <v>358</v>
      </c>
      <c r="V17" s="239">
        <f t="shared" si="2"/>
        <v>3222</v>
      </c>
      <c r="W17" s="208">
        <v>9</v>
      </c>
      <c r="X17" s="133" t="s">
        <v>46</v>
      </c>
      <c r="Y17" s="208" t="s">
        <v>55</v>
      </c>
      <c r="Z17" s="208" t="s">
        <v>69</v>
      </c>
      <c r="AA17" s="208" t="s">
        <v>47</v>
      </c>
      <c r="AB17" s="133" t="s">
        <v>541</v>
      </c>
      <c r="AC17" s="136"/>
      <c r="AE17" s="184" t="s">
        <v>85</v>
      </c>
      <c r="AP17" s="200" t="s">
        <v>110</v>
      </c>
      <c r="AR17" s="199" t="s">
        <v>96</v>
      </c>
      <c r="AV17" s="245" t="s">
        <v>543</v>
      </c>
    </row>
    <row r="18" spans="1:48" x14ac:dyDescent="0.15">
      <c r="A18" s="133" t="s">
        <v>61</v>
      </c>
      <c r="B18" s="133" t="s">
        <v>539</v>
      </c>
      <c r="C18" s="133">
        <v>2018</v>
      </c>
      <c r="D18" s="238" t="s">
        <v>540</v>
      </c>
      <c r="E18" s="133" t="s">
        <v>493</v>
      </c>
      <c r="F18" s="133" t="s">
        <v>494</v>
      </c>
      <c r="G18" s="133" t="s">
        <v>42</v>
      </c>
      <c r="H18" s="208" t="s">
        <v>221</v>
      </c>
      <c r="I18" s="208" t="s">
        <v>155</v>
      </c>
      <c r="J18" s="133" t="s">
        <v>38</v>
      </c>
      <c r="K18" s="208" t="s">
        <v>156</v>
      </c>
      <c r="L18" s="208">
        <v>2</v>
      </c>
      <c r="M18" s="208"/>
      <c r="N18" s="208">
        <v>4</v>
      </c>
      <c r="O18" s="208">
        <v>0.5</v>
      </c>
      <c r="P18" s="208">
        <v>0.5</v>
      </c>
      <c r="Q18" s="134">
        <f t="shared" si="0"/>
        <v>0.5</v>
      </c>
      <c r="R18" s="136">
        <v>18.5</v>
      </c>
      <c r="S18" s="208">
        <v>105</v>
      </c>
      <c r="T18" s="135">
        <f t="shared" si="1"/>
        <v>33</v>
      </c>
      <c r="U18" s="208">
        <v>358</v>
      </c>
      <c r="V18" s="239">
        <f t="shared" si="2"/>
        <v>2953.5</v>
      </c>
      <c r="W18" s="208">
        <v>9</v>
      </c>
      <c r="X18" s="133" t="s">
        <v>46</v>
      </c>
      <c r="Y18" s="208" t="s">
        <v>55</v>
      </c>
      <c r="Z18" s="208" t="s">
        <v>69</v>
      </c>
      <c r="AA18" s="208" t="s">
        <v>47</v>
      </c>
      <c r="AB18" s="133" t="s">
        <v>541</v>
      </c>
      <c r="AC18" s="136"/>
      <c r="AE18" s="184" t="s">
        <v>87</v>
      </c>
      <c r="AP18" s="200" t="s">
        <v>111</v>
      </c>
      <c r="AR18" s="199" t="s">
        <v>101</v>
      </c>
      <c r="AV18" s="245" t="s">
        <v>544</v>
      </c>
    </row>
    <row r="19" spans="1:48" x14ac:dyDescent="0.15">
      <c r="A19" s="133" t="s">
        <v>61</v>
      </c>
      <c r="B19" s="133" t="s">
        <v>526</v>
      </c>
      <c r="C19" s="133">
        <v>2018</v>
      </c>
      <c r="D19" s="238" t="s">
        <v>527</v>
      </c>
      <c r="E19" s="133" t="s">
        <v>493</v>
      </c>
      <c r="F19" s="133" t="s">
        <v>494</v>
      </c>
      <c r="G19" s="133" t="s">
        <v>42</v>
      </c>
      <c r="H19" s="208" t="s">
        <v>221</v>
      </c>
      <c r="I19" s="208" t="s">
        <v>155</v>
      </c>
      <c r="J19" s="133" t="s">
        <v>38</v>
      </c>
      <c r="K19" s="208" t="s">
        <v>156</v>
      </c>
      <c r="L19" s="208">
        <v>3</v>
      </c>
      <c r="M19" s="208"/>
      <c r="N19" s="208">
        <v>4</v>
      </c>
      <c r="O19" s="136">
        <v>0.5</v>
      </c>
      <c r="P19" s="208">
        <v>0.5</v>
      </c>
      <c r="Q19" s="134">
        <f t="shared" si="0"/>
        <v>0.5</v>
      </c>
      <c r="R19" s="208">
        <v>17</v>
      </c>
      <c r="S19" s="208">
        <v>104</v>
      </c>
      <c r="T19" s="135">
        <f t="shared" si="1"/>
        <v>33</v>
      </c>
      <c r="U19" s="208">
        <v>358</v>
      </c>
      <c r="V19" s="239">
        <f t="shared" si="2"/>
        <v>2953.5</v>
      </c>
      <c r="W19" s="208">
        <v>9</v>
      </c>
      <c r="X19" s="133" t="s">
        <v>46</v>
      </c>
      <c r="Y19" s="208" t="s">
        <v>55</v>
      </c>
      <c r="Z19" s="208" t="s">
        <v>69</v>
      </c>
      <c r="AA19" s="208" t="s">
        <v>47</v>
      </c>
      <c r="AB19" s="133" t="s">
        <v>528</v>
      </c>
      <c r="AC19" s="136"/>
      <c r="AE19" s="197" t="s">
        <v>89</v>
      </c>
      <c r="AP19" s="200" t="s">
        <v>112</v>
      </c>
      <c r="AR19" s="192" t="s">
        <v>126</v>
      </c>
      <c r="AV19" s="245" t="s">
        <v>545</v>
      </c>
    </row>
    <row r="20" spans="1:48" x14ac:dyDescent="0.15">
      <c r="A20" s="133" t="s">
        <v>61</v>
      </c>
      <c r="B20" s="133" t="s">
        <v>526</v>
      </c>
      <c r="C20" s="133">
        <v>2018</v>
      </c>
      <c r="D20" s="238" t="s">
        <v>527</v>
      </c>
      <c r="E20" s="133" t="s">
        <v>493</v>
      </c>
      <c r="F20" s="133" t="s">
        <v>494</v>
      </c>
      <c r="G20" s="133" t="s">
        <v>42</v>
      </c>
      <c r="H20" s="208" t="s">
        <v>167</v>
      </c>
      <c r="I20" s="208" t="s">
        <v>155</v>
      </c>
      <c r="J20" s="133" t="s">
        <v>38</v>
      </c>
      <c r="K20" s="208" t="s">
        <v>156</v>
      </c>
      <c r="L20" s="208">
        <v>1</v>
      </c>
      <c r="M20" s="208"/>
      <c r="N20" s="208">
        <v>1</v>
      </c>
      <c r="O20" s="208">
        <v>0.5</v>
      </c>
      <c r="P20" s="208">
        <v>0.5</v>
      </c>
      <c r="Q20" s="134">
        <f t="shared" si="0"/>
        <v>0.5</v>
      </c>
      <c r="R20" s="208">
        <v>18.7</v>
      </c>
      <c r="S20" s="208">
        <v>165</v>
      </c>
      <c r="T20" s="135">
        <f t="shared" si="1"/>
        <v>18</v>
      </c>
      <c r="U20" s="208">
        <v>158</v>
      </c>
      <c r="V20" s="239">
        <f t="shared" si="2"/>
        <v>2844</v>
      </c>
      <c r="W20" s="208">
        <v>9</v>
      </c>
      <c r="X20" s="133" t="s">
        <v>46</v>
      </c>
      <c r="Y20" s="208" t="s">
        <v>55</v>
      </c>
      <c r="Z20" s="208" t="s">
        <v>69</v>
      </c>
      <c r="AA20" s="208" t="s">
        <v>47</v>
      </c>
      <c r="AB20" s="133" t="s">
        <v>528</v>
      </c>
      <c r="AC20" s="136"/>
      <c r="AE20" s="184"/>
      <c r="AP20" s="200" t="s">
        <v>113</v>
      </c>
      <c r="AR20" s="199" t="s">
        <v>105</v>
      </c>
      <c r="AV20" s="245" t="s">
        <v>546</v>
      </c>
    </row>
    <row r="21" spans="1:48" x14ac:dyDescent="0.15">
      <c r="A21" s="133" t="s">
        <v>61</v>
      </c>
      <c r="B21" s="133" t="s">
        <v>526</v>
      </c>
      <c r="C21" s="133">
        <v>2018</v>
      </c>
      <c r="D21" s="238" t="s">
        <v>527</v>
      </c>
      <c r="E21" s="133" t="s">
        <v>493</v>
      </c>
      <c r="F21" s="133" t="s">
        <v>494</v>
      </c>
      <c r="G21" s="133" t="s">
        <v>42</v>
      </c>
      <c r="H21" s="208" t="s">
        <v>167</v>
      </c>
      <c r="I21" s="208" t="s">
        <v>155</v>
      </c>
      <c r="J21" s="133" t="s">
        <v>38</v>
      </c>
      <c r="K21" s="208" t="s">
        <v>156</v>
      </c>
      <c r="L21" s="208">
        <v>2</v>
      </c>
      <c r="M21" s="208"/>
      <c r="N21" s="208">
        <v>1</v>
      </c>
      <c r="O21" s="208">
        <v>0.6</v>
      </c>
      <c r="P21" s="208">
        <v>0.6</v>
      </c>
      <c r="Q21" s="134">
        <f t="shared" si="0"/>
        <v>0.6</v>
      </c>
      <c r="R21" s="208">
        <v>17.5</v>
      </c>
      <c r="S21" s="208">
        <v>157</v>
      </c>
      <c r="T21" s="135">
        <f t="shared" si="1"/>
        <v>18</v>
      </c>
      <c r="U21" s="208">
        <v>158</v>
      </c>
      <c r="V21" s="239">
        <f t="shared" si="2"/>
        <v>2844</v>
      </c>
      <c r="W21" s="208">
        <v>9</v>
      </c>
      <c r="X21" s="133" t="s">
        <v>46</v>
      </c>
      <c r="Y21" s="208" t="s">
        <v>55</v>
      </c>
      <c r="Z21" s="208" t="s">
        <v>69</v>
      </c>
      <c r="AA21" s="208" t="s">
        <v>47</v>
      </c>
      <c r="AB21" s="133" t="s">
        <v>528</v>
      </c>
      <c r="AC21" s="136"/>
      <c r="AE21" s="184"/>
      <c r="AP21" s="200" t="s">
        <v>114</v>
      </c>
      <c r="AR21" s="199" t="s">
        <v>68</v>
      </c>
      <c r="AV21" s="245" t="s">
        <v>547</v>
      </c>
    </row>
    <row r="22" spans="1:48" x14ac:dyDescent="0.15">
      <c r="A22" s="133" t="s">
        <v>61</v>
      </c>
      <c r="B22" s="133" t="s">
        <v>526</v>
      </c>
      <c r="C22" s="133">
        <v>2018</v>
      </c>
      <c r="D22" s="238" t="s">
        <v>527</v>
      </c>
      <c r="E22" s="133" t="s">
        <v>493</v>
      </c>
      <c r="F22" s="133" t="s">
        <v>494</v>
      </c>
      <c r="G22" s="133" t="s">
        <v>42</v>
      </c>
      <c r="H22" s="208" t="s">
        <v>167</v>
      </c>
      <c r="I22" s="208" t="s">
        <v>155</v>
      </c>
      <c r="J22" s="133" t="s">
        <v>38</v>
      </c>
      <c r="K22" s="208" t="s">
        <v>156</v>
      </c>
      <c r="L22" s="208">
        <v>3</v>
      </c>
      <c r="M22" s="208"/>
      <c r="N22" s="208">
        <v>1</v>
      </c>
      <c r="O22" s="136">
        <v>0.65</v>
      </c>
      <c r="P22" s="208">
        <v>0.65</v>
      </c>
      <c r="Q22" s="134">
        <f t="shared" si="0"/>
        <v>0.65</v>
      </c>
      <c r="R22" s="208">
        <v>17.899999999999999</v>
      </c>
      <c r="S22" s="208">
        <v>158</v>
      </c>
      <c r="T22" s="135">
        <f t="shared" si="1"/>
        <v>18</v>
      </c>
      <c r="U22" s="208">
        <v>158</v>
      </c>
      <c r="V22" s="239">
        <f t="shared" si="2"/>
        <v>2844</v>
      </c>
      <c r="W22" s="208">
        <v>9</v>
      </c>
      <c r="X22" s="133" t="s">
        <v>46</v>
      </c>
      <c r="Y22" s="208" t="s">
        <v>55</v>
      </c>
      <c r="Z22" s="208" t="s">
        <v>69</v>
      </c>
      <c r="AA22" s="208" t="s">
        <v>47</v>
      </c>
      <c r="AB22" s="133" t="s">
        <v>528</v>
      </c>
      <c r="AC22" s="136"/>
      <c r="AE22" s="197"/>
      <c r="AP22" s="200" t="s">
        <v>115</v>
      </c>
      <c r="AR22" s="199" t="s">
        <v>83</v>
      </c>
      <c r="AV22" s="185"/>
    </row>
    <row r="23" spans="1:48" x14ac:dyDescent="0.15">
      <c r="A23" s="133" t="s">
        <v>61</v>
      </c>
      <c r="B23" s="133" t="s">
        <v>526</v>
      </c>
      <c r="C23" s="133">
        <v>2018</v>
      </c>
      <c r="D23" s="238" t="s">
        <v>527</v>
      </c>
      <c r="E23" s="133" t="s">
        <v>500</v>
      </c>
      <c r="F23" s="133" t="s">
        <v>501</v>
      </c>
      <c r="G23" s="133" t="s">
        <v>42</v>
      </c>
      <c r="H23" s="208" t="s">
        <v>157</v>
      </c>
      <c r="I23" s="208" t="s">
        <v>155</v>
      </c>
      <c r="J23" s="133" t="s">
        <v>38</v>
      </c>
      <c r="K23" s="208" t="s">
        <v>156</v>
      </c>
      <c r="L23" s="208">
        <v>1</v>
      </c>
      <c r="M23" s="208"/>
      <c r="N23" s="208">
        <v>1</v>
      </c>
      <c r="O23" s="208">
        <v>0.95</v>
      </c>
      <c r="P23" s="208">
        <v>1.05</v>
      </c>
      <c r="Q23" s="134">
        <f t="shared" si="0"/>
        <v>1</v>
      </c>
      <c r="R23" s="208">
        <v>17.5</v>
      </c>
      <c r="S23" s="208">
        <v>130</v>
      </c>
      <c r="T23" s="135">
        <f t="shared" si="1"/>
        <v>25</v>
      </c>
      <c r="U23" s="208">
        <v>138</v>
      </c>
      <c r="V23" s="239">
        <f t="shared" si="2"/>
        <v>3450</v>
      </c>
      <c r="W23" s="208">
        <v>12</v>
      </c>
      <c r="X23" s="133" t="s">
        <v>46</v>
      </c>
      <c r="Y23" s="208" t="s">
        <v>97</v>
      </c>
      <c r="Z23" s="208" t="s">
        <v>78</v>
      </c>
      <c r="AA23" s="208" t="s">
        <v>55</v>
      </c>
      <c r="AB23" s="133" t="s">
        <v>528</v>
      </c>
      <c r="AC23" s="136"/>
      <c r="AE23" s="184"/>
      <c r="AP23" s="200" t="s">
        <v>548</v>
      </c>
      <c r="AR23" s="199" t="s">
        <v>61</v>
      </c>
    </row>
    <row r="24" spans="1:48" x14ac:dyDescent="0.15">
      <c r="A24" s="133" t="s">
        <v>61</v>
      </c>
      <c r="B24" s="133" t="s">
        <v>549</v>
      </c>
      <c r="C24" s="133">
        <v>2018</v>
      </c>
      <c r="D24" s="238" t="s">
        <v>550</v>
      </c>
      <c r="E24" s="133" t="s">
        <v>500</v>
      </c>
      <c r="F24" s="133" t="s">
        <v>501</v>
      </c>
      <c r="G24" s="133" t="s">
        <v>42</v>
      </c>
      <c r="H24" s="208" t="s">
        <v>157</v>
      </c>
      <c r="I24" s="208" t="s">
        <v>155</v>
      </c>
      <c r="J24" s="133" t="s">
        <v>38</v>
      </c>
      <c r="K24" s="208" t="s">
        <v>156</v>
      </c>
      <c r="L24" s="208">
        <v>2</v>
      </c>
      <c r="M24" s="208"/>
      <c r="N24" s="208">
        <v>1</v>
      </c>
      <c r="O24" s="208">
        <v>0.9</v>
      </c>
      <c r="P24" s="208">
        <v>0.9</v>
      </c>
      <c r="Q24" s="134">
        <f t="shared" si="0"/>
        <v>0.9</v>
      </c>
      <c r="R24" s="208">
        <v>16.899999999999999</v>
      </c>
      <c r="S24" s="208">
        <v>129</v>
      </c>
      <c r="T24" s="135">
        <f t="shared" si="1"/>
        <v>25</v>
      </c>
      <c r="U24" s="208">
        <v>138</v>
      </c>
      <c r="V24" s="239">
        <f t="shared" si="2"/>
        <v>3450</v>
      </c>
      <c r="W24" s="208">
        <v>12</v>
      </c>
      <c r="X24" s="133" t="s">
        <v>46</v>
      </c>
      <c r="Y24" s="208" t="s">
        <v>97</v>
      </c>
      <c r="Z24" s="208" t="s">
        <v>78</v>
      </c>
      <c r="AA24" s="208" t="s">
        <v>55</v>
      </c>
      <c r="AB24" s="133" t="s">
        <v>551</v>
      </c>
      <c r="AC24" s="136"/>
      <c r="AE24" s="184"/>
      <c r="AP24" s="200" t="s">
        <v>552</v>
      </c>
      <c r="AR24" s="199" t="s">
        <v>91</v>
      </c>
    </row>
    <row r="25" spans="1:48" x14ac:dyDescent="0.15">
      <c r="A25" s="133" t="s">
        <v>61</v>
      </c>
      <c r="B25" s="133" t="s">
        <v>553</v>
      </c>
      <c r="C25" s="133">
        <v>2018</v>
      </c>
      <c r="D25" s="238" t="s">
        <v>554</v>
      </c>
      <c r="E25" s="133" t="s">
        <v>500</v>
      </c>
      <c r="F25" s="133" t="s">
        <v>501</v>
      </c>
      <c r="G25" s="133" t="s">
        <v>42</v>
      </c>
      <c r="H25" s="208" t="s">
        <v>157</v>
      </c>
      <c r="I25" s="208" t="s">
        <v>155</v>
      </c>
      <c r="J25" s="133" t="s">
        <v>38</v>
      </c>
      <c r="K25" s="208" t="s">
        <v>156</v>
      </c>
      <c r="L25" s="208">
        <v>3</v>
      </c>
      <c r="M25" s="208"/>
      <c r="N25" s="208">
        <v>1</v>
      </c>
      <c r="O25" s="136">
        <v>0.85</v>
      </c>
      <c r="P25" s="208">
        <v>0.85</v>
      </c>
      <c r="Q25" s="134">
        <f t="shared" si="0"/>
        <v>0.85</v>
      </c>
      <c r="R25" s="208">
        <v>17.100000000000001</v>
      </c>
      <c r="S25" s="208">
        <v>133</v>
      </c>
      <c r="T25" s="135">
        <f t="shared" si="1"/>
        <v>25</v>
      </c>
      <c r="U25" s="208">
        <v>138</v>
      </c>
      <c r="V25" s="239">
        <f t="shared" si="2"/>
        <v>3450</v>
      </c>
      <c r="W25" s="208">
        <v>12</v>
      </c>
      <c r="X25" s="133" t="s">
        <v>46</v>
      </c>
      <c r="Y25" s="208" t="s">
        <v>97</v>
      </c>
      <c r="Z25" s="208" t="s">
        <v>78</v>
      </c>
      <c r="AA25" s="208" t="s">
        <v>55</v>
      </c>
      <c r="AB25" s="133" t="s">
        <v>555</v>
      </c>
      <c r="AC25" s="136"/>
      <c r="AE25" s="197"/>
      <c r="AP25" s="200" t="s">
        <v>116</v>
      </c>
      <c r="AR25" s="42" t="s">
        <v>92</v>
      </c>
    </row>
    <row r="26" spans="1:48" x14ac:dyDescent="0.15">
      <c r="A26" s="133" t="s">
        <v>61</v>
      </c>
      <c r="B26" s="133" t="s">
        <v>553</v>
      </c>
      <c r="C26" s="133">
        <v>2018</v>
      </c>
      <c r="D26" s="238" t="s">
        <v>554</v>
      </c>
      <c r="E26" s="133" t="s">
        <v>500</v>
      </c>
      <c r="F26" s="133" t="s">
        <v>501</v>
      </c>
      <c r="G26" s="133" t="s">
        <v>42</v>
      </c>
      <c r="H26" s="208" t="s">
        <v>221</v>
      </c>
      <c r="I26" s="208" t="s">
        <v>155</v>
      </c>
      <c r="J26" s="133" t="s">
        <v>38</v>
      </c>
      <c r="K26" s="208" t="s">
        <v>156</v>
      </c>
      <c r="L26" s="208">
        <v>1</v>
      </c>
      <c r="M26" s="208"/>
      <c r="N26" s="208">
        <v>4</v>
      </c>
      <c r="O26" s="208">
        <v>0.55000000000000004</v>
      </c>
      <c r="P26" s="136">
        <v>0.5</v>
      </c>
      <c r="Q26" s="134">
        <f t="shared" si="0"/>
        <v>0.52500000000000002</v>
      </c>
      <c r="R26" s="208">
        <v>17.8</v>
      </c>
      <c r="S26" s="208">
        <v>90</v>
      </c>
      <c r="T26" s="135">
        <f t="shared" si="1"/>
        <v>36</v>
      </c>
      <c r="U26" s="208">
        <v>429</v>
      </c>
      <c r="V26" s="239">
        <f t="shared" si="2"/>
        <v>3861</v>
      </c>
      <c r="W26" s="208">
        <v>12</v>
      </c>
      <c r="X26" s="133" t="s">
        <v>46</v>
      </c>
      <c r="Y26" s="208" t="s">
        <v>97</v>
      </c>
      <c r="Z26" s="208" t="s">
        <v>78</v>
      </c>
      <c r="AA26" s="208" t="s">
        <v>55</v>
      </c>
      <c r="AB26" s="133" t="s">
        <v>555</v>
      </c>
      <c r="AC26" s="136"/>
      <c r="AD26" s="196"/>
      <c r="AE26" s="197"/>
      <c r="AP26" s="200" t="s">
        <v>117</v>
      </c>
      <c r="AR26" s="185" t="s">
        <v>278</v>
      </c>
    </row>
    <row r="27" spans="1:48" x14ac:dyDescent="0.15">
      <c r="A27" s="133" t="s">
        <v>61</v>
      </c>
      <c r="B27" s="133" t="s">
        <v>553</v>
      </c>
      <c r="C27" s="133">
        <v>2018</v>
      </c>
      <c r="D27" s="238" t="s">
        <v>554</v>
      </c>
      <c r="E27" s="133" t="s">
        <v>500</v>
      </c>
      <c r="F27" s="133" t="s">
        <v>501</v>
      </c>
      <c r="G27" s="133" t="s">
        <v>42</v>
      </c>
      <c r="H27" s="208" t="s">
        <v>221</v>
      </c>
      <c r="I27" s="208" t="s">
        <v>155</v>
      </c>
      <c r="J27" s="133" t="s">
        <v>38</v>
      </c>
      <c r="K27" s="208" t="s">
        <v>156</v>
      </c>
      <c r="L27" s="208">
        <v>2</v>
      </c>
      <c r="M27" s="208"/>
      <c r="N27" s="208">
        <v>4</v>
      </c>
      <c r="O27" s="208">
        <v>0.75</v>
      </c>
      <c r="P27" s="136">
        <v>0.8</v>
      </c>
      <c r="Q27" s="134">
        <f t="shared" si="0"/>
        <v>0.77500000000000002</v>
      </c>
      <c r="R27" s="208">
        <v>17.7</v>
      </c>
      <c r="S27" s="208">
        <v>103</v>
      </c>
      <c r="T27" s="135">
        <f t="shared" si="1"/>
        <v>33</v>
      </c>
      <c r="U27" s="208">
        <v>429</v>
      </c>
      <c r="V27" s="239">
        <f t="shared" si="2"/>
        <v>3539.25</v>
      </c>
      <c r="W27" s="208">
        <v>12</v>
      </c>
      <c r="X27" s="133" t="s">
        <v>46</v>
      </c>
      <c r="Y27" s="208" t="s">
        <v>97</v>
      </c>
      <c r="Z27" s="208" t="s">
        <v>78</v>
      </c>
      <c r="AA27" s="208" t="s">
        <v>55</v>
      </c>
      <c r="AB27" s="133" t="s">
        <v>555</v>
      </c>
      <c r="AC27" s="136"/>
      <c r="AD27" s="196"/>
      <c r="AE27" s="190"/>
      <c r="AP27" s="200" t="s">
        <v>118</v>
      </c>
      <c r="AR27" s="185"/>
    </row>
    <row r="28" spans="1:48" x14ac:dyDescent="0.15">
      <c r="A28" s="133" t="s">
        <v>61</v>
      </c>
      <c r="B28" s="133" t="s">
        <v>553</v>
      </c>
      <c r="C28" s="133">
        <v>2018</v>
      </c>
      <c r="D28" s="238" t="s">
        <v>554</v>
      </c>
      <c r="E28" s="133" t="s">
        <v>500</v>
      </c>
      <c r="F28" s="133" t="s">
        <v>501</v>
      </c>
      <c r="G28" s="133" t="s">
        <v>42</v>
      </c>
      <c r="H28" s="208" t="s">
        <v>221</v>
      </c>
      <c r="I28" s="208" t="s">
        <v>155</v>
      </c>
      <c r="J28" s="133" t="s">
        <v>38</v>
      </c>
      <c r="K28" s="208" t="s">
        <v>156</v>
      </c>
      <c r="L28" s="208">
        <v>3</v>
      </c>
      <c r="M28" s="208"/>
      <c r="N28" s="208">
        <v>4</v>
      </c>
      <c r="O28" s="208">
        <v>0.75</v>
      </c>
      <c r="P28" s="136">
        <v>0.6</v>
      </c>
      <c r="Q28" s="134">
        <f t="shared" si="0"/>
        <v>0.67500000000000004</v>
      </c>
      <c r="R28" s="208">
        <v>17.100000000000001</v>
      </c>
      <c r="S28" s="208">
        <v>103</v>
      </c>
      <c r="T28" s="135">
        <f t="shared" si="1"/>
        <v>33</v>
      </c>
      <c r="U28" s="208">
        <v>429</v>
      </c>
      <c r="V28" s="239">
        <f t="shared" si="2"/>
        <v>3539.25</v>
      </c>
      <c r="W28" s="208">
        <v>12</v>
      </c>
      <c r="X28" s="133" t="s">
        <v>46</v>
      </c>
      <c r="Y28" s="208" t="s">
        <v>97</v>
      </c>
      <c r="Z28" s="208" t="s">
        <v>78</v>
      </c>
      <c r="AA28" s="208" t="s">
        <v>55</v>
      </c>
      <c r="AB28" s="133" t="s">
        <v>555</v>
      </c>
      <c r="AC28" s="136"/>
      <c r="AD28" s="196"/>
      <c r="AP28" s="189"/>
      <c r="AR28" s="185"/>
    </row>
    <row r="29" spans="1:48" x14ac:dyDescent="0.15">
      <c r="A29" s="133" t="s">
        <v>61</v>
      </c>
      <c r="B29" s="133" t="s">
        <v>553</v>
      </c>
      <c r="C29" s="133">
        <v>2018</v>
      </c>
      <c r="D29" s="238" t="s">
        <v>554</v>
      </c>
      <c r="E29" s="133" t="s">
        <v>500</v>
      </c>
      <c r="F29" s="133" t="s">
        <v>501</v>
      </c>
      <c r="G29" s="133" t="s">
        <v>42</v>
      </c>
      <c r="H29" s="208" t="s">
        <v>167</v>
      </c>
      <c r="I29" s="208" t="s">
        <v>155</v>
      </c>
      <c r="J29" s="133" t="s">
        <v>38</v>
      </c>
      <c r="K29" s="208" t="s">
        <v>156</v>
      </c>
      <c r="L29" s="208">
        <v>1</v>
      </c>
      <c r="M29" s="208"/>
      <c r="N29" s="208">
        <v>1</v>
      </c>
      <c r="O29" s="208">
        <v>0.7</v>
      </c>
      <c r="P29" s="208">
        <v>0.7</v>
      </c>
      <c r="Q29" s="134">
        <f t="shared" si="0"/>
        <v>0.7</v>
      </c>
      <c r="R29" s="208">
        <v>18</v>
      </c>
      <c r="S29" s="208">
        <v>142</v>
      </c>
      <c r="T29" s="135">
        <f t="shared" si="1"/>
        <v>22</v>
      </c>
      <c r="U29" s="208">
        <v>138</v>
      </c>
      <c r="V29" s="239">
        <f t="shared" si="2"/>
        <v>3036</v>
      </c>
      <c r="W29" s="208">
        <v>12</v>
      </c>
      <c r="X29" s="133" t="s">
        <v>46</v>
      </c>
      <c r="Y29" s="208" t="s">
        <v>97</v>
      </c>
      <c r="Z29" s="208" t="s">
        <v>78</v>
      </c>
      <c r="AA29" s="208" t="s">
        <v>55</v>
      </c>
      <c r="AB29" s="133" t="s">
        <v>555</v>
      </c>
      <c r="AC29" s="136"/>
    </row>
    <row r="30" spans="1:48" x14ac:dyDescent="0.15">
      <c r="A30" s="133" t="s">
        <v>61</v>
      </c>
      <c r="B30" s="133" t="s">
        <v>553</v>
      </c>
      <c r="C30" s="133">
        <v>2018</v>
      </c>
      <c r="D30" s="238" t="s">
        <v>554</v>
      </c>
      <c r="E30" s="133" t="s">
        <v>500</v>
      </c>
      <c r="F30" s="133" t="s">
        <v>501</v>
      </c>
      <c r="G30" s="133" t="s">
        <v>42</v>
      </c>
      <c r="H30" s="208" t="s">
        <v>167</v>
      </c>
      <c r="I30" s="208" t="s">
        <v>155</v>
      </c>
      <c r="J30" s="133" t="s">
        <v>38</v>
      </c>
      <c r="K30" s="208" t="s">
        <v>156</v>
      </c>
      <c r="L30" s="208">
        <v>2</v>
      </c>
      <c r="M30" s="208"/>
      <c r="N30" s="208">
        <v>1</v>
      </c>
      <c r="O30" s="208">
        <v>0.9</v>
      </c>
      <c r="P30" s="136">
        <v>0.85</v>
      </c>
      <c r="Q30" s="134">
        <f t="shared" si="0"/>
        <v>0.875</v>
      </c>
      <c r="R30" s="208">
        <v>17.3</v>
      </c>
      <c r="S30" s="208">
        <v>138</v>
      </c>
      <c r="T30" s="135">
        <f t="shared" si="1"/>
        <v>22</v>
      </c>
      <c r="U30" s="208">
        <v>138</v>
      </c>
      <c r="V30" s="239">
        <f t="shared" si="2"/>
        <v>3036</v>
      </c>
      <c r="W30" s="208">
        <v>12</v>
      </c>
      <c r="X30" s="133" t="s">
        <v>46</v>
      </c>
      <c r="Y30" s="208" t="s">
        <v>97</v>
      </c>
      <c r="Z30" s="208" t="s">
        <v>78</v>
      </c>
      <c r="AA30" s="208" t="s">
        <v>55</v>
      </c>
      <c r="AB30" s="133" t="s">
        <v>555</v>
      </c>
      <c r="AC30" s="136"/>
    </row>
    <row r="31" spans="1:48" x14ac:dyDescent="0.15">
      <c r="A31" s="133" t="s">
        <v>61</v>
      </c>
      <c r="B31" s="133" t="s">
        <v>553</v>
      </c>
      <c r="C31" s="133">
        <v>2018</v>
      </c>
      <c r="D31" s="238" t="s">
        <v>554</v>
      </c>
      <c r="E31" s="133" t="s">
        <v>500</v>
      </c>
      <c r="F31" s="133" t="s">
        <v>501</v>
      </c>
      <c r="G31" s="133" t="s">
        <v>42</v>
      </c>
      <c r="H31" s="208" t="s">
        <v>167</v>
      </c>
      <c r="I31" s="208" t="s">
        <v>155</v>
      </c>
      <c r="J31" s="133" t="s">
        <v>38</v>
      </c>
      <c r="K31" s="208" t="s">
        <v>156</v>
      </c>
      <c r="L31" s="208">
        <v>3</v>
      </c>
      <c r="M31" s="208"/>
      <c r="N31" s="208">
        <v>1</v>
      </c>
      <c r="O31" s="208">
        <v>0.65</v>
      </c>
      <c r="P31" s="208">
        <v>0.7</v>
      </c>
      <c r="Q31" s="134">
        <f t="shared" si="0"/>
        <v>0.67500000000000004</v>
      </c>
      <c r="R31" s="208">
        <v>17.2</v>
      </c>
      <c r="S31" s="208">
        <v>150</v>
      </c>
      <c r="T31" s="135">
        <f t="shared" si="1"/>
        <v>22</v>
      </c>
      <c r="U31" s="208">
        <v>138</v>
      </c>
      <c r="V31" s="239">
        <f t="shared" si="2"/>
        <v>3036</v>
      </c>
      <c r="W31" s="208">
        <v>12</v>
      </c>
      <c r="X31" s="133" t="s">
        <v>46</v>
      </c>
      <c r="Y31" s="208" t="s">
        <v>97</v>
      </c>
      <c r="Z31" s="208" t="s">
        <v>78</v>
      </c>
      <c r="AA31" s="208" t="s">
        <v>55</v>
      </c>
      <c r="AB31" s="133" t="s">
        <v>555</v>
      </c>
      <c r="AC31" s="136"/>
    </row>
    <row r="32" spans="1:48" x14ac:dyDescent="0.15">
      <c r="A32" s="133" t="s">
        <v>61</v>
      </c>
      <c r="B32" s="133" t="s">
        <v>553</v>
      </c>
      <c r="C32" s="133">
        <v>2018</v>
      </c>
      <c r="D32" s="238" t="s">
        <v>554</v>
      </c>
      <c r="E32" s="133" t="s">
        <v>505</v>
      </c>
      <c r="F32" s="133" t="s">
        <v>506</v>
      </c>
      <c r="G32" s="133" t="s">
        <v>42</v>
      </c>
      <c r="H32" s="208" t="s">
        <v>157</v>
      </c>
      <c r="I32" s="208" t="s">
        <v>155</v>
      </c>
      <c r="J32" s="133" t="s">
        <v>38</v>
      </c>
      <c r="K32" s="208" t="s">
        <v>156</v>
      </c>
      <c r="L32" s="208">
        <v>1</v>
      </c>
      <c r="M32" s="208"/>
      <c r="N32" s="208">
        <v>1</v>
      </c>
      <c r="O32" s="208">
        <v>0.6</v>
      </c>
      <c r="P32" s="208">
        <v>0.5</v>
      </c>
      <c r="Q32" s="134">
        <f t="shared" si="0"/>
        <v>0.55000000000000004</v>
      </c>
      <c r="R32" s="208">
        <v>17.100000000000001</v>
      </c>
      <c r="S32" s="208">
        <v>133</v>
      </c>
      <c r="T32" s="135">
        <f t="shared" si="1"/>
        <v>25</v>
      </c>
      <c r="U32" s="208">
        <v>138</v>
      </c>
      <c r="V32" s="239">
        <f t="shared" si="2"/>
        <v>3450</v>
      </c>
      <c r="W32" s="208">
        <v>21</v>
      </c>
      <c r="X32" s="133" t="s">
        <v>46</v>
      </c>
      <c r="Y32" s="208" t="s">
        <v>55</v>
      </c>
      <c r="Z32" s="208" t="s">
        <v>97</v>
      </c>
      <c r="AA32" s="208" t="s">
        <v>69</v>
      </c>
      <c r="AB32" s="133" t="s">
        <v>555</v>
      </c>
      <c r="AC32" s="136"/>
    </row>
    <row r="33" spans="1:29" x14ac:dyDescent="0.15">
      <c r="A33" s="133" t="s">
        <v>61</v>
      </c>
      <c r="B33" s="133" t="s">
        <v>553</v>
      </c>
      <c r="C33" s="133">
        <v>2018</v>
      </c>
      <c r="D33" s="238" t="s">
        <v>554</v>
      </c>
      <c r="E33" s="133" t="s">
        <v>505</v>
      </c>
      <c r="F33" s="133" t="s">
        <v>506</v>
      </c>
      <c r="G33" s="133" t="s">
        <v>42</v>
      </c>
      <c r="H33" s="208" t="s">
        <v>157</v>
      </c>
      <c r="I33" s="208" t="s">
        <v>155</v>
      </c>
      <c r="J33" s="133" t="s">
        <v>38</v>
      </c>
      <c r="K33" s="208" t="s">
        <v>156</v>
      </c>
      <c r="L33" s="208">
        <v>2</v>
      </c>
      <c r="M33" s="208"/>
      <c r="N33" s="208">
        <v>1</v>
      </c>
      <c r="O33" s="208">
        <v>0.65</v>
      </c>
      <c r="P33" s="208">
        <v>0.75</v>
      </c>
      <c r="Q33" s="134">
        <f t="shared" si="0"/>
        <v>0.7</v>
      </c>
      <c r="R33" s="208">
        <v>17.100000000000001</v>
      </c>
      <c r="S33" s="208">
        <v>124</v>
      </c>
      <c r="T33" s="135">
        <f t="shared" si="1"/>
        <v>27</v>
      </c>
      <c r="U33" s="208">
        <v>138</v>
      </c>
      <c r="V33" s="239">
        <f t="shared" si="2"/>
        <v>3726</v>
      </c>
      <c r="W33" s="208">
        <v>21</v>
      </c>
      <c r="X33" s="133" t="s">
        <v>46</v>
      </c>
      <c r="Y33" s="208" t="s">
        <v>55</v>
      </c>
      <c r="Z33" s="208" t="s">
        <v>97</v>
      </c>
      <c r="AA33" s="208" t="s">
        <v>69</v>
      </c>
      <c r="AB33" s="133" t="s">
        <v>555</v>
      </c>
      <c r="AC33" s="136"/>
    </row>
    <row r="34" spans="1:29" x14ac:dyDescent="0.15">
      <c r="A34" s="133" t="s">
        <v>61</v>
      </c>
      <c r="B34" s="133" t="s">
        <v>553</v>
      </c>
      <c r="C34" s="133">
        <v>2018</v>
      </c>
      <c r="D34" s="238" t="s">
        <v>554</v>
      </c>
      <c r="E34" s="133" t="s">
        <v>505</v>
      </c>
      <c r="F34" s="133" t="s">
        <v>506</v>
      </c>
      <c r="G34" s="133" t="s">
        <v>42</v>
      </c>
      <c r="H34" s="208" t="s">
        <v>157</v>
      </c>
      <c r="I34" s="208" t="s">
        <v>155</v>
      </c>
      <c r="J34" s="133" t="s">
        <v>38</v>
      </c>
      <c r="K34" s="208" t="s">
        <v>156</v>
      </c>
      <c r="L34" s="208">
        <v>3</v>
      </c>
      <c r="M34" s="208"/>
      <c r="N34" s="208">
        <v>1</v>
      </c>
      <c r="O34" s="208">
        <v>0.55000000000000004</v>
      </c>
      <c r="P34" s="208">
        <v>0.5</v>
      </c>
      <c r="Q34" s="134">
        <f t="shared" si="0"/>
        <v>0.52500000000000002</v>
      </c>
      <c r="R34" s="208">
        <v>14.5</v>
      </c>
      <c r="S34" s="208">
        <v>127</v>
      </c>
      <c r="T34" s="135">
        <f t="shared" si="1"/>
        <v>27</v>
      </c>
      <c r="U34" s="208">
        <v>138</v>
      </c>
      <c r="V34" s="239">
        <f t="shared" si="2"/>
        <v>3726</v>
      </c>
      <c r="W34" s="208">
        <v>21</v>
      </c>
      <c r="X34" s="133" t="s">
        <v>46</v>
      </c>
      <c r="Y34" s="208" t="s">
        <v>55</v>
      </c>
      <c r="Z34" s="208" t="s">
        <v>97</v>
      </c>
      <c r="AA34" s="208" t="s">
        <v>69</v>
      </c>
      <c r="AB34" s="133" t="s">
        <v>555</v>
      </c>
      <c r="AC34" s="136"/>
    </row>
    <row r="35" spans="1:29" x14ac:dyDescent="0.15">
      <c r="A35" s="133" t="s">
        <v>61</v>
      </c>
      <c r="B35" s="133" t="s">
        <v>553</v>
      </c>
      <c r="C35" s="133">
        <v>2018</v>
      </c>
      <c r="D35" s="238" t="s">
        <v>554</v>
      </c>
      <c r="E35" s="133" t="s">
        <v>505</v>
      </c>
      <c r="F35" s="133" t="s">
        <v>506</v>
      </c>
      <c r="G35" s="133" t="s">
        <v>42</v>
      </c>
      <c r="H35" s="208" t="s">
        <v>221</v>
      </c>
      <c r="I35" s="208" t="s">
        <v>155</v>
      </c>
      <c r="J35" s="133" t="s">
        <v>38</v>
      </c>
      <c r="K35" s="208" t="s">
        <v>156</v>
      </c>
      <c r="L35" s="208">
        <v>1</v>
      </c>
      <c r="M35" s="208"/>
      <c r="N35" s="208">
        <v>5</v>
      </c>
      <c r="O35" s="208">
        <v>0.55000000000000004</v>
      </c>
      <c r="P35" s="208">
        <v>0.55000000000000004</v>
      </c>
      <c r="Q35" s="134">
        <f t="shared" si="0"/>
        <v>0.55000000000000004</v>
      </c>
      <c r="R35" s="208">
        <v>17.5</v>
      </c>
      <c r="S35" s="208">
        <v>84</v>
      </c>
      <c r="T35" s="135">
        <f t="shared" si="1"/>
        <v>36</v>
      </c>
      <c r="U35" s="208">
        <v>429</v>
      </c>
      <c r="V35" s="239">
        <f t="shared" si="2"/>
        <v>3088.7999999999997</v>
      </c>
      <c r="W35" s="208">
        <v>21</v>
      </c>
      <c r="X35" s="133" t="s">
        <v>46</v>
      </c>
      <c r="Y35" s="208" t="s">
        <v>55</v>
      </c>
      <c r="Z35" s="208" t="s">
        <v>97</v>
      </c>
      <c r="AA35" s="208" t="s">
        <v>69</v>
      </c>
      <c r="AB35" s="133" t="s">
        <v>555</v>
      </c>
      <c r="AC35" s="136"/>
    </row>
    <row r="36" spans="1:29" x14ac:dyDescent="0.15">
      <c r="A36" s="133" t="s">
        <v>61</v>
      </c>
      <c r="B36" s="133" t="s">
        <v>553</v>
      </c>
      <c r="C36" s="133">
        <v>2018</v>
      </c>
      <c r="D36" s="238" t="s">
        <v>554</v>
      </c>
      <c r="E36" s="133" t="s">
        <v>505</v>
      </c>
      <c r="F36" s="133" t="s">
        <v>506</v>
      </c>
      <c r="G36" s="133" t="s">
        <v>42</v>
      </c>
      <c r="H36" s="208" t="s">
        <v>221</v>
      </c>
      <c r="I36" s="208" t="s">
        <v>155</v>
      </c>
      <c r="J36" s="133" t="s">
        <v>38</v>
      </c>
      <c r="K36" s="208" t="s">
        <v>156</v>
      </c>
      <c r="L36" s="208">
        <v>2</v>
      </c>
      <c r="M36" s="208"/>
      <c r="N36" s="208">
        <v>5</v>
      </c>
      <c r="O36" s="208">
        <v>0.5</v>
      </c>
      <c r="P36" s="208">
        <v>0.55000000000000004</v>
      </c>
      <c r="Q36" s="134">
        <f t="shared" si="0"/>
        <v>0.52500000000000002</v>
      </c>
      <c r="R36" s="208">
        <v>17.3</v>
      </c>
      <c r="S36" s="208">
        <v>81</v>
      </c>
      <c r="T36" s="135">
        <f t="shared" si="1"/>
        <v>39</v>
      </c>
      <c r="U36" s="208">
        <v>429</v>
      </c>
      <c r="V36" s="239">
        <f t="shared" si="2"/>
        <v>3346.2</v>
      </c>
      <c r="W36" s="208">
        <v>21</v>
      </c>
      <c r="X36" s="133" t="s">
        <v>46</v>
      </c>
      <c r="Y36" s="208" t="s">
        <v>55</v>
      </c>
      <c r="Z36" s="208" t="s">
        <v>97</v>
      </c>
      <c r="AA36" s="208" t="s">
        <v>69</v>
      </c>
      <c r="AB36" s="133" t="s">
        <v>555</v>
      </c>
      <c r="AC36" s="136"/>
    </row>
    <row r="37" spans="1:29" x14ac:dyDescent="0.15">
      <c r="A37" s="133" t="s">
        <v>61</v>
      </c>
      <c r="B37" s="133" t="s">
        <v>553</v>
      </c>
      <c r="C37" s="133">
        <v>2018</v>
      </c>
      <c r="D37" s="238" t="s">
        <v>554</v>
      </c>
      <c r="E37" s="133" t="s">
        <v>505</v>
      </c>
      <c r="F37" s="133" t="s">
        <v>506</v>
      </c>
      <c r="G37" s="133" t="s">
        <v>42</v>
      </c>
      <c r="H37" s="208" t="s">
        <v>221</v>
      </c>
      <c r="I37" s="208" t="s">
        <v>155</v>
      </c>
      <c r="J37" s="133" t="s">
        <v>38</v>
      </c>
      <c r="K37" s="208" t="s">
        <v>156</v>
      </c>
      <c r="L37" s="208">
        <v>3</v>
      </c>
      <c r="M37" s="208"/>
      <c r="N37" s="208">
        <v>5</v>
      </c>
      <c r="O37" s="208">
        <v>0.5</v>
      </c>
      <c r="P37" s="208">
        <v>0.6</v>
      </c>
      <c r="Q37" s="134">
        <f t="shared" si="0"/>
        <v>0.55000000000000004</v>
      </c>
      <c r="R37" s="208">
        <v>17.100000000000001</v>
      </c>
      <c r="S37" s="208">
        <v>88</v>
      </c>
      <c r="T37" s="135">
        <f t="shared" si="1"/>
        <v>36</v>
      </c>
      <c r="U37" s="208">
        <v>429</v>
      </c>
      <c r="V37" s="239">
        <f t="shared" si="2"/>
        <v>3088.7999999999997</v>
      </c>
      <c r="W37" s="208">
        <v>21</v>
      </c>
      <c r="X37" s="133" t="s">
        <v>46</v>
      </c>
      <c r="Y37" s="208" t="s">
        <v>55</v>
      </c>
      <c r="Z37" s="208" t="s">
        <v>97</v>
      </c>
      <c r="AA37" s="208" t="s">
        <v>69</v>
      </c>
      <c r="AB37" s="133" t="s">
        <v>555</v>
      </c>
      <c r="AC37" s="136"/>
    </row>
    <row r="38" spans="1:29" x14ac:dyDescent="0.15">
      <c r="A38" s="133" t="s">
        <v>61</v>
      </c>
      <c r="B38" s="133" t="s">
        <v>553</v>
      </c>
      <c r="C38" s="133">
        <v>2018</v>
      </c>
      <c r="D38" s="238" t="s">
        <v>554</v>
      </c>
      <c r="E38" s="133" t="s">
        <v>505</v>
      </c>
      <c r="F38" s="133" t="s">
        <v>506</v>
      </c>
      <c r="G38" s="133" t="s">
        <v>42</v>
      </c>
      <c r="H38" s="208" t="s">
        <v>167</v>
      </c>
      <c r="I38" s="208" t="s">
        <v>155</v>
      </c>
      <c r="J38" s="133" t="s">
        <v>38</v>
      </c>
      <c r="K38" s="208" t="s">
        <v>156</v>
      </c>
      <c r="L38" s="208">
        <v>1</v>
      </c>
      <c r="M38" s="208"/>
      <c r="N38" s="208">
        <v>1</v>
      </c>
      <c r="O38" s="208">
        <v>0.9</v>
      </c>
      <c r="P38" s="208">
        <v>0.9</v>
      </c>
      <c r="Q38" s="134">
        <f t="shared" si="0"/>
        <v>0.9</v>
      </c>
      <c r="R38" s="208">
        <v>17</v>
      </c>
      <c r="S38" s="208">
        <v>153</v>
      </c>
      <c r="T38" s="135">
        <f t="shared" si="1"/>
        <v>18</v>
      </c>
      <c r="U38" s="208">
        <v>138</v>
      </c>
      <c r="V38" s="239">
        <f t="shared" si="2"/>
        <v>2484</v>
      </c>
      <c r="W38" s="208">
        <v>21</v>
      </c>
      <c r="X38" s="133" t="s">
        <v>46</v>
      </c>
      <c r="Y38" s="208" t="s">
        <v>55</v>
      </c>
      <c r="Z38" s="208" t="s">
        <v>97</v>
      </c>
      <c r="AA38" s="208" t="s">
        <v>69</v>
      </c>
      <c r="AB38" s="133" t="s">
        <v>555</v>
      </c>
      <c r="AC38" s="136"/>
    </row>
    <row r="39" spans="1:29" x14ac:dyDescent="0.15">
      <c r="A39" s="133" t="s">
        <v>61</v>
      </c>
      <c r="B39" s="133" t="s">
        <v>553</v>
      </c>
      <c r="C39" s="133">
        <v>2018</v>
      </c>
      <c r="D39" s="238" t="s">
        <v>554</v>
      </c>
      <c r="E39" s="133" t="s">
        <v>505</v>
      </c>
      <c r="F39" s="133" t="s">
        <v>506</v>
      </c>
      <c r="G39" s="133" t="s">
        <v>42</v>
      </c>
      <c r="H39" s="208" t="s">
        <v>167</v>
      </c>
      <c r="I39" s="208" t="s">
        <v>155</v>
      </c>
      <c r="J39" s="133" t="s">
        <v>38</v>
      </c>
      <c r="K39" s="208" t="s">
        <v>156</v>
      </c>
      <c r="L39" s="208">
        <v>2</v>
      </c>
      <c r="M39" s="208"/>
      <c r="N39" s="208">
        <v>1</v>
      </c>
      <c r="O39" s="208">
        <v>0.85</v>
      </c>
      <c r="P39" s="208">
        <v>0.75</v>
      </c>
      <c r="Q39" s="134">
        <f t="shared" si="0"/>
        <v>0.8</v>
      </c>
      <c r="R39" s="208">
        <v>17.2</v>
      </c>
      <c r="S39" s="208">
        <v>166</v>
      </c>
      <c r="T39" s="135">
        <f t="shared" si="1"/>
        <v>18</v>
      </c>
      <c r="U39" s="208">
        <v>138</v>
      </c>
      <c r="V39" s="239">
        <f t="shared" si="2"/>
        <v>2484</v>
      </c>
      <c r="W39" s="208">
        <v>21</v>
      </c>
      <c r="X39" s="133" t="s">
        <v>46</v>
      </c>
      <c r="Y39" s="208" t="s">
        <v>55</v>
      </c>
      <c r="Z39" s="208" t="s">
        <v>97</v>
      </c>
      <c r="AA39" s="208" t="s">
        <v>69</v>
      </c>
      <c r="AB39" s="133" t="s">
        <v>555</v>
      </c>
      <c r="AC39" s="136"/>
    </row>
    <row r="40" spans="1:29" x14ac:dyDescent="0.15">
      <c r="A40" s="133" t="s">
        <v>61</v>
      </c>
      <c r="B40" s="133" t="s">
        <v>553</v>
      </c>
      <c r="C40" s="133">
        <v>2018</v>
      </c>
      <c r="D40" s="238" t="s">
        <v>554</v>
      </c>
      <c r="E40" s="133" t="s">
        <v>505</v>
      </c>
      <c r="F40" s="133" t="s">
        <v>506</v>
      </c>
      <c r="G40" s="133" t="s">
        <v>42</v>
      </c>
      <c r="H40" s="208" t="s">
        <v>167</v>
      </c>
      <c r="I40" s="208" t="s">
        <v>155</v>
      </c>
      <c r="J40" s="133" t="s">
        <v>38</v>
      </c>
      <c r="K40" s="208" t="s">
        <v>156</v>
      </c>
      <c r="L40" s="208">
        <v>3</v>
      </c>
      <c r="M40" s="208"/>
      <c r="N40" s="208">
        <v>1</v>
      </c>
      <c r="O40" s="208">
        <v>0.75</v>
      </c>
      <c r="P40" s="208">
        <v>0.7</v>
      </c>
      <c r="Q40" s="134">
        <f t="shared" si="0"/>
        <v>0.72499999999999998</v>
      </c>
      <c r="R40" s="208">
        <v>17.399999999999999</v>
      </c>
      <c r="S40" s="208">
        <v>158</v>
      </c>
      <c r="T40" s="135">
        <f t="shared" si="1"/>
        <v>18</v>
      </c>
      <c r="U40" s="208">
        <v>138</v>
      </c>
      <c r="V40" s="239">
        <f t="shared" si="2"/>
        <v>2484</v>
      </c>
      <c r="W40" s="208">
        <v>21</v>
      </c>
      <c r="X40" s="133" t="s">
        <v>46</v>
      </c>
      <c r="Y40" s="208" t="s">
        <v>55</v>
      </c>
      <c r="Z40" s="208" t="s">
        <v>97</v>
      </c>
      <c r="AA40" s="208" t="s">
        <v>69</v>
      </c>
      <c r="AB40" s="133" t="s">
        <v>555</v>
      </c>
      <c r="AC40" s="136"/>
    </row>
    <row r="41" spans="1:29" x14ac:dyDescent="0.15">
      <c r="A41" s="133" t="s">
        <v>61</v>
      </c>
      <c r="B41" s="133" t="s">
        <v>553</v>
      </c>
      <c r="C41" s="133">
        <v>2018</v>
      </c>
      <c r="D41" s="238" t="s">
        <v>554</v>
      </c>
      <c r="E41" s="133" t="s">
        <v>509</v>
      </c>
      <c r="F41" s="133" t="s">
        <v>510</v>
      </c>
      <c r="G41" s="133" t="s">
        <v>42</v>
      </c>
      <c r="H41" s="208" t="s">
        <v>157</v>
      </c>
      <c r="I41" s="208" t="s">
        <v>155</v>
      </c>
      <c r="J41" s="133" t="s">
        <v>38</v>
      </c>
      <c r="K41" s="208" t="s">
        <v>156</v>
      </c>
      <c r="L41" s="208">
        <v>1</v>
      </c>
      <c r="M41" s="208"/>
      <c r="N41" s="208">
        <v>1</v>
      </c>
      <c r="O41" s="208">
        <v>0.5</v>
      </c>
      <c r="P41" s="208">
        <v>0.5</v>
      </c>
      <c r="Q41" s="134">
        <f t="shared" si="0"/>
        <v>0.5</v>
      </c>
      <c r="R41" s="208">
        <v>17.100000000000001</v>
      </c>
      <c r="S41" s="208">
        <v>117</v>
      </c>
      <c r="T41" s="135">
        <f t="shared" si="1"/>
        <v>30</v>
      </c>
      <c r="U41" s="208">
        <v>98</v>
      </c>
      <c r="V41" s="239">
        <f t="shared" si="2"/>
        <v>2940</v>
      </c>
      <c r="W41" s="208">
        <v>9</v>
      </c>
      <c r="X41" s="133" t="s">
        <v>46</v>
      </c>
      <c r="Y41" s="208" t="s">
        <v>55</v>
      </c>
      <c r="Z41" s="208" t="s">
        <v>90</v>
      </c>
      <c r="AA41" s="208" t="s">
        <v>69</v>
      </c>
      <c r="AB41" s="133" t="s">
        <v>555</v>
      </c>
      <c r="AC41" s="136"/>
    </row>
    <row r="42" spans="1:29" x14ac:dyDescent="0.15">
      <c r="A42" s="133" t="s">
        <v>61</v>
      </c>
      <c r="B42" s="133" t="s">
        <v>553</v>
      </c>
      <c r="C42" s="133">
        <v>2018</v>
      </c>
      <c r="D42" s="238" t="s">
        <v>554</v>
      </c>
      <c r="E42" s="133" t="s">
        <v>509</v>
      </c>
      <c r="F42" s="133" t="s">
        <v>510</v>
      </c>
      <c r="G42" s="133" t="s">
        <v>42</v>
      </c>
      <c r="H42" s="208" t="s">
        <v>157</v>
      </c>
      <c r="I42" s="208" t="s">
        <v>155</v>
      </c>
      <c r="J42" s="133" t="s">
        <v>38</v>
      </c>
      <c r="K42" s="208" t="s">
        <v>156</v>
      </c>
      <c r="L42" s="208">
        <v>2</v>
      </c>
      <c r="M42" s="208"/>
      <c r="N42" s="208">
        <v>1</v>
      </c>
      <c r="O42" s="208">
        <v>0.5</v>
      </c>
      <c r="P42" s="208">
        <v>0.5</v>
      </c>
      <c r="Q42" s="134">
        <f t="shared" si="0"/>
        <v>0.5</v>
      </c>
      <c r="R42" s="208">
        <v>17</v>
      </c>
      <c r="S42" s="208">
        <v>121</v>
      </c>
      <c r="T42" s="135">
        <f t="shared" si="1"/>
        <v>27</v>
      </c>
      <c r="U42" s="208">
        <v>98</v>
      </c>
      <c r="V42" s="239">
        <f t="shared" si="2"/>
        <v>2646</v>
      </c>
      <c r="W42" s="208">
        <v>9</v>
      </c>
      <c r="X42" s="133" t="s">
        <v>46</v>
      </c>
      <c r="Y42" s="208" t="s">
        <v>55</v>
      </c>
      <c r="Z42" s="208" t="s">
        <v>90</v>
      </c>
      <c r="AA42" s="208" t="s">
        <v>69</v>
      </c>
      <c r="AB42" s="133" t="s">
        <v>555</v>
      </c>
      <c r="AC42" s="136"/>
    </row>
    <row r="43" spans="1:29" x14ac:dyDescent="0.15">
      <c r="A43" s="133" t="s">
        <v>61</v>
      </c>
      <c r="B43" s="133" t="s">
        <v>553</v>
      </c>
      <c r="C43" s="133">
        <v>2018</v>
      </c>
      <c r="D43" s="238" t="s">
        <v>554</v>
      </c>
      <c r="E43" s="133" t="s">
        <v>509</v>
      </c>
      <c r="F43" s="133" t="s">
        <v>510</v>
      </c>
      <c r="G43" s="133" t="s">
        <v>42</v>
      </c>
      <c r="H43" s="208" t="s">
        <v>157</v>
      </c>
      <c r="I43" s="208" t="s">
        <v>155</v>
      </c>
      <c r="J43" s="133" t="s">
        <v>38</v>
      </c>
      <c r="K43" s="208" t="s">
        <v>156</v>
      </c>
      <c r="L43" s="208">
        <v>3</v>
      </c>
      <c r="M43" s="208"/>
      <c r="N43" s="208">
        <v>1</v>
      </c>
      <c r="O43" s="208">
        <v>0.5</v>
      </c>
      <c r="P43" s="208">
        <v>0.5</v>
      </c>
      <c r="Q43" s="134">
        <f t="shared" si="0"/>
        <v>0.5</v>
      </c>
      <c r="R43" s="208">
        <v>16.899999999999999</v>
      </c>
      <c r="S43" s="208">
        <v>121</v>
      </c>
      <c r="T43" s="135">
        <f t="shared" si="1"/>
        <v>27</v>
      </c>
      <c r="U43" s="208">
        <v>98</v>
      </c>
      <c r="V43" s="239">
        <f t="shared" si="2"/>
        <v>2646</v>
      </c>
      <c r="W43" s="208">
        <v>9</v>
      </c>
      <c r="X43" s="133" t="s">
        <v>46</v>
      </c>
      <c r="Y43" s="208" t="s">
        <v>55</v>
      </c>
      <c r="Z43" s="208" t="s">
        <v>90</v>
      </c>
      <c r="AA43" s="208" t="s">
        <v>69</v>
      </c>
      <c r="AB43" s="133" t="s">
        <v>555</v>
      </c>
      <c r="AC43" s="136"/>
    </row>
    <row r="44" spans="1:29" x14ac:dyDescent="0.15">
      <c r="A44" s="133" t="s">
        <v>61</v>
      </c>
      <c r="B44" s="133" t="s">
        <v>553</v>
      </c>
      <c r="C44" s="133">
        <v>2018</v>
      </c>
      <c r="D44" s="238" t="s">
        <v>554</v>
      </c>
      <c r="E44" s="133" t="s">
        <v>509</v>
      </c>
      <c r="F44" s="133" t="s">
        <v>510</v>
      </c>
      <c r="G44" s="133" t="s">
        <v>42</v>
      </c>
      <c r="H44" s="208" t="s">
        <v>167</v>
      </c>
      <c r="I44" s="208" t="s">
        <v>155</v>
      </c>
      <c r="J44" s="133" t="s">
        <v>38</v>
      </c>
      <c r="K44" s="208" t="s">
        <v>156</v>
      </c>
      <c r="L44" s="208">
        <v>1</v>
      </c>
      <c r="M44" s="208"/>
      <c r="N44" s="208">
        <v>1</v>
      </c>
      <c r="O44" s="208">
        <v>0.6</v>
      </c>
      <c r="P44" s="208">
        <v>0.65</v>
      </c>
      <c r="Q44" s="134">
        <f t="shared" si="0"/>
        <v>0.625</v>
      </c>
      <c r="R44" s="208">
        <v>17.100000000000001</v>
      </c>
      <c r="S44" s="208">
        <v>143</v>
      </c>
      <c r="T44" s="135">
        <f t="shared" si="1"/>
        <v>22</v>
      </c>
      <c r="U44" s="208">
        <v>128</v>
      </c>
      <c r="V44" s="239">
        <f t="shared" si="2"/>
        <v>2816</v>
      </c>
      <c r="W44" s="208">
        <v>9</v>
      </c>
      <c r="X44" s="133" t="s">
        <v>46</v>
      </c>
      <c r="Y44" s="208" t="s">
        <v>55</v>
      </c>
      <c r="Z44" s="208" t="s">
        <v>90</v>
      </c>
      <c r="AA44" s="208" t="s">
        <v>69</v>
      </c>
      <c r="AB44" s="133" t="s">
        <v>555</v>
      </c>
      <c r="AC44" s="208"/>
    </row>
    <row r="45" spans="1:29" x14ac:dyDescent="0.15">
      <c r="A45" s="133" t="s">
        <v>61</v>
      </c>
      <c r="B45" s="133" t="s">
        <v>553</v>
      </c>
      <c r="C45" s="133">
        <v>2018</v>
      </c>
      <c r="D45" s="238" t="s">
        <v>554</v>
      </c>
      <c r="E45" s="133" t="s">
        <v>509</v>
      </c>
      <c r="F45" s="133" t="s">
        <v>510</v>
      </c>
      <c r="G45" s="133" t="s">
        <v>42</v>
      </c>
      <c r="H45" s="208" t="s">
        <v>167</v>
      </c>
      <c r="I45" s="208" t="s">
        <v>155</v>
      </c>
      <c r="J45" s="133" t="s">
        <v>38</v>
      </c>
      <c r="K45" s="208" t="s">
        <v>156</v>
      </c>
      <c r="L45" s="208">
        <v>2</v>
      </c>
      <c r="M45" s="208"/>
      <c r="N45" s="208">
        <v>1</v>
      </c>
      <c r="O45" s="208">
        <v>0.6</v>
      </c>
      <c r="P45" s="208">
        <v>0.6</v>
      </c>
      <c r="Q45" s="134">
        <f t="shared" si="0"/>
        <v>0.6</v>
      </c>
      <c r="R45" s="208">
        <v>17.2</v>
      </c>
      <c r="S45" s="208">
        <v>145</v>
      </c>
      <c r="T45" s="135">
        <f t="shared" si="1"/>
        <v>22</v>
      </c>
      <c r="U45" s="208">
        <v>128</v>
      </c>
      <c r="V45" s="239">
        <f t="shared" si="2"/>
        <v>2816</v>
      </c>
      <c r="W45" s="208">
        <v>9</v>
      </c>
      <c r="X45" s="133" t="s">
        <v>46</v>
      </c>
      <c r="Y45" s="208" t="s">
        <v>55</v>
      </c>
      <c r="Z45" s="208" t="s">
        <v>90</v>
      </c>
      <c r="AA45" s="208" t="s">
        <v>69</v>
      </c>
      <c r="AB45" s="133" t="s">
        <v>555</v>
      </c>
      <c r="AC45" s="208"/>
    </row>
    <row r="46" spans="1:29" x14ac:dyDescent="0.15">
      <c r="A46" s="133" t="s">
        <v>61</v>
      </c>
      <c r="B46" s="133" t="s">
        <v>553</v>
      </c>
      <c r="C46" s="133">
        <v>2018</v>
      </c>
      <c r="D46" s="238" t="s">
        <v>554</v>
      </c>
      <c r="E46" s="133" t="s">
        <v>509</v>
      </c>
      <c r="F46" s="133" t="s">
        <v>510</v>
      </c>
      <c r="G46" s="133" t="s">
        <v>42</v>
      </c>
      <c r="H46" s="208" t="s">
        <v>167</v>
      </c>
      <c r="I46" s="208" t="s">
        <v>155</v>
      </c>
      <c r="J46" s="133" t="s">
        <v>38</v>
      </c>
      <c r="K46" s="208" t="s">
        <v>156</v>
      </c>
      <c r="L46" s="208">
        <v>3</v>
      </c>
      <c r="M46" s="208"/>
      <c r="N46" s="208">
        <v>1</v>
      </c>
      <c r="O46" s="208">
        <v>0.65</v>
      </c>
      <c r="P46" s="208">
        <v>0.7</v>
      </c>
      <c r="Q46" s="134">
        <f t="shared" si="0"/>
        <v>0.67500000000000004</v>
      </c>
      <c r="R46" s="208">
        <v>17.2</v>
      </c>
      <c r="S46" s="208">
        <v>138</v>
      </c>
      <c r="T46" s="135">
        <f t="shared" si="1"/>
        <v>22</v>
      </c>
      <c r="U46" s="208">
        <v>128</v>
      </c>
      <c r="V46" s="239">
        <f t="shared" si="2"/>
        <v>2816</v>
      </c>
      <c r="W46" s="208">
        <v>9</v>
      </c>
      <c r="X46" s="133" t="s">
        <v>46</v>
      </c>
      <c r="Y46" s="208" t="s">
        <v>55</v>
      </c>
      <c r="Z46" s="208" t="s">
        <v>90</v>
      </c>
      <c r="AA46" s="208" t="s">
        <v>69</v>
      </c>
      <c r="AB46" s="133" t="s">
        <v>555</v>
      </c>
      <c r="AC46" s="208"/>
    </row>
    <row r="47" spans="1:29" x14ac:dyDescent="0.15">
      <c r="A47" s="133" t="s">
        <v>61</v>
      </c>
      <c r="B47" s="133" t="s">
        <v>553</v>
      </c>
      <c r="C47" s="133">
        <v>2018</v>
      </c>
      <c r="D47" s="238" t="s">
        <v>554</v>
      </c>
      <c r="E47" s="133" t="s">
        <v>515</v>
      </c>
      <c r="F47" s="133" t="s">
        <v>516</v>
      </c>
      <c r="G47" s="133" t="s">
        <v>42</v>
      </c>
      <c r="H47" s="208" t="s">
        <v>157</v>
      </c>
      <c r="I47" s="208" t="s">
        <v>155</v>
      </c>
      <c r="J47" s="133" t="s">
        <v>38</v>
      </c>
      <c r="K47" s="208" t="s">
        <v>156</v>
      </c>
      <c r="L47" s="208">
        <v>1</v>
      </c>
      <c r="M47" s="208"/>
      <c r="N47" s="208">
        <v>1</v>
      </c>
      <c r="O47" s="208">
        <v>0.85</v>
      </c>
      <c r="P47" s="208">
        <v>0.9</v>
      </c>
      <c r="Q47" s="134">
        <f t="shared" si="0"/>
        <v>0.875</v>
      </c>
      <c r="R47" s="208">
        <v>17.100000000000001</v>
      </c>
      <c r="S47" s="208">
        <v>140</v>
      </c>
      <c r="T47" s="135">
        <f t="shared" si="1"/>
        <v>22</v>
      </c>
      <c r="U47" s="208">
        <v>138</v>
      </c>
      <c r="V47" s="239">
        <f t="shared" si="2"/>
        <v>3036</v>
      </c>
      <c r="W47" s="208">
        <v>13</v>
      </c>
      <c r="X47" s="133" t="s">
        <v>46</v>
      </c>
      <c r="Y47" s="208" t="s">
        <v>55</v>
      </c>
      <c r="Z47" s="208" t="s">
        <v>97</v>
      </c>
      <c r="AA47" s="208" t="s">
        <v>86</v>
      </c>
      <c r="AB47" s="133" t="s">
        <v>555</v>
      </c>
      <c r="AC47" s="136"/>
    </row>
    <row r="48" spans="1:29" x14ac:dyDescent="0.15">
      <c r="A48" s="133" t="s">
        <v>61</v>
      </c>
      <c r="B48" s="133" t="s">
        <v>553</v>
      </c>
      <c r="C48" s="133">
        <v>2018</v>
      </c>
      <c r="D48" s="238" t="s">
        <v>554</v>
      </c>
      <c r="E48" s="133" t="s">
        <v>515</v>
      </c>
      <c r="F48" s="133" t="s">
        <v>516</v>
      </c>
      <c r="G48" s="133" t="s">
        <v>42</v>
      </c>
      <c r="H48" s="208" t="s">
        <v>157</v>
      </c>
      <c r="I48" s="208" t="s">
        <v>155</v>
      </c>
      <c r="J48" s="133" t="s">
        <v>38</v>
      </c>
      <c r="K48" s="208" t="s">
        <v>156</v>
      </c>
      <c r="L48" s="208">
        <v>2</v>
      </c>
      <c r="M48" s="208"/>
      <c r="N48" s="208">
        <v>1</v>
      </c>
      <c r="O48" s="208">
        <v>1.05</v>
      </c>
      <c r="P48" s="208">
        <v>1.05</v>
      </c>
      <c r="Q48" s="134">
        <f t="shared" si="0"/>
        <v>1.05</v>
      </c>
      <c r="R48" s="208">
        <v>17.2</v>
      </c>
      <c r="S48" s="208">
        <v>138</v>
      </c>
      <c r="T48" s="135">
        <f t="shared" si="1"/>
        <v>22</v>
      </c>
      <c r="U48" s="208">
        <v>138</v>
      </c>
      <c r="V48" s="239">
        <f t="shared" si="2"/>
        <v>3036</v>
      </c>
      <c r="W48" s="208">
        <v>13</v>
      </c>
      <c r="X48" s="133" t="s">
        <v>46</v>
      </c>
      <c r="Y48" s="208" t="s">
        <v>55</v>
      </c>
      <c r="Z48" s="208" t="s">
        <v>97</v>
      </c>
      <c r="AA48" s="208" t="s">
        <v>86</v>
      </c>
      <c r="AB48" s="133" t="s">
        <v>555</v>
      </c>
      <c r="AC48" s="136"/>
    </row>
    <row r="49" spans="1:29" x14ac:dyDescent="0.15">
      <c r="A49" s="133" t="s">
        <v>61</v>
      </c>
      <c r="B49" s="133" t="s">
        <v>553</v>
      </c>
      <c r="C49" s="133">
        <v>2018</v>
      </c>
      <c r="D49" s="238" t="s">
        <v>554</v>
      </c>
      <c r="E49" s="133" t="s">
        <v>515</v>
      </c>
      <c r="F49" s="133" t="s">
        <v>516</v>
      </c>
      <c r="G49" s="133" t="s">
        <v>42</v>
      </c>
      <c r="H49" s="208" t="s">
        <v>157</v>
      </c>
      <c r="I49" s="208" t="s">
        <v>155</v>
      </c>
      <c r="J49" s="133" t="s">
        <v>38</v>
      </c>
      <c r="K49" s="208" t="s">
        <v>156</v>
      </c>
      <c r="L49" s="208">
        <v>3</v>
      </c>
      <c r="M49" s="208"/>
      <c r="N49" s="208">
        <v>1</v>
      </c>
      <c r="O49" s="208">
        <v>0.8</v>
      </c>
      <c r="P49" s="208">
        <v>0.8</v>
      </c>
      <c r="Q49" s="134">
        <f t="shared" si="0"/>
        <v>0.8</v>
      </c>
      <c r="R49" s="208">
        <v>17.600000000000001</v>
      </c>
      <c r="S49" s="208">
        <v>137</v>
      </c>
      <c r="T49" s="135">
        <f t="shared" si="1"/>
        <v>25</v>
      </c>
      <c r="U49" s="208">
        <v>138</v>
      </c>
      <c r="V49" s="239">
        <f t="shared" si="2"/>
        <v>3450</v>
      </c>
      <c r="W49" s="208">
        <v>13</v>
      </c>
      <c r="X49" s="133" t="s">
        <v>46</v>
      </c>
      <c r="Y49" s="208" t="s">
        <v>55</v>
      </c>
      <c r="Z49" s="208" t="s">
        <v>97</v>
      </c>
      <c r="AA49" s="208" t="s">
        <v>86</v>
      </c>
      <c r="AB49" s="133" t="s">
        <v>555</v>
      </c>
      <c r="AC49" s="136"/>
    </row>
    <row r="50" spans="1:29" x14ac:dyDescent="0.15">
      <c r="A50" s="133" t="s">
        <v>61</v>
      </c>
      <c r="B50" s="133" t="s">
        <v>553</v>
      </c>
      <c r="C50" s="133">
        <v>2018</v>
      </c>
      <c r="D50" s="238" t="s">
        <v>554</v>
      </c>
      <c r="E50" s="133" t="s">
        <v>515</v>
      </c>
      <c r="F50" s="133" t="s">
        <v>516</v>
      </c>
      <c r="G50" s="133" t="s">
        <v>42</v>
      </c>
      <c r="H50" s="208" t="s">
        <v>167</v>
      </c>
      <c r="I50" s="208" t="s">
        <v>155</v>
      </c>
      <c r="J50" s="133" t="s">
        <v>38</v>
      </c>
      <c r="K50" s="208" t="s">
        <v>156</v>
      </c>
      <c r="L50" s="208">
        <v>1</v>
      </c>
      <c r="M50" s="208"/>
      <c r="N50" s="208">
        <v>1</v>
      </c>
      <c r="O50" s="208">
        <v>0.5</v>
      </c>
      <c r="P50" s="208">
        <v>0.5</v>
      </c>
      <c r="Q50" s="134">
        <f t="shared" si="0"/>
        <v>0.5</v>
      </c>
      <c r="R50" s="208">
        <v>17.8</v>
      </c>
      <c r="S50" s="208">
        <v>150</v>
      </c>
      <c r="T50" s="135">
        <f t="shared" si="1"/>
        <v>22</v>
      </c>
      <c r="U50" s="208">
        <v>149</v>
      </c>
      <c r="V50" s="239">
        <f t="shared" si="2"/>
        <v>3278</v>
      </c>
      <c r="W50" s="208">
        <v>13</v>
      </c>
      <c r="X50" s="133" t="s">
        <v>46</v>
      </c>
      <c r="Y50" s="208" t="s">
        <v>55</v>
      </c>
      <c r="Z50" s="208" t="s">
        <v>97</v>
      </c>
      <c r="AA50" s="208" t="s">
        <v>86</v>
      </c>
      <c r="AB50" s="133" t="s">
        <v>555</v>
      </c>
      <c r="AC50" s="136"/>
    </row>
    <row r="51" spans="1:29" x14ac:dyDescent="0.15">
      <c r="A51" s="133" t="s">
        <v>61</v>
      </c>
      <c r="B51" s="133" t="s">
        <v>553</v>
      </c>
      <c r="C51" s="133">
        <v>2018</v>
      </c>
      <c r="D51" s="238" t="s">
        <v>554</v>
      </c>
      <c r="E51" s="133" t="s">
        <v>515</v>
      </c>
      <c r="F51" s="133" t="s">
        <v>516</v>
      </c>
      <c r="G51" s="133" t="s">
        <v>42</v>
      </c>
      <c r="H51" s="208" t="s">
        <v>167</v>
      </c>
      <c r="I51" s="208" t="s">
        <v>155</v>
      </c>
      <c r="J51" s="133" t="s">
        <v>38</v>
      </c>
      <c r="K51" s="208" t="s">
        <v>156</v>
      </c>
      <c r="L51" s="208">
        <v>2</v>
      </c>
      <c r="M51" s="208"/>
      <c r="N51" s="208">
        <v>1</v>
      </c>
      <c r="O51" s="208">
        <v>0.65</v>
      </c>
      <c r="P51" s="208">
        <v>0.65</v>
      </c>
      <c r="Q51" s="134">
        <f t="shared" si="0"/>
        <v>0.65</v>
      </c>
      <c r="R51" s="208">
        <v>17.399999999999999</v>
      </c>
      <c r="S51" s="208">
        <v>157</v>
      </c>
      <c r="T51" s="135">
        <f t="shared" si="1"/>
        <v>18</v>
      </c>
      <c r="U51" s="208">
        <v>149</v>
      </c>
      <c r="V51" s="239">
        <f t="shared" si="2"/>
        <v>2682</v>
      </c>
      <c r="W51" s="208">
        <v>13</v>
      </c>
      <c r="X51" s="133" t="s">
        <v>46</v>
      </c>
      <c r="Y51" s="208" t="s">
        <v>55</v>
      </c>
      <c r="Z51" s="208" t="s">
        <v>97</v>
      </c>
      <c r="AA51" s="208" t="s">
        <v>86</v>
      </c>
      <c r="AB51" s="133" t="s">
        <v>555</v>
      </c>
      <c r="AC51" s="136"/>
    </row>
    <row r="52" spans="1:29" x14ac:dyDescent="0.15">
      <c r="A52" s="133" t="s">
        <v>61</v>
      </c>
      <c r="B52" s="133" t="s">
        <v>553</v>
      </c>
      <c r="C52" s="133">
        <v>2018</v>
      </c>
      <c r="D52" s="238" t="s">
        <v>554</v>
      </c>
      <c r="E52" s="133" t="s">
        <v>515</v>
      </c>
      <c r="F52" s="133" t="s">
        <v>516</v>
      </c>
      <c r="G52" s="133" t="s">
        <v>42</v>
      </c>
      <c r="H52" s="208" t="s">
        <v>167</v>
      </c>
      <c r="I52" s="208" t="s">
        <v>155</v>
      </c>
      <c r="J52" s="133" t="s">
        <v>38</v>
      </c>
      <c r="K52" s="208" t="s">
        <v>156</v>
      </c>
      <c r="L52" s="208">
        <v>3</v>
      </c>
      <c r="M52" s="208"/>
      <c r="N52" s="208">
        <v>1</v>
      </c>
      <c r="O52" s="208">
        <v>0.55000000000000004</v>
      </c>
      <c r="P52" s="208">
        <v>0.55000000000000004</v>
      </c>
      <c r="Q52" s="134">
        <f t="shared" si="0"/>
        <v>0.55000000000000004</v>
      </c>
      <c r="R52" s="208">
        <v>18.8</v>
      </c>
      <c r="S52" s="208">
        <v>164</v>
      </c>
      <c r="T52" s="135">
        <f t="shared" si="1"/>
        <v>18</v>
      </c>
      <c r="U52" s="208">
        <v>149</v>
      </c>
      <c r="V52" s="239">
        <f t="shared" si="2"/>
        <v>2682</v>
      </c>
      <c r="W52" s="208">
        <v>13</v>
      </c>
      <c r="X52" s="133" t="s">
        <v>46</v>
      </c>
      <c r="Y52" s="208" t="s">
        <v>55</v>
      </c>
      <c r="Z52" s="208" t="s">
        <v>97</v>
      </c>
      <c r="AA52" s="208" t="s">
        <v>86</v>
      </c>
      <c r="AB52" s="133" t="s">
        <v>555</v>
      </c>
      <c r="AC52" s="136"/>
    </row>
    <row r="53" spans="1:29" x14ac:dyDescent="0.15">
      <c r="A53" s="133" t="s">
        <v>61</v>
      </c>
      <c r="B53" s="133" t="s">
        <v>553</v>
      </c>
      <c r="C53" s="133">
        <v>2018</v>
      </c>
      <c r="D53" s="238" t="s">
        <v>554</v>
      </c>
      <c r="E53" s="133" t="s">
        <v>133</v>
      </c>
      <c r="F53" s="133" t="s">
        <v>518</v>
      </c>
      <c r="G53" s="133" t="s">
        <v>42</v>
      </c>
      <c r="H53" s="208" t="s">
        <v>221</v>
      </c>
      <c r="I53" s="208" t="s">
        <v>155</v>
      </c>
      <c r="J53" s="133" t="s">
        <v>38</v>
      </c>
      <c r="K53" s="208" t="s">
        <v>156</v>
      </c>
      <c r="L53" s="208">
        <v>1</v>
      </c>
      <c r="M53" s="208"/>
      <c r="N53" s="208">
        <v>1</v>
      </c>
      <c r="O53" s="208">
        <v>0.55000000000000004</v>
      </c>
      <c r="P53" s="208">
        <v>0.65</v>
      </c>
      <c r="Q53" s="134">
        <f t="shared" si="0"/>
        <v>0.60000000000000009</v>
      </c>
      <c r="R53" s="208">
        <v>15.6</v>
      </c>
      <c r="S53" s="208">
        <v>125</v>
      </c>
      <c r="T53" s="135">
        <f t="shared" si="1"/>
        <v>27</v>
      </c>
      <c r="U53" s="208">
        <v>105</v>
      </c>
      <c r="V53" s="239">
        <f t="shared" si="2"/>
        <v>2835</v>
      </c>
      <c r="W53" s="208">
        <v>23</v>
      </c>
      <c r="X53" s="133" t="s">
        <v>46</v>
      </c>
      <c r="Y53" s="208" t="s">
        <v>55</v>
      </c>
      <c r="Z53" s="208" t="s">
        <v>97</v>
      </c>
      <c r="AA53" s="208" t="s">
        <v>106</v>
      </c>
      <c r="AB53" s="133" t="s">
        <v>555</v>
      </c>
      <c r="AC53" s="136"/>
    </row>
    <row r="54" spans="1:29" x14ac:dyDescent="0.15">
      <c r="A54" s="133" t="s">
        <v>61</v>
      </c>
      <c r="B54" s="133" t="s">
        <v>553</v>
      </c>
      <c r="C54" s="133">
        <v>2018</v>
      </c>
      <c r="D54" s="238" t="s">
        <v>554</v>
      </c>
      <c r="E54" s="133" t="s">
        <v>133</v>
      </c>
      <c r="F54" s="133" t="s">
        <v>518</v>
      </c>
      <c r="G54" s="133" t="s">
        <v>42</v>
      </c>
      <c r="H54" s="208" t="s">
        <v>221</v>
      </c>
      <c r="I54" s="208" t="s">
        <v>155</v>
      </c>
      <c r="J54" s="133" t="s">
        <v>38</v>
      </c>
      <c r="K54" s="208" t="s">
        <v>156</v>
      </c>
      <c r="L54" s="208">
        <v>2</v>
      </c>
      <c r="M54" s="208"/>
      <c r="N54" s="208">
        <v>1</v>
      </c>
      <c r="O54" s="208">
        <v>0.7</v>
      </c>
      <c r="P54" s="208">
        <v>0.7</v>
      </c>
      <c r="Q54" s="134">
        <f t="shared" si="0"/>
        <v>0.7</v>
      </c>
      <c r="R54" s="208">
        <v>17.5</v>
      </c>
      <c r="S54" s="208">
        <v>117</v>
      </c>
      <c r="T54" s="135">
        <f t="shared" si="1"/>
        <v>30</v>
      </c>
      <c r="U54" s="208">
        <v>105</v>
      </c>
      <c r="V54" s="239">
        <f t="shared" si="2"/>
        <v>3150</v>
      </c>
      <c r="W54" s="208">
        <v>23</v>
      </c>
      <c r="X54" s="133" t="s">
        <v>46</v>
      </c>
      <c r="Y54" s="208" t="s">
        <v>55</v>
      </c>
      <c r="Z54" s="208" t="s">
        <v>97</v>
      </c>
      <c r="AA54" s="208" t="s">
        <v>106</v>
      </c>
      <c r="AB54" s="133" t="s">
        <v>555</v>
      </c>
      <c r="AC54" s="136"/>
    </row>
    <row r="55" spans="1:29" x14ac:dyDescent="0.15">
      <c r="A55" s="133" t="s">
        <v>61</v>
      </c>
      <c r="B55" s="133" t="s">
        <v>553</v>
      </c>
      <c r="C55" s="133">
        <v>2018</v>
      </c>
      <c r="D55" s="238" t="s">
        <v>554</v>
      </c>
      <c r="E55" s="133" t="s">
        <v>133</v>
      </c>
      <c r="F55" s="133" t="s">
        <v>518</v>
      </c>
      <c r="G55" s="133" t="s">
        <v>42</v>
      </c>
      <c r="H55" s="208" t="s">
        <v>221</v>
      </c>
      <c r="I55" s="208" t="s">
        <v>155</v>
      </c>
      <c r="J55" s="133" t="s">
        <v>38</v>
      </c>
      <c r="K55" s="208" t="s">
        <v>156</v>
      </c>
      <c r="L55" s="208">
        <v>3</v>
      </c>
      <c r="M55" s="208"/>
      <c r="N55" s="208">
        <v>1</v>
      </c>
      <c r="O55" s="208">
        <v>0.75</v>
      </c>
      <c r="P55" s="208">
        <v>0.75</v>
      </c>
      <c r="Q55" s="134">
        <f t="shared" si="0"/>
        <v>0.75</v>
      </c>
      <c r="R55" s="208">
        <v>17.600000000000001</v>
      </c>
      <c r="S55" s="208">
        <v>117</v>
      </c>
      <c r="T55" s="135">
        <f t="shared" si="1"/>
        <v>30</v>
      </c>
      <c r="U55" s="208">
        <v>105</v>
      </c>
      <c r="V55" s="239">
        <f t="shared" si="2"/>
        <v>3150</v>
      </c>
      <c r="W55" s="208">
        <v>23</v>
      </c>
      <c r="X55" s="133" t="s">
        <v>46</v>
      </c>
      <c r="Y55" s="208" t="s">
        <v>55</v>
      </c>
      <c r="Z55" s="208" t="s">
        <v>97</v>
      </c>
      <c r="AA55" s="208" t="s">
        <v>106</v>
      </c>
      <c r="AB55" s="133" t="s">
        <v>555</v>
      </c>
      <c r="AC55" s="136"/>
    </row>
    <row r="56" spans="1:29" x14ac:dyDescent="0.15">
      <c r="A56" s="133" t="s">
        <v>61</v>
      </c>
      <c r="B56" s="133" t="s">
        <v>553</v>
      </c>
      <c r="C56" s="133">
        <v>2018</v>
      </c>
      <c r="D56" s="238" t="s">
        <v>554</v>
      </c>
      <c r="E56" s="133" t="s">
        <v>133</v>
      </c>
      <c r="F56" s="133" t="s">
        <v>518</v>
      </c>
      <c r="G56" s="133" t="s">
        <v>42</v>
      </c>
      <c r="H56" s="208" t="s">
        <v>167</v>
      </c>
      <c r="I56" s="208" t="s">
        <v>155</v>
      </c>
      <c r="J56" s="133" t="s">
        <v>38</v>
      </c>
      <c r="K56" s="208" t="s">
        <v>156</v>
      </c>
      <c r="L56" s="208">
        <v>1</v>
      </c>
      <c r="M56" s="208"/>
      <c r="N56" s="208">
        <v>1</v>
      </c>
      <c r="O56" s="208">
        <v>0.7</v>
      </c>
      <c r="P56" s="208">
        <v>0.75</v>
      </c>
      <c r="Q56" s="134">
        <f t="shared" si="0"/>
        <v>0.72499999999999998</v>
      </c>
      <c r="R56" s="208">
        <v>17.399999999999999</v>
      </c>
      <c r="S56" s="208">
        <v>127</v>
      </c>
      <c r="T56" s="135">
        <f t="shared" si="1"/>
        <v>27</v>
      </c>
      <c r="U56" s="208">
        <v>149</v>
      </c>
      <c r="V56" s="239">
        <f t="shared" si="2"/>
        <v>4023</v>
      </c>
      <c r="W56" s="208">
        <v>23</v>
      </c>
      <c r="X56" s="133" t="s">
        <v>46</v>
      </c>
      <c r="Y56" s="208" t="s">
        <v>55</v>
      </c>
      <c r="Z56" s="208" t="s">
        <v>97</v>
      </c>
      <c r="AA56" s="208" t="s">
        <v>106</v>
      </c>
      <c r="AB56" s="133" t="s">
        <v>555</v>
      </c>
      <c r="AC56" s="136"/>
    </row>
    <row r="57" spans="1:29" x14ac:dyDescent="0.15">
      <c r="A57" s="133" t="s">
        <v>61</v>
      </c>
      <c r="B57" s="133" t="s">
        <v>553</v>
      </c>
      <c r="C57" s="133">
        <v>2018</v>
      </c>
      <c r="D57" s="238" t="s">
        <v>554</v>
      </c>
      <c r="E57" s="133" t="s">
        <v>133</v>
      </c>
      <c r="F57" s="133" t="s">
        <v>518</v>
      </c>
      <c r="G57" s="133" t="s">
        <v>42</v>
      </c>
      <c r="H57" s="208" t="s">
        <v>167</v>
      </c>
      <c r="I57" s="208" t="s">
        <v>155</v>
      </c>
      <c r="J57" s="133" t="s">
        <v>38</v>
      </c>
      <c r="K57" s="208" t="s">
        <v>156</v>
      </c>
      <c r="L57" s="208">
        <v>2</v>
      </c>
      <c r="M57" s="208"/>
      <c r="N57" s="208">
        <v>1</v>
      </c>
      <c r="O57" s="208">
        <v>0.65</v>
      </c>
      <c r="P57" s="208">
        <v>0.65</v>
      </c>
      <c r="Q57" s="134">
        <f t="shared" si="0"/>
        <v>0.65</v>
      </c>
      <c r="R57" s="208">
        <v>18.8</v>
      </c>
      <c r="S57" s="208">
        <v>162</v>
      </c>
      <c r="T57" s="135">
        <f t="shared" si="1"/>
        <v>18</v>
      </c>
      <c r="U57" s="208">
        <v>149</v>
      </c>
      <c r="V57" s="239">
        <f t="shared" si="2"/>
        <v>2682</v>
      </c>
      <c r="W57" s="208">
        <v>23</v>
      </c>
      <c r="X57" s="133" t="s">
        <v>46</v>
      </c>
      <c r="Y57" s="208" t="s">
        <v>55</v>
      </c>
      <c r="Z57" s="208" t="s">
        <v>97</v>
      </c>
      <c r="AA57" s="208" t="s">
        <v>106</v>
      </c>
      <c r="AB57" s="133" t="s">
        <v>555</v>
      </c>
      <c r="AC57" s="136"/>
    </row>
    <row r="58" spans="1:29" x14ac:dyDescent="0.15">
      <c r="A58" s="133" t="s">
        <v>61</v>
      </c>
      <c r="B58" s="133" t="s">
        <v>553</v>
      </c>
      <c r="C58" s="133">
        <v>2018</v>
      </c>
      <c r="D58" s="238" t="s">
        <v>554</v>
      </c>
      <c r="E58" s="133" t="s">
        <v>133</v>
      </c>
      <c r="F58" s="133" t="s">
        <v>518</v>
      </c>
      <c r="G58" s="133" t="s">
        <v>42</v>
      </c>
      <c r="H58" s="208" t="s">
        <v>167</v>
      </c>
      <c r="I58" s="208" t="s">
        <v>155</v>
      </c>
      <c r="J58" s="133" t="s">
        <v>38</v>
      </c>
      <c r="K58" s="208" t="s">
        <v>156</v>
      </c>
      <c r="L58" s="208">
        <v>3</v>
      </c>
      <c r="M58" s="208"/>
      <c r="N58" s="208">
        <v>1</v>
      </c>
      <c r="O58" s="208">
        <v>0.5</v>
      </c>
      <c r="P58" s="208">
        <v>0.55000000000000004</v>
      </c>
      <c r="Q58" s="134">
        <f t="shared" si="0"/>
        <v>0.52500000000000002</v>
      </c>
      <c r="R58" s="208">
        <v>18.5</v>
      </c>
      <c r="S58" s="208">
        <v>156</v>
      </c>
      <c r="T58" s="135">
        <f t="shared" si="1"/>
        <v>18</v>
      </c>
      <c r="U58" s="208">
        <v>149</v>
      </c>
      <c r="V58" s="239">
        <f t="shared" si="2"/>
        <v>2682</v>
      </c>
      <c r="W58" s="208">
        <v>23</v>
      </c>
      <c r="X58" s="133" t="s">
        <v>46</v>
      </c>
      <c r="Y58" s="208" t="s">
        <v>55</v>
      </c>
      <c r="Z58" s="208" t="s">
        <v>97</v>
      </c>
      <c r="AA58" s="208" t="s">
        <v>106</v>
      </c>
      <c r="AB58" s="133" t="s">
        <v>555</v>
      </c>
      <c r="AC58" s="136"/>
    </row>
    <row r="59" spans="1:29" x14ac:dyDescent="0.15">
      <c r="A59" s="133" t="s">
        <v>61</v>
      </c>
      <c r="B59" s="133" t="s">
        <v>553</v>
      </c>
      <c r="C59" s="133">
        <v>2018</v>
      </c>
      <c r="D59" s="238" t="s">
        <v>554</v>
      </c>
      <c r="E59" s="133" t="s">
        <v>133</v>
      </c>
      <c r="F59" s="133" t="s">
        <v>518</v>
      </c>
      <c r="G59" s="133" t="s">
        <v>42</v>
      </c>
      <c r="H59" s="208" t="s">
        <v>157</v>
      </c>
      <c r="I59" s="208" t="s">
        <v>158</v>
      </c>
      <c r="J59" s="133" t="s">
        <v>38</v>
      </c>
      <c r="K59" s="208" t="s">
        <v>156</v>
      </c>
      <c r="L59" s="208">
        <v>1</v>
      </c>
      <c r="M59" s="208"/>
      <c r="N59" s="208">
        <v>4</v>
      </c>
      <c r="O59" s="208">
        <v>0.65</v>
      </c>
      <c r="P59" s="208">
        <v>0.6</v>
      </c>
      <c r="Q59" s="134">
        <f t="shared" si="0"/>
        <v>0.625</v>
      </c>
      <c r="R59" s="208">
        <v>11.5</v>
      </c>
      <c r="S59" s="208">
        <v>95</v>
      </c>
      <c r="T59" s="135">
        <f t="shared" si="1"/>
        <v>36</v>
      </c>
      <c r="U59" s="208">
        <v>429</v>
      </c>
      <c r="V59" s="239">
        <f t="shared" si="2"/>
        <v>3861</v>
      </c>
      <c r="W59" s="208">
        <v>23</v>
      </c>
      <c r="X59" s="133" t="s">
        <v>46</v>
      </c>
      <c r="Y59" s="208" t="s">
        <v>55</v>
      </c>
      <c r="Z59" s="208" t="s">
        <v>97</v>
      </c>
      <c r="AA59" s="208" t="s">
        <v>106</v>
      </c>
      <c r="AB59" s="133" t="s">
        <v>555</v>
      </c>
      <c r="AC59" s="208"/>
    </row>
    <row r="60" spans="1:29" x14ac:dyDescent="0.15">
      <c r="A60" s="133" t="s">
        <v>61</v>
      </c>
      <c r="B60" s="133" t="s">
        <v>553</v>
      </c>
      <c r="C60" s="133">
        <v>2018</v>
      </c>
      <c r="D60" s="238" t="s">
        <v>554</v>
      </c>
      <c r="E60" s="133" t="s">
        <v>133</v>
      </c>
      <c r="F60" s="133" t="s">
        <v>518</v>
      </c>
      <c r="G60" s="133" t="s">
        <v>42</v>
      </c>
      <c r="H60" s="208" t="s">
        <v>157</v>
      </c>
      <c r="I60" s="208" t="s">
        <v>158</v>
      </c>
      <c r="J60" s="133" t="s">
        <v>38</v>
      </c>
      <c r="K60" s="208" t="s">
        <v>156</v>
      </c>
      <c r="L60" s="208">
        <v>2</v>
      </c>
      <c r="M60" s="208"/>
      <c r="N60" s="208">
        <v>4</v>
      </c>
      <c r="O60" s="208">
        <v>0.75</v>
      </c>
      <c r="P60" s="208">
        <v>0.7</v>
      </c>
      <c r="Q60" s="134">
        <f t="shared" si="0"/>
        <v>0.72499999999999998</v>
      </c>
      <c r="R60" s="208">
        <v>17</v>
      </c>
      <c r="S60" s="208">
        <v>101</v>
      </c>
      <c r="T60" s="135">
        <f t="shared" si="1"/>
        <v>33</v>
      </c>
      <c r="U60" s="208">
        <v>429</v>
      </c>
      <c r="V60" s="239">
        <f t="shared" si="2"/>
        <v>3539.25</v>
      </c>
      <c r="W60" s="208">
        <v>23</v>
      </c>
      <c r="X60" s="133" t="s">
        <v>46</v>
      </c>
      <c r="Y60" s="208" t="s">
        <v>55</v>
      </c>
      <c r="Z60" s="208" t="s">
        <v>97</v>
      </c>
      <c r="AA60" s="208" t="s">
        <v>106</v>
      </c>
      <c r="AB60" s="133" t="s">
        <v>555</v>
      </c>
      <c r="AC60" s="208"/>
    </row>
    <row r="61" spans="1:29" x14ac:dyDescent="0.15">
      <c r="A61" s="133" t="s">
        <v>61</v>
      </c>
      <c r="B61" s="133" t="s">
        <v>553</v>
      </c>
      <c r="C61" s="133">
        <v>2018</v>
      </c>
      <c r="D61" s="238" t="s">
        <v>554</v>
      </c>
      <c r="E61" s="133" t="s">
        <v>133</v>
      </c>
      <c r="F61" s="133" t="s">
        <v>518</v>
      </c>
      <c r="G61" s="133" t="s">
        <v>42</v>
      </c>
      <c r="H61" s="208" t="s">
        <v>157</v>
      </c>
      <c r="I61" s="208" t="s">
        <v>158</v>
      </c>
      <c r="J61" s="133" t="s">
        <v>38</v>
      </c>
      <c r="K61" s="208" t="s">
        <v>156</v>
      </c>
      <c r="L61" s="208">
        <v>3</v>
      </c>
      <c r="M61" s="208"/>
      <c r="N61" s="208">
        <v>4</v>
      </c>
      <c r="O61" s="208">
        <v>0.8</v>
      </c>
      <c r="P61" s="208">
        <v>0.8</v>
      </c>
      <c r="Q61" s="134">
        <f t="shared" si="0"/>
        <v>0.8</v>
      </c>
      <c r="R61" s="208">
        <v>12.1</v>
      </c>
      <c r="S61" s="208">
        <v>96</v>
      </c>
      <c r="T61" s="135">
        <f t="shared" si="1"/>
        <v>36</v>
      </c>
      <c r="U61" s="208">
        <v>429</v>
      </c>
      <c r="V61" s="239">
        <f t="shared" si="2"/>
        <v>3861</v>
      </c>
      <c r="W61" s="208">
        <v>23</v>
      </c>
      <c r="X61" s="133" t="s">
        <v>46</v>
      </c>
      <c r="Y61" s="208" t="s">
        <v>55</v>
      </c>
      <c r="Z61" s="208" t="s">
        <v>97</v>
      </c>
      <c r="AA61" s="208" t="s">
        <v>106</v>
      </c>
      <c r="AB61" s="133" t="s">
        <v>555</v>
      </c>
      <c r="AC61" s="208"/>
    </row>
    <row r="62" spans="1:29" x14ac:dyDescent="0.15">
      <c r="A62" s="133" t="s">
        <v>61</v>
      </c>
      <c r="B62" s="133" t="s">
        <v>553</v>
      </c>
      <c r="C62" s="133">
        <v>2018</v>
      </c>
      <c r="D62" s="238" t="s">
        <v>554</v>
      </c>
      <c r="E62" s="133" t="s">
        <v>133</v>
      </c>
      <c r="F62" s="133" t="s">
        <v>518</v>
      </c>
      <c r="G62" s="133" t="s">
        <v>42</v>
      </c>
      <c r="H62" s="208" t="s">
        <v>167</v>
      </c>
      <c r="I62" s="208" t="s">
        <v>158</v>
      </c>
      <c r="J62" s="133" t="s">
        <v>38</v>
      </c>
      <c r="K62" s="208" t="s">
        <v>156</v>
      </c>
      <c r="L62" s="208">
        <v>1</v>
      </c>
      <c r="M62" s="208"/>
      <c r="N62" s="208">
        <v>2</v>
      </c>
      <c r="O62" s="208">
        <v>0.8</v>
      </c>
      <c r="P62" s="208">
        <v>0.8</v>
      </c>
      <c r="Q62" s="134">
        <f>IF(OR(O62="",P62=""),"",AVERAGE(O62,P62))</f>
        <v>0.8</v>
      </c>
      <c r="R62" s="208">
        <v>17.5</v>
      </c>
      <c r="S62" s="208">
        <v>162</v>
      </c>
      <c r="T62" s="135">
        <f t="shared" si="1"/>
        <v>18</v>
      </c>
      <c r="U62" s="208">
        <v>429</v>
      </c>
      <c r="V62" s="239">
        <f t="shared" si="2"/>
        <v>3861</v>
      </c>
      <c r="W62" s="208">
        <v>23</v>
      </c>
      <c r="X62" s="133" t="s">
        <v>46</v>
      </c>
      <c r="Y62" s="208" t="s">
        <v>55</v>
      </c>
      <c r="Z62" s="208" t="s">
        <v>97</v>
      </c>
      <c r="AA62" s="208" t="s">
        <v>106</v>
      </c>
      <c r="AB62" s="133" t="s">
        <v>555</v>
      </c>
      <c r="AC62" s="208"/>
    </row>
    <row r="63" spans="1:29" x14ac:dyDescent="0.15">
      <c r="A63" s="133" t="s">
        <v>61</v>
      </c>
      <c r="B63" s="133" t="s">
        <v>553</v>
      </c>
      <c r="C63" s="133">
        <v>2018</v>
      </c>
      <c r="D63" s="238" t="s">
        <v>554</v>
      </c>
      <c r="E63" s="133" t="s">
        <v>133</v>
      </c>
      <c r="F63" s="133" t="s">
        <v>518</v>
      </c>
      <c r="G63" s="133" t="s">
        <v>42</v>
      </c>
      <c r="H63" s="208" t="s">
        <v>167</v>
      </c>
      <c r="I63" s="208" t="s">
        <v>158</v>
      </c>
      <c r="J63" s="133" t="s">
        <v>38</v>
      </c>
      <c r="K63" s="208" t="s">
        <v>156</v>
      </c>
      <c r="L63" s="208">
        <v>2</v>
      </c>
      <c r="M63" s="208"/>
      <c r="N63" s="208">
        <v>2</v>
      </c>
      <c r="O63" s="208">
        <v>0.7</v>
      </c>
      <c r="P63" s="208">
        <v>0.75</v>
      </c>
      <c r="Q63" s="134">
        <f t="shared" si="0"/>
        <v>0.72499999999999998</v>
      </c>
      <c r="R63" s="208">
        <v>17.5</v>
      </c>
      <c r="S63" s="208">
        <v>160</v>
      </c>
      <c r="T63" s="135">
        <f t="shared" si="1"/>
        <v>18</v>
      </c>
      <c r="U63" s="208">
        <v>429</v>
      </c>
      <c r="V63" s="239">
        <f t="shared" si="2"/>
        <v>3861</v>
      </c>
      <c r="W63" s="208">
        <v>23</v>
      </c>
      <c r="X63" s="133" t="s">
        <v>46</v>
      </c>
      <c r="Y63" s="208" t="s">
        <v>55</v>
      </c>
      <c r="Z63" s="208" t="s">
        <v>97</v>
      </c>
      <c r="AA63" s="208" t="s">
        <v>106</v>
      </c>
      <c r="AB63" s="133" t="s">
        <v>555</v>
      </c>
      <c r="AC63" s="208"/>
    </row>
    <row r="64" spans="1:29" x14ac:dyDescent="0.15">
      <c r="A64" s="133" t="s">
        <v>61</v>
      </c>
      <c r="B64" s="133" t="s">
        <v>553</v>
      </c>
      <c r="C64" s="133">
        <v>2018</v>
      </c>
      <c r="D64" s="238" t="s">
        <v>554</v>
      </c>
      <c r="E64" s="133" t="s">
        <v>133</v>
      </c>
      <c r="F64" s="133" t="s">
        <v>518</v>
      </c>
      <c r="G64" s="133" t="s">
        <v>42</v>
      </c>
      <c r="H64" s="208" t="s">
        <v>167</v>
      </c>
      <c r="I64" s="208" t="s">
        <v>158</v>
      </c>
      <c r="J64" s="133" t="s">
        <v>38</v>
      </c>
      <c r="K64" s="208" t="s">
        <v>156</v>
      </c>
      <c r="L64" s="208">
        <v>3</v>
      </c>
      <c r="M64" s="208"/>
      <c r="N64" s="208">
        <v>2</v>
      </c>
      <c r="O64" s="208">
        <v>0.75</v>
      </c>
      <c r="P64" s="208">
        <v>0.7</v>
      </c>
      <c r="Q64" s="134">
        <f t="shared" si="0"/>
        <v>0.72499999999999998</v>
      </c>
      <c r="R64" s="208">
        <v>18</v>
      </c>
      <c r="S64" s="208">
        <v>148</v>
      </c>
      <c r="T64" s="135">
        <f t="shared" si="1"/>
        <v>22</v>
      </c>
      <c r="U64" s="208">
        <v>429</v>
      </c>
      <c r="V64" s="239">
        <f t="shared" si="2"/>
        <v>4719</v>
      </c>
      <c r="W64" s="208">
        <v>23</v>
      </c>
      <c r="X64" s="133" t="s">
        <v>46</v>
      </c>
      <c r="Y64" s="208" t="s">
        <v>55</v>
      </c>
      <c r="Z64" s="208" t="s">
        <v>97</v>
      </c>
      <c r="AA64" s="208" t="s">
        <v>106</v>
      </c>
      <c r="AB64" s="133" t="s">
        <v>555</v>
      </c>
      <c r="AC64" s="208"/>
    </row>
    <row r="65" spans="1:29" x14ac:dyDescent="0.15">
      <c r="A65" s="133" t="s">
        <v>61</v>
      </c>
      <c r="B65" s="133" t="s">
        <v>553</v>
      </c>
      <c r="C65" s="133">
        <v>2018</v>
      </c>
      <c r="D65" s="238" t="s">
        <v>554</v>
      </c>
      <c r="E65" s="133" t="s">
        <v>522</v>
      </c>
      <c r="F65" s="133" t="s">
        <v>523</v>
      </c>
      <c r="G65" s="133" t="s">
        <v>42</v>
      </c>
      <c r="H65" s="208" t="s">
        <v>157</v>
      </c>
      <c r="I65" s="208" t="s">
        <v>155</v>
      </c>
      <c r="J65" s="133" t="s">
        <v>38</v>
      </c>
      <c r="K65" s="208" t="s">
        <v>156</v>
      </c>
      <c r="L65" s="208">
        <v>1</v>
      </c>
      <c r="M65" s="208"/>
      <c r="N65" s="208">
        <v>1</v>
      </c>
      <c r="O65" s="208">
        <v>0.95</v>
      </c>
      <c r="P65" s="208">
        <v>0.95</v>
      </c>
      <c r="Q65" s="134">
        <f t="shared" si="0"/>
        <v>0.95</v>
      </c>
      <c r="R65" s="208">
        <v>17.100000000000001</v>
      </c>
      <c r="S65" s="208">
        <v>139</v>
      </c>
      <c r="T65" s="135">
        <f t="shared" si="1"/>
        <v>22</v>
      </c>
      <c r="U65" s="208">
        <v>138</v>
      </c>
      <c r="V65" s="239">
        <f t="shared" si="2"/>
        <v>3036</v>
      </c>
      <c r="W65" s="208">
        <v>12</v>
      </c>
      <c r="X65" s="133" t="s">
        <v>46</v>
      </c>
      <c r="Y65" s="208" t="s">
        <v>97</v>
      </c>
      <c r="Z65" s="208" t="s">
        <v>86</v>
      </c>
      <c r="AA65" s="208" t="s">
        <v>47</v>
      </c>
      <c r="AB65" s="133" t="s">
        <v>555</v>
      </c>
      <c r="AC65" s="136"/>
    </row>
    <row r="66" spans="1:29" x14ac:dyDescent="0.15">
      <c r="A66" s="133" t="s">
        <v>61</v>
      </c>
      <c r="B66" s="133" t="s">
        <v>553</v>
      </c>
      <c r="C66" s="133">
        <v>2018</v>
      </c>
      <c r="D66" s="238" t="s">
        <v>554</v>
      </c>
      <c r="E66" s="133" t="s">
        <v>522</v>
      </c>
      <c r="F66" s="133" t="s">
        <v>523</v>
      </c>
      <c r="G66" s="133" t="s">
        <v>42</v>
      </c>
      <c r="H66" s="208" t="s">
        <v>157</v>
      </c>
      <c r="I66" s="208" t="s">
        <v>155</v>
      </c>
      <c r="J66" s="133" t="s">
        <v>38</v>
      </c>
      <c r="K66" s="208" t="s">
        <v>156</v>
      </c>
      <c r="L66" s="208">
        <v>2</v>
      </c>
      <c r="M66" s="208"/>
      <c r="N66" s="208">
        <v>1</v>
      </c>
      <c r="O66" s="208">
        <v>1.05</v>
      </c>
      <c r="P66" s="208">
        <v>0.95</v>
      </c>
      <c r="Q66" s="134">
        <f t="shared" si="0"/>
        <v>1</v>
      </c>
      <c r="R66" s="208">
        <v>17.5</v>
      </c>
      <c r="S66" s="208">
        <v>136</v>
      </c>
      <c r="T66" s="135">
        <f t="shared" ref="T66:T85" si="3">IF(H66="","",IF(OR(H66="GREEN",H66="GK"),IF(S66&gt;=$AX$2,VLOOKUP(S66,$AX$2:$AY$15,2,1),""),IF(S66&gt;=$AZ$2,VLOOKUP(S66,$AZ$2:$BA$15,2,1),"")))</f>
        <v>25</v>
      </c>
      <c r="U66" s="208">
        <v>138</v>
      </c>
      <c r="V66" s="239">
        <f t="shared" si="2"/>
        <v>3450</v>
      </c>
      <c r="W66" s="208">
        <v>12</v>
      </c>
      <c r="X66" s="133" t="s">
        <v>46</v>
      </c>
      <c r="Y66" s="208" t="s">
        <v>97</v>
      </c>
      <c r="Z66" s="208" t="s">
        <v>86</v>
      </c>
      <c r="AA66" s="208" t="s">
        <v>47</v>
      </c>
      <c r="AB66" s="133" t="s">
        <v>555</v>
      </c>
      <c r="AC66" s="136"/>
    </row>
    <row r="67" spans="1:29" x14ac:dyDescent="0.15">
      <c r="A67" s="133" t="s">
        <v>61</v>
      </c>
      <c r="B67" s="133" t="s">
        <v>553</v>
      </c>
      <c r="C67" s="133">
        <v>2018</v>
      </c>
      <c r="D67" s="238" t="s">
        <v>554</v>
      </c>
      <c r="E67" s="133" t="s">
        <v>522</v>
      </c>
      <c r="F67" s="133" t="s">
        <v>523</v>
      </c>
      <c r="G67" s="133" t="s">
        <v>42</v>
      </c>
      <c r="H67" s="208" t="s">
        <v>157</v>
      </c>
      <c r="I67" s="208" t="s">
        <v>155</v>
      </c>
      <c r="J67" s="133" t="s">
        <v>38</v>
      </c>
      <c r="K67" s="208" t="s">
        <v>156</v>
      </c>
      <c r="L67" s="208">
        <v>3</v>
      </c>
      <c r="M67" s="208"/>
      <c r="N67" s="208">
        <v>1</v>
      </c>
      <c r="O67" s="208">
        <v>0.95</v>
      </c>
      <c r="P67" s="208">
        <v>1</v>
      </c>
      <c r="Q67" s="134">
        <f t="shared" ref="Q67:Q85" si="4">IF(OR(O67="",P67=""),"",AVERAGE(O67,P67))</f>
        <v>0.97499999999999998</v>
      </c>
      <c r="R67" s="136">
        <v>16.899999999999999</v>
      </c>
      <c r="S67" s="208">
        <v>131</v>
      </c>
      <c r="T67" s="135">
        <f t="shared" si="3"/>
        <v>25</v>
      </c>
      <c r="U67" s="208">
        <v>138</v>
      </c>
      <c r="V67" s="239">
        <f t="shared" ref="V67:V85" si="5">IF(OR(N67="",U67="",T67=""),"",U67/N67*T67)</f>
        <v>3450</v>
      </c>
      <c r="W67" s="208">
        <v>12</v>
      </c>
      <c r="X67" s="133" t="s">
        <v>46</v>
      </c>
      <c r="Y67" s="208" t="s">
        <v>97</v>
      </c>
      <c r="Z67" s="208" t="s">
        <v>86</v>
      </c>
      <c r="AA67" s="208" t="s">
        <v>47</v>
      </c>
      <c r="AB67" s="133" t="s">
        <v>555</v>
      </c>
      <c r="AC67" s="136"/>
    </row>
    <row r="68" spans="1:29" x14ac:dyDescent="0.15">
      <c r="A68" s="133" t="s">
        <v>61</v>
      </c>
      <c r="B68" s="133" t="s">
        <v>553</v>
      </c>
      <c r="C68" s="133">
        <v>2018</v>
      </c>
      <c r="D68" s="238" t="s">
        <v>554</v>
      </c>
      <c r="E68" s="133" t="s">
        <v>522</v>
      </c>
      <c r="F68" s="133" t="s">
        <v>523</v>
      </c>
      <c r="G68" s="133" t="s">
        <v>42</v>
      </c>
      <c r="H68" s="208" t="s">
        <v>167</v>
      </c>
      <c r="I68" s="208" t="s">
        <v>155</v>
      </c>
      <c r="J68" s="133" t="s">
        <v>38</v>
      </c>
      <c r="K68" s="208" t="s">
        <v>156</v>
      </c>
      <c r="L68" s="208">
        <v>1</v>
      </c>
      <c r="M68" s="208"/>
      <c r="N68" s="208">
        <v>1</v>
      </c>
      <c r="O68" s="208">
        <v>0.6</v>
      </c>
      <c r="P68" s="208">
        <v>0.5</v>
      </c>
      <c r="Q68" s="134">
        <f t="shared" si="4"/>
        <v>0.55000000000000004</v>
      </c>
      <c r="R68" s="208">
        <v>17.8</v>
      </c>
      <c r="S68" s="208">
        <v>142</v>
      </c>
      <c r="T68" s="135">
        <f t="shared" si="3"/>
        <v>22</v>
      </c>
      <c r="U68" s="208">
        <v>138</v>
      </c>
      <c r="V68" s="239">
        <f t="shared" si="5"/>
        <v>3036</v>
      </c>
      <c r="W68" s="208">
        <v>12</v>
      </c>
      <c r="X68" s="133" t="s">
        <v>46</v>
      </c>
      <c r="Y68" s="208" t="s">
        <v>97</v>
      </c>
      <c r="Z68" s="208" t="s">
        <v>86</v>
      </c>
      <c r="AA68" s="208" t="s">
        <v>47</v>
      </c>
      <c r="AB68" s="133" t="s">
        <v>555</v>
      </c>
      <c r="AC68" s="136"/>
    </row>
    <row r="69" spans="1:29" x14ac:dyDescent="0.15">
      <c r="A69" s="133" t="s">
        <v>61</v>
      </c>
      <c r="B69" s="133" t="s">
        <v>553</v>
      </c>
      <c r="C69" s="133">
        <v>2018</v>
      </c>
      <c r="D69" s="238" t="s">
        <v>554</v>
      </c>
      <c r="E69" s="133" t="s">
        <v>522</v>
      </c>
      <c r="F69" s="133" t="s">
        <v>523</v>
      </c>
      <c r="G69" s="133" t="s">
        <v>42</v>
      </c>
      <c r="H69" s="208" t="s">
        <v>167</v>
      </c>
      <c r="I69" s="208" t="s">
        <v>155</v>
      </c>
      <c r="J69" s="133" t="s">
        <v>38</v>
      </c>
      <c r="K69" s="208" t="s">
        <v>156</v>
      </c>
      <c r="L69" s="208">
        <v>2</v>
      </c>
      <c r="M69" s="208"/>
      <c r="N69" s="208">
        <v>1</v>
      </c>
      <c r="O69" s="208">
        <v>0.75</v>
      </c>
      <c r="P69" s="208">
        <v>0.65</v>
      </c>
      <c r="Q69" s="134">
        <f t="shared" si="4"/>
        <v>0.7</v>
      </c>
      <c r="R69" s="136">
        <v>17.899999999999999</v>
      </c>
      <c r="S69" s="208">
        <v>138</v>
      </c>
      <c r="T69" s="135">
        <f t="shared" si="3"/>
        <v>22</v>
      </c>
      <c r="U69" s="208">
        <v>138</v>
      </c>
      <c r="V69" s="239">
        <f t="shared" si="5"/>
        <v>3036</v>
      </c>
      <c r="W69" s="208">
        <v>12</v>
      </c>
      <c r="X69" s="133" t="s">
        <v>46</v>
      </c>
      <c r="Y69" s="208" t="s">
        <v>97</v>
      </c>
      <c r="Z69" s="208" t="s">
        <v>86</v>
      </c>
      <c r="AA69" s="208" t="s">
        <v>47</v>
      </c>
      <c r="AB69" s="133" t="s">
        <v>555</v>
      </c>
      <c r="AC69" s="136"/>
    </row>
    <row r="70" spans="1:29" x14ac:dyDescent="0.15">
      <c r="A70" s="133" t="s">
        <v>61</v>
      </c>
      <c r="B70" s="133" t="s">
        <v>553</v>
      </c>
      <c r="C70" s="133">
        <v>2018</v>
      </c>
      <c r="D70" s="238" t="s">
        <v>554</v>
      </c>
      <c r="E70" s="133" t="s">
        <v>522</v>
      </c>
      <c r="F70" s="133" t="s">
        <v>523</v>
      </c>
      <c r="G70" s="133" t="s">
        <v>42</v>
      </c>
      <c r="H70" s="208" t="s">
        <v>167</v>
      </c>
      <c r="I70" s="208" t="s">
        <v>155</v>
      </c>
      <c r="J70" s="133" t="s">
        <v>38</v>
      </c>
      <c r="K70" s="208" t="s">
        <v>156</v>
      </c>
      <c r="L70" s="208">
        <v>3</v>
      </c>
      <c r="M70" s="208"/>
      <c r="N70" s="208">
        <v>1</v>
      </c>
      <c r="O70" s="208">
        <v>0.8</v>
      </c>
      <c r="P70" s="208">
        <v>0.9</v>
      </c>
      <c r="Q70" s="134">
        <f t="shared" si="4"/>
        <v>0.85000000000000009</v>
      </c>
      <c r="R70" s="136">
        <v>17.2</v>
      </c>
      <c r="S70" s="208">
        <v>145</v>
      </c>
      <c r="T70" s="135">
        <f t="shared" si="3"/>
        <v>22</v>
      </c>
      <c r="U70" s="208">
        <v>138</v>
      </c>
      <c r="V70" s="239">
        <f t="shared" si="5"/>
        <v>3036</v>
      </c>
      <c r="W70" s="208">
        <v>12</v>
      </c>
      <c r="X70" s="133" t="s">
        <v>46</v>
      </c>
      <c r="Y70" s="208" t="s">
        <v>97</v>
      </c>
      <c r="Z70" s="208" t="s">
        <v>86</v>
      </c>
      <c r="AA70" s="208" t="s">
        <v>47</v>
      </c>
      <c r="AB70" s="133" t="s">
        <v>555</v>
      </c>
      <c r="AC70" s="136"/>
    </row>
    <row r="71" spans="1:29" x14ac:dyDescent="0.15">
      <c r="A71" s="133" t="s">
        <v>61</v>
      </c>
      <c r="B71" s="133" t="s">
        <v>553</v>
      </c>
      <c r="C71" s="133">
        <v>2018</v>
      </c>
      <c r="D71" s="238" t="s">
        <v>554</v>
      </c>
      <c r="E71" s="133" t="s">
        <v>524</v>
      </c>
      <c r="F71" s="133" t="s">
        <v>523</v>
      </c>
      <c r="G71" s="133" t="s">
        <v>42</v>
      </c>
      <c r="H71" s="208" t="s">
        <v>157</v>
      </c>
      <c r="I71" s="208" t="s">
        <v>155</v>
      </c>
      <c r="J71" s="133" t="s">
        <v>38</v>
      </c>
      <c r="K71" s="208" t="s">
        <v>156</v>
      </c>
      <c r="L71" s="208">
        <v>1</v>
      </c>
      <c r="M71" s="208"/>
      <c r="N71" s="208">
        <v>1</v>
      </c>
      <c r="O71" s="208">
        <v>0.9</v>
      </c>
      <c r="P71" s="208">
        <v>1.05</v>
      </c>
      <c r="Q71" s="134">
        <f t="shared" si="4"/>
        <v>0.97500000000000009</v>
      </c>
      <c r="R71" s="208">
        <v>17.100000000000001</v>
      </c>
      <c r="S71" s="208">
        <v>151</v>
      </c>
      <c r="T71" s="135">
        <f t="shared" si="3"/>
        <v>22</v>
      </c>
      <c r="U71" s="208">
        <v>149</v>
      </c>
      <c r="V71" s="239">
        <f t="shared" si="5"/>
        <v>3278</v>
      </c>
      <c r="W71" s="208">
        <v>36</v>
      </c>
      <c r="X71" s="133" t="s">
        <v>46</v>
      </c>
      <c r="Y71" s="208" t="s">
        <v>97</v>
      </c>
      <c r="Z71" s="208" t="s">
        <v>64</v>
      </c>
      <c r="AA71" s="208" t="s">
        <v>69</v>
      </c>
      <c r="AB71" s="133" t="s">
        <v>555</v>
      </c>
      <c r="AC71" s="136"/>
    </row>
    <row r="72" spans="1:29" x14ac:dyDescent="0.15">
      <c r="A72" s="133" t="s">
        <v>61</v>
      </c>
      <c r="B72" s="133" t="s">
        <v>553</v>
      </c>
      <c r="C72" s="133">
        <v>2018</v>
      </c>
      <c r="D72" s="238" t="s">
        <v>554</v>
      </c>
      <c r="E72" s="133" t="s">
        <v>524</v>
      </c>
      <c r="F72" s="133" t="s">
        <v>523</v>
      </c>
      <c r="G72" s="133" t="s">
        <v>42</v>
      </c>
      <c r="H72" s="208" t="s">
        <v>157</v>
      </c>
      <c r="I72" s="208" t="s">
        <v>155</v>
      </c>
      <c r="J72" s="133" t="s">
        <v>38</v>
      </c>
      <c r="K72" s="208" t="s">
        <v>156</v>
      </c>
      <c r="L72" s="208">
        <v>2</v>
      </c>
      <c r="M72" s="208"/>
      <c r="N72" s="208">
        <v>1</v>
      </c>
      <c r="O72" s="208">
        <v>0.8</v>
      </c>
      <c r="P72" s="208">
        <v>0.85</v>
      </c>
      <c r="Q72" s="134">
        <f t="shared" si="4"/>
        <v>0.82499999999999996</v>
      </c>
      <c r="R72" s="208">
        <v>16.899999999999999</v>
      </c>
      <c r="S72" s="208">
        <v>155</v>
      </c>
      <c r="T72" s="135">
        <f t="shared" si="3"/>
        <v>18</v>
      </c>
      <c r="U72" s="208">
        <v>149</v>
      </c>
      <c r="V72" s="239">
        <f t="shared" si="5"/>
        <v>2682</v>
      </c>
      <c r="W72" s="208">
        <v>36</v>
      </c>
      <c r="X72" s="133" t="s">
        <v>46</v>
      </c>
      <c r="Y72" s="208" t="s">
        <v>97</v>
      </c>
      <c r="Z72" s="208" t="s">
        <v>64</v>
      </c>
      <c r="AA72" s="208" t="s">
        <v>69</v>
      </c>
      <c r="AB72" s="133" t="s">
        <v>555</v>
      </c>
      <c r="AC72" s="136"/>
    </row>
    <row r="73" spans="1:29" x14ac:dyDescent="0.15">
      <c r="A73" s="133" t="s">
        <v>61</v>
      </c>
      <c r="B73" s="133" t="s">
        <v>553</v>
      </c>
      <c r="C73" s="133">
        <v>2018</v>
      </c>
      <c r="D73" s="238" t="s">
        <v>554</v>
      </c>
      <c r="E73" s="133" t="s">
        <v>524</v>
      </c>
      <c r="F73" s="133" t="s">
        <v>523</v>
      </c>
      <c r="G73" s="133" t="s">
        <v>42</v>
      </c>
      <c r="H73" s="208" t="s">
        <v>157</v>
      </c>
      <c r="I73" s="208" t="s">
        <v>155</v>
      </c>
      <c r="J73" s="133" t="s">
        <v>38</v>
      </c>
      <c r="K73" s="208" t="s">
        <v>156</v>
      </c>
      <c r="L73" s="208">
        <v>3</v>
      </c>
      <c r="M73" s="208"/>
      <c r="N73" s="208">
        <v>1</v>
      </c>
      <c r="O73" s="208">
        <v>0.6</v>
      </c>
      <c r="P73" s="208">
        <v>0.65</v>
      </c>
      <c r="Q73" s="134">
        <f t="shared" si="4"/>
        <v>0.625</v>
      </c>
      <c r="R73" s="208">
        <v>17</v>
      </c>
      <c r="S73" s="208">
        <v>151</v>
      </c>
      <c r="T73" s="135">
        <f t="shared" si="3"/>
        <v>22</v>
      </c>
      <c r="U73" s="208">
        <v>149</v>
      </c>
      <c r="V73" s="239">
        <f t="shared" si="5"/>
        <v>3278</v>
      </c>
      <c r="W73" s="208">
        <v>36</v>
      </c>
      <c r="X73" s="133" t="s">
        <v>46</v>
      </c>
      <c r="Y73" s="208" t="s">
        <v>97</v>
      </c>
      <c r="Z73" s="208" t="s">
        <v>64</v>
      </c>
      <c r="AA73" s="208" t="s">
        <v>69</v>
      </c>
      <c r="AB73" s="133" t="s">
        <v>555</v>
      </c>
      <c r="AC73" s="136"/>
    </row>
    <row r="74" spans="1:29" x14ac:dyDescent="0.15">
      <c r="A74" s="133" t="s">
        <v>61</v>
      </c>
      <c r="B74" s="133" t="s">
        <v>553</v>
      </c>
      <c r="C74" s="133">
        <v>2018</v>
      </c>
      <c r="D74" s="238" t="s">
        <v>554</v>
      </c>
      <c r="E74" s="133" t="s">
        <v>524</v>
      </c>
      <c r="F74" s="133" t="s">
        <v>523</v>
      </c>
      <c r="G74" s="133" t="s">
        <v>42</v>
      </c>
      <c r="H74" s="208" t="s">
        <v>221</v>
      </c>
      <c r="I74" s="208" t="s">
        <v>155</v>
      </c>
      <c r="J74" s="133" t="s">
        <v>38</v>
      </c>
      <c r="K74" s="208" t="s">
        <v>156</v>
      </c>
      <c r="L74" s="208">
        <v>1</v>
      </c>
      <c r="M74" s="208"/>
      <c r="N74" s="208">
        <v>4</v>
      </c>
      <c r="O74" s="208">
        <v>0.5</v>
      </c>
      <c r="P74" s="208">
        <v>0.6</v>
      </c>
      <c r="Q74" s="134">
        <f t="shared" si="4"/>
        <v>0.55000000000000004</v>
      </c>
      <c r="R74" s="208">
        <v>17.600000000000001</v>
      </c>
      <c r="S74" s="208">
        <v>90</v>
      </c>
      <c r="T74" s="135">
        <f t="shared" si="3"/>
        <v>36</v>
      </c>
      <c r="U74" s="208">
        <v>429</v>
      </c>
      <c r="V74" s="239">
        <f t="shared" si="5"/>
        <v>3861</v>
      </c>
      <c r="W74" s="208">
        <v>36</v>
      </c>
      <c r="X74" s="133" t="s">
        <v>46</v>
      </c>
      <c r="Y74" s="208" t="s">
        <v>97</v>
      </c>
      <c r="Z74" s="208" t="s">
        <v>64</v>
      </c>
      <c r="AA74" s="208" t="s">
        <v>69</v>
      </c>
      <c r="AB74" s="133" t="s">
        <v>555</v>
      </c>
      <c r="AC74" s="208"/>
    </row>
    <row r="75" spans="1:29" x14ac:dyDescent="0.15">
      <c r="A75" s="133" t="s">
        <v>61</v>
      </c>
      <c r="B75" s="133" t="s">
        <v>553</v>
      </c>
      <c r="C75" s="133">
        <v>2018</v>
      </c>
      <c r="D75" s="238" t="s">
        <v>554</v>
      </c>
      <c r="E75" s="133" t="s">
        <v>524</v>
      </c>
      <c r="F75" s="133" t="s">
        <v>523</v>
      </c>
      <c r="G75" s="133" t="s">
        <v>42</v>
      </c>
      <c r="H75" s="208" t="s">
        <v>221</v>
      </c>
      <c r="I75" s="208" t="s">
        <v>155</v>
      </c>
      <c r="J75" s="133" t="s">
        <v>38</v>
      </c>
      <c r="K75" s="208" t="s">
        <v>156</v>
      </c>
      <c r="L75" s="208">
        <v>2</v>
      </c>
      <c r="M75" s="208"/>
      <c r="N75" s="208">
        <v>4</v>
      </c>
      <c r="O75" s="208">
        <v>0.7</v>
      </c>
      <c r="P75" s="208">
        <v>0.6</v>
      </c>
      <c r="Q75" s="134">
        <f t="shared" si="4"/>
        <v>0.64999999999999991</v>
      </c>
      <c r="R75" s="208">
        <v>17.5</v>
      </c>
      <c r="S75" s="208">
        <v>89</v>
      </c>
      <c r="T75" s="135">
        <f t="shared" si="3"/>
        <v>36</v>
      </c>
      <c r="U75" s="208">
        <v>429</v>
      </c>
      <c r="V75" s="239">
        <f t="shared" si="5"/>
        <v>3861</v>
      </c>
      <c r="W75" s="208">
        <v>36</v>
      </c>
      <c r="X75" s="133" t="s">
        <v>46</v>
      </c>
      <c r="Y75" s="208" t="s">
        <v>97</v>
      </c>
      <c r="Z75" s="208" t="s">
        <v>64</v>
      </c>
      <c r="AA75" s="208" t="s">
        <v>69</v>
      </c>
      <c r="AB75" s="133" t="s">
        <v>555</v>
      </c>
      <c r="AC75" s="208"/>
    </row>
    <row r="76" spans="1:29" x14ac:dyDescent="0.15">
      <c r="A76" s="133" t="s">
        <v>61</v>
      </c>
      <c r="B76" s="133" t="s">
        <v>553</v>
      </c>
      <c r="C76" s="133">
        <v>2018</v>
      </c>
      <c r="D76" s="238" t="s">
        <v>554</v>
      </c>
      <c r="E76" s="133" t="s">
        <v>524</v>
      </c>
      <c r="F76" s="133" t="s">
        <v>523</v>
      </c>
      <c r="G76" s="133" t="s">
        <v>42</v>
      </c>
      <c r="H76" s="208" t="s">
        <v>221</v>
      </c>
      <c r="I76" s="208" t="s">
        <v>155</v>
      </c>
      <c r="J76" s="133" t="s">
        <v>38</v>
      </c>
      <c r="K76" s="208" t="s">
        <v>156</v>
      </c>
      <c r="L76" s="208">
        <v>3</v>
      </c>
      <c r="M76" s="208"/>
      <c r="N76" s="208">
        <v>4</v>
      </c>
      <c r="O76" s="208">
        <v>0.65</v>
      </c>
      <c r="P76" s="208">
        <v>0.7</v>
      </c>
      <c r="Q76" s="134">
        <f t="shared" si="4"/>
        <v>0.67500000000000004</v>
      </c>
      <c r="R76" s="208">
        <v>17.5</v>
      </c>
      <c r="S76" s="208">
        <v>86</v>
      </c>
      <c r="T76" s="135">
        <f t="shared" si="3"/>
        <v>36</v>
      </c>
      <c r="U76" s="208">
        <v>429</v>
      </c>
      <c r="V76" s="239">
        <f t="shared" si="5"/>
        <v>3861</v>
      </c>
      <c r="W76" s="208">
        <v>36</v>
      </c>
      <c r="X76" s="133" t="s">
        <v>46</v>
      </c>
      <c r="Y76" s="208" t="s">
        <v>97</v>
      </c>
      <c r="Z76" s="208" t="s">
        <v>64</v>
      </c>
      <c r="AA76" s="208" t="s">
        <v>69</v>
      </c>
      <c r="AB76" s="133" t="s">
        <v>555</v>
      </c>
      <c r="AC76" s="208"/>
    </row>
    <row r="77" spans="1:29" x14ac:dyDescent="0.15">
      <c r="A77" s="133" t="s">
        <v>61</v>
      </c>
      <c r="B77" s="133" t="s">
        <v>553</v>
      </c>
      <c r="C77" s="133">
        <v>2018</v>
      </c>
      <c r="D77" s="238" t="s">
        <v>554</v>
      </c>
      <c r="E77" s="133" t="s">
        <v>524</v>
      </c>
      <c r="F77" s="133" t="s">
        <v>523</v>
      </c>
      <c r="G77" s="133" t="s">
        <v>42</v>
      </c>
      <c r="H77" s="208" t="s">
        <v>167</v>
      </c>
      <c r="I77" s="208" t="s">
        <v>155</v>
      </c>
      <c r="J77" s="133" t="s">
        <v>38</v>
      </c>
      <c r="K77" s="208" t="s">
        <v>156</v>
      </c>
      <c r="L77" s="208">
        <v>1</v>
      </c>
      <c r="M77" s="208"/>
      <c r="N77" s="208">
        <v>1</v>
      </c>
      <c r="O77" s="208">
        <v>0.65</v>
      </c>
      <c r="P77" s="208">
        <v>0.65</v>
      </c>
      <c r="Q77" s="134">
        <f t="shared" si="4"/>
        <v>0.65</v>
      </c>
      <c r="R77" s="208">
        <v>17.5</v>
      </c>
      <c r="S77" s="208">
        <v>157</v>
      </c>
      <c r="T77" s="135">
        <f t="shared" si="3"/>
        <v>18</v>
      </c>
      <c r="U77" s="208">
        <v>149</v>
      </c>
      <c r="V77" s="239">
        <f t="shared" si="5"/>
        <v>2682</v>
      </c>
      <c r="W77" s="208">
        <v>36</v>
      </c>
      <c r="X77" s="133" t="s">
        <v>46</v>
      </c>
      <c r="Y77" s="208" t="s">
        <v>97</v>
      </c>
      <c r="Z77" s="208" t="s">
        <v>64</v>
      </c>
      <c r="AA77" s="208" t="s">
        <v>69</v>
      </c>
      <c r="AB77" s="133" t="s">
        <v>555</v>
      </c>
      <c r="AC77" s="208"/>
    </row>
    <row r="78" spans="1:29" x14ac:dyDescent="0.15">
      <c r="A78" s="133" t="s">
        <v>61</v>
      </c>
      <c r="B78" s="133" t="s">
        <v>553</v>
      </c>
      <c r="C78" s="133">
        <v>2018</v>
      </c>
      <c r="D78" s="238" t="s">
        <v>554</v>
      </c>
      <c r="E78" s="133" t="s">
        <v>524</v>
      </c>
      <c r="F78" s="133" t="s">
        <v>523</v>
      </c>
      <c r="G78" s="133" t="s">
        <v>42</v>
      </c>
      <c r="H78" s="208" t="s">
        <v>167</v>
      </c>
      <c r="I78" s="208" t="s">
        <v>155</v>
      </c>
      <c r="J78" s="133" t="s">
        <v>38</v>
      </c>
      <c r="K78" s="208" t="s">
        <v>156</v>
      </c>
      <c r="L78" s="208">
        <v>2</v>
      </c>
      <c r="M78" s="208"/>
      <c r="N78" s="208">
        <v>1</v>
      </c>
      <c r="O78" s="208">
        <v>0.6</v>
      </c>
      <c r="P78" s="208">
        <v>0.65</v>
      </c>
      <c r="Q78" s="134">
        <f t="shared" si="4"/>
        <v>0.625</v>
      </c>
      <c r="R78" s="208">
        <v>17.600000000000001</v>
      </c>
      <c r="S78" s="208">
        <v>148</v>
      </c>
      <c r="T78" s="135">
        <f t="shared" si="3"/>
        <v>22</v>
      </c>
      <c r="U78" s="208">
        <v>149</v>
      </c>
      <c r="V78" s="239">
        <f t="shared" si="5"/>
        <v>3278</v>
      </c>
      <c r="W78" s="208">
        <v>36</v>
      </c>
      <c r="X78" s="133" t="s">
        <v>46</v>
      </c>
      <c r="Y78" s="208" t="s">
        <v>97</v>
      </c>
      <c r="Z78" s="208" t="s">
        <v>64</v>
      </c>
      <c r="AA78" s="208" t="s">
        <v>69</v>
      </c>
      <c r="AB78" s="133" t="s">
        <v>555</v>
      </c>
      <c r="AC78" s="208"/>
    </row>
    <row r="79" spans="1:29" x14ac:dyDescent="0.15">
      <c r="A79" s="133" t="s">
        <v>61</v>
      </c>
      <c r="B79" s="133" t="s">
        <v>553</v>
      </c>
      <c r="C79" s="133">
        <v>2018</v>
      </c>
      <c r="D79" s="238" t="s">
        <v>554</v>
      </c>
      <c r="E79" s="133" t="s">
        <v>524</v>
      </c>
      <c r="F79" s="133" t="s">
        <v>523</v>
      </c>
      <c r="G79" s="133" t="s">
        <v>42</v>
      </c>
      <c r="H79" s="208" t="s">
        <v>167</v>
      </c>
      <c r="I79" s="208" t="s">
        <v>155</v>
      </c>
      <c r="J79" s="133" t="s">
        <v>38</v>
      </c>
      <c r="K79" s="208" t="s">
        <v>156</v>
      </c>
      <c r="L79" s="208">
        <v>3</v>
      </c>
      <c r="M79" s="208"/>
      <c r="N79" s="208">
        <v>1</v>
      </c>
      <c r="O79" s="208">
        <v>0.65</v>
      </c>
      <c r="P79" s="208">
        <v>0.65</v>
      </c>
      <c r="Q79" s="134">
        <f t="shared" si="4"/>
        <v>0.65</v>
      </c>
      <c r="R79" s="208">
        <v>17.899999999999999</v>
      </c>
      <c r="S79" s="208">
        <v>156</v>
      </c>
      <c r="T79" s="135">
        <f t="shared" si="3"/>
        <v>18</v>
      </c>
      <c r="U79" s="208">
        <v>149</v>
      </c>
      <c r="V79" s="239">
        <f t="shared" si="5"/>
        <v>2682</v>
      </c>
      <c r="W79" s="208">
        <v>36</v>
      </c>
      <c r="X79" s="133" t="s">
        <v>46</v>
      </c>
      <c r="Y79" s="208" t="s">
        <v>97</v>
      </c>
      <c r="Z79" s="208" t="s">
        <v>64</v>
      </c>
      <c r="AA79" s="208" t="s">
        <v>69</v>
      </c>
      <c r="AB79" s="133" t="s">
        <v>555</v>
      </c>
      <c r="AC79" s="208"/>
    </row>
    <row r="80" spans="1:29" x14ac:dyDescent="0.15">
      <c r="A80" s="133"/>
      <c r="B80" s="133"/>
      <c r="C80" s="133"/>
      <c r="D80" s="238"/>
      <c r="E80" s="208"/>
      <c r="F80" s="133"/>
      <c r="G80" s="133"/>
      <c r="H80" s="208"/>
      <c r="I80" s="208"/>
      <c r="J80" s="133"/>
      <c r="K80" s="208"/>
      <c r="L80" s="208"/>
      <c r="M80" s="208"/>
      <c r="N80" s="208"/>
      <c r="O80" s="208"/>
      <c r="P80" s="208"/>
      <c r="Q80" s="134" t="str">
        <f t="shared" si="4"/>
        <v/>
      </c>
      <c r="R80" s="208"/>
      <c r="S80" s="208"/>
      <c r="T80" s="135" t="str">
        <f t="shared" si="3"/>
        <v/>
      </c>
      <c r="U80" s="208"/>
      <c r="V80" s="239" t="str">
        <f t="shared" si="5"/>
        <v/>
      </c>
      <c r="W80" s="208"/>
      <c r="X80" s="133"/>
      <c r="Y80" s="208"/>
      <c r="Z80" s="208"/>
      <c r="AA80" s="208"/>
      <c r="AB80" s="133"/>
      <c r="AC80" s="208"/>
    </row>
    <row r="81" spans="1:29" x14ac:dyDescent="0.15">
      <c r="A81" s="133"/>
      <c r="B81" s="133"/>
      <c r="C81" s="133"/>
      <c r="D81" s="238"/>
      <c r="E81" s="208"/>
      <c r="F81" s="133"/>
      <c r="G81" s="133"/>
      <c r="H81" s="208"/>
      <c r="I81" s="208"/>
      <c r="J81" s="133"/>
      <c r="K81" s="208"/>
      <c r="L81" s="208"/>
      <c r="M81" s="208"/>
      <c r="N81" s="208"/>
      <c r="O81" s="208"/>
      <c r="P81" s="208"/>
      <c r="Q81" s="134" t="str">
        <f t="shared" si="4"/>
        <v/>
      </c>
      <c r="R81" s="208"/>
      <c r="S81" s="208"/>
      <c r="T81" s="135" t="str">
        <f t="shared" si="3"/>
        <v/>
      </c>
      <c r="U81" s="208"/>
      <c r="V81" s="239" t="str">
        <f t="shared" si="5"/>
        <v/>
      </c>
      <c r="W81" s="208"/>
      <c r="X81" s="133"/>
      <c r="Y81" s="208"/>
      <c r="Z81" s="208"/>
      <c r="AA81" s="208"/>
      <c r="AB81" s="133"/>
      <c r="AC81" s="208"/>
    </row>
    <row r="82" spans="1:29" x14ac:dyDescent="0.15">
      <c r="A82" s="133"/>
      <c r="B82" s="133"/>
      <c r="C82" s="133"/>
      <c r="D82" s="238"/>
      <c r="E82" s="208"/>
      <c r="F82" s="133"/>
      <c r="G82" s="133"/>
      <c r="H82" s="208"/>
      <c r="I82" s="208"/>
      <c r="J82" s="133"/>
      <c r="K82" s="208"/>
      <c r="L82" s="208"/>
      <c r="M82" s="208"/>
      <c r="N82" s="208"/>
      <c r="O82" s="208"/>
      <c r="P82" s="208"/>
      <c r="Q82" s="134" t="str">
        <f t="shared" si="4"/>
        <v/>
      </c>
      <c r="R82" s="208"/>
      <c r="S82" s="208"/>
      <c r="T82" s="135" t="str">
        <f t="shared" si="3"/>
        <v/>
      </c>
      <c r="U82" s="208"/>
      <c r="V82" s="239" t="str">
        <f t="shared" si="5"/>
        <v/>
      </c>
      <c r="W82" s="208"/>
      <c r="X82" s="133"/>
      <c r="Y82" s="208"/>
      <c r="Z82" s="208"/>
      <c r="AA82" s="208"/>
      <c r="AB82" s="133"/>
      <c r="AC82" s="208"/>
    </row>
    <row r="83" spans="1:29" x14ac:dyDescent="0.15">
      <c r="A83" s="133"/>
      <c r="B83" s="133"/>
      <c r="C83" s="133"/>
      <c r="D83" s="238"/>
      <c r="E83" s="208"/>
      <c r="F83" s="208"/>
      <c r="G83" s="133"/>
      <c r="H83" s="208"/>
      <c r="I83" s="208"/>
      <c r="J83" s="133"/>
      <c r="K83" s="208"/>
      <c r="L83" s="208"/>
      <c r="M83" s="208"/>
      <c r="N83" s="208"/>
      <c r="O83" s="208"/>
      <c r="P83" s="208"/>
      <c r="Q83" s="134" t="str">
        <f t="shared" si="4"/>
        <v/>
      </c>
      <c r="R83" s="208"/>
      <c r="S83" s="208"/>
      <c r="T83" s="135" t="str">
        <f t="shared" si="3"/>
        <v/>
      </c>
      <c r="U83" s="208"/>
      <c r="V83" s="239" t="str">
        <f t="shared" si="5"/>
        <v/>
      </c>
      <c r="W83" s="208"/>
      <c r="X83" s="133"/>
      <c r="Y83" s="208"/>
      <c r="Z83" s="208"/>
      <c r="AA83" s="208"/>
      <c r="AB83" s="133"/>
      <c r="AC83" s="208"/>
    </row>
    <row r="84" spans="1:29" x14ac:dyDescent="0.15">
      <c r="A84" s="133"/>
      <c r="B84" s="133"/>
      <c r="C84" s="133"/>
      <c r="D84" s="238"/>
      <c r="E84" s="208"/>
      <c r="F84" s="208"/>
      <c r="G84" s="133"/>
      <c r="H84" s="208"/>
      <c r="I84" s="208"/>
      <c r="J84" s="133"/>
      <c r="K84" s="208"/>
      <c r="L84" s="208"/>
      <c r="M84" s="208"/>
      <c r="N84" s="208"/>
      <c r="O84" s="208"/>
      <c r="P84" s="208"/>
      <c r="Q84" s="134" t="str">
        <f t="shared" si="4"/>
        <v/>
      </c>
      <c r="R84" s="208"/>
      <c r="S84" s="208"/>
      <c r="T84" s="135" t="str">
        <f t="shared" si="3"/>
        <v/>
      </c>
      <c r="U84" s="208"/>
      <c r="V84" s="239" t="str">
        <f t="shared" si="5"/>
        <v/>
      </c>
      <c r="W84" s="208"/>
      <c r="X84" s="133"/>
      <c r="Y84" s="208"/>
      <c r="Z84" s="208"/>
      <c r="AA84" s="208"/>
      <c r="AB84" s="133"/>
      <c r="AC84" s="208"/>
    </row>
    <row r="85" spans="1:29" x14ac:dyDescent="0.15">
      <c r="A85" s="133"/>
      <c r="B85" s="133"/>
      <c r="C85" s="133"/>
      <c r="D85" s="238"/>
      <c r="E85" s="208"/>
      <c r="F85" s="208"/>
      <c r="G85" s="133"/>
      <c r="H85" s="208"/>
      <c r="I85" s="208"/>
      <c r="J85" s="133"/>
      <c r="K85" s="208"/>
      <c r="L85" s="208"/>
      <c r="M85" s="208"/>
      <c r="N85" s="208"/>
      <c r="O85" s="208"/>
      <c r="P85" s="208"/>
      <c r="Q85" s="134" t="str">
        <f t="shared" si="4"/>
        <v/>
      </c>
      <c r="R85" s="208"/>
      <c r="S85" s="208"/>
      <c r="T85" s="135" t="str">
        <f t="shared" si="3"/>
        <v/>
      </c>
      <c r="U85" s="208"/>
      <c r="V85" s="239" t="str">
        <f t="shared" si="5"/>
        <v/>
      </c>
      <c r="W85" s="208"/>
      <c r="X85" s="133"/>
      <c r="Y85" s="208"/>
      <c r="Z85" s="208"/>
      <c r="AA85" s="208"/>
      <c r="AB85" s="133"/>
      <c r="AC85" s="208"/>
    </row>
    <row r="86" spans="1:29" x14ac:dyDescent="0.15">
      <c r="A86" s="133"/>
      <c r="B86" s="133"/>
      <c r="C86" s="133"/>
      <c r="D86" s="238"/>
      <c r="E86" s="208"/>
      <c r="F86" s="208"/>
      <c r="G86" s="133"/>
      <c r="H86" s="208"/>
      <c r="I86" s="208"/>
      <c r="J86" s="133"/>
      <c r="K86" s="208"/>
      <c r="L86" s="208"/>
      <c r="M86" s="208"/>
      <c r="N86" s="208"/>
      <c r="O86" s="208"/>
      <c r="P86" s="208"/>
      <c r="Q86" s="134"/>
      <c r="R86" s="208"/>
      <c r="S86" s="208"/>
      <c r="T86" s="135"/>
      <c r="U86" s="208"/>
      <c r="V86" s="239"/>
      <c r="W86" s="208"/>
      <c r="X86" s="133"/>
      <c r="Y86" s="208"/>
      <c r="Z86" s="208"/>
      <c r="AA86" s="208"/>
      <c r="AB86" s="133"/>
      <c r="AC86" s="208"/>
    </row>
    <row r="87" spans="1:29" x14ac:dyDescent="0.15">
      <c r="A87" s="133"/>
      <c r="B87" s="133"/>
      <c r="C87" s="133"/>
      <c r="D87" s="238"/>
      <c r="E87" s="208"/>
      <c r="F87" s="208"/>
      <c r="G87" s="133"/>
      <c r="H87" s="208"/>
      <c r="I87" s="208"/>
      <c r="J87" s="133"/>
      <c r="K87" s="208"/>
      <c r="L87" s="208"/>
      <c r="M87" s="208"/>
      <c r="N87" s="208"/>
      <c r="O87" s="208"/>
      <c r="P87" s="208"/>
      <c r="Q87" s="134"/>
      <c r="R87" s="208"/>
      <c r="S87" s="208"/>
      <c r="T87" s="135"/>
      <c r="U87" s="208"/>
      <c r="V87" s="239"/>
      <c r="W87" s="208"/>
      <c r="X87" s="133"/>
      <c r="Y87" s="208"/>
      <c r="Z87" s="208"/>
      <c r="AA87" s="208"/>
      <c r="AB87" s="133"/>
      <c r="AC87" s="208"/>
    </row>
    <row r="88" spans="1:29" x14ac:dyDescent="0.15">
      <c r="A88" s="133"/>
      <c r="B88" s="133"/>
      <c r="C88" s="133"/>
      <c r="D88" s="238"/>
      <c r="E88" s="208"/>
      <c r="F88" s="208"/>
      <c r="G88" s="133"/>
      <c r="H88" s="208"/>
      <c r="I88" s="208"/>
      <c r="J88" s="133"/>
      <c r="K88" s="208"/>
      <c r="L88" s="208"/>
      <c r="M88" s="208"/>
      <c r="N88" s="208"/>
      <c r="O88" s="208"/>
      <c r="P88" s="208"/>
      <c r="Q88" s="134"/>
      <c r="R88" s="208"/>
      <c r="S88" s="208"/>
      <c r="T88" s="135"/>
      <c r="U88" s="208"/>
      <c r="V88" s="239"/>
      <c r="W88" s="208"/>
      <c r="X88" s="133"/>
      <c r="Y88" s="208"/>
      <c r="Z88" s="208"/>
      <c r="AA88" s="208"/>
      <c r="AB88" s="133"/>
      <c r="AC88" s="208"/>
    </row>
    <row r="89" spans="1:29" x14ac:dyDescent="0.15">
      <c r="A89" s="133"/>
      <c r="B89" s="133"/>
      <c r="C89" s="133"/>
      <c r="D89" s="238"/>
      <c r="E89" s="208"/>
      <c r="F89" s="208"/>
      <c r="G89" s="133"/>
      <c r="H89" s="208"/>
      <c r="I89" s="208"/>
      <c r="J89" s="133"/>
      <c r="K89" s="208"/>
      <c r="L89" s="208"/>
      <c r="M89" s="208"/>
      <c r="N89" s="208"/>
      <c r="O89" s="208"/>
      <c r="P89" s="208"/>
      <c r="Q89" s="134"/>
      <c r="R89" s="208"/>
      <c r="S89" s="208"/>
      <c r="T89" s="135"/>
      <c r="U89" s="208"/>
      <c r="V89" s="239"/>
      <c r="W89" s="208"/>
      <c r="X89" s="133"/>
      <c r="Y89" s="208"/>
      <c r="Z89" s="208"/>
      <c r="AA89" s="208"/>
      <c r="AB89" s="133"/>
      <c r="AC89" s="208"/>
    </row>
    <row r="90" spans="1:29" x14ac:dyDescent="0.15">
      <c r="A90" s="133"/>
      <c r="B90" s="133"/>
      <c r="C90" s="133"/>
      <c r="D90" s="238"/>
      <c r="E90" s="208"/>
      <c r="F90" s="208"/>
      <c r="G90" s="133"/>
      <c r="H90" s="208"/>
      <c r="I90" s="208"/>
      <c r="J90" s="133"/>
      <c r="K90" s="208"/>
      <c r="L90" s="208"/>
      <c r="M90" s="208"/>
      <c r="N90" s="208"/>
      <c r="O90" s="208"/>
      <c r="P90" s="208"/>
      <c r="Q90" s="134"/>
      <c r="R90" s="208"/>
      <c r="S90" s="208"/>
      <c r="T90" s="135"/>
      <c r="U90" s="208"/>
      <c r="V90" s="239"/>
      <c r="W90" s="208"/>
      <c r="X90" s="133"/>
      <c r="Y90" s="208"/>
      <c r="Z90" s="208"/>
      <c r="AA90" s="208"/>
      <c r="AB90" s="133"/>
      <c r="AC90" s="208"/>
    </row>
    <row r="91" spans="1:29" x14ac:dyDescent="0.15">
      <c r="A91" s="133"/>
      <c r="B91" s="133"/>
      <c r="C91" s="133"/>
      <c r="D91" s="238"/>
      <c r="E91" s="208"/>
      <c r="F91" s="208"/>
      <c r="G91" s="133"/>
      <c r="H91" s="208"/>
      <c r="I91" s="208"/>
      <c r="J91" s="133"/>
      <c r="K91" s="208"/>
      <c r="L91" s="208"/>
      <c r="M91" s="208"/>
      <c r="N91" s="208"/>
      <c r="O91" s="208"/>
      <c r="P91" s="208"/>
      <c r="Q91" s="134"/>
      <c r="R91" s="208"/>
      <c r="S91" s="208"/>
      <c r="T91" s="135"/>
      <c r="U91" s="208"/>
      <c r="V91" s="239"/>
      <c r="W91" s="208"/>
      <c r="X91" s="133"/>
      <c r="Y91" s="208"/>
      <c r="Z91" s="208"/>
      <c r="AA91" s="208"/>
      <c r="AB91" s="133"/>
      <c r="AC91" s="208"/>
    </row>
    <row r="92" spans="1:29" x14ac:dyDescent="0.15">
      <c r="A92" s="133"/>
      <c r="B92" s="133"/>
      <c r="C92" s="133"/>
      <c r="D92" s="238"/>
      <c r="E92" s="208"/>
      <c r="F92" s="208"/>
      <c r="G92" s="133"/>
      <c r="H92" s="208"/>
      <c r="I92" s="208"/>
      <c r="J92" s="133"/>
      <c r="K92" s="208"/>
      <c r="L92" s="208"/>
      <c r="M92" s="208"/>
      <c r="N92" s="208"/>
      <c r="O92" s="208"/>
      <c r="P92" s="208"/>
      <c r="Q92" s="134"/>
      <c r="R92" s="208"/>
      <c r="S92" s="208"/>
      <c r="T92" s="135"/>
      <c r="U92" s="208"/>
      <c r="V92" s="239"/>
      <c r="W92" s="208"/>
      <c r="X92" s="133"/>
      <c r="Y92" s="208"/>
      <c r="Z92" s="208"/>
      <c r="AA92" s="208"/>
      <c r="AB92" s="133"/>
      <c r="AC92" s="208"/>
    </row>
    <row r="93" spans="1:29" x14ac:dyDescent="0.15">
      <c r="A93" s="133"/>
      <c r="B93" s="133"/>
      <c r="C93" s="133"/>
      <c r="D93" s="238"/>
      <c r="E93" s="208"/>
      <c r="F93" s="208"/>
      <c r="G93" s="133"/>
      <c r="H93" s="208"/>
      <c r="I93" s="208"/>
      <c r="J93" s="133"/>
      <c r="K93" s="208"/>
      <c r="L93" s="208"/>
      <c r="M93" s="208"/>
      <c r="N93" s="208"/>
      <c r="O93" s="208"/>
      <c r="P93" s="208"/>
      <c r="Q93" s="134"/>
      <c r="R93" s="208"/>
      <c r="S93" s="208"/>
      <c r="T93" s="135"/>
      <c r="U93" s="208"/>
      <c r="V93" s="239"/>
      <c r="W93" s="208"/>
      <c r="X93" s="133"/>
      <c r="Y93" s="208"/>
      <c r="Z93" s="208"/>
      <c r="AA93" s="208"/>
      <c r="AB93" s="133"/>
      <c r="AC93" s="208"/>
    </row>
    <row r="94" spans="1:29" x14ac:dyDescent="0.15">
      <c r="A94" s="133"/>
      <c r="B94" s="133"/>
      <c r="C94" s="133"/>
      <c r="D94" s="238"/>
      <c r="E94" s="208"/>
      <c r="F94" s="208"/>
      <c r="G94" s="133"/>
      <c r="H94" s="208"/>
      <c r="I94" s="208"/>
      <c r="J94" s="133"/>
      <c r="K94" s="208"/>
      <c r="L94" s="208"/>
      <c r="M94" s="208"/>
      <c r="N94" s="208"/>
      <c r="O94" s="208"/>
      <c r="P94" s="208"/>
      <c r="Q94" s="134"/>
      <c r="R94" s="208"/>
      <c r="S94" s="208"/>
      <c r="T94" s="135"/>
      <c r="U94" s="208"/>
      <c r="V94" s="239"/>
      <c r="W94" s="208"/>
      <c r="X94" s="133"/>
      <c r="Y94" s="208"/>
      <c r="Z94" s="208"/>
      <c r="AA94" s="208"/>
      <c r="AB94" s="133"/>
      <c r="AC94" s="208"/>
    </row>
    <row r="95" spans="1:29" x14ac:dyDescent="0.15">
      <c r="K95" s="208"/>
      <c r="AC95" s="208"/>
    </row>
    <row r="96" spans="1:29" x14ac:dyDescent="0.15">
      <c r="A96" s="133"/>
      <c r="B96" s="133"/>
      <c r="C96" s="133"/>
      <c r="D96" s="238"/>
      <c r="E96" s="208"/>
      <c r="F96" s="208"/>
      <c r="G96" s="133"/>
      <c r="H96" s="208"/>
      <c r="I96" s="208"/>
      <c r="J96" s="133"/>
      <c r="K96" s="208"/>
      <c r="L96" s="208"/>
      <c r="M96" s="208"/>
      <c r="N96" s="208"/>
      <c r="O96" s="208"/>
      <c r="P96" s="208"/>
      <c r="Q96" s="134"/>
      <c r="R96" s="208"/>
      <c r="S96" s="208"/>
      <c r="T96" s="135"/>
      <c r="U96" s="208"/>
      <c r="V96" s="239"/>
      <c r="W96" s="208"/>
      <c r="X96" s="133"/>
      <c r="Y96" s="208"/>
      <c r="Z96" s="208"/>
      <c r="AA96" s="208"/>
      <c r="AB96" s="133"/>
      <c r="AC96" s="208"/>
    </row>
    <row r="97" spans="1:29" x14ac:dyDescent="0.15">
      <c r="A97" s="133"/>
      <c r="B97" s="133"/>
      <c r="C97" s="133"/>
      <c r="D97" s="238"/>
      <c r="E97" s="208"/>
      <c r="F97" s="208"/>
      <c r="G97" s="133"/>
      <c r="H97" s="208"/>
      <c r="I97" s="208"/>
      <c r="J97" s="133"/>
      <c r="K97" s="208"/>
      <c r="L97" s="208"/>
      <c r="M97" s="208"/>
      <c r="N97" s="208"/>
      <c r="O97" s="208"/>
      <c r="P97" s="208"/>
      <c r="Q97" s="134"/>
      <c r="R97" s="208"/>
      <c r="S97" s="208"/>
      <c r="T97" s="135"/>
      <c r="U97" s="208"/>
      <c r="V97" s="239"/>
      <c r="W97" s="208"/>
      <c r="X97" s="133"/>
      <c r="Y97" s="208"/>
      <c r="Z97" s="208"/>
      <c r="AA97" s="208"/>
      <c r="AB97" s="133"/>
      <c r="AC97" s="208"/>
    </row>
    <row r="98" spans="1:29" x14ac:dyDescent="0.15">
      <c r="A98" s="133"/>
      <c r="B98" s="133"/>
      <c r="C98" s="133"/>
      <c r="D98" s="238"/>
      <c r="E98" s="208"/>
      <c r="F98" s="208"/>
      <c r="G98" s="133"/>
      <c r="H98" s="208"/>
      <c r="I98" s="208"/>
      <c r="J98" s="133"/>
      <c r="K98" s="208"/>
      <c r="L98" s="208"/>
      <c r="M98" s="208"/>
      <c r="N98" s="208"/>
      <c r="O98" s="208"/>
      <c r="P98" s="208"/>
      <c r="Q98" s="134"/>
      <c r="R98" s="208"/>
      <c r="S98" s="208"/>
      <c r="T98" s="135"/>
      <c r="U98" s="208"/>
      <c r="V98" s="239"/>
      <c r="W98" s="208"/>
      <c r="X98" s="133"/>
      <c r="Y98" s="208"/>
      <c r="Z98" s="208"/>
      <c r="AA98" s="208"/>
      <c r="AB98" s="133"/>
      <c r="AC98" s="208"/>
    </row>
    <row r="99" spans="1:29" x14ac:dyDescent="0.15">
      <c r="A99" s="133"/>
      <c r="B99" s="133"/>
      <c r="C99" s="133"/>
      <c r="D99" s="238"/>
      <c r="E99" s="208"/>
      <c r="F99" s="208"/>
      <c r="G99" s="133"/>
      <c r="H99" s="208"/>
      <c r="I99" s="208"/>
      <c r="J99" s="133"/>
      <c r="K99" s="208"/>
      <c r="L99" s="208"/>
      <c r="M99" s="208"/>
      <c r="N99" s="208"/>
      <c r="O99" s="208"/>
      <c r="P99" s="208"/>
      <c r="Q99" s="134"/>
      <c r="R99" s="208"/>
      <c r="S99" s="208"/>
      <c r="T99" s="135"/>
      <c r="U99" s="208"/>
      <c r="V99" s="239"/>
      <c r="W99" s="208"/>
      <c r="X99" s="133"/>
      <c r="Y99" s="208"/>
      <c r="Z99" s="208"/>
      <c r="AA99" s="208"/>
      <c r="AB99" s="133"/>
      <c r="AC99" s="208"/>
    </row>
    <row r="100" spans="1:29" x14ac:dyDescent="0.15">
      <c r="A100" s="133"/>
      <c r="B100" s="133"/>
      <c r="C100" s="133"/>
      <c r="D100" s="238"/>
      <c r="E100" s="208"/>
      <c r="F100" s="208"/>
      <c r="G100" s="133"/>
      <c r="H100" s="208"/>
      <c r="I100" s="208"/>
      <c r="J100" s="133"/>
      <c r="K100" s="208"/>
      <c r="L100" s="208"/>
      <c r="M100" s="208"/>
      <c r="N100" s="208"/>
      <c r="O100" s="208"/>
      <c r="P100" s="208"/>
      <c r="Q100" s="134"/>
      <c r="R100" s="208"/>
      <c r="S100" s="208"/>
      <c r="T100" s="135"/>
      <c r="U100" s="208"/>
      <c r="V100" s="239"/>
      <c r="W100" s="208"/>
      <c r="X100" s="133"/>
      <c r="Y100" s="208"/>
      <c r="Z100" s="208"/>
      <c r="AA100" s="208"/>
      <c r="AB100" s="133"/>
      <c r="AC100" s="208"/>
    </row>
    <row r="101" spans="1:29" x14ac:dyDescent="0.15">
      <c r="A101" s="133"/>
      <c r="B101" s="133"/>
      <c r="C101" s="133"/>
      <c r="D101" s="238"/>
      <c r="E101" s="208"/>
      <c r="F101" s="208"/>
      <c r="G101" s="133"/>
      <c r="H101" s="208"/>
      <c r="I101" s="208"/>
      <c r="J101" s="133"/>
      <c r="K101" s="208"/>
      <c r="L101" s="208"/>
      <c r="M101" s="208"/>
      <c r="N101" s="208"/>
      <c r="O101" s="208"/>
      <c r="P101" s="208"/>
      <c r="Q101" s="134"/>
      <c r="R101" s="208"/>
      <c r="S101" s="208"/>
      <c r="T101" s="135"/>
      <c r="U101" s="208"/>
      <c r="V101" s="239"/>
      <c r="W101" s="208"/>
      <c r="X101" s="133"/>
      <c r="Y101" s="208"/>
      <c r="Z101" s="208"/>
      <c r="AA101" s="208"/>
      <c r="AB101" s="133"/>
      <c r="AC101" s="208"/>
    </row>
    <row r="102" spans="1:29" x14ac:dyDescent="0.15">
      <c r="A102" s="133"/>
      <c r="B102" s="133"/>
      <c r="C102" s="133"/>
      <c r="D102" s="238"/>
      <c r="E102" s="208"/>
      <c r="F102" s="208"/>
      <c r="G102" s="133"/>
      <c r="H102" s="208"/>
      <c r="I102" s="208"/>
      <c r="J102" s="133"/>
      <c r="K102" s="208"/>
      <c r="L102" s="208"/>
      <c r="M102" s="208"/>
      <c r="N102" s="208"/>
      <c r="O102" s="208"/>
      <c r="P102" s="208"/>
      <c r="Q102" s="134"/>
      <c r="R102" s="208"/>
      <c r="S102" s="208"/>
      <c r="T102" s="135"/>
      <c r="U102" s="208"/>
      <c r="V102" s="239"/>
      <c r="W102" s="208"/>
      <c r="X102" s="133"/>
      <c r="Y102" s="208"/>
      <c r="Z102" s="208"/>
      <c r="AA102" s="208"/>
      <c r="AB102" s="133"/>
      <c r="AC102" s="208"/>
    </row>
    <row r="103" spans="1:29" x14ac:dyDescent="0.15">
      <c r="A103" s="133"/>
      <c r="B103" s="133"/>
      <c r="C103" s="133"/>
      <c r="D103" s="238"/>
      <c r="E103" s="208"/>
      <c r="F103" s="208"/>
      <c r="G103" s="133"/>
      <c r="H103" s="208"/>
      <c r="I103" s="208"/>
      <c r="J103" s="133"/>
      <c r="K103" s="208"/>
      <c r="L103" s="208"/>
      <c r="M103" s="208"/>
      <c r="N103" s="208"/>
      <c r="O103" s="208"/>
      <c r="P103" s="208"/>
      <c r="Q103" s="134"/>
      <c r="R103" s="208"/>
      <c r="S103" s="208"/>
      <c r="T103" s="135"/>
      <c r="U103" s="208"/>
      <c r="V103" s="239"/>
      <c r="W103" s="208"/>
      <c r="X103" s="133"/>
      <c r="Y103" s="208"/>
      <c r="Z103" s="208"/>
      <c r="AA103" s="208"/>
      <c r="AB103" s="133"/>
      <c r="AC103" s="208"/>
    </row>
    <row r="104" spans="1:29" x14ac:dyDescent="0.15">
      <c r="A104" s="133"/>
      <c r="B104" s="133"/>
      <c r="C104" s="133"/>
      <c r="D104" s="238"/>
      <c r="E104" s="208"/>
      <c r="F104" s="208"/>
      <c r="G104" s="133"/>
      <c r="H104" s="208"/>
      <c r="I104" s="208"/>
      <c r="J104" s="133"/>
      <c r="K104" s="208"/>
      <c r="L104" s="208"/>
      <c r="M104" s="208"/>
      <c r="N104" s="208"/>
      <c r="O104" s="208"/>
      <c r="P104" s="208"/>
      <c r="Q104" s="134"/>
      <c r="R104" s="208"/>
      <c r="S104" s="208"/>
      <c r="T104" s="135"/>
      <c r="U104" s="208"/>
      <c r="V104" s="239"/>
      <c r="W104" s="208"/>
      <c r="X104" s="133"/>
      <c r="Y104" s="208"/>
      <c r="Z104" s="208"/>
      <c r="AA104" s="208"/>
      <c r="AB104" s="133"/>
      <c r="AC104" s="208"/>
    </row>
    <row r="105" spans="1:29" x14ac:dyDescent="0.15">
      <c r="A105" s="133"/>
      <c r="B105" s="133"/>
      <c r="C105" s="133"/>
      <c r="D105" s="238"/>
      <c r="E105" s="208"/>
      <c r="F105" s="208"/>
      <c r="G105" s="133"/>
      <c r="H105" s="208"/>
      <c r="I105" s="208"/>
      <c r="J105" s="133"/>
      <c r="K105" s="208"/>
      <c r="L105" s="208"/>
      <c r="M105" s="208"/>
      <c r="N105" s="208"/>
      <c r="O105" s="208"/>
      <c r="P105" s="208"/>
      <c r="Q105" s="134"/>
      <c r="R105" s="208"/>
      <c r="S105" s="208"/>
      <c r="T105" s="135"/>
      <c r="U105" s="208"/>
      <c r="V105" s="239"/>
      <c r="W105" s="208"/>
      <c r="X105" s="133"/>
      <c r="Y105" s="208"/>
      <c r="Z105" s="208"/>
      <c r="AA105" s="208"/>
      <c r="AB105" s="133"/>
      <c r="AC105" s="208"/>
    </row>
    <row r="106" spans="1:29" x14ac:dyDescent="0.15">
      <c r="A106" s="133"/>
      <c r="B106" s="133"/>
      <c r="C106" s="133"/>
      <c r="D106" s="238"/>
      <c r="E106" s="208"/>
      <c r="F106" s="208"/>
      <c r="G106" s="133"/>
      <c r="H106" s="208"/>
      <c r="I106" s="208"/>
      <c r="J106" s="133"/>
      <c r="K106" s="208"/>
      <c r="L106" s="208"/>
      <c r="M106" s="208"/>
      <c r="N106" s="208"/>
      <c r="O106" s="208"/>
      <c r="P106" s="208"/>
      <c r="Q106" s="134"/>
      <c r="R106" s="208"/>
      <c r="S106" s="208"/>
      <c r="T106" s="135"/>
      <c r="U106" s="208"/>
      <c r="V106" s="239"/>
      <c r="W106" s="208"/>
      <c r="X106" s="133"/>
      <c r="Y106" s="208"/>
      <c r="Z106" s="208"/>
      <c r="AA106" s="208"/>
      <c r="AB106" s="133"/>
      <c r="AC106" s="208"/>
    </row>
    <row r="107" spans="1:29" x14ac:dyDescent="0.15">
      <c r="A107" s="133"/>
      <c r="B107" s="133"/>
      <c r="C107" s="133"/>
      <c r="D107" s="238"/>
      <c r="E107" s="208"/>
      <c r="F107" s="208"/>
      <c r="G107" s="133"/>
      <c r="H107" s="208"/>
      <c r="I107" s="208"/>
      <c r="J107" s="133"/>
      <c r="K107" s="208"/>
      <c r="L107" s="208"/>
      <c r="M107" s="208"/>
      <c r="N107" s="208"/>
      <c r="O107" s="208"/>
      <c r="P107" s="208"/>
      <c r="Q107" s="134"/>
      <c r="R107" s="208"/>
      <c r="S107" s="208"/>
      <c r="T107" s="135"/>
      <c r="U107" s="208"/>
      <c r="V107" s="239"/>
      <c r="W107" s="208"/>
      <c r="X107" s="133"/>
      <c r="Y107" s="208"/>
      <c r="Z107" s="208"/>
      <c r="AA107" s="208"/>
      <c r="AB107" s="133"/>
      <c r="AC107" s="208"/>
    </row>
    <row r="108" spans="1:29" x14ac:dyDescent="0.15">
      <c r="A108" s="133"/>
      <c r="B108" s="133"/>
      <c r="C108" s="133"/>
      <c r="D108" s="238"/>
      <c r="E108" s="208"/>
      <c r="F108" s="208"/>
      <c r="G108" s="133"/>
      <c r="H108" s="208"/>
      <c r="I108" s="208"/>
      <c r="J108" s="133"/>
      <c r="K108" s="208"/>
      <c r="L108" s="208"/>
      <c r="M108" s="208"/>
      <c r="N108" s="208"/>
      <c r="O108" s="208"/>
      <c r="P108" s="208"/>
      <c r="Q108" s="134"/>
      <c r="R108" s="208"/>
      <c r="S108" s="208"/>
      <c r="T108" s="135"/>
      <c r="U108" s="208"/>
      <c r="V108" s="239"/>
      <c r="W108" s="208"/>
      <c r="X108" s="133"/>
      <c r="Y108" s="208"/>
      <c r="Z108" s="208"/>
      <c r="AA108" s="208"/>
      <c r="AB108" s="133"/>
      <c r="AC108" s="208"/>
    </row>
    <row r="109" spans="1:29" x14ac:dyDescent="0.15">
      <c r="A109" s="133"/>
      <c r="B109" s="133"/>
      <c r="C109" s="133"/>
      <c r="D109" s="238"/>
      <c r="E109" s="208"/>
      <c r="F109" s="208"/>
      <c r="G109" s="133"/>
      <c r="H109" s="208"/>
      <c r="I109" s="208"/>
      <c r="J109" s="133"/>
      <c r="K109" s="208"/>
      <c r="L109" s="208"/>
      <c r="M109" s="208"/>
      <c r="N109" s="208"/>
      <c r="O109" s="208"/>
      <c r="P109" s="208"/>
      <c r="Q109" s="134"/>
      <c r="R109" s="208"/>
      <c r="S109" s="208"/>
      <c r="T109" s="135"/>
      <c r="U109" s="208"/>
      <c r="V109" s="239"/>
      <c r="W109" s="208"/>
      <c r="X109" s="133"/>
      <c r="Y109" s="208"/>
      <c r="Z109" s="208"/>
      <c r="AA109" s="208"/>
      <c r="AB109" s="133"/>
      <c r="AC109" s="208"/>
    </row>
    <row r="110" spans="1:29" x14ac:dyDescent="0.15">
      <c r="A110" s="133"/>
      <c r="B110" s="133"/>
      <c r="C110" s="133"/>
      <c r="D110" s="238"/>
      <c r="E110" s="208"/>
      <c r="F110" s="208"/>
      <c r="G110" s="133"/>
      <c r="H110" s="208"/>
      <c r="I110" s="208"/>
      <c r="J110" s="133"/>
      <c r="K110" s="208"/>
      <c r="L110" s="208"/>
      <c r="M110" s="208"/>
      <c r="N110" s="208"/>
      <c r="O110" s="208"/>
      <c r="P110" s="208"/>
      <c r="Q110" s="134"/>
      <c r="R110" s="208"/>
      <c r="S110" s="208"/>
      <c r="T110" s="135"/>
      <c r="U110" s="208"/>
      <c r="V110" s="239"/>
      <c r="W110" s="208"/>
      <c r="X110" s="133"/>
      <c r="Y110" s="208"/>
      <c r="Z110" s="208"/>
      <c r="AA110" s="208"/>
      <c r="AB110" s="133"/>
      <c r="AC110" s="208"/>
    </row>
    <row r="111" spans="1:29" x14ac:dyDescent="0.15">
      <c r="A111" s="133"/>
      <c r="B111" s="133"/>
      <c r="C111" s="133"/>
      <c r="D111" s="238"/>
      <c r="E111" s="208"/>
      <c r="F111" s="208"/>
      <c r="G111" s="133"/>
      <c r="H111" s="208"/>
      <c r="I111" s="208"/>
      <c r="J111" s="133"/>
      <c r="K111" s="208"/>
      <c r="L111" s="208"/>
      <c r="M111" s="208"/>
      <c r="N111" s="208"/>
      <c r="O111" s="208"/>
      <c r="P111" s="208"/>
      <c r="Q111" s="134"/>
      <c r="R111" s="208"/>
      <c r="S111" s="208"/>
      <c r="T111" s="135"/>
      <c r="U111" s="208"/>
      <c r="V111" s="239"/>
      <c r="W111" s="208"/>
      <c r="X111" s="133"/>
      <c r="Y111" s="208"/>
      <c r="Z111" s="208"/>
      <c r="AA111" s="208"/>
      <c r="AB111" s="133"/>
      <c r="AC111" s="208"/>
    </row>
    <row r="112" spans="1:29" x14ac:dyDescent="0.15">
      <c r="A112" s="133"/>
      <c r="B112" s="133"/>
      <c r="C112" s="133"/>
      <c r="D112" s="238"/>
      <c r="E112" s="208"/>
      <c r="F112" s="208"/>
      <c r="G112" s="133"/>
      <c r="H112" s="208"/>
      <c r="I112" s="208"/>
      <c r="J112" s="133"/>
      <c r="K112" s="208"/>
      <c r="L112" s="208"/>
      <c r="M112" s="208"/>
      <c r="N112" s="208"/>
      <c r="O112" s="208"/>
      <c r="P112" s="208"/>
      <c r="Q112" s="134"/>
      <c r="R112" s="208"/>
      <c r="S112" s="208"/>
      <c r="T112" s="135"/>
      <c r="U112" s="208"/>
      <c r="V112" s="239"/>
      <c r="W112" s="208"/>
      <c r="X112" s="133"/>
      <c r="Y112" s="208"/>
      <c r="Z112" s="208"/>
      <c r="AA112" s="208"/>
      <c r="AB112" s="133"/>
      <c r="AC112" s="208"/>
    </row>
    <row r="113" spans="1:29" x14ac:dyDescent="0.15">
      <c r="A113" s="208"/>
      <c r="B113" s="208"/>
      <c r="C113" s="208"/>
      <c r="D113" s="208"/>
      <c r="E113" s="208"/>
      <c r="F113" s="208"/>
      <c r="G113" s="208"/>
      <c r="H113" s="208"/>
      <c r="I113" s="208"/>
      <c r="J113" s="208"/>
      <c r="K113" s="208"/>
      <c r="L113" s="208"/>
      <c r="M113" s="208"/>
      <c r="N113" s="208"/>
      <c r="O113" s="208"/>
      <c r="P113" s="208"/>
      <c r="Q113" s="135"/>
      <c r="R113" s="208"/>
      <c r="S113" s="208"/>
      <c r="T113" s="135"/>
      <c r="U113" s="208"/>
      <c r="V113" s="135"/>
      <c r="W113" s="208"/>
      <c r="X113" s="208"/>
      <c r="Y113" s="208"/>
      <c r="Z113" s="208"/>
      <c r="AA113" s="208"/>
      <c r="AB113" s="208"/>
      <c r="AC113" s="208"/>
    </row>
    <row r="114" spans="1:29" x14ac:dyDescent="0.15">
      <c r="A114" s="208"/>
      <c r="B114" s="208"/>
      <c r="C114" s="208"/>
      <c r="D114" s="208"/>
      <c r="E114" s="208"/>
      <c r="F114" s="208"/>
      <c r="G114" s="208"/>
      <c r="H114" s="208"/>
      <c r="I114" s="208"/>
      <c r="J114" s="208"/>
      <c r="K114" s="208"/>
      <c r="L114" s="208" t="s">
        <v>556</v>
      </c>
      <c r="M114" s="208"/>
      <c r="N114" s="208"/>
      <c r="O114" s="208"/>
      <c r="P114" s="208"/>
      <c r="Q114" s="135"/>
      <c r="R114" s="208"/>
      <c r="S114" s="208"/>
      <c r="T114" s="135"/>
      <c r="U114" s="208"/>
      <c r="V114" s="135"/>
      <c r="W114" s="208"/>
      <c r="X114" s="208"/>
      <c r="Y114" s="208"/>
      <c r="Z114" s="208"/>
      <c r="AA114" s="208"/>
      <c r="AB114" s="208"/>
      <c r="AC114" s="208"/>
    </row>
    <row r="115" spans="1:29" x14ac:dyDescent="0.15">
      <c r="K115" s="208"/>
    </row>
    <row r="116" spans="1:29" x14ac:dyDescent="0.15">
      <c r="K116" s="208"/>
    </row>
    <row r="117" spans="1:29" x14ac:dyDescent="0.15">
      <c r="K117" s="208"/>
    </row>
    <row r="118" spans="1:29" x14ac:dyDescent="0.15">
      <c r="K118" s="208"/>
    </row>
    <row r="119" spans="1:29" x14ac:dyDescent="0.15">
      <c r="K119" s="208"/>
    </row>
    <row r="120" spans="1:29" x14ac:dyDescent="0.15">
      <c r="K120" s="208"/>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P35:P40 O17:P34 O41:P94 P5:P16 O5:O7">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85" zoomScaleNormal="85" workbookViewId="0">
      <selection activeCell="N27" sqref="N27"/>
    </sheetView>
  </sheetViews>
  <sheetFormatPr defaultColWidth="8.875" defaultRowHeight="13.5" x14ac:dyDescent="0.15"/>
  <cols>
    <col min="1" max="3" width="8.875" style="169"/>
    <col min="4" max="4" width="13.5" style="169" bestFit="1" customWidth="1"/>
    <col min="5" max="5" width="9.625" style="169" bestFit="1" customWidth="1"/>
    <col min="6" max="16" width="8.875" style="169"/>
    <col min="17" max="17" width="8.875" style="178"/>
    <col min="18" max="19" width="8.875" style="169"/>
    <col min="20" max="20" width="8.875" style="178"/>
    <col min="21" max="21" width="8.875" style="169"/>
    <col min="22" max="22" width="8.875" style="178"/>
    <col min="23" max="32" width="8.875" style="169"/>
    <col min="33" max="33" width="19.625" style="169" bestFit="1" customWidth="1"/>
    <col min="34" max="259" width="8.875" style="169"/>
    <col min="260" max="260" width="10.5" style="169" bestFit="1" customWidth="1"/>
    <col min="261" max="261" width="9.625" style="169" bestFit="1" customWidth="1"/>
    <col min="262" max="515" width="8.875" style="169"/>
    <col min="516" max="516" width="10.5" style="169" bestFit="1" customWidth="1"/>
    <col min="517" max="517" width="9.625" style="169" bestFit="1" customWidth="1"/>
    <col min="518" max="771" width="8.875" style="169"/>
    <col min="772" max="772" width="10.5" style="169" bestFit="1" customWidth="1"/>
    <col min="773" max="773" width="9.625" style="169" bestFit="1" customWidth="1"/>
    <col min="774" max="1027" width="8.875" style="169"/>
    <col min="1028" max="1028" width="10.5" style="169" bestFit="1" customWidth="1"/>
    <col min="1029" max="1029" width="9.625" style="169" bestFit="1" customWidth="1"/>
    <col min="1030" max="1283" width="8.875" style="169"/>
    <col min="1284" max="1284" width="10.5" style="169" bestFit="1" customWidth="1"/>
    <col min="1285" max="1285" width="9.625" style="169" bestFit="1" customWidth="1"/>
    <col min="1286" max="1539" width="8.875" style="169"/>
    <col min="1540" max="1540" width="10.5" style="169" bestFit="1" customWidth="1"/>
    <col min="1541" max="1541" width="9.625" style="169" bestFit="1" customWidth="1"/>
    <col min="1542" max="1795" width="8.875" style="169"/>
    <col min="1796" max="1796" width="10.5" style="169" bestFit="1" customWidth="1"/>
    <col min="1797" max="1797" width="9.625" style="169" bestFit="1" customWidth="1"/>
    <col min="1798" max="2051" width="8.875" style="169"/>
    <col min="2052" max="2052" width="10.5" style="169" bestFit="1" customWidth="1"/>
    <col min="2053" max="2053" width="9.625" style="169" bestFit="1" customWidth="1"/>
    <col min="2054" max="2307" width="8.875" style="169"/>
    <col min="2308" max="2308" width="10.5" style="169" bestFit="1" customWidth="1"/>
    <col min="2309" max="2309" width="9.625" style="169" bestFit="1" customWidth="1"/>
    <col min="2310" max="2563" width="8.875" style="169"/>
    <col min="2564" max="2564" width="10.5" style="169" bestFit="1" customWidth="1"/>
    <col min="2565" max="2565" width="9.625" style="169" bestFit="1" customWidth="1"/>
    <col min="2566" max="2819" width="8.875" style="169"/>
    <col min="2820" max="2820" width="10.5" style="169" bestFit="1" customWidth="1"/>
    <col min="2821" max="2821" width="9.625" style="169" bestFit="1" customWidth="1"/>
    <col min="2822" max="3075" width="8.875" style="169"/>
    <col min="3076" max="3076" width="10.5" style="169" bestFit="1" customWidth="1"/>
    <col min="3077" max="3077" width="9.625" style="169" bestFit="1" customWidth="1"/>
    <col min="3078" max="3331" width="8.875" style="169"/>
    <col min="3332" max="3332" width="10.5" style="169" bestFit="1" customWidth="1"/>
    <col min="3333" max="3333" width="9.625" style="169" bestFit="1" customWidth="1"/>
    <col min="3334" max="3587" width="8.875" style="169"/>
    <col min="3588" max="3588" width="10.5" style="169" bestFit="1" customWidth="1"/>
    <col min="3589" max="3589" width="9.625" style="169" bestFit="1" customWidth="1"/>
    <col min="3590" max="3843" width="8.875" style="169"/>
    <col min="3844" max="3844" width="10.5" style="169" bestFit="1" customWidth="1"/>
    <col min="3845" max="3845" width="9.625" style="169" bestFit="1" customWidth="1"/>
    <col min="3846" max="4099" width="8.875" style="169"/>
    <col min="4100" max="4100" width="10.5" style="169" bestFit="1" customWidth="1"/>
    <col min="4101" max="4101" width="9.625" style="169" bestFit="1" customWidth="1"/>
    <col min="4102" max="4355" width="8.875" style="169"/>
    <col min="4356" max="4356" width="10.5" style="169" bestFit="1" customWidth="1"/>
    <col min="4357" max="4357" width="9.625" style="169" bestFit="1" customWidth="1"/>
    <col min="4358" max="4611" width="8.875" style="169"/>
    <col min="4612" max="4612" width="10.5" style="169" bestFit="1" customWidth="1"/>
    <col min="4613" max="4613" width="9.625" style="169" bestFit="1" customWidth="1"/>
    <col min="4614" max="4867" width="8.875" style="169"/>
    <col min="4868" max="4868" width="10.5" style="169" bestFit="1" customWidth="1"/>
    <col min="4869" max="4869" width="9.625" style="169" bestFit="1" customWidth="1"/>
    <col min="4870" max="5123" width="8.875" style="169"/>
    <col min="5124" max="5124" width="10.5" style="169" bestFit="1" customWidth="1"/>
    <col min="5125" max="5125" width="9.625" style="169" bestFit="1" customWidth="1"/>
    <col min="5126" max="5379" width="8.875" style="169"/>
    <col min="5380" max="5380" width="10.5" style="169" bestFit="1" customWidth="1"/>
    <col min="5381" max="5381" width="9.625" style="169" bestFit="1" customWidth="1"/>
    <col min="5382" max="5635" width="8.875" style="169"/>
    <col min="5636" max="5636" width="10.5" style="169" bestFit="1" customWidth="1"/>
    <col min="5637" max="5637" width="9.625" style="169" bestFit="1" customWidth="1"/>
    <col min="5638" max="5891" width="8.875" style="169"/>
    <col min="5892" max="5892" width="10.5" style="169" bestFit="1" customWidth="1"/>
    <col min="5893" max="5893" width="9.625" style="169" bestFit="1" customWidth="1"/>
    <col min="5894" max="6147" width="8.875" style="169"/>
    <col min="6148" max="6148" width="10.5" style="169" bestFit="1" customWidth="1"/>
    <col min="6149" max="6149" width="9.625" style="169" bestFit="1" customWidth="1"/>
    <col min="6150" max="6403" width="8.875" style="169"/>
    <col min="6404" max="6404" width="10.5" style="169" bestFit="1" customWidth="1"/>
    <col min="6405" max="6405" width="9.625" style="169" bestFit="1" customWidth="1"/>
    <col min="6406" max="6659" width="8.875" style="169"/>
    <col min="6660" max="6660" width="10.5" style="169" bestFit="1" customWidth="1"/>
    <col min="6661" max="6661" width="9.625" style="169" bestFit="1" customWidth="1"/>
    <col min="6662" max="6915" width="8.875" style="169"/>
    <col min="6916" max="6916" width="10.5" style="169" bestFit="1" customWidth="1"/>
    <col min="6917" max="6917" width="9.625" style="169" bestFit="1" customWidth="1"/>
    <col min="6918" max="7171" width="8.875" style="169"/>
    <col min="7172" max="7172" width="10.5" style="169" bestFit="1" customWidth="1"/>
    <col min="7173" max="7173" width="9.625" style="169" bestFit="1" customWidth="1"/>
    <col min="7174" max="7427" width="8.875" style="169"/>
    <col min="7428" max="7428" width="10.5" style="169" bestFit="1" customWidth="1"/>
    <col min="7429" max="7429" width="9.625" style="169" bestFit="1" customWidth="1"/>
    <col min="7430" max="7683" width="8.875" style="169"/>
    <col min="7684" max="7684" width="10.5" style="169" bestFit="1" customWidth="1"/>
    <col min="7685" max="7685" width="9.625" style="169" bestFit="1" customWidth="1"/>
    <col min="7686" max="7939" width="8.875" style="169"/>
    <col min="7940" max="7940" width="10.5" style="169" bestFit="1" customWidth="1"/>
    <col min="7941" max="7941" width="9.625" style="169" bestFit="1" customWidth="1"/>
    <col min="7942" max="8195" width="8.875" style="169"/>
    <col min="8196" max="8196" width="10.5" style="169" bestFit="1" customWidth="1"/>
    <col min="8197" max="8197" width="9.625" style="169" bestFit="1" customWidth="1"/>
    <col min="8198" max="8451" width="8.875" style="169"/>
    <col min="8452" max="8452" width="10.5" style="169" bestFit="1" customWidth="1"/>
    <col min="8453" max="8453" width="9.625" style="169" bestFit="1" customWidth="1"/>
    <col min="8454" max="8707" width="8.875" style="169"/>
    <col min="8708" max="8708" width="10.5" style="169" bestFit="1" customWidth="1"/>
    <col min="8709" max="8709" width="9.625" style="169" bestFit="1" customWidth="1"/>
    <col min="8710" max="8963" width="8.875" style="169"/>
    <col min="8964" max="8964" width="10.5" style="169" bestFit="1" customWidth="1"/>
    <col min="8965" max="8965" width="9.625" style="169" bestFit="1" customWidth="1"/>
    <col min="8966" max="9219" width="8.875" style="169"/>
    <col min="9220" max="9220" width="10.5" style="169" bestFit="1" customWidth="1"/>
    <col min="9221" max="9221" width="9.625" style="169" bestFit="1" customWidth="1"/>
    <col min="9222" max="9475" width="8.875" style="169"/>
    <col min="9476" max="9476" width="10.5" style="169" bestFit="1" customWidth="1"/>
    <col min="9477" max="9477" width="9.625" style="169" bestFit="1" customWidth="1"/>
    <col min="9478" max="9731" width="8.875" style="169"/>
    <col min="9732" max="9732" width="10.5" style="169" bestFit="1" customWidth="1"/>
    <col min="9733" max="9733" width="9.625" style="169" bestFit="1" customWidth="1"/>
    <col min="9734" max="9987" width="8.875" style="169"/>
    <col min="9988" max="9988" width="10.5" style="169" bestFit="1" customWidth="1"/>
    <col min="9989" max="9989" width="9.625" style="169" bestFit="1" customWidth="1"/>
    <col min="9990" max="10243" width="8.875" style="169"/>
    <col min="10244" max="10244" width="10.5" style="169" bestFit="1" customWidth="1"/>
    <col min="10245" max="10245" width="9.625" style="169" bestFit="1" customWidth="1"/>
    <col min="10246" max="10499" width="8.875" style="169"/>
    <col min="10500" max="10500" width="10.5" style="169" bestFit="1" customWidth="1"/>
    <col min="10501" max="10501" width="9.625" style="169" bestFit="1" customWidth="1"/>
    <col min="10502" max="10755" width="8.875" style="169"/>
    <col min="10756" max="10756" width="10.5" style="169" bestFit="1" customWidth="1"/>
    <col min="10757" max="10757" width="9.625" style="169" bestFit="1" customWidth="1"/>
    <col min="10758" max="11011" width="8.875" style="169"/>
    <col min="11012" max="11012" width="10.5" style="169" bestFit="1" customWidth="1"/>
    <col min="11013" max="11013" width="9.625" style="169" bestFit="1" customWidth="1"/>
    <col min="11014" max="11267" width="8.875" style="169"/>
    <col min="11268" max="11268" width="10.5" style="169" bestFit="1" customWidth="1"/>
    <col min="11269" max="11269" width="9.625" style="169" bestFit="1" customWidth="1"/>
    <col min="11270" max="11523" width="8.875" style="169"/>
    <col min="11524" max="11524" width="10.5" style="169" bestFit="1" customWidth="1"/>
    <col min="11525" max="11525" width="9.625" style="169" bestFit="1" customWidth="1"/>
    <col min="11526" max="11779" width="8.875" style="169"/>
    <col min="11780" max="11780" width="10.5" style="169" bestFit="1" customWidth="1"/>
    <col min="11781" max="11781" width="9.625" style="169" bestFit="1" customWidth="1"/>
    <col min="11782" max="12035" width="8.875" style="169"/>
    <col min="12036" max="12036" width="10.5" style="169" bestFit="1" customWidth="1"/>
    <col min="12037" max="12037" width="9.625" style="169" bestFit="1" customWidth="1"/>
    <col min="12038" max="12291" width="8.875" style="169"/>
    <col min="12292" max="12292" width="10.5" style="169" bestFit="1" customWidth="1"/>
    <col min="12293" max="12293" width="9.625" style="169" bestFit="1" customWidth="1"/>
    <col min="12294" max="12547" width="8.875" style="169"/>
    <col min="12548" max="12548" width="10.5" style="169" bestFit="1" customWidth="1"/>
    <col min="12549" max="12549" width="9.625" style="169" bestFit="1" customWidth="1"/>
    <col min="12550" max="12803" width="8.875" style="169"/>
    <col min="12804" max="12804" width="10.5" style="169" bestFit="1" customWidth="1"/>
    <col min="12805" max="12805" width="9.625" style="169" bestFit="1" customWidth="1"/>
    <col min="12806" max="13059" width="8.875" style="169"/>
    <col min="13060" max="13060" width="10.5" style="169" bestFit="1" customWidth="1"/>
    <col min="13061" max="13061" width="9.625" style="169" bestFit="1" customWidth="1"/>
    <col min="13062" max="13315" width="8.875" style="169"/>
    <col min="13316" max="13316" width="10.5" style="169" bestFit="1" customWidth="1"/>
    <col min="13317" max="13317" width="9.625" style="169" bestFit="1" customWidth="1"/>
    <col min="13318" max="13571" width="8.875" style="169"/>
    <col min="13572" max="13572" width="10.5" style="169" bestFit="1" customWidth="1"/>
    <col min="13573" max="13573" width="9.625" style="169" bestFit="1" customWidth="1"/>
    <col min="13574" max="13827" width="8.875" style="169"/>
    <col min="13828" max="13828" width="10.5" style="169" bestFit="1" customWidth="1"/>
    <col min="13829" max="13829" width="9.625" style="169" bestFit="1" customWidth="1"/>
    <col min="13830" max="14083" width="8.875" style="169"/>
    <col min="14084" max="14084" width="10.5" style="169" bestFit="1" customWidth="1"/>
    <col min="14085" max="14085" width="9.625" style="169" bestFit="1" customWidth="1"/>
    <col min="14086" max="14339" width="8.875" style="169"/>
    <col min="14340" max="14340" width="10.5" style="169" bestFit="1" customWidth="1"/>
    <col min="14341" max="14341" width="9.625" style="169" bestFit="1" customWidth="1"/>
    <col min="14342" max="14595" width="8.875" style="169"/>
    <col min="14596" max="14596" width="10.5" style="169" bestFit="1" customWidth="1"/>
    <col min="14597" max="14597" width="9.625" style="169" bestFit="1" customWidth="1"/>
    <col min="14598" max="14851" width="8.875" style="169"/>
    <col min="14852" max="14852" width="10.5" style="169" bestFit="1" customWidth="1"/>
    <col min="14853" max="14853" width="9.625" style="169" bestFit="1" customWidth="1"/>
    <col min="14854" max="15107" width="8.875" style="169"/>
    <col min="15108" max="15108" width="10.5" style="169" bestFit="1" customWidth="1"/>
    <col min="15109" max="15109" width="9.625" style="169" bestFit="1" customWidth="1"/>
    <col min="15110" max="15363" width="8.875" style="169"/>
    <col min="15364" max="15364" width="10.5" style="169" bestFit="1" customWidth="1"/>
    <col min="15365" max="15365" width="9.625" style="169" bestFit="1" customWidth="1"/>
    <col min="15366" max="15619" width="8.875" style="169"/>
    <col min="15620" max="15620" width="10.5" style="169" bestFit="1" customWidth="1"/>
    <col min="15621" max="15621" width="9.625" style="169" bestFit="1" customWidth="1"/>
    <col min="15622" max="15875" width="8.875" style="169"/>
    <col min="15876" max="15876" width="10.5" style="169" bestFit="1" customWidth="1"/>
    <col min="15877" max="15877" width="9.625" style="169" bestFit="1" customWidth="1"/>
    <col min="15878" max="16131" width="8.875" style="169"/>
    <col min="16132" max="16132" width="10.5" style="169" bestFit="1" customWidth="1"/>
    <col min="16133" max="16133" width="9.625" style="169" bestFit="1" customWidth="1"/>
    <col min="16134" max="16384" width="8.875" style="169"/>
  </cols>
  <sheetData>
    <row r="1" spans="1:53" ht="45" x14ac:dyDescent="0.15">
      <c r="A1" s="201" t="s">
        <v>0</v>
      </c>
      <c r="B1" s="163" t="s">
        <v>1</v>
      </c>
      <c r="C1" s="163" t="s">
        <v>159</v>
      </c>
      <c r="D1" s="164" t="s">
        <v>3</v>
      </c>
      <c r="E1" s="202" t="s">
        <v>4</v>
      </c>
      <c r="F1" s="202" t="s">
        <v>5</v>
      </c>
      <c r="G1" s="202" t="s">
        <v>6</v>
      </c>
      <c r="H1" s="202" t="s">
        <v>7</v>
      </c>
      <c r="I1" s="202" t="s">
        <v>8</v>
      </c>
      <c r="J1" s="202" t="s">
        <v>9</v>
      </c>
      <c r="K1" s="202" t="s">
        <v>10</v>
      </c>
      <c r="L1" s="164" t="s">
        <v>160</v>
      </c>
      <c r="M1" s="164" t="s">
        <v>12</v>
      </c>
      <c r="N1" s="164" t="s">
        <v>390</v>
      </c>
      <c r="O1" s="164" t="s">
        <v>161</v>
      </c>
      <c r="P1" s="164" t="s">
        <v>15</v>
      </c>
      <c r="Q1" s="165" t="s">
        <v>16</v>
      </c>
      <c r="R1" s="164" t="s">
        <v>17</v>
      </c>
      <c r="S1" s="164" t="s">
        <v>18</v>
      </c>
      <c r="T1" s="165" t="s">
        <v>19</v>
      </c>
      <c r="U1" s="166" t="s">
        <v>391</v>
      </c>
      <c r="V1" s="167" t="s">
        <v>20</v>
      </c>
      <c r="W1" s="164" t="s">
        <v>21</v>
      </c>
      <c r="X1" s="202" t="s">
        <v>22</v>
      </c>
      <c r="Y1" s="202" t="s">
        <v>23</v>
      </c>
      <c r="Z1" s="202" t="s">
        <v>24</v>
      </c>
      <c r="AA1" s="203" t="s">
        <v>25</v>
      </c>
      <c r="AB1" s="168" t="s">
        <v>392</v>
      </c>
      <c r="AE1" s="170" t="s">
        <v>0</v>
      </c>
      <c r="AF1" s="171"/>
      <c r="AG1" s="170" t="s">
        <v>4</v>
      </c>
      <c r="AH1" s="170" t="s">
        <v>5</v>
      </c>
      <c r="AI1" s="171"/>
      <c r="AJ1" s="170" t="s">
        <v>6</v>
      </c>
      <c r="AK1" s="171"/>
      <c r="AL1" s="172" t="s">
        <v>7</v>
      </c>
      <c r="AM1" s="171"/>
      <c r="AN1" s="172" t="s">
        <v>8</v>
      </c>
      <c r="AO1" s="171"/>
      <c r="AP1" s="172" t="s">
        <v>27</v>
      </c>
      <c r="AQ1" s="171"/>
      <c r="AR1" s="172" t="s">
        <v>10</v>
      </c>
      <c r="AS1" s="171"/>
      <c r="AT1" s="173" t="s">
        <v>28</v>
      </c>
      <c r="AU1" s="171"/>
      <c r="AV1" s="172" t="s">
        <v>29</v>
      </c>
      <c r="AX1" s="174" t="s">
        <v>393</v>
      </c>
      <c r="AY1" s="175" t="s">
        <v>394</v>
      </c>
      <c r="AZ1" s="175" t="s">
        <v>395</v>
      </c>
      <c r="BA1" s="176" t="s">
        <v>396</v>
      </c>
    </row>
    <row r="2" spans="1:53" x14ac:dyDescent="0.15">
      <c r="A2" s="169" t="s">
        <v>59</v>
      </c>
      <c r="B2" s="198" t="s">
        <v>397</v>
      </c>
      <c r="C2" s="139">
        <v>2018</v>
      </c>
      <c r="D2" s="140" t="s">
        <v>398</v>
      </c>
      <c r="E2" s="169" t="s">
        <v>399</v>
      </c>
      <c r="F2" s="169" t="s">
        <v>292</v>
      </c>
      <c r="G2" s="169" t="s">
        <v>36</v>
      </c>
      <c r="H2" s="169" t="s">
        <v>167</v>
      </c>
      <c r="I2" s="169" t="s">
        <v>155</v>
      </c>
      <c r="J2" s="169" t="s">
        <v>38</v>
      </c>
      <c r="K2" s="169" t="s">
        <v>156</v>
      </c>
      <c r="L2" s="169">
        <v>1</v>
      </c>
      <c r="N2" s="169">
        <v>4</v>
      </c>
      <c r="O2" s="169">
        <v>0.7</v>
      </c>
      <c r="P2" s="169">
        <v>0.75</v>
      </c>
      <c r="Q2" s="206">
        <f>IF(OR(O2="",P2=""),"",AVERAGE(O2,P2))</f>
        <v>0.72499999999999998</v>
      </c>
      <c r="R2" s="169">
        <v>14.6</v>
      </c>
      <c r="S2" s="169">
        <v>147</v>
      </c>
      <c r="T2" s="178">
        <f t="shared" ref="T2:T70" si="0">IF(H2="","",IF(OR(H2="GREEN",H2="GK"),IF(S2&gt;=$AX$2,VLOOKUP(S2,$AX$2:$AY$12,2,1),""),IF(S2&gt;=$AZ$2,VLOOKUP(S2,$AZ$2:$BA$12,2,1),"")))</f>
        <v>22</v>
      </c>
      <c r="U2" s="169">
        <v>480</v>
      </c>
      <c r="V2" s="178">
        <f t="shared" ref="V2:V70" si="1">IF(J2="","",IF(OR(J2="GREEN",J2="GK"),IF(U2&gt;=$AX$2,VLOOKUP(U2,$AX$2:$AY$12,2,1),""),IF(U2&gt;=$AZ$2,VLOOKUP(U2,$AZ$2:$BA$12,2,1),"")))</f>
        <v>16</v>
      </c>
      <c r="W2" s="169">
        <v>2</v>
      </c>
      <c r="X2" s="169" t="s">
        <v>39</v>
      </c>
      <c r="Y2" s="169" t="s">
        <v>90</v>
      </c>
      <c r="Z2" s="169" t="s">
        <v>69</v>
      </c>
      <c r="AA2" s="169" t="s">
        <v>78</v>
      </c>
      <c r="AB2" s="198" t="s">
        <v>400</v>
      </c>
      <c r="AE2" s="179" t="s">
        <v>35</v>
      </c>
      <c r="AG2" s="141" t="s">
        <v>299</v>
      </c>
      <c r="AH2" s="142" t="s">
        <v>291</v>
      </c>
      <c r="AJ2" s="209" t="s">
        <v>36</v>
      </c>
      <c r="AL2" s="180" t="s">
        <v>127</v>
      </c>
      <c r="AN2" s="143" t="s">
        <v>401</v>
      </c>
      <c r="AP2" s="180" t="s">
        <v>38</v>
      </c>
      <c r="AR2" s="180" t="s">
        <v>402</v>
      </c>
      <c r="AT2" s="209" t="s">
        <v>39</v>
      </c>
      <c r="AV2" s="185" t="s">
        <v>55</v>
      </c>
      <c r="AX2" s="144">
        <v>1</v>
      </c>
      <c r="AY2" s="145">
        <v>50</v>
      </c>
      <c r="AZ2" s="145">
        <v>1</v>
      </c>
      <c r="BA2" s="146">
        <v>50</v>
      </c>
    </row>
    <row r="3" spans="1:53" x14ac:dyDescent="0.15">
      <c r="A3" s="169" t="s">
        <v>59</v>
      </c>
      <c r="B3" s="198" t="s">
        <v>403</v>
      </c>
      <c r="C3" s="139">
        <v>2018</v>
      </c>
      <c r="D3" s="140" t="s">
        <v>404</v>
      </c>
      <c r="E3" s="169" t="s">
        <v>405</v>
      </c>
      <c r="F3" s="169" t="s">
        <v>292</v>
      </c>
      <c r="G3" s="169" t="s">
        <v>36</v>
      </c>
      <c r="H3" s="169" t="s">
        <v>167</v>
      </c>
      <c r="I3" s="169" t="s">
        <v>155</v>
      </c>
      <c r="J3" s="169" t="s">
        <v>38</v>
      </c>
      <c r="K3" s="169" t="s">
        <v>156</v>
      </c>
      <c r="L3" s="169">
        <v>2</v>
      </c>
      <c r="N3" s="169">
        <v>4</v>
      </c>
      <c r="O3" s="169">
        <v>0.55000000000000004</v>
      </c>
      <c r="P3" s="169">
        <v>0.55000000000000004</v>
      </c>
      <c r="Q3" s="206">
        <f t="shared" ref="Q3:Q70" si="2">IF(OR(O3="",P3=""),"",AVERAGE(O3,P3))</f>
        <v>0.55000000000000004</v>
      </c>
      <c r="R3" s="169">
        <v>15</v>
      </c>
      <c r="S3" s="169">
        <v>146</v>
      </c>
      <c r="T3" s="178">
        <f t="shared" si="0"/>
        <v>22</v>
      </c>
      <c r="U3" s="169">
        <v>480</v>
      </c>
      <c r="V3" s="178">
        <f t="shared" si="1"/>
        <v>16</v>
      </c>
      <c r="W3" s="169">
        <v>2</v>
      </c>
      <c r="X3" s="169" t="s">
        <v>39</v>
      </c>
      <c r="Y3" s="169" t="s">
        <v>90</v>
      </c>
      <c r="Z3" s="169" t="s">
        <v>69</v>
      </c>
      <c r="AA3" s="169" t="s">
        <v>78</v>
      </c>
      <c r="AB3" s="198" t="s">
        <v>406</v>
      </c>
      <c r="AE3" s="184" t="s">
        <v>41</v>
      </c>
      <c r="AG3" s="141" t="s">
        <v>300</v>
      </c>
      <c r="AH3" s="142" t="s">
        <v>292</v>
      </c>
      <c r="AJ3" s="185" t="s">
        <v>42</v>
      </c>
      <c r="AL3" s="185" t="s">
        <v>128</v>
      </c>
      <c r="AN3" s="185" t="s">
        <v>43</v>
      </c>
      <c r="AP3" s="185" t="s">
        <v>44</v>
      </c>
      <c r="AR3" s="199" t="s">
        <v>45</v>
      </c>
      <c r="AT3" s="185" t="s">
        <v>46</v>
      </c>
      <c r="AV3" s="185" t="s">
        <v>407</v>
      </c>
      <c r="AX3" s="186">
        <v>72</v>
      </c>
      <c r="AY3" s="187">
        <v>46</v>
      </c>
      <c r="AZ3" s="187">
        <v>71</v>
      </c>
      <c r="BA3" s="188">
        <v>42</v>
      </c>
    </row>
    <row r="4" spans="1:53" x14ac:dyDescent="0.15">
      <c r="A4" s="169" t="s">
        <v>59</v>
      </c>
      <c r="B4" s="198" t="s">
        <v>403</v>
      </c>
      <c r="C4" s="139">
        <v>2018</v>
      </c>
      <c r="D4" s="140" t="s">
        <v>404</v>
      </c>
      <c r="E4" s="169" t="s">
        <v>405</v>
      </c>
      <c r="F4" s="169" t="s">
        <v>292</v>
      </c>
      <c r="G4" s="169" t="s">
        <v>36</v>
      </c>
      <c r="H4" s="169" t="s">
        <v>167</v>
      </c>
      <c r="I4" s="169" t="s">
        <v>408</v>
      </c>
      <c r="J4" s="169" t="s">
        <v>38</v>
      </c>
      <c r="K4" s="169" t="s">
        <v>156</v>
      </c>
      <c r="L4" s="169">
        <v>3</v>
      </c>
      <c r="N4" s="169">
        <v>4</v>
      </c>
      <c r="O4" s="169">
        <v>0.7</v>
      </c>
      <c r="P4" s="169">
        <v>0.7</v>
      </c>
      <c r="Q4" s="206">
        <f t="shared" si="2"/>
        <v>0.7</v>
      </c>
      <c r="R4" s="169">
        <v>15.2</v>
      </c>
      <c r="S4" s="169">
        <v>145</v>
      </c>
      <c r="T4" s="178">
        <f t="shared" si="0"/>
        <v>22</v>
      </c>
      <c r="U4" s="169">
        <v>480</v>
      </c>
      <c r="V4" s="178">
        <f t="shared" si="1"/>
        <v>16</v>
      </c>
      <c r="W4" s="169">
        <v>2</v>
      </c>
      <c r="X4" s="169" t="s">
        <v>39</v>
      </c>
      <c r="Y4" s="169" t="s">
        <v>90</v>
      </c>
      <c r="Z4" s="169" t="s">
        <v>69</v>
      </c>
      <c r="AA4" s="169" t="s">
        <v>78</v>
      </c>
      <c r="AB4" s="198" t="s">
        <v>406</v>
      </c>
      <c r="AE4" s="184" t="s">
        <v>34</v>
      </c>
      <c r="AG4" s="141" t="s">
        <v>301</v>
      </c>
      <c r="AH4" s="142" t="s">
        <v>293</v>
      </c>
      <c r="AJ4" s="189" t="s">
        <v>48</v>
      </c>
      <c r="AL4" s="189" t="s">
        <v>129</v>
      </c>
      <c r="AN4" s="190" t="s">
        <v>49</v>
      </c>
      <c r="AP4" s="185" t="s">
        <v>409</v>
      </c>
      <c r="AR4" s="199" t="s">
        <v>252</v>
      </c>
      <c r="AT4" s="190"/>
      <c r="AV4" s="185" t="s">
        <v>410</v>
      </c>
      <c r="AX4" s="186">
        <v>75</v>
      </c>
      <c r="AY4" s="187">
        <v>42</v>
      </c>
      <c r="AZ4" s="187">
        <v>76</v>
      </c>
      <c r="BA4" s="188">
        <v>39</v>
      </c>
    </row>
    <row r="5" spans="1:53" x14ac:dyDescent="0.15">
      <c r="A5" s="169" t="s">
        <v>59</v>
      </c>
      <c r="B5" s="198" t="s">
        <v>411</v>
      </c>
      <c r="C5" s="139">
        <v>2018</v>
      </c>
      <c r="D5" s="140" t="s">
        <v>412</v>
      </c>
      <c r="E5" s="169" t="s">
        <v>413</v>
      </c>
      <c r="F5" s="169" t="s">
        <v>292</v>
      </c>
      <c r="G5" s="169" t="s">
        <v>36</v>
      </c>
      <c r="H5" s="169" t="s">
        <v>157</v>
      </c>
      <c r="I5" s="169" t="s">
        <v>155</v>
      </c>
      <c r="J5" s="169" t="s">
        <v>38</v>
      </c>
      <c r="K5" s="169" t="s">
        <v>156</v>
      </c>
      <c r="L5" s="169">
        <v>1</v>
      </c>
      <c r="N5" s="169">
        <v>4</v>
      </c>
      <c r="O5" s="169">
        <v>0.75</v>
      </c>
      <c r="P5" s="169">
        <v>0.75</v>
      </c>
      <c r="Q5" s="206">
        <f t="shared" si="2"/>
        <v>0.75</v>
      </c>
      <c r="R5" s="169">
        <v>15.2</v>
      </c>
      <c r="S5" s="169">
        <v>136</v>
      </c>
      <c r="T5" s="178">
        <f t="shared" si="0"/>
        <v>25</v>
      </c>
      <c r="U5" s="169">
        <v>398</v>
      </c>
      <c r="V5" s="178">
        <f t="shared" si="1"/>
        <v>16</v>
      </c>
      <c r="W5" s="169">
        <v>2</v>
      </c>
      <c r="X5" s="169" t="s">
        <v>39</v>
      </c>
      <c r="Y5" s="169" t="s">
        <v>90</v>
      </c>
      <c r="Z5" s="169" t="s">
        <v>69</v>
      </c>
      <c r="AA5" s="169" t="s">
        <v>78</v>
      </c>
      <c r="AB5" s="198" t="s">
        <v>414</v>
      </c>
      <c r="AE5" s="184" t="s">
        <v>51</v>
      </c>
      <c r="AG5" s="141" t="s">
        <v>253</v>
      </c>
      <c r="AH5" s="142" t="s">
        <v>294</v>
      </c>
      <c r="AJ5" s="190"/>
      <c r="AL5" s="191" t="s">
        <v>415</v>
      </c>
      <c r="AN5" s="72" t="s">
        <v>416</v>
      </c>
      <c r="AP5" s="185" t="s">
        <v>417</v>
      </c>
      <c r="AR5" s="199" t="s">
        <v>54</v>
      </c>
      <c r="AV5" s="185" t="s">
        <v>418</v>
      </c>
      <c r="AX5" s="186">
        <v>84</v>
      </c>
      <c r="AY5" s="187">
        <v>39</v>
      </c>
      <c r="AZ5" s="187">
        <v>84</v>
      </c>
      <c r="BA5" s="188">
        <v>36</v>
      </c>
    </row>
    <row r="6" spans="1:53" x14ac:dyDescent="0.15">
      <c r="A6" s="169" t="s">
        <v>59</v>
      </c>
      <c r="B6" s="198" t="s">
        <v>411</v>
      </c>
      <c r="C6" s="139">
        <v>2018</v>
      </c>
      <c r="D6" s="140" t="s">
        <v>412</v>
      </c>
      <c r="E6" s="169" t="s">
        <v>413</v>
      </c>
      <c r="F6" s="169" t="s">
        <v>292</v>
      </c>
      <c r="G6" s="169" t="s">
        <v>36</v>
      </c>
      <c r="H6" s="169" t="s">
        <v>157</v>
      </c>
      <c r="I6" s="169" t="s">
        <v>155</v>
      </c>
      <c r="J6" s="169" t="s">
        <v>38</v>
      </c>
      <c r="K6" s="169" t="s">
        <v>156</v>
      </c>
      <c r="L6" s="169">
        <v>2</v>
      </c>
      <c r="N6" s="169">
        <v>4</v>
      </c>
      <c r="O6" s="169">
        <v>0.85</v>
      </c>
      <c r="P6" s="169">
        <v>0.8</v>
      </c>
      <c r="Q6" s="206">
        <f t="shared" si="2"/>
        <v>0.82499999999999996</v>
      </c>
      <c r="R6" s="169">
        <v>14</v>
      </c>
      <c r="S6" s="169">
        <v>140</v>
      </c>
      <c r="T6" s="178">
        <f t="shared" si="0"/>
        <v>22</v>
      </c>
      <c r="U6" s="169">
        <v>398</v>
      </c>
      <c r="V6" s="178">
        <f t="shared" si="1"/>
        <v>16</v>
      </c>
      <c r="W6" s="169">
        <v>2</v>
      </c>
      <c r="X6" s="169" t="s">
        <v>39</v>
      </c>
      <c r="Y6" s="169" t="s">
        <v>90</v>
      </c>
      <c r="Z6" s="169" t="s">
        <v>69</v>
      </c>
      <c r="AA6" s="169" t="s">
        <v>78</v>
      </c>
      <c r="AB6" s="198" t="s">
        <v>414</v>
      </c>
      <c r="AE6" s="184" t="s">
        <v>56</v>
      </c>
      <c r="AG6" s="141" t="s">
        <v>302</v>
      </c>
      <c r="AH6" s="142" t="s">
        <v>295</v>
      </c>
      <c r="AL6" s="191" t="s">
        <v>419</v>
      </c>
      <c r="AN6" s="191" t="s">
        <v>420</v>
      </c>
      <c r="AP6" s="185" t="s">
        <v>53</v>
      </c>
      <c r="AR6" s="199" t="s">
        <v>173</v>
      </c>
      <c r="AV6" s="185" t="s">
        <v>60</v>
      </c>
      <c r="AX6" s="186">
        <v>97</v>
      </c>
      <c r="AY6" s="187">
        <v>36</v>
      </c>
      <c r="AZ6" s="187">
        <v>99</v>
      </c>
      <c r="BA6" s="188">
        <v>33</v>
      </c>
    </row>
    <row r="7" spans="1:53" x14ac:dyDescent="0.15">
      <c r="A7" s="169" t="s">
        <v>59</v>
      </c>
      <c r="B7" s="198" t="s">
        <v>368</v>
      </c>
      <c r="C7" s="139">
        <v>2018</v>
      </c>
      <c r="D7" s="140" t="s">
        <v>421</v>
      </c>
      <c r="E7" s="169" t="s">
        <v>422</v>
      </c>
      <c r="F7" s="169" t="s">
        <v>292</v>
      </c>
      <c r="G7" s="169" t="s">
        <v>36</v>
      </c>
      <c r="H7" s="169" t="s">
        <v>157</v>
      </c>
      <c r="I7" s="169" t="s">
        <v>155</v>
      </c>
      <c r="J7" s="169" t="s">
        <v>38</v>
      </c>
      <c r="K7" s="169" t="s">
        <v>156</v>
      </c>
      <c r="L7" s="169">
        <v>3</v>
      </c>
      <c r="N7" s="169">
        <v>4</v>
      </c>
      <c r="O7" s="169">
        <v>0.8</v>
      </c>
      <c r="P7" s="169">
        <v>0.85</v>
      </c>
      <c r="Q7" s="206">
        <f t="shared" si="2"/>
        <v>0.82499999999999996</v>
      </c>
      <c r="R7" s="169">
        <v>14.9</v>
      </c>
      <c r="S7" s="169">
        <v>139</v>
      </c>
      <c r="T7" s="178">
        <f t="shared" si="0"/>
        <v>22</v>
      </c>
      <c r="U7" s="169">
        <v>398</v>
      </c>
      <c r="V7" s="178">
        <f t="shared" si="1"/>
        <v>16</v>
      </c>
      <c r="W7" s="169">
        <v>2</v>
      </c>
      <c r="X7" s="169" t="s">
        <v>39</v>
      </c>
      <c r="Y7" s="169" t="s">
        <v>90</v>
      </c>
      <c r="Z7" s="169" t="s">
        <v>69</v>
      </c>
      <c r="AA7" s="169" t="s">
        <v>78</v>
      </c>
      <c r="AB7" s="198" t="s">
        <v>423</v>
      </c>
      <c r="AE7" s="184" t="s">
        <v>61</v>
      </c>
      <c r="AG7" s="141" t="s">
        <v>303</v>
      </c>
      <c r="AH7" s="142" t="s">
        <v>296</v>
      </c>
      <c r="AL7" s="196" t="s">
        <v>424</v>
      </c>
      <c r="AP7" s="185" t="s">
        <v>58</v>
      </c>
      <c r="AR7" s="192" t="s">
        <v>254</v>
      </c>
      <c r="AV7" s="185" t="s">
        <v>64</v>
      </c>
      <c r="AX7" s="186">
        <v>109</v>
      </c>
      <c r="AY7" s="187">
        <v>33</v>
      </c>
      <c r="AZ7" s="187">
        <v>113</v>
      </c>
      <c r="BA7" s="188">
        <v>30</v>
      </c>
    </row>
    <row r="8" spans="1:53" x14ac:dyDescent="0.15">
      <c r="A8" s="169" t="s">
        <v>59</v>
      </c>
      <c r="B8" s="198" t="s">
        <v>425</v>
      </c>
      <c r="C8" s="139">
        <v>2018</v>
      </c>
      <c r="D8" s="140" t="s">
        <v>426</v>
      </c>
      <c r="E8" s="169" t="s">
        <v>299</v>
      </c>
      <c r="F8" s="169" t="s">
        <v>291</v>
      </c>
      <c r="G8" s="169" t="s">
        <v>36</v>
      </c>
      <c r="H8" s="169" t="s">
        <v>167</v>
      </c>
      <c r="I8" s="169" t="s">
        <v>155</v>
      </c>
      <c r="J8" s="169" t="s">
        <v>38</v>
      </c>
      <c r="K8" s="169" t="s">
        <v>156</v>
      </c>
      <c r="L8" s="169">
        <v>1</v>
      </c>
      <c r="N8" s="169">
        <v>2</v>
      </c>
      <c r="O8" s="169">
        <v>0.75</v>
      </c>
      <c r="P8" s="169">
        <v>0.65</v>
      </c>
      <c r="Q8" s="206">
        <f t="shared" si="2"/>
        <v>0.7</v>
      </c>
      <c r="R8" s="169">
        <v>16.5</v>
      </c>
      <c r="S8" s="169">
        <v>184</v>
      </c>
      <c r="T8" s="178">
        <f t="shared" si="0"/>
        <v>16</v>
      </c>
      <c r="U8" s="169">
        <v>297</v>
      </c>
      <c r="V8" s="178">
        <f t="shared" si="1"/>
        <v>16</v>
      </c>
      <c r="W8" s="169">
        <v>10</v>
      </c>
      <c r="X8" s="169" t="s">
        <v>39</v>
      </c>
      <c r="Y8" s="169" t="s">
        <v>69</v>
      </c>
      <c r="Z8" s="169" t="s">
        <v>90</v>
      </c>
      <c r="AA8" s="169" t="s">
        <v>86</v>
      </c>
      <c r="AB8" s="198" t="s">
        <v>406</v>
      </c>
      <c r="AE8" s="184" t="s">
        <v>59</v>
      </c>
      <c r="AG8" s="147" t="s">
        <v>304</v>
      </c>
      <c r="AH8" s="142" t="s">
        <v>297</v>
      </c>
      <c r="AL8" s="196" t="s">
        <v>427</v>
      </c>
      <c r="AP8" s="185" t="s">
        <v>62</v>
      </c>
      <c r="AR8" s="199" t="s">
        <v>81</v>
      </c>
      <c r="AV8" s="185" t="s">
        <v>97</v>
      </c>
      <c r="AX8" s="186">
        <v>119</v>
      </c>
      <c r="AY8" s="187">
        <v>30</v>
      </c>
      <c r="AZ8" s="187">
        <v>121</v>
      </c>
      <c r="BA8" s="188">
        <v>27</v>
      </c>
    </row>
    <row r="9" spans="1:53" x14ac:dyDescent="0.15">
      <c r="A9" s="169" t="s">
        <v>59</v>
      </c>
      <c r="B9" s="198" t="s">
        <v>403</v>
      </c>
      <c r="C9" s="139">
        <v>2018</v>
      </c>
      <c r="D9" s="140" t="s">
        <v>404</v>
      </c>
      <c r="E9" s="169" t="s">
        <v>299</v>
      </c>
      <c r="F9" s="169" t="s">
        <v>291</v>
      </c>
      <c r="G9" s="169" t="s">
        <v>36</v>
      </c>
      <c r="H9" s="169" t="s">
        <v>167</v>
      </c>
      <c r="I9" s="169" t="s">
        <v>155</v>
      </c>
      <c r="J9" s="169" t="s">
        <v>38</v>
      </c>
      <c r="K9" s="169" t="s">
        <v>156</v>
      </c>
      <c r="L9" s="169">
        <v>2</v>
      </c>
      <c r="N9" s="169">
        <v>2</v>
      </c>
      <c r="O9" s="169">
        <v>0.7</v>
      </c>
      <c r="P9" s="169">
        <v>0.7</v>
      </c>
      <c r="Q9" s="206">
        <f t="shared" si="2"/>
        <v>0.7</v>
      </c>
      <c r="R9" s="169">
        <v>18</v>
      </c>
      <c r="S9" s="169">
        <v>190</v>
      </c>
      <c r="T9" s="178">
        <f t="shared" si="0"/>
        <v>16</v>
      </c>
      <c r="U9" s="169">
        <v>297</v>
      </c>
      <c r="V9" s="178">
        <f t="shared" si="1"/>
        <v>16</v>
      </c>
      <c r="W9" s="169">
        <v>10</v>
      </c>
      <c r="X9" s="169" t="s">
        <v>39</v>
      </c>
      <c r="Y9" s="169" t="s">
        <v>69</v>
      </c>
      <c r="Z9" s="169" t="s">
        <v>90</v>
      </c>
      <c r="AA9" s="169" t="s">
        <v>86</v>
      </c>
      <c r="AB9" s="198" t="s">
        <v>406</v>
      </c>
      <c r="AE9" s="184" t="s">
        <v>98</v>
      </c>
      <c r="AG9" s="147" t="s">
        <v>305</v>
      </c>
      <c r="AH9" s="142" t="s">
        <v>297</v>
      </c>
      <c r="AL9" s="191"/>
      <c r="AP9" s="185" t="s">
        <v>256</v>
      </c>
      <c r="AR9" s="192" t="s">
        <v>89</v>
      </c>
      <c r="AV9" s="185" t="s">
        <v>102</v>
      </c>
      <c r="AX9" s="186">
        <v>128</v>
      </c>
      <c r="AY9" s="187">
        <v>27</v>
      </c>
      <c r="AZ9" s="187">
        <v>129</v>
      </c>
      <c r="BA9" s="188">
        <v>25</v>
      </c>
    </row>
    <row r="10" spans="1:53" x14ac:dyDescent="0.15">
      <c r="A10" s="169" t="s">
        <v>59</v>
      </c>
      <c r="B10" s="198" t="s">
        <v>363</v>
      </c>
      <c r="C10" s="139">
        <v>2018</v>
      </c>
      <c r="D10" s="140" t="s">
        <v>428</v>
      </c>
      <c r="E10" s="169" t="s">
        <v>299</v>
      </c>
      <c r="F10" s="169" t="s">
        <v>291</v>
      </c>
      <c r="G10" s="169" t="s">
        <v>36</v>
      </c>
      <c r="H10" s="169" t="s">
        <v>167</v>
      </c>
      <c r="I10" s="169" t="s">
        <v>155</v>
      </c>
      <c r="J10" s="169" t="s">
        <v>38</v>
      </c>
      <c r="K10" s="169" t="s">
        <v>156</v>
      </c>
      <c r="L10" s="169">
        <v>3</v>
      </c>
      <c r="N10" s="169">
        <v>2</v>
      </c>
      <c r="O10" s="169">
        <v>0.65</v>
      </c>
      <c r="P10" s="169">
        <v>0.65</v>
      </c>
      <c r="Q10" s="206">
        <f t="shared" si="2"/>
        <v>0.65</v>
      </c>
      <c r="R10" s="169">
        <v>18.399999999999999</v>
      </c>
      <c r="S10" s="169">
        <v>180</v>
      </c>
      <c r="T10" s="178">
        <f t="shared" si="0"/>
        <v>18</v>
      </c>
      <c r="U10" s="169">
        <v>297</v>
      </c>
      <c r="V10" s="178">
        <f t="shared" si="1"/>
        <v>16</v>
      </c>
      <c r="W10" s="169">
        <v>10</v>
      </c>
      <c r="X10" s="169" t="s">
        <v>39</v>
      </c>
      <c r="Y10" s="169" t="s">
        <v>69</v>
      </c>
      <c r="Z10" s="169" t="s">
        <v>90</v>
      </c>
      <c r="AA10" s="169" t="s">
        <v>86</v>
      </c>
      <c r="AB10" s="198" t="s">
        <v>406</v>
      </c>
      <c r="AE10" s="184" t="s">
        <v>103</v>
      </c>
      <c r="AG10" s="141" t="s">
        <v>306</v>
      </c>
      <c r="AH10" s="142" t="s">
        <v>294</v>
      </c>
      <c r="AL10" s="88"/>
      <c r="AP10" s="185" t="s">
        <v>100</v>
      </c>
      <c r="AR10" s="192" t="s">
        <v>123</v>
      </c>
      <c r="AV10" s="185" t="s">
        <v>106</v>
      </c>
      <c r="AX10" s="186">
        <v>138</v>
      </c>
      <c r="AY10" s="187">
        <v>25</v>
      </c>
      <c r="AZ10" s="187">
        <v>138</v>
      </c>
      <c r="BA10" s="188">
        <v>22</v>
      </c>
    </row>
    <row r="11" spans="1:53" x14ac:dyDescent="0.15">
      <c r="A11" s="169" t="s">
        <v>59</v>
      </c>
      <c r="B11" s="198" t="s">
        <v>403</v>
      </c>
      <c r="C11" s="139">
        <v>2018</v>
      </c>
      <c r="D11" s="140" t="s">
        <v>404</v>
      </c>
      <c r="E11" s="169" t="s">
        <v>299</v>
      </c>
      <c r="F11" s="169" t="s">
        <v>291</v>
      </c>
      <c r="G11" s="169" t="s">
        <v>36</v>
      </c>
      <c r="H11" s="169" t="s">
        <v>157</v>
      </c>
      <c r="I11" s="169" t="s">
        <v>155</v>
      </c>
      <c r="J11" s="169" t="s">
        <v>38</v>
      </c>
      <c r="K11" s="169" t="s">
        <v>156</v>
      </c>
      <c r="L11" s="169">
        <v>1</v>
      </c>
      <c r="N11" s="169">
        <v>2</v>
      </c>
      <c r="O11" s="169">
        <v>0.65</v>
      </c>
      <c r="P11" s="169">
        <v>0.7</v>
      </c>
      <c r="Q11" s="206">
        <f t="shared" si="2"/>
        <v>0.67500000000000004</v>
      </c>
      <c r="R11" s="169">
        <v>15.5</v>
      </c>
      <c r="S11" s="169">
        <v>153</v>
      </c>
      <c r="T11" s="178">
        <f t="shared" si="0"/>
        <v>18</v>
      </c>
      <c r="U11" s="169">
        <v>277</v>
      </c>
      <c r="V11" s="178">
        <f t="shared" si="1"/>
        <v>16</v>
      </c>
      <c r="W11" s="169">
        <v>6</v>
      </c>
      <c r="X11" s="169" t="s">
        <v>39</v>
      </c>
      <c r="Y11" s="169" t="s">
        <v>69</v>
      </c>
      <c r="Z11" s="169" t="s">
        <v>90</v>
      </c>
      <c r="AA11" s="169" t="s">
        <v>86</v>
      </c>
      <c r="AB11" s="198" t="s">
        <v>406</v>
      </c>
      <c r="AE11" s="184" t="s">
        <v>65</v>
      </c>
      <c r="AG11" s="147" t="s">
        <v>307</v>
      </c>
      <c r="AH11" s="142" t="s">
        <v>298</v>
      </c>
      <c r="AL11" s="88"/>
      <c r="AP11" s="185" t="s">
        <v>255</v>
      </c>
      <c r="AR11" s="192" t="s">
        <v>257</v>
      </c>
      <c r="AV11" s="185" t="s">
        <v>429</v>
      </c>
      <c r="AX11" s="186">
        <v>151</v>
      </c>
      <c r="AY11" s="187">
        <v>22</v>
      </c>
      <c r="AZ11" s="187">
        <v>152</v>
      </c>
      <c r="BA11" s="188">
        <v>18</v>
      </c>
    </row>
    <row r="12" spans="1:53" x14ac:dyDescent="0.15">
      <c r="A12" s="169" t="s">
        <v>59</v>
      </c>
      <c r="B12" s="198" t="s">
        <v>430</v>
      </c>
      <c r="C12" s="139">
        <v>2018</v>
      </c>
      <c r="D12" s="140" t="s">
        <v>431</v>
      </c>
      <c r="E12" s="169" t="s">
        <v>299</v>
      </c>
      <c r="F12" s="169" t="s">
        <v>291</v>
      </c>
      <c r="G12" s="169" t="s">
        <v>36</v>
      </c>
      <c r="H12" s="169" t="s">
        <v>157</v>
      </c>
      <c r="I12" s="169" t="s">
        <v>155</v>
      </c>
      <c r="J12" s="169" t="s">
        <v>38</v>
      </c>
      <c r="K12" s="169" t="s">
        <v>156</v>
      </c>
      <c r="L12" s="169">
        <v>2</v>
      </c>
      <c r="N12" s="169">
        <v>2</v>
      </c>
      <c r="O12" s="169">
        <v>0.55000000000000004</v>
      </c>
      <c r="P12" s="169">
        <v>0.5</v>
      </c>
      <c r="Q12" s="206">
        <f t="shared" si="2"/>
        <v>0.52500000000000002</v>
      </c>
      <c r="R12" s="169">
        <v>14.6</v>
      </c>
      <c r="S12" s="169">
        <v>154</v>
      </c>
      <c r="T12" s="178">
        <f t="shared" si="0"/>
        <v>18</v>
      </c>
      <c r="U12" s="169">
        <v>277</v>
      </c>
      <c r="V12" s="178">
        <f t="shared" si="1"/>
        <v>16</v>
      </c>
      <c r="W12" s="169">
        <v>6</v>
      </c>
      <c r="X12" s="169" t="s">
        <v>39</v>
      </c>
      <c r="Y12" s="169" t="s">
        <v>69</v>
      </c>
      <c r="Z12" s="169" t="s">
        <v>90</v>
      </c>
      <c r="AA12" s="169" t="s">
        <v>86</v>
      </c>
      <c r="AB12" s="198" t="s">
        <v>406</v>
      </c>
      <c r="AE12" s="184" t="s">
        <v>70</v>
      </c>
      <c r="AG12" s="192"/>
      <c r="AH12" s="148"/>
      <c r="AL12" s="88"/>
      <c r="AP12" s="185" t="s">
        <v>67</v>
      </c>
      <c r="AR12" s="192" t="s">
        <v>124</v>
      </c>
      <c r="AV12" s="185" t="s">
        <v>72</v>
      </c>
      <c r="AX12" s="193">
        <v>180</v>
      </c>
      <c r="AY12" s="194">
        <v>18</v>
      </c>
      <c r="AZ12" s="194">
        <v>181</v>
      </c>
      <c r="BA12" s="195">
        <v>16</v>
      </c>
    </row>
    <row r="13" spans="1:53" x14ac:dyDescent="0.15">
      <c r="A13" s="169" t="s">
        <v>59</v>
      </c>
      <c r="B13" s="198" t="s">
        <v>372</v>
      </c>
      <c r="C13" s="139">
        <v>2018</v>
      </c>
      <c r="D13" s="140" t="s">
        <v>432</v>
      </c>
      <c r="E13" s="169" t="s">
        <v>299</v>
      </c>
      <c r="F13" s="169" t="s">
        <v>291</v>
      </c>
      <c r="G13" s="169" t="s">
        <v>36</v>
      </c>
      <c r="H13" s="169" t="s">
        <v>157</v>
      </c>
      <c r="I13" s="169" t="s">
        <v>155</v>
      </c>
      <c r="J13" s="169" t="s">
        <v>38</v>
      </c>
      <c r="K13" s="169" t="s">
        <v>156</v>
      </c>
      <c r="L13" s="169">
        <v>3</v>
      </c>
      <c r="N13" s="169">
        <v>2</v>
      </c>
      <c r="O13" s="169">
        <v>0.55000000000000004</v>
      </c>
      <c r="P13" s="169">
        <v>0.5</v>
      </c>
      <c r="Q13" s="206">
        <f t="shared" si="2"/>
        <v>0.52500000000000002</v>
      </c>
      <c r="R13" s="169">
        <v>15</v>
      </c>
      <c r="S13" s="169">
        <v>160</v>
      </c>
      <c r="T13" s="178">
        <f t="shared" si="0"/>
        <v>18</v>
      </c>
      <c r="U13" s="169">
        <v>277</v>
      </c>
      <c r="V13" s="178">
        <f t="shared" si="1"/>
        <v>16</v>
      </c>
      <c r="W13" s="169">
        <v>6</v>
      </c>
      <c r="X13" s="169" t="s">
        <v>39</v>
      </c>
      <c r="Y13" s="169" t="s">
        <v>69</v>
      </c>
      <c r="Z13" s="169" t="s">
        <v>90</v>
      </c>
      <c r="AA13" s="169" t="s">
        <v>86</v>
      </c>
      <c r="AB13" s="198" t="s">
        <v>406</v>
      </c>
      <c r="AE13" s="184" t="s">
        <v>73</v>
      </c>
      <c r="AG13" s="185"/>
      <c r="AH13" s="185"/>
      <c r="AP13" s="185" t="s">
        <v>71</v>
      </c>
      <c r="AR13" s="192" t="s">
        <v>103</v>
      </c>
      <c r="AV13" s="185" t="s">
        <v>75</v>
      </c>
    </row>
    <row r="14" spans="1:53" x14ac:dyDescent="0.15">
      <c r="A14" s="169" t="s">
        <v>59</v>
      </c>
      <c r="B14" s="198" t="s">
        <v>374</v>
      </c>
      <c r="C14" s="139">
        <v>2018</v>
      </c>
      <c r="D14" s="140" t="s">
        <v>433</v>
      </c>
      <c r="E14" s="169" t="s">
        <v>253</v>
      </c>
      <c r="F14" s="169" t="s">
        <v>294</v>
      </c>
      <c r="G14" s="169" t="s">
        <v>36</v>
      </c>
      <c r="H14" s="169" t="s">
        <v>167</v>
      </c>
      <c r="I14" s="169" t="s">
        <v>155</v>
      </c>
      <c r="J14" s="169" t="s">
        <v>38</v>
      </c>
      <c r="K14" s="169" t="s">
        <v>156</v>
      </c>
      <c r="L14" s="169">
        <v>1</v>
      </c>
      <c r="N14" s="169">
        <v>3</v>
      </c>
      <c r="O14" s="169">
        <v>0.7</v>
      </c>
      <c r="P14" s="169">
        <v>0.65</v>
      </c>
      <c r="Q14" s="206">
        <f t="shared" si="2"/>
        <v>0.67500000000000004</v>
      </c>
      <c r="R14" s="169">
        <v>14.4</v>
      </c>
      <c r="S14" s="169">
        <v>137</v>
      </c>
      <c r="T14" s="178">
        <f t="shared" si="0"/>
        <v>25</v>
      </c>
      <c r="U14" s="169">
        <v>399</v>
      </c>
      <c r="V14" s="178">
        <f t="shared" si="1"/>
        <v>16</v>
      </c>
      <c r="W14" s="169">
        <v>6</v>
      </c>
      <c r="X14" s="169" t="s">
        <v>46</v>
      </c>
      <c r="Y14" s="169" t="s">
        <v>90</v>
      </c>
      <c r="Z14" s="169" t="s">
        <v>69</v>
      </c>
      <c r="AA14" s="169" t="s">
        <v>47</v>
      </c>
      <c r="AB14" s="198" t="s">
        <v>434</v>
      </c>
      <c r="AE14" s="184" t="s">
        <v>76</v>
      </c>
      <c r="AG14" s="185"/>
      <c r="AH14" s="185"/>
      <c r="AP14" s="185" t="s">
        <v>258</v>
      </c>
      <c r="AR14" s="192" t="s">
        <v>125</v>
      </c>
      <c r="AV14" s="185" t="s">
        <v>78</v>
      </c>
    </row>
    <row r="15" spans="1:53" x14ac:dyDescent="0.15">
      <c r="A15" s="169" t="s">
        <v>59</v>
      </c>
      <c r="B15" s="198" t="s">
        <v>374</v>
      </c>
      <c r="C15" s="139">
        <v>2018</v>
      </c>
      <c r="D15" s="140" t="s">
        <v>433</v>
      </c>
      <c r="E15" s="169" t="s">
        <v>253</v>
      </c>
      <c r="F15" s="169" t="s">
        <v>294</v>
      </c>
      <c r="G15" s="169" t="s">
        <v>36</v>
      </c>
      <c r="H15" s="169" t="s">
        <v>167</v>
      </c>
      <c r="I15" s="169" t="s">
        <v>155</v>
      </c>
      <c r="J15" s="169" t="s">
        <v>38</v>
      </c>
      <c r="K15" s="169" t="s">
        <v>156</v>
      </c>
      <c r="L15" s="169">
        <v>2</v>
      </c>
      <c r="N15" s="169">
        <v>3</v>
      </c>
      <c r="O15" s="169">
        <v>0.5</v>
      </c>
      <c r="P15" s="169">
        <v>0.55000000000000004</v>
      </c>
      <c r="Q15" s="206">
        <f t="shared" si="2"/>
        <v>0.52500000000000002</v>
      </c>
      <c r="R15" s="169">
        <v>16.100000000000001</v>
      </c>
      <c r="S15" s="169">
        <v>140</v>
      </c>
      <c r="T15" s="178">
        <f t="shared" si="0"/>
        <v>22</v>
      </c>
      <c r="U15" s="169">
        <v>399</v>
      </c>
      <c r="V15" s="178">
        <f t="shared" si="1"/>
        <v>16</v>
      </c>
      <c r="W15" s="169">
        <v>6</v>
      </c>
      <c r="X15" s="169" t="s">
        <v>46</v>
      </c>
      <c r="Y15" s="169" t="s">
        <v>90</v>
      </c>
      <c r="Z15" s="169" t="s">
        <v>69</v>
      </c>
      <c r="AA15" s="169" t="s">
        <v>47</v>
      </c>
      <c r="AB15" s="198" t="s">
        <v>434</v>
      </c>
      <c r="AE15" s="184" t="s">
        <v>79</v>
      </c>
      <c r="AG15" s="185"/>
      <c r="AH15" s="185"/>
      <c r="AP15" s="185" t="s">
        <v>259</v>
      </c>
      <c r="AR15" s="192" t="s">
        <v>94</v>
      </c>
      <c r="AV15" s="185" t="s">
        <v>107</v>
      </c>
    </row>
    <row r="16" spans="1:53" x14ac:dyDescent="0.15">
      <c r="A16" s="169" t="s">
        <v>59</v>
      </c>
      <c r="B16" s="198" t="s">
        <v>376</v>
      </c>
      <c r="C16" s="139">
        <v>2018</v>
      </c>
      <c r="D16" s="140" t="s">
        <v>435</v>
      </c>
      <c r="E16" s="169" t="s">
        <v>253</v>
      </c>
      <c r="F16" s="169" t="s">
        <v>294</v>
      </c>
      <c r="G16" s="169" t="s">
        <v>36</v>
      </c>
      <c r="H16" s="169" t="s">
        <v>167</v>
      </c>
      <c r="I16" s="169" t="s">
        <v>155</v>
      </c>
      <c r="J16" s="169" t="s">
        <v>38</v>
      </c>
      <c r="K16" s="169" t="s">
        <v>156</v>
      </c>
      <c r="L16" s="169">
        <v>3</v>
      </c>
      <c r="N16" s="169">
        <v>3</v>
      </c>
      <c r="O16" s="169">
        <v>0.55000000000000004</v>
      </c>
      <c r="P16" s="169">
        <v>0.5</v>
      </c>
      <c r="Q16" s="206">
        <f t="shared" si="2"/>
        <v>0.52500000000000002</v>
      </c>
      <c r="R16" s="169">
        <v>16.3</v>
      </c>
      <c r="S16" s="169">
        <v>136</v>
      </c>
      <c r="T16" s="178">
        <f t="shared" si="0"/>
        <v>25</v>
      </c>
      <c r="U16" s="169">
        <v>399</v>
      </c>
      <c r="V16" s="178">
        <f t="shared" si="1"/>
        <v>16</v>
      </c>
      <c r="W16" s="169">
        <v>6</v>
      </c>
      <c r="X16" s="169" t="s">
        <v>46</v>
      </c>
      <c r="Y16" s="169" t="s">
        <v>90</v>
      </c>
      <c r="Z16" s="169" t="s">
        <v>69</v>
      </c>
      <c r="AA16" s="169" t="s">
        <v>47</v>
      </c>
      <c r="AB16" s="198" t="s">
        <v>436</v>
      </c>
      <c r="AE16" s="184" t="s">
        <v>82</v>
      </c>
      <c r="AG16" s="190"/>
      <c r="AH16" s="190"/>
      <c r="AP16" s="185" t="s">
        <v>80</v>
      </c>
      <c r="AR16" s="199" t="s">
        <v>63</v>
      </c>
      <c r="AV16" s="185" t="s">
        <v>84</v>
      </c>
    </row>
    <row r="17" spans="1:48" x14ac:dyDescent="0.15">
      <c r="A17" s="169" t="s">
        <v>59</v>
      </c>
      <c r="B17" s="198" t="s">
        <v>376</v>
      </c>
      <c r="C17" s="139">
        <v>2018</v>
      </c>
      <c r="D17" s="140" t="s">
        <v>435</v>
      </c>
      <c r="E17" s="169" t="s">
        <v>253</v>
      </c>
      <c r="F17" s="169" t="s">
        <v>294</v>
      </c>
      <c r="G17" s="169" t="s">
        <v>36</v>
      </c>
      <c r="H17" s="169" t="s">
        <v>157</v>
      </c>
      <c r="I17" s="169" t="s">
        <v>155</v>
      </c>
      <c r="J17" s="169" t="s">
        <v>38</v>
      </c>
      <c r="K17" s="169" t="s">
        <v>156</v>
      </c>
      <c r="L17" s="169">
        <v>1</v>
      </c>
      <c r="N17" s="169">
        <v>2</v>
      </c>
      <c r="O17" s="169">
        <v>0.65</v>
      </c>
      <c r="P17" s="169">
        <v>0.75</v>
      </c>
      <c r="Q17" s="206">
        <f t="shared" si="2"/>
        <v>0.7</v>
      </c>
      <c r="R17" s="169">
        <v>15.6</v>
      </c>
      <c r="S17" s="169">
        <v>153</v>
      </c>
      <c r="T17" s="178">
        <f t="shared" si="0"/>
        <v>18</v>
      </c>
      <c r="U17" s="169">
        <v>350</v>
      </c>
      <c r="V17" s="178">
        <f t="shared" si="1"/>
        <v>16</v>
      </c>
      <c r="W17" s="169">
        <v>6</v>
      </c>
      <c r="X17" s="169" t="s">
        <v>46</v>
      </c>
      <c r="Y17" s="169" t="s">
        <v>90</v>
      </c>
      <c r="Z17" s="169" t="s">
        <v>69</v>
      </c>
      <c r="AA17" s="169" t="s">
        <v>47</v>
      </c>
      <c r="AB17" s="198" t="s">
        <v>436</v>
      </c>
      <c r="AE17" s="184" t="s">
        <v>85</v>
      </c>
      <c r="AP17" s="200" t="s">
        <v>110</v>
      </c>
      <c r="AR17" s="199" t="s">
        <v>96</v>
      </c>
      <c r="AV17" s="185" t="s">
        <v>86</v>
      </c>
    </row>
    <row r="18" spans="1:48" x14ac:dyDescent="0.15">
      <c r="A18" s="169" t="s">
        <v>59</v>
      </c>
      <c r="B18" s="198" t="s">
        <v>376</v>
      </c>
      <c r="C18" s="139">
        <v>2018</v>
      </c>
      <c r="D18" s="140" t="s">
        <v>435</v>
      </c>
      <c r="E18" s="169" t="s">
        <v>253</v>
      </c>
      <c r="F18" s="169" t="s">
        <v>294</v>
      </c>
      <c r="G18" s="169" t="s">
        <v>36</v>
      </c>
      <c r="H18" s="169" t="s">
        <v>157</v>
      </c>
      <c r="I18" s="169" t="s">
        <v>155</v>
      </c>
      <c r="J18" s="169" t="s">
        <v>38</v>
      </c>
      <c r="K18" s="169" t="s">
        <v>156</v>
      </c>
      <c r="L18" s="169">
        <v>2</v>
      </c>
      <c r="N18" s="169">
        <v>2</v>
      </c>
      <c r="O18" s="169">
        <v>0.8</v>
      </c>
      <c r="P18" s="169">
        <v>0.9</v>
      </c>
      <c r="Q18" s="206">
        <f t="shared" si="2"/>
        <v>0.85000000000000009</v>
      </c>
      <c r="R18" s="169">
        <v>14.5</v>
      </c>
      <c r="S18" s="169">
        <v>156</v>
      </c>
      <c r="T18" s="178">
        <f t="shared" si="0"/>
        <v>18</v>
      </c>
      <c r="U18" s="169">
        <v>350</v>
      </c>
      <c r="V18" s="178">
        <f t="shared" si="1"/>
        <v>16</v>
      </c>
      <c r="W18" s="169">
        <v>6</v>
      </c>
      <c r="X18" s="169" t="s">
        <v>46</v>
      </c>
      <c r="Y18" s="169" t="s">
        <v>90</v>
      </c>
      <c r="Z18" s="169" t="s">
        <v>69</v>
      </c>
      <c r="AA18" s="169" t="s">
        <v>47</v>
      </c>
      <c r="AB18" s="198" t="s">
        <v>436</v>
      </c>
      <c r="AE18" s="184" t="s">
        <v>87</v>
      </c>
      <c r="AP18" s="200" t="s">
        <v>261</v>
      </c>
      <c r="AR18" s="199" t="s">
        <v>101</v>
      </c>
      <c r="AV18" s="185" t="s">
        <v>88</v>
      </c>
    </row>
    <row r="19" spans="1:48" x14ac:dyDescent="0.15">
      <c r="A19" s="169" t="s">
        <v>59</v>
      </c>
      <c r="B19" s="198" t="s">
        <v>368</v>
      </c>
      <c r="C19" s="139">
        <v>2018</v>
      </c>
      <c r="D19" s="140" t="s">
        <v>421</v>
      </c>
      <c r="E19" s="169" t="s">
        <v>253</v>
      </c>
      <c r="F19" s="169" t="s">
        <v>294</v>
      </c>
      <c r="G19" s="169" t="s">
        <v>36</v>
      </c>
      <c r="H19" s="169" t="s">
        <v>157</v>
      </c>
      <c r="I19" s="169" t="s">
        <v>155</v>
      </c>
      <c r="J19" s="169" t="s">
        <v>38</v>
      </c>
      <c r="K19" s="169" t="s">
        <v>156</v>
      </c>
      <c r="L19" s="169">
        <v>3</v>
      </c>
      <c r="N19" s="169">
        <v>2</v>
      </c>
      <c r="O19" s="169">
        <v>0.75</v>
      </c>
      <c r="P19" s="169">
        <v>0.7</v>
      </c>
      <c r="Q19" s="206">
        <f t="shared" si="2"/>
        <v>0.72499999999999998</v>
      </c>
      <c r="R19" s="169">
        <v>14.1</v>
      </c>
      <c r="S19" s="169">
        <v>152</v>
      </c>
      <c r="T19" s="178">
        <f t="shared" si="0"/>
        <v>18</v>
      </c>
      <c r="U19" s="169">
        <v>350</v>
      </c>
      <c r="V19" s="178">
        <f t="shared" si="1"/>
        <v>16</v>
      </c>
      <c r="W19" s="169">
        <v>6</v>
      </c>
      <c r="X19" s="169" t="s">
        <v>46</v>
      </c>
      <c r="Y19" s="169" t="s">
        <v>90</v>
      </c>
      <c r="Z19" s="169" t="s">
        <v>69</v>
      </c>
      <c r="AA19" s="169" t="s">
        <v>47</v>
      </c>
      <c r="AB19" s="198" t="s">
        <v>423</v>
      </c>
      <c r="AD19" s="198"/>
      <c r="AE19" s="197" t="s">
        <v>89</v>
      </c>
      <c r="AP19" s="200" t="s">
        <v>112</v>
      </c>
      <c r="AR19" s="192" t="s">
        <v>126</v>
      </c>
      <c r="AV19" s="185" t="s">
        <v>262</v>
      </c>
    </row>
    <row r="20" spans="1:48" x14ac:dyDescent="0.15">
      <c r="A20" s="169" t="s">
        <v>59</v>
      </c>
      <c r="B20" s="198" t="s">
        <v>437</v>
      </c>
      <c r="C20" s="139">
        <v>2018</v>
      </c>
      <c r="D20" s="140" t="s">
        <v>438</v>
      </c>
      <c r="E20" s="169" t="s">
        <v>306</v>
      </c>
      <c r="F20" s="169" t="s">
        <v>294</v>
      </c>
      <c r="G20" s="169" t="s">
        <v>36</v>
      </c>
      <c r="H20" s="169" t="s">
        <v>167</v>
      </c>
      <c r="I20" s="169" t="s">
        <v>155</v>
      </c>
      <c r="J20" s="169" t="s">
        <v>38</v>
      </c>
      <c r="K20" s="169" t="s">
        <v>156</v>
      </c>
      <c r="L20" s="169">
        <v>1</v>
      </c>
      <c r="N20" s="169">
        <v>2</v>
      </c>
      <c r="O20" s="169">
        <v>0.55000000000000004</v>
      </c>
      <c r="P20" s="169">
        <v>0.5</v>
      </c>
      <c r="Q20" s="206">
        <f t="shared" si="2"/>
        <v>0.52500000000000002</v>
      </c>
      <c r="R20" s="169">
        <v>16.600000000000001</v>
      </c>
      <c r="S20" s="169">
        <v>150</v>
      </c>
      <c r="T20" s="178">
        <f t="shared" si="0"/>
        <v>22</v>
      </c>
      <c r="U20" s="169">
        <v>410</v>
      </c>
      <c r="V20" s="178">
        <f t="shared" si="1"/>
        <v>16</v>
      </c>
      <c r="W20" s="169">
        <v>3</v>
      </c>
      <c r="X20" s="169" t="s">
        <v>46</v>
      </c>
      <c r="Y20" s="169" t="s">
        <v>69</v>
      </c>
      <c r="Z20" s="169" t="s">
        <v>90</v>
      </c>
      <c r="AA20" s="169" t="s">
        <v>86</v>
      </c>
      <c r="AB20" s="198" t="s">
        <v>439</v>
      </c>
      <c r="AD20" s="198"/>
      <c r="AE20" s="197"/>
      <c r="AP20" s="200" t="s">
        <v>113</v>
      </c>
      <c r="AR20" s="199" t="s">
        <v>105</v>
      </c>
      <c r="AV20" s="189" t="s">
        <v>440</v>
      </c>
    </row>
    <row r="21" spans="1:48" x14ac:dyDescent="0.15">
      <c r="A21" s="169" t="s">
        <v>59</v>
      </c>
      <c r="B21" s="198" t="s">
        <v>437</v>
      </c>
      <c r="C21" s="139">
        <v>2018</v>
      </c>
      <c r="D21" s="140" t="s">
        <v>438</v>
      </c>
      <c r="E21" s="169" t="s">
        <v>306</v>
      </c>
      <c r="F21" s="169" t="s">
        <v>294</v>
      </c>
      <c r="G21" s="169" t="s">
        <v>36</v>
      </c>
      <c r="H21" s="169" t="s">
        <v>167</v>
      </c>
      <c r="I21" s="169" t="s">
        <v>155</v>
      </c>
      <c r="J21" s="169" t="s">
        <v>38</v>
      </c>
      <c r="K21" s="169" t="s">
        <v>156</v>
      </c>
      <c r="L21" s="169">
        <v>2</v>
      </c>
      <c r="N21" s="169">
        <v>2</v>
      </c>
      <c r="O21" s="169">
        <v>0.65</v>
      </c>
      <c r="P21" s="169">
        <v>0.65</v>
      </c>
      <c r="Q21" s="206">
        <f t="shared" si="2"/>
        <v>0.65</v>
      </c>
      <c r="R21" s="169">
        <v>14.5</v>
      </c>
      <c r="S21" s="169">
        <v>155</v>
      </c>
      <c r="T21" s="178">
        <f t="shared" si="0"/>
        <v>18</v>
      </c>
      <c r="U21" s="169">
        <v>410</v>
      </c>
      <c r="V21" s="178">
        <f t="shared" si="1"/>
        <v>16</v>
      </c>
      <c r="W21" s="169">
        <v>3</v>
      </c>
      <c r="X21" s="169" t="s">
        <v>46</v>
      </c>
      <c r="Y21" s="169" t="s">
        <v>69</v>
      </c>
      <c r="Z21" s="169" t="s">
        <v>90</v>
      </c>
      <c r="AA21" s="169" t="s">
        <v>86</v>
      </c>
      <c r="AB21" s="198" t="s">
        <v>439</v>
      </c>
      <c r="AD21" s="198"/>
      <c r="AE21" s="190"/>
      <c r="AP21" s="200" t="s">
        <v>263</v>
      </c>
      <c r="AR21" s="199" t="s">
        <v>68</v>
      </c>
      <c r="AV21" s="189" t="s">
        <v>441</v>
      </c>
    </row>
    <row r="22" spans="1:48" x14ac:dyDescent="0.15">
      <c r="A22" s="169" t="s">
        <v>59</v>
      </c>
      <c r="B22" s="198" t="s">
        <v>437</v>
      </c>
      <c r="C22" s="139">
        <v>2018</v>
      </c>
      <c r="D22" s="140" t="s">
        <v>438</v>
      </c>
      <c r="E22" s="169" t="s">
        <v>306</v>
      </c>
      <c r="F22" s="169" t="s">
        <v>294</v>
      </c>
      <c r="G22" s="169" t="s">
        <v>36</v>
      </c>
      <c r="H22" s="169" t="s">
        <v>167</v>
      </c>
      <c r="I22" s="169" t="s">
        <v>155</v>
      </c>
      <c r="J22" s="169" t="s">
        <v>38</v>
      </c>
      <c r="K22" s="169" t="s">
        <v>156</v>
      </c>
      <c r="L22" s="169">
        <v>3</v>
      </c>
      <c r="N22" s="169">
        <v>2</v>
      </c>
      <c r="O22" s="169">
        <v>0.6</v>
      </c>
      <c r="P22" s="169">
        <v>0.65</v>
      </c>
      <c r="Q22" s="206">
        <f t="shared" si="2"/>
        <v>0.625</v>
      </c>
      <c r="R22" s="169">
        <v>16</v>
      </c>
      <c r="S22" s="169">
        <v>160</v>
      </c>
      <c r="T22" s="178">
        <f t="shared" si="0"/>
        <v>18</v>
      </c>
      <c r="U22" s="169">
        <v>410</v>
      </c>
      <c r="V22" s="178">
        <f t="shared" si="1"/>
        <v>16</v>
      </c>
      <c r="W22" s="169">
        <v>3</v>
      </c>
      <c r="X22" s="169" t="s">
        <v>46</v>
      </c>
      <c r="Y22" s="169" t="s">
        <v>69</v>
      </c>
      <c r="Z22" s="169" t="s">
        <v>90</v>
      </c>
      <c r="AA22" s="169" t="s">
        <v>86</v>
      </c>
      <c r="AB22" s="198" t="s">
        <v>439</v>
      </c>
      <c r="AD22" s="198"/>
      <c r="AP22" s="200" t="s">
        <v>260</v>
      </c>
      <c r="AR22" s="199" t="s">
        <v>83</v>
      </c>
      <c r="AV22" s="189" t="s">
        <v>264</v>
      </c>
    </row>
    <row r="23" spans="1:48" x14ac:dyDescent="0.15">
      <c r="A23" s="169" t="s">
        <v>59</v>
      </c>
      <c r="B23" s="198" t="s">
        <v>437</v>
      </c>
      <c r="C23" s="139">
        <v>2018</v>
      </c>
      <c r="D23" s="140" t="s">
        <v>438</v>
      </c>
      <c r="E23" s="169" t="s">
        <v>306</v>
      </c>
      <c r="F23" s="169" t="s">
        <v>294</v>
      </c>
      <c r="G23" s="169" t="s">
        <v>36</v>
      </c>
      <c r="H23" s="169" t="s">
        <v>157</v>
      </c>
      <c r="I23" s="169" t="s">
        <v>155</v>
      </c>
      <c r="J23" s="169" t="s">
        <v>38</v>
      </c>
      <c r="K23" s="169" t="s">
        <v>156</v>
      </c>
      <c r="L23" s="169">
        <v>1</v>
      </c>
      <c r="N23" s="169">
        <v>1</v>
      </c>
      <c r="O23" s="169">
        <v>0.55000000000000004</v>
      </c>
      <c r="P23" s="169">
        <v>0.5</v>
      </c>
      <c r="Q23" s="206">
        <f t="shared" si="2"/>
        <v>0.52500000000000002</v>
      </c>
      <c r="R23" s="169">
        <v>14.4</v>
      </c>
      <c r="S23" s="169">
        <v>135</v>
      </c>
      <c r="T23" s="178">
        <f t="shared" si="0"/>
        <v>25</v>
      </c>
      <c r="U23" s="169">
        <v>162</v>
      </c>
      <c r="V23" s="178">
        <f t="shared" si="1"/>
        <v>18</v>
      </c>
      <c r="W23" s="169">
        <v>1</v>
      </c>
      <c r="X23" s="169" t="s">
        <v>46</v>
      </c>
      <c r="Y23" s="169" t="s">
        <v>69</v>
      </c>
      <c r="Z23" s="169" t="s">
        <v>90</v>
      </c>
      <c r="AA23" s="169" t="s">
        <v>86</v>
      </c>
      <c r="AB23" s="198" t="s">
        <v>439</v>
      </c>
      <c r="AP23" s="200" t="s">
        <v>442</v>
      </c>
      <c r="AR23" s="199" t="s">
        <v>61</v>
      </c>
      <c r="AV23" s="189" t="s">
        <v>443</v>
      </c>
    </row>
    <row r="24" spans="1:48" x14ac:dyDescent="0.15">
      <c r="A24" s="169" t="s">
        <v>59</v>
      </c>
      <c r="B24" s="198" t="s">
        <v>437</v>
      </c>
      <c r="C24" s="139">
        <v>2018</v>
      </c>
      <c r="D24" s="140" t="s">
        <v>438</v>
      </c>
      <c r="E24" s="169" t="s">
        <v>306</v>
      </c>
      <c r="F24" s="169" t="s">
        <v>294</v>
      </c>
      <c r="G24" s="169" t="s">
        <v>36</v>
      </c>
      <c r="H24" s="169" t="s">
        <v>157</v>
      </c>
      <c r="I24" s="169" t="s">
        <v>155</v>
      </c>
      <c r="J24" s="169" t="s">
        <v>38</v>
      </c>
      <c r="K24" s="169" t="s">
        <v>156</v>
      </c>
      <c r="L24" s="169">
        <v>2</v>
      </c>
      <c r="N24" s="169">
        <v>1</v>
      </c>
      <c r="O24" s="169">
        <v>0.55000000000000004</v>
      </c>
      <c r="P24" s="169">
        <v>0.5</v>
      </c>
      <c r="Q24" s="206">
        <f t="shared" si="2"/>
        <v>0.52500000000000002</v>
      </c>
      <c r="R24" s="169">
        <v>14.7</v>
      </c>
      <c r="S24" s="169">
        <v>129</v>
      </c>
      <c r="T24" s="178">
        <f t="shared" si="0"/>
        <v>25</v>
      </c>
      <c r="U24" s="169">
        <v>162</v>
      </c>
      <c r="V24" s="178">
        <f t="shared" si="1"/>
        <v>18</v>
      </c>
      <c r="W24" s="169">
        <v>1</v>
      </c>
      <c r="X24" s="169" t="s">
        <v>46</v>
      </c>
      <c r="Y24" s="169" t="s">
        <v>69</v>
      </c>
      <c r="Z24" s="169" t="s">
        <v>90</v>
      </c>
      <c r="AA24" s="169" t="s">
        <v>86</v>
      </c>
      <c r="AB24" s="198" t="s">
        <v>439</v>
      </c>
      <c r="AP24" s="200" t="s">
        <v>444</v>
      </c>
      <c r="AR24" s="199" t="s">
        <v>91</v>
      </c>
      <c r="AV24" s="189" t="s">
        <v>445</v>
      </c>
    </row>
    <row r="25" spans="1:48" x14ac:dyDescent="0.15">
      <c r="A25" s="169" t="s">
        <v>59</v>
      </c>
      <c r="B25" s="198" t="s">
        <v>437</v>
      </c>
      <c r="C25" s="139">
        <v>2018</v>
      </c>
      <c r="D25" s="140" t="s">
        <v>438</v>
      </c>
      <c r="E25" s="169" t="s">
        <v>306</v>
      </c>
      <c r="F25" s="169" t="s">
        <v>294</v>
      </c>
      <c r="G25" s="169" t="s">
        <v>36</v>
      </c>
      <c r="H25" s="169" t="s">
        <v>157</v>
      </c>
      <c r="I25" s="169" t="s">
        <v>155</v>
      </c>
      <c r="J25" s="169" t="s">
        <v>38</v>
      </c>
      <c r="K25" s="169" t="s">
        <v>156</v>
      </c>
      <c r="L25" s="169">
        <v>3</v>
      </c>
      <c r="N25" s="169">
        <v>1</v>
      </c>
      <c r="O25" s="169">
        <v>0.55000000000000004</v>
      </c>
      <c r="P25" s="169">
        <v>0.55000000000000004</v>
      </c>
      <c r="Q25" s="206">
        <f t="shared" si="2"/>
        <v>0.55000000000000004</v>
      </c>
      <c r="R25" s="169">
        <v>14.2</v>
      </c>
      <c r="S25" s="169">
        <v>135</v>
      </c>
      <c r="T25" s="178">
        <f t="shared" si="0"/>
        <v>25</v>
      </c>
      <c r="U25" s="169">
        <v>162</v>
      </c>
      <c r="V25" s="178">
        <f t="shared" si="1"/>
        <v>18</v>
      </c>
      <c r="W25" s="169">
        <v>1</v>
      </c>
      <c r="X25" s="169" t="s">
        <v>46</v>
      </c>
      <c r="Y25" s="169" t="s">
        <v>69</v>
      </c>
      <c r="Z25" s="169" t="s">
        <v>90</v>
      </c>
      <c r="AA25" s="169" t="s">
        <v>86</v>
      </c>
      <c r="AB25" s="198" t="s">
        <v>439</v>
      </c>
      <c r="AD25" s="198"/>
      <c r="AP25" s="200" t="s">
        <v>116</v>
      </c>
      <c r="AR25" s="42" t="s">
        <v>92</v>
      </c>
      <c r="AV25" s="189" t="s">
        <v>446</v>
      </c>
    </row>
    <row r="26" spans="1:48" x14ac:dyDescent="0.15">
      <c r="A26" s="169" t="s">
        <v>59</v>
      </c>
      <c r="B26" s="198" t="s">
        <v>437</v>
      </c>
      <c r="C26" s="139">
        <v>2018</v>
      </c>
      <c r="D26" s="140" t="s">
        <v>438</v>
      </c>
      <c r="E26" s="169" t="s">
        <v>306</v>
      </c>
      <c r="F26" s="169" t="s">
        <v>294</v>
      </c>
      <c r="G26" s="169" t="s">
        <v>36</v>
      </c>
      <c r="H26" s="169" t="s">
        <v>221</v>
      </c>
      <c r="I26" s="169" t="s">
        <v>155</v>
      </c>
      <c r="J26" s="169" t="s">
        <v>38</v>
      </c>
      <c r="K26" s="169" t="s">
        <v>156</v>
      </c>
      <c r="L26" s="169">
        <v>1</v>
      </c>
      <c r="N26" s="169">
        <v>5</v>
      </c>
      <c r="O26" s="169">
        <v>0.5</v>
      </c>
      <c r="P26" s="169">
        <v>0.6</v>
      </c>
      <c r="Q26" s="206">
        <f t="shared" si="2"/>
        <v>0.55000000000000004</v>
      </c>
      <c r="R26" s="169">
        <v>19.100000000000001</v>
      </c>
      <c r="S26" s="169">
        <v>83</v>
      </c>
      <c r="T26" s="178">
        <f t="shared" si="0"/>
        <v>39</v>
      </c>
      <c r="U26" s="169">
        <v>324</v>
      </c>
      <c r="V26" s="178">
        <f t="shared" si="1"/>
        <v>16</v>
      </c>
      <c r="W26" s="169">
        <v>4</v>
      </c>
      <c r="X26" s="169" t="s">
        <v>46</v>
      </c>
      <c r="Y26" s="169" t="s">
        <v>69</v>
      </c>
      <c r="Z26" s="169" t="s">
        <v>90</v>
      </c>
      <c r="AA26" s="169" t="s">
        <v>86</v>
      </c>
      <c r="AB26" s="198" t="s">
        <v>439</v>
      </c>
      <c r="AD26" s="198"/>
      <c r="AP26" s="200" t="s">
        <v>117</v>
      </c>
      <c r="AR26" s="189" t="s">
        <v>265</v>
      </c>
      <c r="AV26" s="189"/>
    </row>
    <row r="27" spans="1:48" x14ac:dyDescent="0.15">
      <c r="A27" s="169" t="s">
        <v>59</v>
      </c>
      <c r="B27" s="198" t="s">
        <v>437</v>
      </c>
      <c r="C27" s="139">
        <v>2018</v>
      </c>
      <c r="D27" s="140" t="s">
        <v>438</v>
      </c>
      <c r="E27" s="169" t="s">
        <v>306</v>
      </c>
      <c r="F27" s="169" t="s">
        <v>294</v>
      </c>
      <c r="G27" s="169" t="s">
        <v>36</v>
      </c>
      <c r="H27" s="169" t="s">
        <v>221</v>
      </c>
      <c r="I27" s="169" t="s">
        <v>155</v>
      </c>
      <c r="J27" s="169" t="s">
        <v>38</v>
      </c>
      <c r="K27" s="169" t="s">
        <v>156</v>
      </c>
      <c r="L27" s="169">
        <v>2</v>
      </c>
      <c r="N27" s="169">
        <v>5</v>
      </c>
      <c r="O27" s="169">
        <v>0.65</v>
      </c>
      <c r="P27" s="169">
        <v>0.65</v>
      </c>
      <c r="Q27" s="206">
        <f t="shared" si="2"/>
        <v>0.65</v>
      </c>
      <c r="R27" s="169">
        <v>16.899999999999999</v>
      </c>
      <c r="S27" s="169">
        <v>93</v>
      </c>
      <c r="T27" s="178">
        <f t="shared" si="0"/>
        <v>36</v>
      </c>
      <c r="U27" s="169">
        <v>324</v>
      </c>
      <c r="V27" s="178">
        <f t="shared" si="1"/>
        <v>16</v>
      </c>
      <c r="W27" s="169">
        <v>4</v>
      </c>
      <c r="X27" s="169" t="s">
        <v>46</v>
      </c>
      <c r="Y27" s="169" t="s">
        <v>69</v>
      </c>
      <c r="Z27" s="169" t="s">
        <v>90</v>
      </c>
      <c r="AA27" s="169" t="s">
        <v>86</v>
      </c>
      <c r="AB27" s="198" t="s">
        <v>439</v>
      </c>
      <c r="AD27" s="198"/>
      <c r="AP27" s="200" t="s">
        <v>118</v>
      </c>
      <c r="AR27" s="190" t="s">
        <v>278</v>
      </c>
      <c r="AV27" s="189"/>
    </row>
    <row r="28" spans="1:48" x14ac:dyDescent="0.15">
      <c r="A28" s="169" t="s">
        <v>59</v>
      </c>
      <c r="B28" s="198" t="s">
        <v>437</v>
      </c>
      <c r="C28" s="139">
        <v>2018</v>
      </c>
      <c r="D28" s="140" t="s">
        <v>438</v>
      </c>
      <c r="E28" s="169" t="s">
        <v>306</v>
      </c>
      <c r="F28" s="169" t="s">
        <v>294</v>
      </c>
      <c r="G28" s="169" t="s">
        <v>36</v>
      </c>
      <c r="H28" s="169" t="s">
        <v>221</v>
      </c>
      <c r="I28" s="169" t="s">
        <v>155</v>
      </c>
      <c r="J28" s="169" t="s">
        <v>38</v>
      </c>
      <c r="K28" s="169" t="s">
        <v>156</v>
      </c>
      <c r="L28" s="169">
        <v>3</v>
      </c>
      <c r="N28" s="169">
        <v>5</v>
      </c>
      <c r="O28" s="169">
        <v>0.6</v>
      </c>
      <c r="P28" s="169">
        <v>0.55000000000000004</v>
      </c>
      <c r="Q28" s="206">
        <f t="shared" si="2"/>
        <v>0.57499999999999996</v>
      </c>
      <c r="R28" s="169">
        <v>17.5</v>
      </c>
      <c r="S28" s="169">
        <v>88</v>
      </c>
      <c r="T28" s="178">
        <f t="shared" si="0"/>
        <v>36</v>
      </c>
      <c r="U28" s="169">
        <v>324</v>
      </c>
      <c r="V28" s="178">
        <f t="shared" si="1"/>
        <v>16</v>
      </c>
      <c r="W28" s="169">
        <v>4</v>
      </c>
      <c r="X28" s="169" t="s">
        <v>46</v>
      </c>
      <c r="Y28" s="169" t="s">
        <v>69</v>
      </c>
      <c r="Z28" s="169" t="s">
        <v>90</v>
      </c>
      <c r="AA28" s="169" t="s">
        <v>86</v>
      </c>
      <c r="AB28" s="198" t="s">
        <v>439</v>
      </c>
      <c r="AD28" s="198"/>
      <c r="AV28" s="189"/>
    </row>
    <row r="29" spans="1:48" x14ac:dyDescent="0.15">
      <c r="A29" s="169" t="s">
        <v>59</v>
      </c>
      <c r="B29" s="198" t="s">
        <v>437</v>
      </c>
      <c r="C29" s="139">
        <v>2018</v>
      </c>
      <c r="D29" s="140" t="s">
        <v>438</v>
      </c>
      <c r="E29" s="169" t="s">
        <v>305</v>
      </c>
      <c r="F29" s="169" t="s">
        <v>297</v>
      </c>
      <c r="G29" s="169" t="s">
        <v>36</v>
      </c>
      <c r="H29" s="169" t="s">
        <v>167</v>
      </c>
      <c r="I29" s="169" t="s">
        <v>155</v>
      </c>
      <c r="J29" s="169" t="s">
        <v>38</v>
      </c>
      <c r="K29" s="169" t="s">
        <v>156</v>
      </c>
      <c r="L29" s="169">
        <v>1</v>
      </c>
      <c r="N29" s="169">
        <v>2</v>
      </c>
      <c r="O29" s="169">
        <v>0.45</v>
      </c>
      <c r="P29" s="169">
        <v>0.45</v>
      </c>
      <c r="Q29" s="206">
        <f t="shared" si="2"/>
        <v>0.45</v>
      </c>
      <c r="R29" s="169">
        <v>16.100000000000001</v>
      </c>
      <c r="S29" s="169">
        <v>180</v>
      </c>
      <c r="T29" s="178">
        <f t="shared" si="0"/>
        <v>18</v>
      </c>
      <c r="U29" s="169">
        <v>380</v>
      </c>
      <c r="V29" s="178">
        <f t="shared" si="1"/>
        <v>16</v>
      </c>
      <c r="W29" s="169">
        <v>7</v>
      </c>
      <c r="X29" s="169" t="s">
        <v>46</v>
      </c>
      <c r="Y29" s="169" t="s">
        <v>55</v>
      </c>
      <c r="Z29" s="169" t="s">
        <v>86</v>
      </c>
      <c r="AA29" s="169" t="s">
        <v>90</v>
      </c>
      <c r="AB29" s="198" t="s">
        <v>439</v>
      </c>
      <c r="AV29" s="189"/>
    </row>
    <row r="30" spans="1:48" x14ac:dyDescent="0.15">
      <c r="A30" s="169" t="s">
        <v>59</v>
      </c>
      <c r="B30" s="198" t="s">
        <v>437</v>
      </c>
      <c r="C30" s="139">
        <v>2018</v>
      </c>
      <c r="D30" s="140" t="s">
        <v>438</v>
      </c>
      <c r="E30" s="169" t="s">
        <v>305</v>
      </c>
      <c r="F30" s="169" t="s">
        <v>297</v>
      </c>
      <c r="G30" s="169" t="s">
        <v>36</v>
      </c>
      <c r="H30" s="169" t="s">
        <v>167</v>
      </c>
      <c r="I30" s="169" t="s">
        <v>155</v>
      </c>
      <c r="J30" s="169" t="s">
        <v>38</v>
      </c>
      <c r="K30" s="169" t="s">
        <v>156</v>
      </c>
      <c r="L30" s="169">
        <v>2</v>
      </c>
      <c r="N30" s="169">
        <v>2</v>
      </c>
      <c r="O30" s="169">
        <v>0.5</v>
      </c>
      <c r="P30" s="169">
        <v>0.5</v>
      </c>
      <c r="Q30" s="206">
        <f t="shared" si="2"/>
        <v>0.5</v>
      </c>
      <c r="R30" s="169">
        <v>16.100000000000001</v>
      </c>
      <c r="S30" s="169">
        <v>198</v>
      </c>
      <c r="T30" s="178">
        <f t="shared" si="0"/>
        <v>16</v>
      </c>
      <c r="U30" s="169">
        <v>380</v>
      </c>
      <c r="V30" s="178">
        <f t="shared" si="1"/>
        <v>16</v>
      </c>
      <c r="W30" s="169">
        <v>7</v>
      </c>
      <c r="X30" s="169" t="s">
        <v>46</v>
      </c>
      <c r="Y30" s="169" t="s">
        <v>55</v>
      </c>
      <c r="Z30" s="169" t="s">
        <v>86</v>
      </c>
      <c r="AA30" s="169" t="s">
        <v>90</v>
      </c>
      <c r="AB30" s="198" t="s">
        <v>439</v>
      </c>
      <c r="AV30" s="189"/>
    </row>
    <row r="31" spans="1:48" x14ac:dyDescent="0.15">
      <c r="A31" s="169" t="s">
        <v>59</v>
      </c>
      <c r="B31" s="198" t="s">
        <v>437</v>
      </c>
      <c r="C31" s="139">
        <v>2018</v>
      </c>
      <c r="D31" s="140" t="s">
        <v>438</v>
      </c>
      <c r="E31" s="169" t="s">
        <v>305</v>
      </c>
      <c r="F31" s="169" t="s">
        <v>297</v>
      </c>
      <c r="G31" s="169" t="s">
        <v>36</v>
      </c>
      <c r="H31" s="169" t="s">
        <v>167</v>
      </c>
      <c r="I31" s="169" t="s">
        <v>155</v>
      </c>
      <c r="J31" s="169" t="s">
        <v>38</v>
      </c>
      <c r="K31" s="169" t="s">
        <v>156</v>
      </c>
      <c r="L31" s="169">
        <v>3</v>
      </c>
      <c r="N31" s="169">
        <v>2</v>
      </c>
      <c r="O31" s="169">
        <v>0.55000000000000004</v>
      </c>
      <c r="P31" s="169">
        <v>0.5</v>
      </c>
      <c r="Q31" s="206">
        <f t="shared" si="2"/>
        <v>0.52500000000000002</v>
      </c>
      <c r="R31" s="169">
        <v>15.9</v>
      </c>
      <c r="S31" s="169">
        <v>175</v>
      </c>
      <c r="T31" s="178">
        <f t="shared" si="0"/>
        <v>18</v>
      </c>
      <c r="U31" s="169">
        <v>380</v>
      </c>
      <c r="V31" s="178">
        <f t="shared" si="1"/>
        <v>16</v>
      </c>
      <c r="W31" s="169">
        <v>7</v>
      </c>
      <c r="X31" s="169" t="s">
        <v>46</v>
      </c>
      <c r="Y31" s="169" t="s">
        <v>55</v>
      </c>
      <c r="Z31" s="169" t="s">
        <v>86</v>
      </c>
      <c r="AA31" s="169" t="s">
        <v>90</v>
      </c>
      <c r="AB31" s="198" t="s">
        <v>439</v>
      </c>
      <c r="AV31" s="189"/>
    </row>
    <row r="32" spans="1:48" x14ac:dyDescent="0.15">
      <c r="A32" s="169" t="s">
        <v>59</v>
      </c>
      <c r="B32" s="198" t="s">
        <v>437</v>
      </c>
      <c r="C32" s="139">
        <v>2018</v>
      </c>
      <c r="D32" s="140" t="s">
        <v>438</v>
      </c>
      <c r="E32" s="169" t="s">
        <v>305</v>
      </c>
      <c r="F32" s="169" t="s">
        <v>297</v>
      </c>
      <c r="G32" s="169" t="s">
        <v>36</v>
      </c>
      <c r="H32" s="169" t="s">
        <v>157</v>
      </c>
      <c r="I32" s="169" t="s">
        <v>155</v>
      </c>
      <c r="J32" s="169" t="s">
        <v>38</v>
      </c>
      <c r="K32" s="169" t="s">
        <v>156</v>
      </c>
      <c r="L32" s="169">
        <v>1</v>
      </c>
      <c r="N32" s="169">
        <v>1</v>
      </c>
      <c r="O32" s="169">
        <v>0.55000000000000004</v>
      </c>
      <c r="P32" s="169">
        <v>0.75</v>
      </c>
      <c r="Q32" s="206">
        <f t="shared" si="2"/>
        <v>0.65</v>
      </c>
      <c r="R32" s="169">
        <v>14.6</v>
      </c>
      <c r="S32" s="169">
        <v>150</v>
      </c>
      <c r="T32" s="178">
        <f t="shared" si="0"/>
        <v>22</v>
      </c>
      <c r="U32" s="169">
        <v>128</v>
      </c>
      <c r="V32" s="178">
        <f t="shared" si="1"/>
        <v>27</v>
      </c>
      <c r="W32" s="169">
        <v>6</v>
      </c>
      <c r="X32" s="169" t="s">
        <v>46</v>
      </c>
      <c r="Y32" s="169" t="s">
        <v>55</v>
      </c>
      <c r="Z32" s="169" t="s">
        <v>86</v>
      </c>
      <c r="AA32" s="169" t="s">
        <v>90</v>
      </c>
      <c r="AB32" s="198" t="s">
        <v>439</v>
      </c>
      <c r="AV32" s="189"/>
    </row>
    <row r="33" spans="1:48" x14ac:dyDescent="0.15">
      <c r="A33" s="169" t="s">
        <v>59</v>
      </c>
      <c r="B33" s="198" t="s">
        <v>437</v>
      </c>
      <c r="C33" s="139">
        <v>2018</v>
      </c>
      <c r="D33" s="140" t="s">
        <v>438</v>
      </c>
      <c r="E33" s="169" t="s">
        <v>305</v>
      </c>
      <c r="F33" s="169" t="s">
        <v>297</v>
      </c>
      <c r="G33" s="169" t="s">
        <v>36</v>
      </c>
      <c r="H33" s="169" t="s">
        <v>157</v>
      </c>
      <c r="I33" s="169" t="s">
        <v>155</v>
      </c>
      <c r="J33" s="169" t="s">
        <v>38</v>
      </c>
      <c r="K33" s="169" t="s">
        <v>156</v>
      </c>
      <c r="L33" s="169">
        <v>2</v>
      </c>
      <c r="N33" s="169">
        <v>1</v>
      </c>
      <c r="O33" s="169">
        <v>0.55000000000000004</v>
      </c>
      <c r="P33" s="169">
        <v>0.65</v>
      </c>
      <c r="Q33" s="206">
        <f t="shared" si="2"/>
        <v>0.60000000000000009</v>
      </c>
      <c r="R33" s="169">
        <v>15.6</v>
      </c>
      <c r="S33" s="169">
        <v>129</v>
      </c>
      <c r="T33" s="178">
        <f t="shared" si="0"/>
        <v>25</v>
      </c>
      <c r="U33" s="169">
        <v>128</v>
      </c>
      <c r="V33" s="178">
        <f t="shared" si="1"/>
        <v>27</v>
      </c>
      <c r="W33" s="169">
        <v>6</v>
      </c>
      <c r="X33" s="169" t="s">
        <v>46</v>
      </c>
      <c r="Y33" s="169" t="s">
        <v>55</v>
      </c>
      <c r="Z33" s="169" t="s">
        <v>86</v>
      </c>
      <c r="AA33" s="169" t="s">
        <v>90</v>
      </c>
      <c r="AB33" s="198" t="s">
        <v>439</v>
      </c>
      <c r="AV33" s="189"/>
    </row>
    <row r="34" spans="1:48" x14ac:dyDescent="0.15">
      <c r="A34" s="169" t="s">
        <v>59</v>
      </c>
      <c r="B34" s="198" t="s">
        <v>437</v>
      </c>
      <c r="C34" s="139">
        <v>2018</v>
      </c>
      <c r="D34" s="140" t="s">
        <v>438</v>
      </c>
      <c r="E34" s="169" t="s">
        <v>305</v>
      </c>
      <c r="F34" s="169" t="s">
        <v>297</v>
      </c>
      <c r="G34" s="169" t="s">
        <v>36</v>
      </c>
      <c r="H34" s="169" t="s">
        <v>157</v>
      </c>
      <c r="I34" s="169" t="s">
        <v>155</v>
      </c>
      <c r="J34" s="169" t="s">
        <v>38</v>
      </c>
      <c r="K34" s="169" t="s">
        <v>156</v>
      </c>
      <c r="L34" s="169">
        <v>3</v>
      </c>
      <c r="N34" s="169">
        <v>1</v>
      </c>
      <c r="O34" s="169">
        <v>0.65</v>
      </c>
      <c r="P34" s="169">
        <v>0.7</v>
      </c>
      <c r="Q34" s="206">
        <f t="shared" si="2"/>
        <v>0.67500000000000004</v>
      </c>
      <c r="R34" s="169">
        <v>14.1</v>
      </c>
      <c r="S34" s="169">
        <v>126</v>
      </c>
      <c r="T34" s="178">
        <f t="shared" si="0"/>
        <v>27</v>
      </c>
      <c r="U34" s="169">
        <v>128</v>
      </c>
      <c r="V34" s="178">
        <f t="shared" si="1"/>
        <v>27</v>
      </c>
      <c r="W34" s="169">
        <v>6</v>
      </c>
      <c r="X34" s="169" t="s">
        <v>46</v>
      </c>
      <c r="Y34" s="169" t="s">
        <v>55</v>
      </c>
      <c r="Z34" s="169" t="s">
        <v>86</v>
      </c>
      <c r="AA34" s="169" t="s">
        <v>90</v>
      </c>
      <c r="AB34" s="198" t="s">
        <v>439</v>
      </c>
      <c r="AV34" s="189"/>
    </row>
    <row r="35" spans="1:48" x14ac:dyDescent="0.15">
      <c r="A35" s="169" t="s">
        <v>59</v>
      </c>
      <c r="B35" s="198" t="s">
        <v>437</v>
      </c>
      <c r="C35" s="139">
        <v>2018</v>
      </c>
      <c r="D35" s="140" t="s">
        <v>438</v>
      </c>
      <c r="E35" s="169" t="s">
        <v>304</v>
      </c>
      <c r="F35" s="169" t="s">
        <v>297</v>
      </c>
      <c r="G35" s="169" t="s">
        <v>36</v>
      </c>
      <c r="H35" s="169" t="s">
        <v>167</v>
      </c>
      <c r="I35" s="169" t="s">
        <v>155</v>
      </c>
      <c r="J35" s="169" t="s">
        <v>38</v>
      </c>
      <c r="K35" s="169" t="s">
        <v>156</v>
      </c>
      <c r="L35" s="169">
        <v>1</v>
      </c>
      <c r="N35" s="169">
        <v>4</v>
      </c>
      <c r="O35" s="169">
        <v>0.4</v>
      </c>
      <c r="P35" s="169">
        <v>0.4</v>
      </c>
      <c r="Q35" s="206">
        <f t="shared" si="2"/>
        <v>0.4</v>
      </c>
      <c r="R35" s="169">
        <v>16.899999999999999</v>
      </c>
      <c r="S35" s="169">
        <v>100</v>
      </c>
      <c r="T35" s="178">
        <f t="shared" si="0"/>
        <v>33</v>
      </c>
      <c r="U35" s="169">
        <v>537</v>
      </c>
      <c r="V35" s="178">
        <f t="shared" si="1"/>
        <v>16</v>
      </c>
      <c r="W35" s="169">
        <v>3</v>
      </c>
      <c r="X35" s="169" t="s">
        <v>46</v>
      </c>
      <c r="Y35" s="169" t="s">
        <v>69</v>
      </c>
      <c r="Z35" s="169" t="s">
        <v>47</v>
      </c>
      <c r="AA35" s="169" t="s">
        <v>90</v>
      </c>
      <c r="AB35" s="198" t="s">
        <v>439</v>
      </c>
      <c r="AV35" s="189"/>
    </row>
    <row r="36" spans="1:48" x14ac:dyDescent="0.15">
      <c r="A36" s="169" t="s">
        <v>59</v>
      </c>
      <c r="B36" s="198" t="s">
        <v>437</v>
      </c>
      <c r="C36" s="139">
        <v>2018</v>
      </c>
      <c r="D36" s="140" t="s">
        <v>438</v>
      </c>
      <c r="E36" s="169" t="s">
        <v>304</v>
      </c>
      <c r="F36" s="169" t="s">
        <v>297</v>
      </c>
      <c r="G36" s="169" t="s">
        <v>36</v>
      </c>
      <c r="H36" s="169" t="s">
        <v>167</v>
      </c>
      <c r="I36" s="169" t="s">
        <v>155</v>
      </c>
      <c r="J36" s="169" t="s">
        <v>38</v>
      </c>
      <c r="K36" s="169" t="s">
        <v>156</v>
      </c>
      <c r="L36" s="169">
        <v>2</v>
      </c>
      <c r="N36" s="169">
        <v>4</v>
      </c>
      <c r="O36" s="169">
        <v>0.55000000000000004</v>
      </c>
      <c r="P36" s="169">
        <v>0.45</v>
      </c>
      <c r="Q36" s="206">
        <f t="shared" si="2"/>
        <v>0.5</v>
      </c>
      <c r="R36" s="169">
        <v>15.6</v>
      </c>
      <c r="S36" s="169">
        <v>94</v>
      </c>
      <c r="T36" s="178">
        <f t="shared" si="0"/>
        <v>36</v>
      </c>
      <c r="U36" s="169">
        <v>537</v>
      </c>
      <c r="V36" s="178">
        <f t="shared" si="1"/>
        <v>16</v>
      </c>
      <c r="W36" s="169">
        <v>3</v>
      </c>
      <c r="X36" s="169" t="s">
        <v>46</v>
      </c>
      <c r="Y36" s="169" t="s">
        <v>69</v>
      </c>
      <c r="Z36" s="169" t="s">
        <v>47</v>
      </c>
      <c r="AA36" s="169" t="s">
        <v>90</v>
      </c>
      <c r="AB36" s="198" t="s">
        <v>439</v>
      </c>
      <c r="AV36" s="189"/>
    </row>
    <row r="37" spans="1:48" x14ac:dyDescent="0.15">
      <c r="A37" s="169" t="s">
        <v>59</v>
      </c>
      <c r="B37" s="198" t="s">
        <v>437</v>
      </c>
      <c r="C37" s="139">
        <v>2018</v>
      </c>
      <c r="D37" s="140" t="s">
        <v>438</v>
      </c>
      <c r="E37" s="169" t="s">
        <v>304</v>
      </c>
      <c r="F37" s="169" t="s">
        <v>297</v>
      </c>
      <c r="G37" s="169" t="s">
        <v>36</v>
      </c>
      <c r="H37" s="169" t="s">
        <v>167</v>
      </c>
      <c r="I37" s="169" t="s">
        <v>155</v>
      </c>
      <c r="J37" s="169" t="s">
        <v>38</v>
      </c>
      <c r="K37" s="169" t="s">
        <v>156</v>
      </c>
      <c r="L37" s="169">
        <v>3</v>
      </c>
      <c r="N37" s="169">
        <v>4</v>
      </c>
      <c r="O37" s="169">
        <v>0.4</v>
      </c>
      <c r="P37" s="169">
        <v>0.45</v>
      </c>
      <c r="Q37" s="206">
        <f t="shared" si="2"/>
        <v>0.42500000000000004</v>
      </c>
      <c r="R37" s="169">
        <v>16.600000000000001</v>
      </c>
      <c r="S37" s="169">
        <v>100</v>
      </c>
      <c r="T37" s="178">
        <f t="shared" si="0"/>
        <v>33</v>
      </c>
      <c r="U37" s="169">
        <v>537</v>
      </c>
      <c r="V37" s="178">
        <f t="shared" si="1"/>
        <v>16</v>
      </c>
      <c r="W37" s="169">
        <v>3</v>
      </c>
      <c r="X37" s="169" t="s">
        <v>46</v>
      </c>
      <c r="Y37" s="169" t="s">
        <v>69</v>
      </c>
      <c r="Z37" s="169" t="s">
        <v>47</v>
      </c>
      <c r="AA37" s="169" t="s">
        <v>90</v>
      </c>
      <c r="AB37" s="198" t="s">
        <v>439</v>
      </c>
      <c r="AV37" s="189"/>
    </row>
    <row r="38" spans="1:48" x14ac:dyDescent="0.15">
      <c r="A38" s="169" t="s">
        <v>59</v>
      </c>
      <c r="B38" s="198" t="s">
        <v>437</v>
      </c>
      <c r="C38" s="139">
        <v>2018</v>
      </c>
      <c r="D38" s="140" t="s">
        <v>438</v>
      </c>
      <c r="E38" s="169" t="s">
        <v>304</v>
      </c>
      <c r="F38" s="169" t="s">
        <v>297</v>
      </c>
      <c r="G38" s="169" t="s">
        <v>36</v>
      </c>
      <c r="H38" s="169" t="s">
        <v>157</v>
      </c>
      <c r="I38" s="169" t="s">
        <v>155</v>
      </c>
      <c r="J38" s="169" t="s">
        <v>38</v>
      </c>
      <c r="K38" s="169" t="s">
        <v>156</v>
      </c>
      <c r="L38" s="169">
        <v>1</v>
      </c>
      <c r="N38" s="169">
        <v>3</v>
      </c>
      <c r="O38" s="169">
        <v>0.8</v>
      </c>
      <c r="P38" s="169">
        <v>0.8</v>
      </c>
      <c r="Q38" s="206">
        <f t="shared" si="2"/>
        <v>0.8</v>
      </c>
      <c r="R38" s="169">
        <v>14.8</v>
      </c>
      <c r="S38" s="169">
        <v>109</v>
      </c>
      <c r="T38" s="178">
        <f t="shared" si="0"/>
        <v>33</v>
      </c>
      <c r="U38" s="169">
        <v>321</v>
      </c>
      <c r="V38" s="178">
        <f t="shared" si="1"/>
        <v>16</v>
      </c>
      <c r="W38" s="169">
        <v>3</v>
      </c>
      <c r="X38" s="169" t="s">
        <v>46</v>
      </c>
      <c r="Y38" s="169" t="s">
        <v>69</v>
      </c>
      <c r="Z38" s="169" t="s">
        <v>47</v>
      </c>
      <c r="AA38" s="169" t="s">
        <v>90</v>
      </c>
      <c r="AB38" s="198" t="s">
        <v>439</v>
      </c>
      <c r="AV38" s="190"/>
    </row>
    <row r="39" spans="1:48" x14ac:dyDescent="0.15">
      <c r="A39" s="169" t="s">
        <v>59</v>
      </c>
      <c r="B39" s="198" t="s">
        <v>437</v>
      </c>
      <c r="C39" s="139">
        <v>2018</v>
      </c>
      <c r="D39" s="140" t="s">
        <v>438</v>
      </c>
      <c r="E39" s="169" t="s">
        <v>304</v>
      </c>
      <c r="F39" s="169" t="s">
        <v>297</v>
      </c>
      <c r="G39" s="169" t="s">
        <v>36</v>
      </c>
      <c r="H39" s="169" t="s">
        <v>157</v>
      </c>
      <c r="I39" s="169" t="s">
        <v>155</v>
      </c>
      <c r="J39" s="169" t="s">
        <v>38</v>
      </c>
      <c r="K39" s="169" t="s">
        <v>156</v>
      </c>
      <c r="L39" s="169">
        <v>2</v>
      </c>
      <c r="N39" s="169">
        <v>3</v>
      </c>
      <c r="O39" s="169">
        <v>0.75</v>
      </c>
      <c r="P39" s="169">
        <v>0.75</v>
      </c>
      <c r="Q39" s="206">
        <f t="shared" si="2"/>
        <v>0.75</v>
      </c>
      <c r="R39" s="169">
        <v>13.5</v>
      </c>
      <c r="S39" s="169">
        <v>108</v>
      </c>
      <c r="T39" s="178">
        <f t="shared" si="0"/>
        <v>33</v>
      </c>
      <c r="U39" s="169">
        <v>321</v>
      </c>
      <c r="V39" s="178">
        <f t="shared" si="1"/>
        <v>16</v>
      </c>
      <c r="W39" s="169">
        <v>3</v>
      </c>
      <c r="X39" s="169" t="s">
        <v>46</v>
      </c>
      <c r="Y39" s="169" t="s">
        <v>69</v>
      </c>
      <c r="Z39" s="169" t="s">
        <v>47</v>
      </c>
      <c r="AA39" s="169" t="s">
        <v>90</v>
      </c>
      <c r="AB39" s="198" t="s">
        <v>439</v>
      </c>
    </row>
    <row r="40" spans="1:48" x14ac:dyDescent="0.15">
      <c r="A40" s="169" t="s">
        <v>59</v>
      </c>
      <c r="B40" s="198" t="s">
        <v>437</v>
      </c>
      <c r="C40" s="139">
        <v>2018</v>
      </c>
      <c r="D40" s="140" t="s">
        <v>438</v>
      </c>
      <c r="E40" s="169" t="s">
        <v>304</v>
      </c>
      <c r="F40" s="169" t="s">
        <v>297</v>
      </c>
      <c r="G40" s="169" t="s">
        <v>36</v>
      </c>
      <c r="H40" s="169" t="s">
        <v>157</v>
      </c>
      <c r="I40" s="169" t="s">
        <v>155</v>
      </c>
      <c r="J40" s="169" t="s">
        <v>38</v>
      </c>
      <c r="K40" s="169" t="s">
        <v>156</v>
      </c>
      <c r="L40" s="169">
        <v>3</v>
      </c>
      <c r="N40" s="169">
        <v>3</v>
      </c>
      <c r="O40" s="169">
        <v>0.75</v>
      </c>
      <c r="P40" s="169">
        <v>0.8</v>
      </c>
      <c r="Q40" s="206">
        <f t="shared" si="2"/>
        <v>0.77500000000000002</v>
      </c>
      <c r="R40" s="169">
        <v>14.1</v>
      </c>
      <c r="S40" s="169">
        <v>111</v>
      </c>
      <c r="T40" s="178">
        <f t="shared" si="0"/>
        <v>33</v>
      </c>
      <c r="U40" s="169">
        <v>321</v>
      </c>
      <c r="V40" s="178">
        <f t="shared" si="1"/>
        <v>16</v>
      </c>
      <c r="W40" s="169">
        <v>3</v>
      </c>
      <c r="X40" s="169" t="s">
        <v>46</v>
      </c>
      <c r="Y40" s="169" t="s">
        <v>69</v>
      </c>
      <c r="Z40" s="169" t="s">
        <v>47</v>
      </c>
      <c r="AA40" s="169" t="s">
        <v>90</v>
      </c>
      <c r="AB40" s="198" t="s">
        <v>439</v>
      </c>
    </row>
    <row r="41" spans="1:48" x14ac:dyDescent="0.15">
      <c r="A41" s="169" t="s">
        <v>59</v>
      </c>
      <c r="B41" s="198" t="s">
        <v>437</v>
      </c>
      <c r="C41" s="139">
        <v>2018</v>
      </c>
      <c r="D41" s="140" t="s">
        <v>438</v>
      </c>
      <c r="E41" s="169" t="s">
        <v>304</v>
      </c>
      <c r="F41" s="169" t="s">
        <v>297</v>
      </c>
      <c r="G41" s="169" t="s">
        <v>36</v>
      </c>
      <c r="H41" s="169" t="s">
        <v>221</v>
      </c>
      <c r="I41" s="169" t="s">
        <v>155</v>
      </c>
      <c r="J41" s="169" t="s">
        <v>38</v>
      </c>
      <c r="K41" s="169" t="s">
        <v>156</v>
      </c>
      <c r="L41" s="169">
        <v>1</v>
      </c>
      <c r="N41" s="169">
        <v>5</v>
      </c>
      <c r="O41" s="169">
        <v>0.35</v>
      </c>
      <c r="P41" s="169">
        <v>0.45</v>
      </c>
      <c r="Q41" s="206">
        <f t="shared" si="2"/>
        <v>0.4</v>
      </c>
      <c r="R41" s="169">
        <v>14.8</v>
      </c>
      <c r="S41" s="169">
        <v>88</v>
      </c>
      <c r="T41" s="178">
        <f t="shared" si="0"/>
        <v>36</v>
      </c>
      <c r="U41" s="169">
        <v>429</v>
      </c>
      <c r="V41" s="178">
        <f t="shared" si="1"/>
        <v>16</v>
      </c>
      <c r="W41" s="169">
        <v>1</v>
      </c>
      <c r="X41" s="169" t="s">
        <v>46</v>
      </c>
      <c r="Y41" s="169" t="s">
        <v>69</v>
      </c>
      <c r="Z41" s="169" t="s">
        <v>47</v>
      </c>
      <c r="AA41" s="169" t="s">
        <v>90</v>
      </c>
      <c r="AB41" s="198" t="s">
        <v>439</v>
      </c>
    </row>
    <row r="42" spans="1:48" x14ac:dyDescent="0.15">
      <c r="A42" s="169" t="s">
        <v>59</v>
      </c>
      <c r="B42" s="198" t="s">
        <v>437</v>
      </c>
      <c r="C42" s="139">
        <v>2018</v>
      </c>
      <c r="D42" s="140" t="s">
        <v>438</v>
      </c>
      <c r="E42" s="169" t="s">
        <v>304</v>
      </c>
      <c r="F42" s="169" t="s">
        <v>297</v>
      </c>
      <c r="G42" s="169" t="s">
        <v>36</v>
      </c>
      <c r="H42" s="169" t="s">
        <v>221</v>
      </c>
      <c r="I42" s="169" t="s">
        <v>155</v>
      </c>
      <c r="J42" s="169" t="s">
        <v>38</v>
      </c>
      <c r="K42" s="169" t="s">
        <v>156</v>
      </c>
      <c r="L42" s="169">
        <v>2</v>
      </c>
      <c r="N42" s="169">
        <v>5</v>
      </c>
      <c r="O42" s="169">
        <v>0.5</v>
      </c>
      <c r="P42" s="169">
        <v>0.55000000000000004</v>
      </c>
      <c r="Q42" s="206">
        <f t="shared" si="2"/>
        <v>0.52500000000000002</v>
      </c>
      <c r="R42" s="169">
        <v>15.5</v>
      </c>
      <c r="S42" s="169">
        <v>87</v>
      </c>
      <c r="T42" s="178">
        <f t="shared" si="0"/>
        <v>36</v>
      </c>
      <c r="U42" s="169">
        <v>429</v>
      </c>
      <c r="V42" s="178">
        <f t="shared" si="1"/>
        <v>16</v>
      </c>
      <c r="W42" s="169">
        <v>1</v>
      </c>
      <c r="X42" s="169" t="s">
        <v>46</v>
      </c>
      <c r="Y42" s="169" t="s">
        <v>69</v>
      </c>
      <c r="Z42" s="169" t="s">
        <v>47</v>
      </c>
      <c r="AA42" s="169" t="s">
        <v>90</v>
      </c>
      <c r="AB42" s="198" t="s">
        <v>439</v>
      </c>
    </row>
    <row r="43" spans="1:48" x14ac:dyDescent="0.15">
      <c r="A43" s="169" t="s">
        <v>59</v>
      </c>
      <c r="B43" s="198" t="s">
        <v>437</v>
      </c>
      <c r="C43" s="139">
        <v>2018</v>
      </c>
      <c r="D43" s="140" t="s">
        <v>438</v>
      </c>
      <c r="E43" s="169" t="s">
        <v>304</v>
      </c>
      <c r="F43" s="169" t="s">
        <v>297</v>
      </c>
      <c r="G43" s="169" t="s">
        <v>36</v>
      </c>
      <c r="H43" s="169" t="s">
        <v>221</v>
      </c>
      <c r="I43" s="169" t="s">
        <v>155</v>
      </c>
      <c r="J43" s="169" t="s">
        <v>38</v>
      </c>
      <c r="K43" s="169" t="s">
        <v>156</v>
      </c>
      <c r="L43" s="169">
        <v>3</v>
      </c>
      <c r="N43" s="169">
        <v>5</v>
      </c>
      <c r="O43" s="169">
        <v>0.55000000000000004</v>
      </c>
      <c r="P43" s="169">
        <v>0.55000000000000004</v>
      </c>
      <c r="Q43" s="206">
        <f t="shared" si="2"/>
        <v>0.55000000000000004</v>
      </c>
      <c r="R43" s="169">
        <v>15.7</v>
      </c>
      <c r="S43" s="169">
        <v>90</v>
      </c>
      <c r="T43" s="178">
        <f t="shared" si="0"/>
        <v>36</v>
      </c>
      <c r="U43" s="169">
        <v>429</v>
      </c>
      <c r="V43" s="178">
        <f t="shared" si="1"/>
        <v>16</v>
      </c>
      <c r="W43" s="169">
        <v>1</v>
      </c>
      <c r="X43" s="169" t="s">
        <v>46</v>
      </c>
      <c r="Y43" s="169" t="s">
        <v>69</v>
      </c>
      <c r="Z43" s="169" t="s">
        <v>47</v>
      </c>
      <c r="AA43" s="169" t="s">
        <v>90</v>
      </c>
      <c r="AB43" s="198" t="s">
        <v>439</v>
      </c>
    </row>
    <row r="44" spans="1:48" x14ac:dyDescent="0.15">
      <c r="A44" s="169" t="s">
        <v>59</v>
      </c>
      <c r="B44" s="198" t="s">
        <v>437</v>
      </c>
      <c r="C44" s="139">
        <v>2018</v>
      </c>
      <c r="D44" s="140" t="s">
        <v>438</v>
      </c>
      <c r="E44" s="169" t="s">
        <v>303</v>
      </c>
      <c r="F44" s="169" t="s">
        <v>296</v>
      </c>
      <c r="G44" s="169" t="s">
        <v>36</v>
      </c>
      <c r="H44" s="169" t="s">
        <v>167</v>
      </c>
      <c r="I44" s="169" t="s">
        <v>155</v>
      </c>
      <c r="J44" s="169" t="s">
        <v>38</v>
      </c>
      <c r="K44" s="169" t="s">
        <v>156</v>
      </c>
      <c r="L44" s="169">
        <v>1</v>
      </c>
      <c r="N44" s="169">
        <v>2</v>
      </c>
      <c r="O44" s="169">
        <v>0.6</v>
      </c>
      <c r="P44" s="169">
        <v>0.55000000000000004</v>
      </c>
      <c r="Q44" s="206">
        <f t="shared" si="2"/>
        <v>0.57499999999999996</v>
      </c>
      <c r="R44" s="169">
        <v>15.1</v>
      </c>
      <c r="S44" s="169">
        <v>149</v>
      </c>
      <c r="T44" s="178">
        <f t="shared" si="0"/>
        <v>22</v>
      </c>
      <c r="U44" s="169">
        <v>399</v>
      </c>
      <c r="V44" s="178">
        <f t="shared" si="1"/>
        <v>16</v>
      </c>
      <c r="W44" s="169">
        <v>11</v>
      </c>
      <c r="X44" s="169" t="s">
        <v>39</v>
      </c>
      <c r="Y44" s="169" t="s">
        <v>69</v>
      </c>
      <c r="Z44" s="169" t="s">
        <v>55</v>
      </c>
      <c r="AA44" s="169" t="s">
        <v>90</v>
      </c>
      <c r="AB44" s="198" t="s">
        <v>447</v>
      </c>
    </row>
    <row r="45" spans="1:48" x14ac:dyDescent="0.15">
      <c r="A45" s="169" t="s">
        <v>59</v>
      </c>
      <c r="B45" s="198" t="s">
        <v>425</v>
      </c>
      <c r="C45" s="139">
        <v>2018</v>
      </c>
      <c r="D45" s="140" t="s">
        <v>426</v>
      </c>
      <c r="E45" s="169" t="s">
        <v>303</v>
      </c>
      <c r="F45" s="169" t="s">
        <v>296</v>
      </c>
      <c r="G45" s="169" t="s">
        <v>36</v>
      </c>
      <c r="H45" s="169" t="s">
        <v>167</v>
      </c>
      <c r="I45" s="169" t="s">
        <v>155</v>
      </c>
      <c r="J45" s="169" t="s">
        <v>38</v>
      </c>
      <c r="K45" s="169" t="s">
        <v>156</v>
      </c>
      <c r="L45" s="169">
        <v>2</v>
      </c>
      <c r="N45" s="169">
        <v>2</v>
      </c>
      <c r="O45" s="169">
        <v>0.65</v>
      </c>
      <c r="P45" s="169">
        <v>0.65</v>
      </c>
      <c r="Q45" s="206">
        <f t="shared" si="2"/>
        <v>0.65</v>
      </c>
      <c r="R45" s="169">
        <v>15.7</v>
      </c>
      <c r="S45" s="169">
        <v>146</v>
      </c>
      <c r="T45" s="178">
        <f t="shared" si="0"/>
        <v>22</v>
      </c>
      <c r="U45" s="169">
        <v>399</v>
      </c>
      <c r="V45" s="178">
        <f t="shared" si="1"/>
        <v>16</v>
      </c>
      <c r="W45" s="169">
        <v>11</v>
      </c>
      <c r="X45" s="169" t="s">
        <v>39</v>
      </c>
      <c r="Y45" s="169" t="s">
        <v>69</v>
      </c>
      <c r="Z45" s="169" t="s">
        <v>55</v>
      </c>
      <c r="AA45" s="169" t="s">
        <v>90</v>
      </c>
      <c r="AB45" s="198" t="s">
        <v>447</v>
      </c>
    </row>
    <row r="46" spans="1:48" x14ac:dyDescent="0.15">
      <c r="A46" s="169" t="s">
        <v>59</v>
      </c>
      <c r="B46" s="198" t="s">
        <v>425</v>
      </c>
      <c r="C46" s="139">
        <v>2018</v>
      </c>
      <c r="D46" s="140" t="s">
        <v>426</v>
      </c>
      <c r="E46" s="169" t="s">
        <v>303</v>
      </c>
      <c r="F46" s="169" t="s">
        <v>296</v>
      </c>
      <c r="G46" s="169" t="s">
        <v>36</v>
      </c>
      <c r="H46" s="169" t="s">
        <v>167</v>
      </c>
      <c r="I46" s="169" t="s">
        <v>155</v>
      </c>
      <c r="J46" s="169" t="s">
        <v>38</v>
      </c>
      <c r="K46" s="169" t="s">
        <v>156</v>
      </c>
      <c r="L46" s="169">
        <v>3</v>
      </c>
      <c r="N46" s="169">
        <v>2</v>
      </c>
      <c r="O46" s="169">
        <v>0.55000000000000004</v>
      </c>
      <c r="P46" s="169">
        <v>0.5</v>
      </c>
      <c r="Q46" s="206">
        <f t="shared" si="2"/>
        <v>0.52500000000000002</v>
      </c>
      <c r="R46" s="169">
        <v>16.5</v>
      </c>
      <c r="S46" s="169">
        <v>173</v>
      </c>
      <c r="T46" s="178">
        <f t="shared" si="0"/>
        <v>18</v>
      </c>
      <c r="U46" s="169">
        <v>399</v>
      </c>
      <c r="V46" s="178">
        <f t="shared" si="1"/>
        <v>16</v>
      </c>
      <c r="W46" s="169">
        <v>11</v>
      </c>
      <c r="X46" s="169" t="s">
        <v>39</v>
      </c>
      <c r="Y46" s="169" t="s">
        <v>69</v>
      </c>
      <c r="Z46" s="169" t="s">
        <v>55</v>
      </c>
      <c r="AA46" s="169" t="s">
        <v>90</v>
      </c>
      <c r="AB46" s="198" t="s">
        <v>447</v>
      </c>
    </row>
    <row r="47" spans="1:48" x14ac:dyDescent="0.15">
      <c r="A47" s="169" t="s">
        <v>59</v>
      </c>
      <c r="B47" s="198" t="s">
        <v>425</v>
      </c>
      <c r="C47" s="139">
        <v>2018</v>
      </c>
      <c r="D47" s="140" t="s">
        <v>426</v>
      </c>
      <c r="E47" s="169" t="s">
        <v>303</v>
      </c>
      <c r="F47" s="169" t="s">
        <v>296</v>
      </c>
      <c r="G47" s="169" t="s">
        <v>36</v>
      </c>
      <c r="H47" s="169" t="s">
        <v>157</v>
      </c>
      <c r="I47" s="169" t="s">
        <v>155</v>
      </c>
      <c r="J47" s="169" t="s">
        <v>38</v>
      </c>
      <c r="K47" s="169" t="s">
        <v>156</v>
      </c>
      <c r="L47" s="169">
        <v>1</v>
      </c>
      <c r="N47" s="169">
        <v>3</v>
      </c>
      <c r="O47" s="169">
        <v>0.45</v>
      </c>
      <c r="P47" s="169">
        <v>0.5</v>
      </c>
      <c r="Q47" s="206">
        <f t="shared" si="2"/>
        <v>0.47499999999999998</v>
      </c>
      <c r="R47" s="169">
        <v>15.3</v>
      </c>
      <c r="S47" s="169">
        <v>130</v>
      </c>
      <c r="T47" s="178">
        <f t="shared" si="0"/>
        <v>25</v>
      </c>
      <c r="U47" s="169">
        <v>399</v>
      </c>
      <c r="V47" s="178">
        <f t="shared" si="1"/>
        <v>16</v>
      </c>
      <c r="W47" s="169">
        <v>13</v>
      </c>
      <c r="X47" s="169" t="s">
        <v>39</v>
      </c>
      <c r="Y47" s="169" t="s">
        <v>69</v>
      </c>
      <c r="Z47" s="169" t="s">
        <v>55</v>
      </c>
      <c r="AA47" s="169" t="s">
        <v>90</v>
      </c>
      <c r="AB47" s="198" t="s">
        <v>447</v>
      </c>
    </row>
    <row r="48" spans="1:48" x14ac:dyDescent="0.15">
      <c r="A48" s="169" t="s">
        <v>59</v>
      </c>
      <c r="B48" s="198" t="s">
        <v>425</v>
      </c>
      <c r="C48" s="139">
        <v>2018</v>
      </c>
      <c r="D48" s="140" t="s">
        <v>426</v>
      </c>
      <c r="E48" s="169" t="s">
        <v>303</v>
      </c>
      <c r="F48" s="169" t="s">
        <v>296</v>
      </c>
      <c r="G48" s="169" t="s">
        <v>36</v>
      </c>
      <c r="H48" s="169" t="s">
        <v>157</v>
      </c>
      <c r="I48" s="169" t="s">
        <v>155</v>
      </c>
      <c r="J48" s="169" t="s">
        <v>38</v>
      </c>
      <c r="K48" s="169" t="s">
        <v>156</v>
      </c>
      <c r="L48" s="169">
        <v>2</v>
      </c>
      <c r="N48" s="169">
        <v>3</v>
      </c>
      <c r="O48" s="169">
        <v>0.65</v>
      </c>
      <c r="P48" s="169">
        <v>0.75</v>
      </c>
      <c r="Q48" s="206">
        <f t="shared" si="2"/>
        <v>0.7</v>
      </c>
      <c r="R48" s="169">
        <v>13.7</v>
      </c>
      <c r="S48" s="169">
        <v>136</v>
      </c>
      <c r="T48" s="178">
        <f t="shared" si="0"/>
        <v>25</v>
      </c>
      <c r="U48" s="169">
        <v>399</v>
      </c>
      <c r="V48" s="178">
        <f t="shared" si="1"/>
        <v>16</v>
      </c>
      <c r="W48" s="169">
        <v>13</v>
      </c>
      <c r="X48" s="169" t="s">
        <v>39</v>
      </c>
      <c r="Y48" s="169" t="s">
        <v>69</v>
      </c>
      <c r="Z48" s="169" t="s">
        <v>55</v>
      </c>
      <c r="AA48" s="169" t="s">
        <v>90</v>
      </c>
      <c r="AB48" s="198" t="s">
        <v>447</v>
      </c>
    </row>
    <row r="49" spans="1:28" x14ac:dyDescent="0.15">
      <c r="A49" s="169" t="s">
        <v>59</v>
      </c>
      <c r="B49" s="198" t="s">
        <v>425</v>
      </c>
      <c r="C49" s="139">
        <v>2018</v>
      </c>
      <c r="D49" s="140" t="s">
        <v>426</v>
      </c>
      <c r="E49" s="169" t="s">
        <v>303</v>
      </c>
      <c r="F49" s="169" t="s">
        <v>296</v>
      </c>
      <c r="G49" s="169" t="s">
        <v>36</v>
      </c>
      <c r="H49" s="169" t="s">
        <v>157</v>
      </c>
      <c r="I49" s="169" t="s">
        <v>155</v>
      </c>
      <c r="J49" s="169" t="s">
        <v>38</v>
      </c>
      <c r="K49" s="169" t="s">
        <v>156</v>
      </c>
      <c r="L49" s="169">
        <v>3</v>
      </c>
      <c r="N49" s="169">
        <v>3</v>
      </c>
      <c r="O49" s="169">
        <v>0.55000000000000004</v>
      </c>
      <c r="P49" s="169">
        <v>0.55000000000000004</v>
      </c>
      <c r="Q49" s="206">
        <f t="shared" si="2"/>
        <v>0.55000000000000004</v>
      </c>
      <c r="R49" s="169">
        <v>14.2</v>
      </c>
      <c r="S49" s="169">
        <v>135</v>
      </c>
      <c r="T49" s="178">
        <f t="shared" si="0"/>
        <v>25</v>
      </c>
      <c r="U49" s="169">
        <v>399</v>
      </c>
      <c r="V49" s="178">
        <f t="shared" si="1"/>
        <v>16</v>
      </c>
      <c r="W49" s="169">
        <v>13</v>
      </c>
      <c r="X49" s="169" t="s">
        <v>39</v>
      </c>
      <c r="Y49" s="169" t="s">
        <v>69</v>
      </c>
      <c r="Z49" s="169" t="s">
        <v>55</v>
      </c>
      <c r="AA49" s="169" t="s">
        <v>90</v>
      </c>
      <c r="AB49" s="198" t="s">
        <v>447</v>
      </c>
    </row>
    <row r="50" spans="1:28" x14ac:dyDescent="0.15">
      <c r="A50" s="169" t="s">
        <v>59</v>
      </c>
      <c r="B50" s="198" t="s">
        <v>425</v>
      </c>
      <c r="C50" s="139">
        <v>2018</v>
      </c>
      <c r="D50" s="140" t="s">
        <v>426</v>
      </c>
      <c r="E50" s="169" t="s">
        <v>301</v>
      </c>
      <c r="F50" s="169" t="s">
        <v>293</v>
      </c>
      <c r="G50" s="169" t="s">
        <v>36</v>
      </c>
      <c r="H50" s="169" t="s">
        <v>167</v>
      </c>
      <c r="I50" s="169" t="s">
        <v>155</v>
      </c>
      <c r="J50" s="169" t="s">
        <v>38</v>
      </c>
      <c r="K50" s="169" t="s">
        <v>156</v>
      </c>
      <c r="L50" s="169">
        <v>1</v>
      </c>
      <c r="N50" s="169">
        <v>4</v>
      </c>
      <c r="O50" s="169">
        <v>0.65</v>
      </c>
      <c r="P50" s="169">
        <v>0.6</v>
      </c>
      <c r="Q50" s="206">
        <f t="shared" si="2"/>
        <v>0.625</v>
      </c>
      <c r="R50" s="169">
        <v>18.5</v>
      </c>
      <c r="S50" s="169">
        <v>109</v>
      </c>
      <c r="T50" s="178">
        <f t="shared" si="0"/>
        <v>33</v>
      </c>
      <c r="U50" s="169">
        <v>518</v>
      </c>
      <c r="V50" s="178">
        <f t="shared" si="1"/>
        <v>16</v>
      </c>
      <c r="W50" s="169">
        <v>3</v>
      </c>
      <c r="X50" s="169" t="s">
        <v>46</v>
      </c>
      <c r="Y50" s="169" t="s">
        <v>90</v>
      </c>
      <c r="Z50" s="169" t="s">
        <v>55</v>
      </c>
      <c r="AA50" s="169" t="s">
        <v>69</v>
      </c>
      <c r="AB50" s="198" t="s">
        <v>447</v>
      </c>
    </row>
    <row r="51" spans="1:28" x14ac:dyDescent="0.15">
      <c r="A51" s="169" t="s">
        <v>59</v>
      </c>
      <c r="B51" s="198" t="s">
        <v>425</v>
      </c>
      <c r="C51" s="139">
        <v>2018</v>
      </c>
      <c r="D51" s="140" t="s">
        <v>426</v>
      </c>
      <c r="E51" s="169" t="s">
        <v>301</v>
      </c>
      <c r="F51" s="169" t="s">
        <v>293</v>
      </c>
      <c r="G51" s="169" t="s">
        <v>36</v>
      </c>
      <c r="H51" s="169" t="s">
        <v>167</v>
      </c>
      <c r="I51" s="169" t="s">
        <v>155</v>
      </c>
      <c r="J51" s="169" t="s">
        <v>38</v>
      </c>
      <c r="K51" s="169" t="s">
        <v>156</v>
      </c>
      <c r="L51" s="169">
        <v>2</v>
      </c>
      <c r="N51" s="169">
        <v>4</v>
      </c>
      <c r="O51" s="169">
        <v>0.55000000000000004</v>
      </c>
      <c r="P51" s="169">
        <v>0.6</v>
      </c>
      <c r="Q51" s="206">
        <f t="shared" si="2"/>
        <v>0.57499999999999996</v>
      </c>
      <c r="R51" s="169">
        <v>15.1</v>
      </c>
      <c r="S51" s="169">
        <v>114</v>
      </c>
      <c r="T51" s="178">
        <f t="shared" si="0"/>
        <v>30</v>
      </c>
      <c r="U51" s="169">
        <v>518</v>
      </c>
      <c r="V51" s="178">
        <f t="shared" si="1"/>
        <v>16</v>
      </c>
      <c r="W51" s="169">
        <v>3</v>
      </c>
      <c r="X51" s="169" t="s">
        <v>46</v>
      </c>
      <c r="Y51" s="169" t="s">
        <v>90</v>
      </c>
      <c r="Z51" s="169" t="s">
        <v>55</v>
      </c>
      <c r="AA51" s="169" t="s">
        <v>69</v>
      </c>
      <c r="AB51" s="198" t="s">
        <v>447</v>
      </c>
    </row>
    <row r="52" spans="1:28" x14ac:dyDescent="0.15">
      <c r="A52" s="169" t="s">
        <v>59</v>
      </c>
      <c r="B52" s="198" t="s">
        <v>425</v>
      </c>
      <c r="C52" s="139">
        <v>2018</v>
      </c>
      <c r="D52" s="140" t="s">
        <v>426</v>
      </c>
      <c r="E52" s="169" t="s">
        <v>301</v>
      </c>
      <c r="F52" s="169" t="s">
        <v>293</v>
      </c>
      <c r="G52" s="169" t="s">
        <v>36</v>
      </c>
      <c r="H52" s="169" t="s">
        <v>167</v>
      </c>
      <c r="I52" s="169" t="s">
        <v>155</v>
      </c>
      <c r="J52" s="169" t="s">
        <v>38</v>
      </c>
      <c r="K52" s="169" t="s">
        <v>156</v>
      </c>
      <c r="L52" s="169">
        <v>3</v>
      </c>
      <c r="N52" s="169">
        <v>4</v>
      </c>
      <c r="O52" s="169">
        <v>0.6</v>
      </c>
      <c r="P52" s="169">
        <v>0.65</v>
      </c>
      <c r="Q52" s="206">
        <f t="shared" si="2"/>
        <v>0.625</v>
      </c>
      <c r="R52" s="169">
        <v>18.7</v>
      </c>
      <c r="S52" s="169">
        <v>115</v>
      </c>
      <c r="T52" s="178">
        <f t="shared" si="0"/>
        <v>30</v>
      </c>
      <c r="U52" s="169">
        <v>518</v>
      </c>
      <c r="V52" s="178">
        <f t="shared" si="1"/>
        <v>16</v>
      </c>
      <c r="W52" s="169">
        <v>3</v>
      </c>
      <c r="X52" s="169" t="s">
        <v>46</v>
      </c>
      <c r="Y52" s="169" t="s">
        <v>90</v>
      </c>
      <c r="Z52" s="169" t="s">
        <v>55</v>
      </c>
      <c r="AA52" s="169" t="s">
        <v>69</v>
      </c>
      <c r="AB52" s="198" t="s">
        <v>447</v>
      </c>
    </row>
    <row r="53" spans="1:28" x14ac:dyDescent="0.15">
      <c r="A53" s="169" t="s">
        <v>59</v>
      </c>
      <c r="B53" s="198" t="s">
        <v>425</v>
      </c>
      <c r="C53" s="139">
        <v>2018</v>
      </c>
      <c r="D53" s="140" t="s">
        <v>426</v>
      </c>
      <c r="E53" s="169" t="s">
        <v>301</v>
      </c>
      <c r="F53" s="169" t="s">
        <v>293</v>
      </c>
      <c r="G53" s="169" t="s">
        <v>36</v>
      </c>
      <c r="H53" s="169" t="s">
        <v>157</v>
      </c>
      <c r="I53" s="169" t="s">
        <v>155</v>
      </c>
      <c r="J53" s="169" t="s">
        <v>38</v>
      </c>
      <c r="K53" s="169" t="s">
        <v>156</v>
      </c>
      <c r="L53" s="169">
        <v>1</v>
      </c>
      <c r="N53" s="169">
        <v>5</v>
      </c>
      <c r="O53" s="169">
        <v>0.45</v>
      </c>
      <c r="P53" s="169">
        <v>0.5</v>
      </c>
      <c r="Q53" s="206">
        <f t="shared" si="2"/>
        <v>0.47499999999999998</v>
      </c>
      <c r="R53" s="169">
        <v>16.2</v>
      </c>
      <c r="S53" s="169">
        <v>102</v>
      </c>
      <c r="T53" s="178">
        <f t="shared" si="0"/>
        <v>33</v>
      </c>
      <c r="U53" s="169">
        <v>429</v>
      </c>
      <c r="V53" s="178">
        <f t="shared" si="1"/>
        <v>16</v>
      </c>
      <c r="W53" s="169">
        <v>3</v>
      </c>
      <c r="X53" s="169" t="s">
        <v>46</v>
      </c>
      <c r="Y53" s="169" t="s">
        <v>90</v>
      </c>
      <c r="Z53" s="169" t="s">
        <v>55</v>
      </c>
      <c r="AA53" s="169" t="s">
        <v>69</v>
      </c>
      <c r="AB53" s="198" t="s">
        <v>447</v>
      </c>
    </row>
    <row r="54" spans="1:28" x14ac:dyDescent="0.15">
      <c r="A54" s="169" t="s">
        <v>59</v>
      </c>
      <c r="B54" s="198" t="s">
        <v>425</v>
      </c>
      <c r="C54" s="139">
        <v>2018</v>
      </c>
      <c r="D54" s="140" t="s">
        <v>426</v>
      </c>
      <c r="E54" s="169" t="s">
        <v>301</v>
      </c>
      <c r="F54" s="169" t="s">
        <v>293</v>
      </c>
      <c r="G54" s="169" t="s">
        <v>36</v>
      </c>
      <c r="H54" s="169" t="s">
        <v>157</v>
      </c>
      <c r="I54" s="169" t="s">
        <v>155</v>
      </c>
      <c r="J54" s="169" t="s">
        <v>38</v>
      </c>
      <c r="K54" s="169" t="s">
        <v>156</v>
      </c>
      <c r="L54" s="169">
        <v>2</v>
      </c>
      <c r="N54" s="169">
        <v>5</v>
      </c>
      <c r="O54" s="169">
        <v>0.7</v>
      </c>
      <c r="P54" s="169">
        <v>0.7</v>
      </c>
      <c r="Q54" s="206">
        <f t="shared" si="2"/>
        <v>0.7</v>
      </c>
      <c r="R54" s="169">
        <v>13.3</v>
      </c>
      <c r="S54" s="169">
        <v>96</v>
      </c>
      <c r="T54" s="178">
        <f t="shared" si="0"/>
        <v>36</v>
      </c>
      <c r="U54" s="169">
        <v>429</v>
      </c>
      <c r="V54" s="178">
        <f t="shared" si="1"/>
        <v>16</v>
      </c>
      <c r="W54" s="169">
        <v>3</v>
      </c>
      <c r="X54" s="169" t="s">
        <v>46</v>
      </c>
      <c r="Y54" s="169" t="s">
        <v>90</v>
      </c>
      <c r="Z54" s="169" t="s">
        <v>55</v>
      </c>
      <c r="AA54" s="169" t="s">
        <v>69</v>
      </c>
      <c r="AB54" s="198" t="s">
        <v>447</v>
      </c>
    </row>
    <row r="55" spans="1:28" x14ac:dyDescent="0.15">
      <c r="A55" s="169" t="s">
        <v>59</v>
      </c>
      <c r="B55" s="198" t="s">
        <v>425</v>
      </c>
      <c r="C55" s="139">
        <v>2018</v>
      </c>
      <c r="D55" s="140" t="s">
        <v>426</v>
      </c>
      <c r="E55" s="169" t="s">
        <v>301</v>
      </c>
      <c r="F55" s="169" t="s">
        <v>293</v>
      </c>
      <c r="G55" s="169" t="s">
        <v>36</v>
      </c>
      <c r="H55" s="169" t="s">
        <v>157</v>
      </c>
      <c r="I55" s="169" t="s">
        <v>155</v>
      </c>
      <c r="J55" s="169" t="s">
        <v>38</v>
      </c>
      <c r="K55" s="169" t="s">
        <v>156</v>
      </c>
      <c r="L55" s="169">
        <v>3</v>
      </c>
      <c r="N55" s="169">
        <v>5</v>
      </c>
      <c r="O55" s="169">
        <v>0.55000000000000004</v>
      </c>
      <c r="P55" s="169">
        <v>0.55000000000000004</v>
      </c>
      <c r="Q55" s="206">
        <f t="shared" si="2"/>
        <v>0.55000000000000004</v>
      </c>
      <c r="R55" s="169">
        <v>15.8</v>
      </c>
      <c r="S55" s="169">
        <v>100</v>
      </c>
      <c r="T55" s="178">
        <f t="shared" si="0"/>
        <v>33</v>
      </c>
      <c r="U55" s="169">
        <v>429</v>
      </c>
      <c r="V55" s="178">
        <f t="shared" si="1"/>
        <v>16</v>
      </c>
      <c r="W55" s="169">
        <v>3</v>
      </c>
      <c r="X55" s="169" t="s">
        <v>46</v>
      </c>
      <c r="Y55" s="169" t="s">
        <v>90</v>
      </c>
      <c r="Z55" s="169" t="s">
        <v>55</v>
      </c>
      <c r="AA55" s="169" t="s">
        <v>69</v>
      </c>
      <c r="AB55" s="198" t="s">
        <v>447</v>
      </c>
    </row>
    <row r="56" spans="1:28" x14ac:dyDescent="0.15">
      <c r="A56" s="169" t="s">
        <v>59</v>
      </c>
      <c r="B56" s="198" t="s">
        <v>425</v>
      </c>
      <c r="C56" s="139">
        <v>2018</v>
      </c>
      <c r="D56" s="140" t="s">
        <v>426</v>
      </c>
      <c r="E56" s="169" t="s">
        <v>307</v>
      </c>
      <c r="F56" s="169" t="s">
        <v>298</v>
      </c>
      <c r="G56" s="169" t="s">
        <v>36</v>
      </c>
      <c r="H56" s="169" t="s">
        <v>167</v>
      </c>
      <c r="I56" s="169" t="s">
        <v>155</v>
      </c>
      <c r="J56" s="169" t="s">
        <v>38</v>
      </c>
      <c r="K56" s="169" t="s">
        <v>156</v>
      </c>
      <c r="L56" s="169">
        <v>1</v>
      </c>
      <c r="N56" s="169">
        <v>4</v>
      </c>
      <c r="O56" s="169">
        <v>0.55000000000000004</v>
      </c>
      <c r="P56" s="169">
        <v>0.55000000000000004</v>
      </c>
      <c r="Q56" s="206">
        <f t="shared" si="2"/>
        <v>0.55000000000000004</v>
      </c>
      <c r="R56" s="169">
        <v>16.3</v>
      </c>
      <c r="S56" s="169">
        <v>107</v>
      </c>
      <c r="T56" s="178">
        <f t="shared" si="0"/>
        <v>33</v>
      </c>
      <c r="U56" s="169">
        <v>480</v>
      </c>
      <c r="V56" s="178">
        <f t="shared" si="1"/>
        <v>16</v>
      </c>
      <c r="W56" s="169">
        <v>5</v>
      </c>
      <c r="X56" s="169" t="s">
        <v>46</v>
      </c>
      <c r="Y56" s="169" t="s">
        <v>86</v>
      </c>
      <c r="Z56" s="169" t="s">
        <v>55</v>
      </c>
      <c r="AA56" s="169" t="s">
        <v>69</v>
      </c>
      <c r="AB56" s="198" t="s">
        <v>447</v>
      </c>
    </row>
    <row r="57" spans="1:28" x14ac:dyDescent="0.15">
      <c r="A57" s="169" t="s">
        <v>59</v>
      </c>
      <c r="B57" s="198" t="s">
        <v>425</v>
      </c>
      <c r="C57" s="139">
        <v>2018</v>
      </c>
      <c r="D57" s="140" t="s">
        <v>426</v>
      </c>
      <c r="E57" s="169" t="s">
        <v>307</v>
      </c>
      <c r="F57" s="169" t="s">
        <v>298</v>
      </c>
      <c r="G57" s="169" t="s">
        <v>36</v>
      </c>
      <c r="H57" s="169" t="s">
        <v>167</v>
      </c>
      <c r="I57" s="169" t="s">
        <v>155</v>
      </c>
      <c r="J57" s="169" t="s">
        <v>38</v>
      </c>
      <c r="K57" s="169" t="s">
        <v>156</v>
      </c>
      <c r="L57" s="169">
        <v>2</v>
      </c>
      <c r="N57" s="169">
        <v>4</v>
      </c>
      <c r="O57" s="169">
        <v>0.7</v>
      </c>
      <c r="P57" s="169">
        <v>0.6</v>
      </c>
      <c r="Q57" s="206">
        <f t="shared" si="2"/>
        <v>0.64999999999999991</v>
      </c>
      <c r="R57" s="169">
        <v>17.899999999999999</v>
      </c>
      <c r="S57" s="169">
        <v>110</v>
      </c>
      <c r="T57" s="178">
        <f t="shared" si="0"/>
        <v>33</v>
      </c>
      <c r="U57" s="169">
        <v>480</v>
      </c>
      <c r="V57" s="178">
        <f t="shared" si="1"/>
        <v>16</v>
      </c>
      <c r="W57" s="169">
        <v>5</v>
      </c>
      <c r="X57" s="169" t="s">
        <v>46</v>
      </c>
      <c r="Y57" s="169" t="s">
        <v>86</v>
      </c>
      <c r="Z57" s="169" t="s">
        <v>55</v>
      </c>
      <c r="AA57" s="169" t="s">
        <v>69</v>
      </c>
      <c r="AB57" s="198" t="s">
        <v>447</v>
      </c>
    </row>
    <row r="58" spans="1:28" x14ac:dyDescent="0.15">
      <c r="A58" s="169" t="s">
        <v>59</v>
      </c>
      <c r="B58" s="198" t="s">
        <v>425</v>
      </c>
      <c r="C58" s="139">
        <v>2018</v>
      </c>
      <c r="D58" s="140" t="s">
        <v>426</v>
      </c>
      <c r="E58" s="169" t="s">
        <v>307</v>
      </c>
      <c r="F58" s="169" t="s">
        <v>298</v>
      </c>
      <c r="G58" s="169" t="s">
        <v>36</v>
      </c>
      <c r="H58" s="169" t="s">
        <v>167</v>
      </c>
      <c r="I58" s="169" t="s">
        <v>155</v>
      </c>
      <c r="J58" s="169" t="s">
        <v>38</v>
      </c>
      <c r="K58" s="169" t="s">
        <v>156</v>
      </c>
      <c r="L58" s="169">
        <v>3</v>
      </c>
      <c r="N58" s="169">
        <v>4</v>
      </c>
      <c r="O58" s="169">
        <v>0.65</v>
      </c>
      <c r="P58" s="169">
        <v>0.65</v>
      </c>
      <c r="Q58" s="206">
        <f t="shared" si="2"/>
        <v>0.65</v>
      </c>
      <c r="R58" s="169">
        <v>16.2</v>
      </c>
      <c r="S58" s="169">
        <v>110</v>
      </c>
      <c r="T58" s="178">
        <f t="shared" si="0"/>
        <v>33</v>
      </c>
      <c r="U58" s="169">
        <v>480</v>
      </c>
      <c r="V58" s="178">
        <f t="shared" si="1"/>
        <v>16</v>
      </c>
      <c r="W58" s="169">
        <v>5</v>
      </c>
      <c r="X58" s="169" t="s">
        <v>46</v>
      </c>
      <c r="Y58" s="169" t="s">
        <v>86</v>
      </c>
      <c r="Z58" s="169" t="s">
        <v>55</v>
      </c>
      <c r="AA58" s="169" t="s">
        <v>69</v>
      </c>
      <c r="AB58" s="198" t="s">
        <v>447</v>
      </c>
    </row>
    <row r="59" spans="1:28" x14ac:dyDescent="0.15">
      <c r="A59" s="169" t="s">
        <v>59</v>
      </c>
      <c r="B59" s="198" t="s">
        <v>425</v>
      </c>
      <c r="C59" s="139">
        <v>2018</v>
      </c>
      <c r="D59" s="140" t="s">
        <v>426</v>
      </c>
      <c r="E59" s="169" t="s">
        <v>307</v>
      </c>
      <c r="F59" s="169" t="s">
        <v>298</v>
      </c>
      <c r="G59" s="169" t="s">
        <v>36</v>
      </c>
      <c r="H59" s="169" t="s">
        <v>157</v>
      </c>
      <c r="I59" s="169" t="s">
        <v>155</v>
      </c>
      <c r="J59" s="169" t="s">
        <v>38</v>
      </c>
      <c r="K59" s="169" t="s">
        <v>156</v>
      </c>
      <c r="L59" s="169">
        <v>1</v>
      </c>
      <c r="N59" s="169">
        <v>4</v>
      </c>
      <c r="O59" s="169">
        <v>0.65</v>
      </c>
      <c r="P59" s="169">
        <v>0.7</v>
      </c>
      <c r="Q59" s="206">
        <f t="shared" si="2"/>
        <v>0.67500000000000004</v>
      </c>
      <c r="R59" s="169">
        <v>16.5</v>
      </c>
      <c r="S59" s="169">
        <v>139</v>
      </c>
      <c r="T59" s="178">
        <f t="shared" si="0"/>
        <v>22</v>
      </c>
      <c r="U59" s="169">
        <v>348</v>
      </c>
      <c r="V59" s="178">
        <f t="shared" si="1"/>
        <v>16</v>
      </c>
      <c r="W59" s="169">
        <v>7</v>
      </c>
      <c r="X59" s="169" t="s">
        <v>46</v>
      </c>
      <c r="Y59" s="169" t="s">
        <v>86</v>
      </c>
      <c r="Z59" s="169" t="s">
        <v>55</v>
      </c>
      <c r="AA59" s="169" t="s">
        <v>69</v>
      </c>
      <c r="AB59" s="198" t="s">
        <v>447</v>
      </c>
    </row>
    <row r="60" spans="1:28" x14ac:dyDescent="0.15">
      <c r="A60" s="169" t="s">
        <v>59</v>
      </c>
      <c r="B60" s="198" t="s">
        <v>425</v>
      </c>
      <c r="C60" s="139">
        <v>2018</v>
      </c>
      <c r="D60" s="140" t="s">
        <v>426</v>
      </c>
      <c r="E60" s="169" t="s">
        <v>307</v>
      </c>
      <c r="F60" s="169" t="s">
        <v>298</v>
      </c>
      <c r="G60" s="169" t="s">
        <v>36</v>
      </c>
      <c r="H60" s="169" t="s">
        <v>157</v>
      </c>
      <c r="I60" s="169" t="s">
        <v>155</v>
      </c>
      <c r="J60" s="169" t="s">
        <v>38</v>
      </c>
      <c r="K60" s="169" t="s">
        <v>156</v>
      </c>
      <c r="L60" s="169">
        <v>2</v>
      </c>
      <c r="N60" s="169">
        <v>4</v>
      </c>
      <c r="O60" s="169">
        <v>0.55000000000000004</v>
      </c>
      <c r="P60" s="169">
        <v>0.55000000000000004</v>
      </c>
      <c r="Q60" s="206">
        <f t="shared" si="2"/>
        <v>0.55000000000000004</v>
      </c>
      <c r="R60" s="169">
        <v>14.2</v>
      </c>
      <c r="S60" s="169">
        <v>151</v>
      </c>
      <c r="T60" s="178">
        <f t="shared" si="0"/>
        <v>22</v>
      </c>
      <c r="U60" s="169">
        <v>348</v>
      </c>
      <c r="V60" s="178">
        <f t="shared" si="1"/>
        <v>16</v>
      </c>
      <c r="W60" s="169">
        <v>7</v>
      </c>
      <c r="X60" s="169" t="s">
        <v>46</v>
      </c>
      <c r="Y60" s="169" t="s">
        <v>86</v>
      </c>
      <c r="Z60" s="169" t="s">
        <v>55</v>
      </c>
      <c r="AA60" s="169" t="s">
        <v>69</v>
      </c>
      <c r="AB60" s="198" t="s">
        <v>447</v>
      </c>
    </row>
    <row r="61" spans="1:28" x14ac:dyDescent="0.15">
      <c r="A61" s="169" t="s">
        <v>59</v>
      </c>
      <c r="B61" s="198" t="s">
        <v>425</v>
      </c>
      <c r="C61" s="139">
        <v>2018</v>
      </c>
      <c r="D61" s="140" t="s">
        <v>426</v>
      </c>
      <c r="E61" s="169" t="s">
        <v>307</v>
      </c>
      <c r="F61" s="169" t="s">
        <v>298</v>
      </c>
      <c r="G61" s="169" t="s">
        <v>36</v>
      </c>
      <c r="H61" s="169" t="s">
        <v>157</v>
      </c>
      <c r="I61" s="169" t="s">
        <v>155</v>
      </c>
      <c r="J61" s="169" t="s">
        <v>38</v>
      </c>
      <c r="K61" s="169" t="s">
        <v>156</v>
      </c>
      <c r="L61" s="169">
        <v>3</v>
      </c>
      <c r="N61" s="169">
        <v>4</v>
      </c>
      <c r="O61" s="169">
        <v>0.65</v>
      </c>
      <c r="P61" s="169">
        <v>0.65</v>
      </c>
      <c r="Q61" s="206">
        <f t="shared" si="2"/>
        <v>0.65</v>
      </c>
      <c r="R61" s="169">
        <v>14.6</v>
      </c>
      <c r="S61" s="169">
        <v>144</v>
      </c>
      <c r="T61" s="178">
        <f t="shared" si="0"/>
        <v>22</v>
      </c>
      <c r="U61" s="169">
        <v>348</v>
      </c>
      <c r="V61" s="178">
        <f t="shared" si="1"/>
        <v>16</v>
      </c>
      <c r="W61" s="169">
        <v>7</v>
      </c>
      <c r="X61" s="169" t="s">
        <v>46</v>
      </c>
      <c r="Y61" s="169" t="s">
        <v>86</v>
      </c>
      <c r="Z61" s="169" t="s">
        <v>55</v>
      </c>
      <c r="AA61" s="169" t="s">
        <v>69</v>
      </c>
      <c r="AB61" s="198" t="s">
        <v>447</v>
      </c>
    </row>
    <row r="62" spans="1:28" x14ac:dyDescent="0.15">
      <c r="A62" s="169" t="s">
        <v>59</v>
      </c>
      <c r="B62" s="198" t="s">
        <v>425</v>
      </c>
      <c r="C62" s="139">
        <v>2018</v>
      </c>
      <c r="D62" s="140" t="s">
        <v>426</v>
      </c>
      <c r="E62" s="169" t="s">
        <v>307</v>
      </c>
      <c r="F62" s="169" t="s">
        <v>298</v>
      </c>
      <c r="G62" s="169" t="s">
        <v>36</v>
      </c>
      <c r="H62" s="169" t="s">
        <v>221</v>
      </c>
      <c r="I62" s="169" t="s">
        <v>155</v>
      </c>
      <c r="J62" s="169" t="s">
        <v>38</v>
      </c>
      <c r="K62" s="169" t="s">
        <v>156</v>
      </c>
      <c r="L62" s="169">
        <v>1</v>
      </c>
      <c r="N62" s="169">
        <v>5</v>
      </c>
      <c r="O62" s="169">
        <v>0.65</v>
      </c>
      <c r="P62" s="169">
        <v>0.7</v>
      </c>
      <c r="Q62" s="206">
        <f t="shared" si="2"/>
        <v>0.67500000000000004</v>
      </c>
      <c r="R62" s="169">
        <v>18.5</v>
      </c>
      <c r="S62" s="169">
        <v>78</v>
      </c>
      <c r="T62" s="178">
        <f t="shared" si="0"/>
        <v>39</v>
      </c>
      <c r="U62" s="169">
        <v>398</v>
      </c>
      <c r="V62" s="178">
        <f t="shared" si="1"/>
        <v>16</v>
      </c>
      <c r="W62" s="169">
        <v>1</v>
      </c>
      <c r="X62" s="169" t="s">
        <v>46</v>
      </c>
      <c r="Y62" s="169" t="s">
        <v>86</v>
      </c>
      <c r="Z62" s="169" t="s">
        <v>55</v>
      </c>
      <c r="AA62" s="169" t="s">
        <v>69</v>
      </c>
      <c r="AB62" s="198" t="s">
        <v>447</v>
      </c>
    </row>
    <row r="63" spans="1:28" x14ac:dyDescent="0.15">
      <c r="A63" s="169" t="s">
        <v>59</v>
      </c>
      <c r="B63" s="198" t="s">
        <v>425</v>
      </c>
      <c r="C63" s="139">
        <v>2018</v>
      </c>
      <c r="D63" s="140" t="s">
        <v>426</v>
      </c>
      <c r="E63" s="169" t="s">
        <v>307</v>
      </c>
      <c r="F63" s="169" t="s">
        <v>298</v>
      </c>
      <c r="G63" s="169" t="s">
        <v>36</v>
      </c>
      <c r="H63" s="169" t="s">
        <v>221</v>
      </c>
      <c r="I63" s="169" t="s">
        <v>155</v>
      </c>
      <c r="J63" s="169" t="s">
        <v>38</v>
      </c>
      <c r="K63" s="169" t="s">
        <v>156</v>
      </c>
      <c r="L63" s="169">
        <v>2</v>
      </c>
      <c r="N63" s="169">
        <v>5</v>
      </c>
      <c r="O63" s="169">
        <v>0.55000000000000004</v>
      </c>
      <c r="P63" s="169">
        <v>0.55000000000000004</v>
      </c>
      <c r="Q63" s="206">
        <f t="shared" si="2"/>
        <v>0.55000000000000004</v>
      </c>
      <c r="R63" s="169">
        <v>19.7</v>
      </c>
      <c r="S63" s="169">
        <v>91</v>
      </c>
      <c r="T63" s="178">
        <f t="shared" si="0"/>
        <v>36</v>
      </c>
      <c r="U63" s="169">
        <v>398</v>
      </c>
      <c r="V63" s="178">
        <f t="shared" si="1"/>
        <v>16</v>
      </c>
      <c r="W63" s="169">
        <v>1</v>
      </c>
      <c r="X63" s="169" t="s">
        <v>46</v>
      </c>
      <c r="Y63" s="169" t="s">
        <v>86</v>
      </c>
      <c r="Z63" s="169" t="s">
        <v>55</v>
      </c>
      <c r="AA63" s="169" t="s">
        <v>69</v>
      </c>
      <c r="AB63" s="198" t="s">
        <v>447</v>
      </c>
    </row>
    <row r="64" spans="1:28" x14ac:dyDescent="0.15">
      <c r="A64" s="169" t="s">
        <v>59</v>
      </c>
      <c r="B64" s="198" t="s">
        <v>425</v>
      </c>
      <c r="C64" s="139">
        <v>2018</v>
      </c>
      <c r="D64" s="140" t="s">
        <v>426</v>
      </c>
      <c r="E64" s="169" t="s">
        <v>307</v>
      </c>
      <c r="F64" s="169" t="s">
        <v>298</v>
      </c>
      <c r="G64" s="169" t="s">
        <v>36</v>
      </c>
      <c r="H64" s="169" t="s">
        <v>221</v>
      </c>
      <c r="I64" s="169" t="s">
        <v>155</v>
      </c>
      <c r="J64" s="169" t="s">
        <v>38</v>
      </c>
      <c r="K64" s="169" t="s">
        <v>156</v>
      </c>
      <c r="L64" s="169">
        <v>3</v>
      </c>
      <c r="N64" s="169">
        <v>5</v>
      </c>
      <c r="O64" s="169">
        <v>0.65</v>
      </c>
      <c r="P64" s="169">
        <v>0.65</v>
      </c>
      <c r="Q64" s="206">
        <f t="shared" si="2"/>
        <v>0.65</v>
      </c>
      <c r="R64" s="169">
        <v>18.3</v>
      </c>
      <c r="S64" s="169">
        <v>90</v>
      </c>
      <c r="T64" s="178">
        <f t="shared" si="0"/>
        <v>36</v>
      </c>
      <c r="U64" s="169">
        <v>398</v>
      </c>
      <c r="V64" s="178">
        <f t="shared" si="1"/>
        <v>16</v>
      </c>
      <c r="W64" s="169">
        <v>1</v>
      </c>
      <c r="X64" s="169" t="s">
        <v>46</v>
      </c>
      <c r="Y64" s="169" t="s">
        <v>86</v>
      </c>
      <c r="Z64" s="169" t="s">
        <v>55</v>
      </c>
      <c r="AA64" s="169" t="s">
        <v>69</v>
      </c>
      <c r="AB64" s="198" t="s">
        <v>447</v>
      </c>
    </row>
    <row r="65" spans="1:28" x14ac:dyDescent="0.15">
      <c r="A65" s="169" t="s">
        <v>59</v>
      </c>
      <c r="B65" s="198" t="s">
        <v>425</v>
      </c>
      <c r="C65" s="139">
        <v>2018</v>
      </c>
      <c r="D65" s="140" t="s">
        <v>426</v>
      </c>
      <c r="E65" s="169" t="s">
        <v>302</v>
      </c>
      <c r="F65" s="169" t="s">
        <v>295</v>
      </c>
      <c r="G65" s="169" t="s">
        <v>36</v>
      </c>
      <c r="H65" s="169" t="s">
        <v>167</v>
      </c>
      <c r="I65" s="169" t="s">
        <v>155</v>
      </c>
      <c r="J65" s="169" t="s">
        <v>38</v>
      </c>
      <c r="K65" s="169" t="s">
        <v>156</v>
      </c>
      <c r="L65" s="169">
        <v>1</v>
      </c>
      <c r="N65" s="169">
        <v>4</v>
      </c>
      <c r="O65" s="169">
        <v>0.7</v>
      </c>
      <c r="P65" s="169">
        <v>0.7</v>
      </c>
      <c r="Q65" s="206">
        <f t="shared" si="2"/>
        <v>0.7</v>
      </c>
      <c r="R65" s="169">
        <v>14.5</v>
      </c>
      <c r="S65" s="169">
        <v>110</v>
      </c>
      <c r="T65" s="178">
        <f t="shared" si="0"/>
        <v>33</v>
      </c>
      <c r="U65" s="169">
        <v>494</v>
      </c>
      <c r="V65" s="178">
        <f t="shared" si="1"/>
        <v>16</v>
      </c>
      <c r="W65" s="169">
        <v>4</v>
      </c>
      <c r="X65" s="169" t="s">
        <v>39</v>
      </c>
      <c r="Y65" s="169" t="s">
        <v>86</v>
      </c>
      <c r="Z65" s="169" t="s">
        <v>97</v>
      </c>
      <c r="AA65" s="169" t="s">
        <v>69</v>
      </c>
      <c r="AB65" s="198" t="s">
        <v>447</v>
      </c>
    </row>
    <row r="66" spans="1:28" x14ac:dyDescent="0.15">
      <c r="A66" s="169" t="s">
        <v>59</v>
      </c>
      <c r="B66" s="198" t="s">
        <v>425</v>
      </c>
      <c r="C66" s="139">
        <v>2018</v>
      </c>
      <c r="D66" s="140" t="s">
        <v>426</v>
      </c>
      <c r="E66" s="169" t="s">
        <v>302</v>
      </c>
      <c r="F66" s="169" t="s">
        <v>295</v>
      </c>
      <c r="G66" s="169" t="s">
        <v>36</v>
      </c>
      <c r="H66" s="169" t="s">
        <v>167</v>
      </c>
      <c r="I66" s="169" t="s">
        <v>155</v>
      </c>
      <c r="J66" s="169" t="s">
        <v>38</v>
      </c>
      <c r="K66" s="169" t="s">
        <v>156</v>
      </c>
      <c r="L66" s="169">
        <v>2</v>
      </c>
      <c r="N66" s="169">
        <v>4</v>
      </c>
      <c r="O66" s="169">
        <v>0.7</v>
      </c>
      <c r="P66" s="169">
        <v>0.7</v>
      </c>
      <c r="Q66" s="206">
        <f t="shared" si="2"/>
        <v>0.7</v>
      </c>
      <c r="R66" s="169">
        <v>13.6</v>
      </c>
      <c r="S66" s="169">
        <v>113</v>
      </c>
      <c r="T66" s="178">
        <f t="shared" si="0"/>
        <v>30</v>
      </c>
      <c r="U66" s="169">
        <v>494</v>
      </c>
      <c r="V66" s="178">
        <f t="shared" si="1"/>
        <v>16</v>
      </c>
      <c r="W66" s="169">
        <v>4</v>
      </c>
      <c r="X66" s="169" t="s">
        <v>39</v>
      </c>
      <c r="Y66" s="169" t="s">
        <v>86</v>
      </c>
      <c r="Z66" s="169" t="s">
        <v>97</v>
      </c>
      <c r="AA66" s="169" t="s">
        <v>69</v>
      </c>
      <c r="AB66" s="198" t="s">
        <v>447</v>
      </c>
    </row>
    <row r="67" spans="1:28" x14ac:dyDescent="0.15">
      <c r="A67" s="169" t="s">
        <v>59</v>
      </c>
      <c r="B67" s="198" t="s">
        <v>425</v>
      </c>
      <c r="C67" s="139">
        <v>2018</v>
      </c>
      <c r="D67" s="140" t="s">
        <v>426</v>
      </c>
      <c r="E67" s="169" t="s">
        <v>302</v>
      </c>
      <c r="F67" s="169" t="s">
        <v>295</v>
      </c>
      <c r="G67" s="169" t="s">
        <v>36</v>
      </c>
      <c r="H67" s="169" t="s">
        <v>167</v>
      </c>
      <c r="I67" s="169" t="s">
        <v>155</v>
      </c>
      <c r="J67" s="169" t="s">
        <v>38</v>
      </c>
      <c r="K67" s="169" t="s">
        <v>156</v>
      </c>
      <c r="L67" s="169">
        <v>3</v>
      </c>
      <c r="N67" s="169">
        <v>4</v>
      </c>
      <c r="O67" s="169">
        <v>0.7</v>
      </c>
      <c r="P67" s="169">
        <v>0.65</v>
      </c>
      <c r="Q67" s="206">
        <f t="shared" si="2"/>
        <v>0.67500000000000004</v>
      </c>
      <c r="R67" s="169">
        <v>14.6</v>
      </c>
      <c r="S67" s="169">
        <v>115</v>
      </c>
      <c r="T67" s="178">
        <f t="shared" si="0"/>
        <v>30</v>
      </c>
      <c r="U67" s="169">
        <v>494</v>
      </c>
      <c r="V67" s="178">
        <f t="shared" si="1"/>
        <v>16</v>
      </c>
      <c r="W67" s="169">
        <v>4</v>
      </c>
      <c r="X67" s="169" t="s">
        <v>39</v>
      </c>
      <c r="Y67" s="169" t="s">
        <v>86</v>
      </c>
      <c r="Z67" s="169" t="s">
        <v>97</v>
      </c>
      <c r="AA67" s="169" t="s">
        <v>69</v>
      </c>
      <c r="AB67" s="198" t="s">
        <v>447</v>
      </c>
    </row>
    <row r="68" spans="1:28" x14ac:dyDescent="0.15">
      <c r="A68" s="169" t="s">
        <v>59</v>
      </c>
      <c r="B68" s="198" t="s">
        <v>425</v>
      </c>
      <c r="C68" s="139">
        <v>2018</v>
      </c>
      <c r="D68" s="140" t="s">
        <v>426</v>
      </c>
      <c r="E68" s="169" t="s">
        <v>302</v>
      </c>
      <c r="F68" s="169" t="s">
        <v>295</v>
      </c>
      <c r="G68" s="169" t="s">
        <v>36</v>
      </c>
      <c r="H68" s="169" t="s">
        <v>157</v>
      </c>
      <c r="I68" s="169" t="s">
        <v>155</v>
      </c>
      <c r="J68" s="169" t="s">
        <v>38</v>
      </c>
      <c r="K68" s="169" t="s">
        <v>156</v>
      </c>
      <c r="L68" s="169">
        <v>1</v>
      </c>
      <c r="N68" s="169">
        <v>4</v>
      </c>
      <c r="O68" s="169">
        <v>0.7</v>
      </c>
      <c r="P68" s="169">
        <v>0.75</v>
      </c>
      <c r="Q68" s="206">
        <f t="shared" si="2"/>
        <v>0.72499999999999998</v>
      </c>
      <c r="R68" s="169">
        <v>13.9</v>
      </c>
      <c r="S68" s="169">
        <v>90</v>
      </c>
      <c r="T68" s="178">
        <f t="shared" si="0"/>
        <v>36</v>
      </c>
      <c r="U68" s="169">
        <v>321</v>
      </c>
      <c r="V68" s="178">
        <f t="shared" si="1"/>
        <v>16</v>
      </c>
      <c r="W68" s="169">
        <v>4</v>
      </c>
      <c r="X68" s="169" t="s">
        <v>39</v>
      </c>
      <c r="Y68" s="169" t="s">
        <v>86</v>
      </c>
      <c r="Z68" s="169" t="s">
        <v>97</v>
      </c>
      <c r="AA68" s="169" t="s">
        <v>69</v>
      </c>
      <c r="AB68" s="198" t="s">
        <v>447</v>
      </c>
    </row>
    <row r="69" spans="1:28" x14ac:dyDescent="0.15">
      <c r="A69" s="169" t="s">
        <v>59</v>
      </c>
      <c r="B69" s="198" t="s">
        <v>425</v>
      </c>
      <c r="C69" s="139">
        <v>2018</v>
      </c>
      <c r="D69" s="140" t="s">
        <v>426</v>
      </c>
      <c r="E69" s="169" t="s">
        <v>302</v>
      </c>
      <c r="F69" s="169" t="s">
        <v>295</v>
      </c>
      <c r="G69" s="169" t="s">
        <v>36</v>
      </c>
      <c r="H69" s="169" t="s">
        <v>157</v>
      </c>
      <c r="I69" s="169" t="s">
        <v>155</v>
      </c>
      <c r="J69" s="169" t="s">
        <v>38</v>
      </c>
      <c r="K69" s="169" t="s">
        <v>156</v>
      </c>
      <c r="L69" s="169">
        <v>2</v>
      </c>
      <c r="N69" s="169">
        <v>4</v>
      </c>
      <c r="O69" s="169">
        <v>0.7</v>
      </c>
      <c r="P69" s="169">
        <v>0.65</v>
      </c>
      <c r="Q69" s="206">
        <f t="shared" si="2"/>
        <v>0.67500000000000004</v>
      </c>
      <c r="R69" s="169">
        <v>15</v>
      </c>
      <c r="S69" s="169">
        <v>100</v>
      </c>
      <c r="T69" s="178">
        <f t="shared" si="0"/>
        <v>33</v>
      </c>
      <c r="U69" s="169">
        <v>321</v>
      </c>
      <c r="V69" s="178">
        <f t="shared" si="1"/>
        <v>16</v>
      </c>
      <c r="W69" s="169">
        <v>4</v>
      </c>
      <c r="X69" s="169" t="s">
        <v>39</v>
      </c>
      <c r="Y69" s="169" t="s">
        <v>86</v>
      </c>
      <c r="Z69" s="169" t="s">
        <v>97</v>
      </c>
      <c r="AA69" s="169" t="s">
        <v>69</v>
      </c>
      <c r="AB69" s="198" t="s">
        <v>447</v>
      </c>
    </row>
    <row r="70" spans="1:28" x14ac:dyDescent="0.15">
      <c r="A70" s="169" t="s">
        <v>59</v>
      </c>
      <c r="B70" s="198" t="s">
        <v>425</v>
      </c>
      <c r="C70" s="139">
        <v>2018</v>
      </c>
      <c r="D70" s="140" t="s">
        <v>426</v>
      </c>
      <c r="E70" s="169" t="s">
        <v>302</v>
      </c>
      <c r="F70" s="169" t="s">
        <v>295</v>
      </c>
      <c r="G70" s="169" t="s">
        <v>36</v>
      </c>
      <c r="H70" s="169" t="s">
        <v>157</v>
      </c>
      <c r="I70" s="169" t="s">
        <v>155</v>
      </c>
      <c r="J70" s="169" t="s">
        <v>38</v>
      </c>
      <c r="K70" s="169" t="s">
        <v>156</v>
      </c>
      <c r="L70" s="169">
        <v>3</v>
      </c>
      <c r="N70" s="169">
        <v>4</v>
      </c>
      <c r="O70" s="169">
        <v>0.7</v>
      </c>
      <c r="P70" s="169">
        <v>0.7</v>
      </c>
      <c r="Q70" s="206">
        <f t="shared" si="2"/>
        <v>0.7</v>
      </c>
      <c r="R70" s="169">
        <v>14.8</v>
      </c>
      <c r="S70" s="169">
        <v>105</v>
      </c>
      <c r="T70" s="178">
        <f t="shared" si="0"/>
        <v>33</v>
      </c>
      <c r="U70" s="169">
        <v>321</v>
      </c>
      <c r="V70" s="178">
        <f t="shared" si="1"/>
        <v>16</v>
      </c>
      <c r="W70" s="169">
        <v>4</v>
      </c>
      <c r="X70" s="169" t="s">
        <v>39</v>
      </c>
      <c r="Y70" s="169" t="s">
        <v>86</v>
      </c>
      <c r="Z70" s="169" t="s">
        <v>97</v>
      </c>
      <c r="AA70" s="169" t="s">
        <v>69</v>
      </c>
      <c r="AB70" s="198" t="s">
        <v>447</v>
      </c>
    </row>
    <row r="71" spans="1:28" x14ac:dyDescent="0.15">
      <c r="B71" s="198"/>
      <c r="C71" s="139"/>
      <c r="D71" s="140"/>
      <c r="Q71" s="206"/>
      <c r="AB71" s="198"/>
    </row>
    <row r="72" spans="1:28" x14ac:dyDescent="0.15">
      <c r="B72" s="198"/>
      <c r="C72" s="139"/>
      <c r="D72" s="140"/>
      <c r="Q72" s="206"/>
      <c r="AB72" s="198"/>
    </row>
    <row r="73" spans="1:28" x14ac:dyDescent="0.15">
      <c r="B73" s="198"/>
      <c r="C73" s="139"/>
      <c r="D73" s="140"/>
      <c r="Q73" s="206"/>
      <c r="AB73" s="198"/>
    </row>
    <row r="74" spans="1:28" x14ac:dyDescent="0.15">
      <c r="B74" s="198"/>
      <c r="C74" s="139"/>
      <c r="D74" s="140"/>
      <c r="Q74" s="206"/>
      <c r="AB74" s="198"/>
    </row>
    <row r="75" spans="1:28" x14ac:dyDescent="0.15">
      <c r="B75" s="198"/>
      <c r="C75" s="139"/>
      <c r="D75" s="140"/>
      <c r="Q75" s="206"/>
      <c r="AB75" s="198"/>
    </row>
    <row r="76" spans="1:28" x14ac:dyDescent="0.15">
      <c r="B76" s="198"/>
      <c r="C76" s="139"/>
      <c r="D76" s="140"/>
      <c r="Q76" s="206"/>
      <c r="AB76" s="198"/>
    </row>
    <row r="77" spans="1:28" x14ac:dyDescent="0.15">
      <c r="B77" s="198"/>
      <c r="C77" s="139"/>
      <c r="D77" s="140"/>
      <c r="Q77" s="206"/>
      <c r="AB77" s="198"/>
    </row>
    <row r="78" spans="1:28" x14ac:dyDescent="0.15">
      <c r="B78" s="198"/>
      <c r="C78" s="139"/>
      <c r="D78" s="140"/>
      <c r="Q78" s="206"/>
      <c r="AB78" s="198"/>
    </row>
    <row r="79" spans="1:28" x14ac:dyDescent="0.15">
      <c r="B79" s="198"/>
      <c r="C79" s="139"/>
      <c r="D79" s="140"/>
      <c r="Q79" s="206"/>
      <c r="AB79" s="198"/>
    </row>
    <row r="80" spans="1:28" x14ac:dyDescent="0.15">
      <c r="B80" s="198"/>
      <c r="C80" s="139"/>
      <c r="D80" s="140"/>
      <c r="Q80" s="206"/>
      <c r="AB80" s="198"/>
    </row>
    <row r="81" spans="2:28" x14ac:dyDescent="0.15">
      <c r="B81" s="198"/>
      <c r="C81" s="139"/>
      <c r="D81" s="140"/>
      <c r="Q81" s="206"/>
      <c r="AB81" s="198"/>
    </row>
    <row r="82" spans="2:28" x14ac:dyDescent="0.15">
      <c r="B82" s="198"/>
      <c r="C82" s="139"/>
      <c r="D82" s="140"/>
      <c r="Q82" s="206"/>
      <c r="AB82" s="198"/>
    </row>
    <row r="83" spans="2:28" x14ac:dyDescent="0.15">
      <c r="B83" s="198"/>
      <c r="C83" s="139"/>
      <c r="Q83" s="206"/>
      <c r="AB83" s="198"/>
    </row>
    <row r="84" spans="2:28" x14ac:dyDescent="0.15">
      <c r="B84" s="198"/>
      <c r="C84" s="139"/>
      <c r="Q84" s="206"/>
      <c r="AB84" s="198"/>
    </row>
    <row r="85" spans="2:28" x14ac:dyDescent="0.15">
      <c r="B85" s="198"/>
      <c r="C85" s="139"/>
      <c r="Q85" s="206"/>
      <c r="AB85" s="198"/>
    </row>
    <row r="86" spans="2:28" x14ac:dyDescent="0.15">
      <c r="B86" s="198"/>
      <c r="C86" s="139"/>
      <c r="Q86" s="206"/>
      <c r="AB86" s="198"/>
    </row>
    <row r="87" spans="2:28" x14ac:dyDescent="0.15">
      <c r="B87" s="198"/>
      <c r="C87" s="139"/>
      <c r="Q87" s="206"/>
      <c r="AB87" s="198"/>
    </row>
    <row r="88" spans="2:28" x14ac:dyDescent="0.15">
      <c r="B88" s="198"/>
      <c r="C88" s="139"/>
      <c r="Q88" s="206"/>
      <c r="AB88" s="198"/>
    </row>
    <row r="89" spans="2:28" x14ac:dyDescent="0.15">
      <c r="B89" s="198"/>
      <c r="C89" s="139"/>
      <c r="Q89" s="206"/>
      <c r="AB89" s="198"/>
    </row>
    <row r="90" spans="2:28" x14ac:dyDescent="0.15">
      <c r="B90" s="198"/>
      <c r="C90" s="139"/>
      <c r="Q90" s="206"/>
      <c r="AB90" s="198"/>
    </row>
    <row r="91" spans="2:28" x14ac:dyDescent="0.15">
      <c r="B91" s="198"/>
      <c r="C91" s="139"/>
      <c r="Q91" s="206"/>
      <c r="AB91" s="198"/>
    </row>
    <row r="92" spans="2:28" x14ac:dyDescent="0.15">
      <c r="B92" s="198"/>
      <c r="C92" s="139"/>
      <c r="Q92" s="206"/>
      <c r="AB92" s="198"/>
    </row>
    <row r="93" spans="2:28" x14ac:dyDescent="0.15">
      <c r="B93" s="198"/>
      <c r="C93" s="139"/>
      <c r="Q93" s="206"/>
      <c r="AB93" s="198"/>
    </row>
    <row r="94" spans="2:28" x14ac:dyDescent="0.15">
      <c r="B94" s="198"/>
      <c r="C94" s="139"/>
      <c r="Q94" s="206"/>
      <c r="AB94" s="198"/>
    </row>
    <row r="95" spans="2:28" x14ac:dyDescent="0.15">
      <c r="B95" s="198"/>
      <c r="C95" s="139"/>
      <c r="Q95" s="206"/>
      <c r="AB95" s="198"/>
    </row>
    <row r="96" spans="2:28" x14ac:dyDescent="0.15">
      <c r="B96" s="198"/>
      <c r="C96" s="139"/>
      <c r="Q96" s="206"/>
      <c r="AB96" s="198"/>
    </row>
    <row r="97" spans="2:28" x14ac:dyDescent="0.15">
      <c r="B97" s="198"/>
      <c r="C97" s="139"/>
      <c r="Q97" s="206"/>
      <c r="AB97" s="198"/>
    </row>
    <row r="98" spans="2:28" x14ac:dyDescent="0.15">
      <c r="B98" s="198"/>
      <c r="C98" s="139"/>
      <c r="Q98" s="206"/>
      <c r="AB98" s="198"/>
    </row>
    <row r="99" spans="2:28" x14ac:dyDescent="0.15">
      <c r="B99" s="198"/>
      <c r="C99" s="139"/>
      <c r="AB99" s="198"/>
    </row>
    <row r="100" spans="2:28" x14ac:dyDescent="0.15">
      <c r="B100" s="198"/>
      <c r="C100" s="139"/>
      <c r="AB100" s="198"/>
    </row>
    <row r="101" spans="2:28" x14ac:dyDescent="0.15">
      <c r="Q101" s="178" t="str">
        <f t="shared" ref="Q101:Q152" si="3">IF(OR(O101="",P101=""),"",AVERAGE(O101,P101))</f>
        <v/>
      </c>
      <c r="T101" s="178" t="str">
        <f t="shared" ref="T101:T152" si="4">IF(H101="","",IF(OR(H101="GREEN",H101="GK"),IF(S101&gt;=$AX$2,VLOOKUP(S101,$AX$2:$AY$12,2,1),""),IF(S101&gt;=$AZ$2,VLOOKUP(S101,$AZ$2:$BA$12,2,1),"")))</f>
        <v/>
      </c>
      <c r="V101" s="178" t="str">
        <f t="shared" ref="V101:V152" si="5">IF(J101="","",IF(OR(J101="GREEN",J101="GK"),IF(U101&gt;=$AX$2,VLOOKUP(U101,$AX$2:$AY$12,2,1),""),IF(U101&gt;=$AZ$2,VLOOKUP(U101,$AZ$2:$BA$12,2,1),"")))</f>
        <v/>
      </c>
      <c r="AB101" s="198"/>
    </row>
    <row r="102" spans="2:28" x14ac:dyDescent="0.15">
      <c r="Q102" s="178" t="str">
        <f t="shared" si="3"/>
        <v/>
      </c>
      <c r="T102" s="178" t="str">
        <f t="shared" si="4"/>
        <v/>
      </c>
      <c r="V102" s="178" t="str">
        <f t="shared" si="5"/>
        <v/>
      </c>
    </row>
    <row r="103" spans="2:28" x14ac:dyDescent="0.15">
      <c r="Q103" s="178" t="str">
        <f t="shared" si="3"/>
        <v/>
      </c>
      <c r="T103" s="178" t="str">
        <f t="shared" si="4"/>
        <v/>
      </c>
      <c r="V103" s="178" t="str">
        <f t="shared" si="5"/>
        <v/>
      </c>
    </row>
    <row r="104" spans="2:28" x14ac:dyDescent="0.15">
      <c r="Q104" s="178" t="str">
        <f t="shared" si="3"/>
        <v/>
      </c>
      <c r="T104" s="178" t="str">
        <f t="shared" si="4"/>
        <v/>
      </c>
      <c r="V104" s="178" t="str">
        <f t="shared" si="5"/>
        <v/>
      </c>
    </row>
    <row r="105" spans="2:28" x14ac:dyDescent="0.15">
      <c r="Q105" s="178" t="str">
        <f t="shared" si="3"/>
        <v/>
      </c>
      <c r="T105" s="178" t="str">
        <f t="shared" si="4"/>
        <v/>
      </c>
      <c r="V105" s="178" t="str">
        <f t="shared" si="5"/>
        <v/>
      </c>
    </row>
    <row r="106" spans="2:28" x14ac:dyDescent="0.15">
      <c r="Q106" s="178" t="str">
        <f t="shared" si="3"/>
        <v/>
      </c>
      <c r="T106" s="178" t="str">
        <f t="shared" si="4"/>
        <v/>
      </c>
      <c r="V106" s="178" t="str">
        <f t="shared" si="5"/>
        <v/>
      </c>
    </row>
    <row r="107" spans="2:28" x14ac:dyDescent="0.15">
      <c r="Q107" s="178" t="str">
        <f t="shared" si="3"/>
        <v/>
      </c>
      <c r="T107" s="178" t="str">
        <f t="shared" si="4"/>
        <v/>
      </c>
      <c r="V107" s="178" t="str">
        <f t="shared" si="5"/>
        <v/>
      </c>
    </row>
    <row r="108" spans="2:28" x14ac:dyDescent="0.15">
      <c r="Q108" s="178" t="str">
        <f t="shared" si="3"/>
        <v/>
      </c>
      <c r="T108" s="178" t="str">
        <f t="shared" si="4"/>
        <v/>
      </c>
      <c r="V108" s="178" t="str">
        <f t="shared" si="5"/>
        <v/>
      </c>
    </row>
    <row r="109" spans="2:28" x14ac:dyDescent="0.15">
      <c r="Q109" s="178" t="str">
        <f t="shared" si="3"/>
        <v/>
      </c>
      <c r="T109" s="178" t="str">
        <f t="shared" si="4"/>
        <v/>
      </c>
      <c r="V109" s="178" t="str">
        <f t="shared" si="5"/>
        <v/>
      </c>
    </row>
    <row r="110" spans="2:28" x14ac:dyDescent="0.15">
      <c r="Q110" s="178" t="str">
        <f t="shared" si="3"/>
        <v/>
      </c>
      <c r="T110" s="178" t="str">
        <f t="shared" si="4"/>
        <v/>
      </c>
      <c r="V110" s="178" t="str">
        <f t="shared" si="5"/>
        <v/>
      </c>
    </row>
    <row r="111" spans="2:28" x14ac:dyDescent="0.15">
      <c r="Q111" s="178" t="str">
        <f t="shared" si="3"/>
        <v/>
      </c>
      <c r="T111" s="178" t="str">
        <f t="shared" si="4"/>
        <v/>
      </c>
      <c r="V111" s="178" t="str">
        <f t="shared" si="5"/>
        <v/>
      </c>
    </row>
    <row r="112" spans="2:28" x14ac:dyDescent="0.15">
      <c r="Q112" s="178" t="str">
        <f t="shared" si="3"/>
        <v/>
      </c>
      <c r="T112" s="178" t="str">
        <f t="shared" si="4"/>
        <v/>
      </c>
      <c r="V112" s="178" t="str">
        <f t="shared" si="5"/>
        <v/>
      </c>
    </row>
    <row r="113" spans="17:22" x14ac:dyDescent="0.15">
      <c r="Q113" s="178" t="str">
        <f t="shared" si="3"/>
        <v/>
      </c>
      <c r="T113" s="178" t="str">
        <f t="shared" si="4"/>
        <v/>
      </c>
      <c r="V113" s="178" t="str">
        <f t="shared" si="5"/>
        <v/>
      </c>
    </row>
    <row r="114" spans="17:22" x14ac:dyDescent="0.15">
      <c r="Q114" s="178" t="str">
        <f t="shared" si="3"/>
        <v/>
      </c>
      <c r="T114" s="178" t="str">
        <f t="shared" si="4"/>
        <v/>
      </c>
      <c r="V114" s="178" t="str">
        <f t="shared" si="5"/>
        <v/>
      </c>
    </row>
    <row r="115" spans="17:22" x14ac:dyDescent="0.15">
      <c r="Q115" s="178" t="str">
        <f t="shared" si="3"/>
        <v/>
      </c>
      <c r="T115" s="178" t="str">
        <f t="shared" si="4"/>
        <v/>
      </c>
      <c r="V115" s="178" t="str">
        <f t="shared" si="5"/>
        <v/>
      </c>
    </row>
    <row r="116" spans="17:22" x14ac:dyDescent="0.15">
      <c r="Q116" s="178" t="str">
        <f t="shared" si="3"/>
        <v/>
      </c>
      <c r="T116" s="178" t="str">
        <f t="shared" si="4"/>
        <v/>
      </c>
      <c r="V116" s="178" t="str">
        <f t="shared" si="5"/>
        <v/>
      </c>
    </row>
    <row r="117" spans="17:22" x14ac:dyDescent="0.15">
      <c r="Q117" s="178" t="str">
        <f t="shared" si="3"/>
        <v/>
      </c>
      <c r="T117" s="178" t="str">
        <f t="shared" si="4"/>
        <v/>
      </c>
      <c r="V117" s="178" t="str">
        <f t="shared" si="5"/>
        <v/>
      </c>
    </row>
    <row r="118" spans="17:22" x14ac:dyDescent="0.15">
      <c r="Q118" s="178" t="str">
        <f t="shared" si="3"/>
        <v/>
      </c>
      <c r="T118" s="178" t="str">
        <f t="shared" si="4"/>
        <v/>
      </c>
      <c r="V118" s="178" t="str">
        <f t="shared" si="5"/>
        <v/>
      </c>
    </row>
    <row r="119" spans="17:22" x14ac:dyDescent="0.15">
      <c r="Q119" s="178" t="str">
        <f t="shared" si="3"/>
        <v/>
      </c>
      <c r="T119" s="178" t="str">
        <f t="shared" si="4"/>
        <v/>
      </c>
      <c r="V119" s="178" t="str">
        <f t="shared" si="5"/>
        <v/>
      </c>
    </row>
    <row r="120" spans="17:22" x14ac:dyDescent="0.15">
      <c r="Q120" s="178" t="str">
        <f t="shared" si="3"/>
        <v/>
      </c>
      <c r="T120" s="178" t="str">
        <f t="shared" si="4"/>
        <v/>
      </c>
      <c r="V120" s="178" t="str">
        <f t="shared" si="5"/>
        <v/>
      </c>
    </row>
    <row r="121" spans="17:22" x14ac:dyDescent="0.15">
      <c r="Q121" s="178" t="str">
        <f t="shared" si="3"/>
        <v/>
      </c>
      <c r="T121" s="178" t="str">
        <f t="shared" si="4"/>
        <v/>
      </c>
      <c r="V121" s="178" t="str">
        <f t="shared" si="5"/>
        <v/>
      </c>
    </row>
    <row r="122" spans="17:22" x14ac:dyDescent="0.15">
      <c r="Q122" s="178" t="str">
        <f t="shared" si="3"/>
        <v/>
      </c>
      <c r="T122" s="178" t="str">
        <f t="shared" si="4"/>
        <v/>
      </c>
      <c r="V122" s="178" t="str">
        <f t="shared" si="5"/>
        <v/>
      </c>
    </row>
    <row r="123" spans="17:22" x14ac:dyDescent="0.15">
      <c r="Q123" s="178" t="str">
        <f t="shared" si="3"/>
        <v/>
      </c>
      <c r="T123" s="178" t="str">
        <f t="shared" si="4"/>
        <v/>
      </c>
      <c r="V123" s="178" t="str">
        <f t="shared" si="5"/>
        <v/>
      </c>
    </row>
    <row r="124" spans="17:22" x14ac:dyDescent="0.15">
      <c r="Q124" s="178" t="str">
        <f t="shared" si="3"/>
        <v/>
      </c>
      <c r="T124" s="178" t="str">
        <f t="shared" si="4"/>
        <v/>
      </c>
      <c r="V124" s="178" t="str">
        <f t="shared" si="5"/>
        <v/>
      </c>
    </row>
    <row r="125" spans="17:22" x14ac:dyDescent="0.15">
      <c r="Q125" s="178" t="str">
        <f t="shared" si="3"/>
        <v/>
      </c>
      <c r="T125" s="178" t="str">
        <f t="shared" si="4"/>
        <v/>
      </c>
      <c r="V125" s="178" t="str">
        <f t="shared" si="5"/>
        <v/>
      </c>
    </row>
    <row r="126" spans="17:22" x14ac:dyDescent="0.15">
      <c r="Q126" s="178" t="str">
        <f t="shared" si="3"/>
        <v/>
      </c>
      <c r="T126" s="178" t="str">
        <f t="shared" si="4"/>
        <v/>
      </c>
      <c r="V126" s="178" t="str">
        <f t="shared" si="5"/>
        <v/>
      </c>
    </row>
    <row r="127" spans="17:22" x14ac:dyDescent="0.15">
      <c r="Q127" s="178" t="str">
        <f t="shared" si="3"/>
        <v/>
      </c>
      <c r="T127" s="178" t="str">
        <f t="shared" si="4"/>
        <v/>
      </c>
      <c r="V127" s="178" t="str">
        <f t="shared" si="5"/>
        <v/>
      </c>
    </row>
    <row r="128" spans="17:22" x14ac:dyDescent="0.15">
      <c r="Q128" s="178" t="str">
        <f t="shared" si="3"/>
        <v/>
      </c>
      <c r="T128" s="178" t="str">
        <f t="shared" si="4"/>
        <v/>
      </c>
      <c r="V128" s="178" t="str">
        <f t="shared" si="5"/>
        <v/>
      </c>
    </row>
    <row r="129" spans="17:22" x14ac:dyDescent="0.15">
      <c r="Q129" s="178" t="str">
        <f t="shared" si="3"/>
        <v/>
      </c>
      <c r="T129" s="178" t="str">
        <f t="shared" si="4"/>
        <v/>
      </c>
      <c r="V129" s="178" t="str">
        <f t="shared" si="5"/>
        <v/>
      </c>
    </row>
    <row r="130" spans="17:22" x14ac:dyDescent="0.15">
      <c r="Q130" s="178" t="str">
        <f t="shared" si="3"/>
        <v/>
      </c>
      <c r="T130" s="178" t="str">
        <f t="shared" si="4"/>
        <v/>
      </c>
      <c r="V130" s="178" t="str">
        <f t="shared" si="5"/>
        <v/>
      </c>
    </row>
    <row r="131" spans="17:22" x14ac:dyDescent="0.15">
      <c r="Q131" s="178" t="str">
        <f t="shared" si="3"/>
        <v/>
      </c>
      <c r="T131" s="178" t="str">
        <f t="shared" si="4"/>
        <v/>
      </c>
      <c r="V131" s="178" t="str">
        <f t="shared" si="5"/>
        <v/>
      </c>
    </row>
    <row r="132" spans="17:22" x14ac:dyDescent="0.15">
      <c r="Q132" s="178" t="str">
        <f t="shared" si="3"/>
        <v/>
      </c>
      <c r="T132" s="178" t="str">
        <f t="shared" si="4"/>
        <v/>
      </c>
      <c r="V132" s="178" t="str">
        <f t="shared" si="5"/>
        <v/>
      </c>
    </row>
    <row r="133" spans="17:22" x14ac:dyDescent="0.15">
      <c r="Q133" s="178" t="str">
        <f t="shared" si="3"/>
        <v/>
      </c>
      <c r="T133" s="178" t="str">
        <f t="shared" si="4"/>
        <v/>
      </c>
      <c r="V133" s="178" t="str">
        <f t="shared" si="5"/>
        <v/>
      </c>
    </row>
    <row r="134" spans="17:22" x14ac:dyDescent="0.15">
      <c r="Q134" s="178" t="str">
        <f t="shared" si="3"/>
        <v/>
      </c>
      <c r="T134" s="178" t="str">
        <f t="shared" si="4"/>
        <v/>
      </c>
      <c r="V134" s="178" t="str">
        <f t="shared" si="5"/>
        <v/>
      </c>
    </row>
    <row r="135" spans="17:22" x14ac:dyDescent="0.15">
      <c r="Q135" s="178" t="str">
        <f t="shared" si="3"/>
        <v/>
      </c>
      <c r="T135" s="178" t="str">
        <f t="shared" si="4"/>
        <v/>
      </c>
      <c r="V135" s="178" t="str">
        <f t="shared" si="5"/>
        <v/>
      </c>
    </row>
    <row r="136" spans="17:22" x14ac:dyDescent="0.15">
      <c r="Q136" s="178" t="str">
        <f t="shared" si="3"/>
        <v/>
      </c>
      <c r="T136" s="178" t="str">
        <f t="shared" si="4"/>
        <v/>
      </c>
      <c r="V136" s="178" t="str">
        <f t="shared" si="5"/>
        <v/>
      </c>
    </row>
    <row r="137" spans="17:22" x14ac:dyDescent="0.15">
      <c r="Q137" s="178" t="str">
        <f t="shared" si="3"/>
        <v/>
      </c>
      <c r="T137" s="178" t="str">
        <f t="shared" si="4"/>
        <v/>
      </c>
      <c r="V137" s="178" t="str">
        <f t="shared" si="5"/>
        <v/>
      </c>
    </row>
    <row r="138" spans="17:22" x14ac:dyDescent="0.15">
      <c r="Q138" s="178" t="str">
        <f t="shared" si="3"/>
        <v/>
      </c>
      <c r="T138" s="178" t="str">
        <f t="shared" si="4"/>
        <v/>
      </c>
      <c r="V138" s="178" t="str">
        <f t="shared" si="5"/>
        <v/>
      </c>
    </row>
    <row r="139" spans="17:22" x14ac:dyDescent="0.15">
      <c r="Q139" s="178" t="str">
        <f t="shared" si="3"/>
        <v/>
      </c>
      <c r="T139" s="178" t="str">
        <f t="shared" si="4"/>
        <v/>
      </c>
      <c r="V139" s="178" t="str">
        <f t="shared" si="5"/>
        <v/>
      </c>
    </row>
    <row r="140" spans="17:22" x14ac:dyDescent="0.15">
      <c r="Q140" s="178" t="str">
        <f t="shared" si="3"/>
        <v/>
      </c>
      <c r="T140" s="178" t="str">
        <f t="shared" si="4"/>
        <v/>
      </c>
      <c r="V140" s="178" t="str">
        <f t="shared" si="5"/>
        <v/>
      </c>
    </row>
    <row r="141" spans="17:22" x14ac:dyDescent="0.15">
      <c r="Q141" s="178" t="str">
        <f t="shared" si="3"/>
        <v/>
      </c>
      <c r="T141" s="178" t="str">
        <f t="shared" si="4"/>
        <v/>
      </c>
      <c r="V141" s="178" t="str">
        <f t="shared" si="5"/>
        <v/>
      </c>
    </row>
    <row r="142" spans="17:22" x14ac:dyDescent="0.15">
      <c r="Q142" s="178" t="str">
        <f t="shared" si="3"/>
        <v/>
      </c>
      <c r="T142" s="178" t="str">
        <f t="shared" si="4"/>
        <v/>
      </c>
      <c r="V142" s="178" t="str">
        <f t="shared" si="5"/>
        <v/>
      </c>
    </row>
    <row r="143" spans="17:22" x14ac:dyDescent="0.15">
      <c r="Q143" s="178" t="str">
        <f t="shared" si="3"/>
        <v/>
      </c>
      <c r="T143" s="178" t="str">
        <f t="shared" si="4"/>
        <v/>
      </c>
      <c r="V143" s="178" t="str">
        <f t="shared" si="5"/>
        <v/>
      </c>
    </row>
    <row r="144" spans="17:22" x14ac:dyDescent="0.15">
      <c r="Q144" s="178" t="str">
        <f t="shared" si="3"/>
        <v/>
      </c>
      <c r="T144" s="178" t="str">
        <f t="shared" si="4"/>
        <v/>
      </c>
      <c r="V144" s="178" t="str">
        <f t="shared" si="5"/>
        <v/>
      </c>
    </row>
    <row r="145" spans="17:22" x14ac:dyDescent="0.15">
      <c r="Q145" s="178" t="str">
        <f t="shared" si="3"/>
        <v/>
      </c>
      <c r="T145" s="178" t="str">
        <f t="shared" si="4"/>
        <v/>
      </c>
      <c r="V145" s="178" t="str">
        <f t="shared" si="5"/>
        <v/>
      </c>
    </row>
    <row r="146" spans="17:22" x14ac:dyDescent="0.15">
      <c r="Q146" s="178" t="str">
        <f t="shared" si="3"/>
        <v/>
      </c>
      <c r="T146" s="178" t="str">
        <f t="shared" si="4"/>
        <v/>
      </c>
      <c r="V146" s="178" t="str">
        <f t="shared" si="5"/>
        <v/>
      </c>
    </row>
    <row r="147" spans="17:22" x14ac:dyDescent="0.15">
      <c r="Q147" s="178" t="str">
        <f t="shared" si="3"/>
        <v/>
      </c>
      <c r="T147" s="178" t="str">
        <f t="shared" si="4"/>
        <v/>
      </c>
      <c r="V147" s="178" t="str">
        <f t="shared" si="5"/>
        <v/>
      </c>
    </row>
    <row r="148" spans="17:22" x14ac:dyDescent="0.15">
      <c r="Q148" s="178" t="str">
        <f t="shared" si="3"/>
        <v/>
      </c>
      <c r="T148" s="178" t="str">
        <f t="shared" si="4"/>
        <v/>
      </c>
      <c r="V148" s="178" t="str">
        <f t="shared" si="5"/>
        <v/>
      </c>
    </row>
    <row r="149" spans="17:22" x14ac:dyDescent="0.15">
      <c r="Q149" s="178" t="str">
        <f t="shared" si="3"/>
        <v/>
      </c>
      <c r="T149" s="178" t="str">
        <f t="shared" si="4"/>
        <v/>
      </c>
      <c r="V149" s="178" t="str">
        <f t="shared" si="5"/>
        <v/>
      </c>
    </row>
    <row r="150" spans="17:22" x14ac:dyDescent="0.15">
      <c r="Q150" s="178" t="str">
        <f t="shared" si="3"/>
        <v/>
      </c>
      <c r="T150" s="178" t="str">
        <f t="shared" si="4"/>
        <v/>
      </c>
      <c r="V150" s="178" t="str">
        <f t="shared" si="5"/>
        <v/>
      </c>
    </row>
    <row r="151" spans="17:22" x14ac:dyDescent="0.15">
      <c r="Q151" s="178" t="str">
        <f t="shared" si="3"/>
        <v/>
      </c>
      <c r="T151" s="178" t="str">
        <f t="shared" si="4"/>
        <v/>
      </c>
      <c r="V151" s="178" t="str">
        <f t="shared" si="5"/>
        <v/>
      </c>
    </row>
    <row r="152" spans="17:22" x14ac:dyDescent="0.15">
      <c r="Q152" s="178" t="str">
        <f t="shared" si="3"/>
        <v/>
      </c>
      <c r="T152" s="178" t="str">
        <f t="shared" si="4"/>
        <v/>
      </c>
      <c r="V152" s="178"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K435:K492">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44:J492">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85" zoomScaleNormal="85" zoomScaleSheetLayoutView="100" workbookViewId="0">
      <selection activeCell="J66" sqref="J66"/>
    </sheetView>
  </sheetViews>
  <sheetFormatPr defaultRowHeight="13.5" x14ac:dyDescent="0.15"/>
  <cols>
    <col min="1" max="3" width="9" style="169"/>
    <col min="4" max="4" width="10.5" style="169" bestFit="1" customWidth="1"/>
    <col min="5" max="16" width="9" style="169"/>
    <col min="17" max="17" width="9" style="178"/>
    <col min="18" max="19" width="9" style="169"/>
    <col min="20" max="20" width="9" style="178"/>
    <col min="21" max="21" width="9" style="169"/>
    <col min="22" max="22" width="9" style="178"/>
    <col min="23" max="32" width="9" style="169"/>
    <col min="33" max="33" width="16.875" style="169" bestFit="1" customWidth="1"/>
    <col min="34" max="34" width="15.625" style="169" customWidth="1"/>
    <col min="35" max="39" width="9" style="137"/>
    <col min="40" max="16384" width="9" style="169"/>
  </cols>
  <sheetData>
    <row r="1" spans="1:53" ht="45" x14ac:dyDescent="0.15">
      <c r="A1" s="221" t="s">
        <v>0</v>
      </c>
      <c r="B1" s="222" t="s">
        <v>1</v>
      </c>
      <c r="C1" s="222" t="s">
        <v>448</v>
      </c>
      <c r="D1" s="223" t="s">
        <v>3</v>
      </c>
      <c r="E1" s="162" t="s">
        <v>4</v>
      </c>
      <c r="F1" s="162" t="s">
        <v>5</v>
      </c>
      <c r="G1" s="162" t="s">
        <v>6</v>
      </c>
      <c r="H1" s="162" t="s">
        <v>7</v>
      </c>
      <c r="I1" s="162" t="s">
        <v>8</v>
      </c>
      <c r="J1" s="162" t="s">
        <v>9</v>
      </c>
      <c r="K1" s="162" t="s">
        <v>10</v>
      </c>
      <c r="L1" s="223" t="s">
        <v>449</v>
      </c>
      <c r="M1" s="223" t="s">
        <v>12</v>
      </c>
      <c r="N1" s="223" t="s">
        <v>13</v>
      </c>
      <c r="O1" s="223" t="s">
        <v>450</v>
      </c>
      <c r="P1" s="223" t="s">
        <v>451</v>
      </c>
      <c r="Q1" s="224" t="s">
        <v>16</v>
      </c>
      <c r="R1" s="223" t="s">
        <v>452</v>
      </c>
      <c r="S1" s="223" t="s">
        <v>453</v>
      </c>
      <c r="T1" s="224" t="s">
        <v>19</v>
      </c>
      <c r="U1" s="225" t="s">
        <v>108</v>
      </c>
      <c r="V1" s="226" t="s">
        <v>20</v>
      </c>
      <c r="W1" s="223" t="s">
        <v>21</v>
      </c>
      <c r="X1" s="162" t="s">
        <v>22</v>
      </c>
      <c r="Y1" s="162" t="s">
        <v>23</v>
      </c>
      <c r="Z1" s="162" t="s">
        <v>24</v>
      </c>
      <c r="AA1" s="227" t="s">
        <v>25</v>
      </c>
      <c r="AB1" s="168" t="s">
        <v>454</v>
      </c>
      <c r="AE1" s="170" t="s">
        <v>0</v>
      </c>
      <c r="AF1" s="171"/>
      <c r="AG1" s="170" t="s">
        <v>4</v>
      </c>
      <c r="AH1" s="170" t="s">
        <v>5</v>
      </c>
      <c r="AI1" s="149"/>
      <c r="AJ1" s="150" t="s">
        <v>6</v>
      </c>
      <c r="AK1" s="149"/>
      <c r="AL1" s="151" t="s">
        <v>7</v>
      </c>
      <c r="AM1" s="149"/>
      <c r="AN1" s="172" t="s">
        <v>8</v>
      </c>
      <c r="AO1" s="171"/>
      <c r="AP1" s="172" t="s">
        <v>27</v>
      </c>
      <c r="AQ1" s="171"/>
      <c r="AR1" s="172" t="s">
        <v>10</v>
      </c>
      <c r="AS1" s="171"/>
      <c r="AT1" s="173" t="s">
        <v>28</v>
      </c>
      <c r="AU1" s="171"/>
      <c r="AV1" s="172" t="s">
        <v>29</v>
      </c>
      <c r="AX1" s="174" t="s">
        <v>455</v>
      </c>
      <c r="AY1" s="175" t="s">
        <v>456</v>
      </c>
      <c r="AZ1" s="175" t="s">
        <v>457</v>
      </c>
      <c r="BA1" s="176" t="s">
        <v>458</v>
      </c>
    </row>
    <row r="2" spans="1:53" x14ac:dyDescent="0.15">
      <c r="A2" s="133" t="s">
        <v>34</v>
      </c>
      <c r="B2" s="133" t="s">
        <v>459</v>
      </c>
      <c r="C2" s="133">
        <v>2018</v>
      </c>
      <c r="D2" s="230" t="s">
        <v>460</v>
      </c>
      <c r="E2" s="133" t="s">
        <v>461</v>
      </c>
      <c r="F2" s="133" t="s">
        <v>266</v>
      </c>
      <c r="G2" s="133" t="s">
        <v>36</v>
      </c>
      <c r="H2" s="133" t="s">
        <v>157</v>
      </c>
      <c r="I2" s="133" t="s">
        <v>155</v>
      </c>
      <c r="J2" s="133" t="s">
        <v>38</v>
      </c>
      <c r="K2" s="133" t="s">
        <v>156</v>
      </c>
      <c r="L2" s="133">
        <v>1</v>
      </c>
      <c r="M2" s="133"/>
      <c r="N2" s="133">
        <v>1</v>
      </c>
      <c r="O2" s="133">
        <v>0.4</v>
      </c>
      <c r="P2" s="133">
        <v>0.4</v>
      </c>
      <c r="Q2" s="231">
        <f t="shared" ref="Q2:Q65" si="0">IF(OR(O2="",P2=""),"",AVERAGE(O2,P2))</f>
        <v>0.4</v>
      </c>
      <c r="R2" s="133">
        <v>13.9</v>
      </c>
      <c r="S2" s="133">
        <v>124</v>
      </c>
      <c r="T2" s="155">
        <f t="shared" ref="T2:T65" si="1">IF(H2="","",IF(OR(H2="GREEN",H2="GK"),IF(S2&gt;=$AX$2,VLOOKUP(S2,$AX$2:$AY$7,2,1),""),IF(S2&gt;=$AZ$2,VLOOKUP(S2,$AZ$2:$BA$7,2,1),"")))</f>
        <v>30</v>
      </c>
      <c r="U2" s="133">
        <v>128</v>
      </c>
      <c r="V2" s="155">
        <f t="shared" ref="V2:V65" si="2">IF(OR(N2="",U2="",T2=""),"",U2/N2*T2)</f>
        <v>3840</v>
      </c>
      <c r="W2" s="133">
        <v>6</v>
      </c>
      <c r="X2" s="133" t="s">
        <v>46</v>
      </c>
      <c r="Y2" s="133" t="s">
        <v>86</v>
      </c>
      <c r="Z2" s="133" t="s">
        <v>78</v>
      </c>
      <c r="AA2" s="232" t="s">
        <v>97</v>
      </c>
      <c r="AB2" s="220" t="s">
        <v>462</v>
      </c>
      <c r="AE2" s="179" t="s">
        <v>35</v>
      </c>
      <c r="AG2" s="204" t="s">
        <v>463</v>
      </c>
      <c r="AH2" s="204" t="s">
        <v>267</v>
      </c>
      <c r="AJ2" s="138" t="s">
        <v>36</v>
      </c>
      <c r="AL2" s="180" t="s">
        <v>127</v>
      </c>
      <c r="AN2" s="180" t="s">
        <v>37</v>
      </c>
      <c r="AO2" s="177"/>
      <c r="AP2" s="180" t="s">
        <v>38</v>
      </c>
      <c r="AQ2" s="177"/>
      <c r="AR2" s="180" t="s">
        <v>464</v>
      </c>
      <c r="AS2" s="177"/>
      <c r="AT2" s="180" t="s">
        <v>39</v>
      </c>
      <c r="AU2" s="177"/>
      <c r="AV2" s="209" t="s">
        <v>40</v>
      </c>
      <c r="AW2" s="177"/>
      <c r="AX2" s="181">
        <v>1</v>
      </c>
      <c r="AY2" s="182">
        <v>50</v>
      </c>
      <c r="AZ2" s="182">
        <v>1</v>
      </c>
      <c r="BA2" s="183">
        <v>50</v>
      </c>
    </row>
    <row r="3" spans="1:53" x14ac:dyDescent="0.15">
      <c r="A3" s="133" t="s">
        <v>34</v>
      </c>
      <c r="B3" s="133" t="s">
        <v>325</v>
      </c>
      <c r="C3" s="208">
        <v>2018</v>
      </c>
      <c r="D3" s="230" t="s">
        <v>460</v>
      </c>
      <c r="E3" s="133" t="s">
        <v>461</v>
      </c>
      <c r="F3" s="133" t="s">
        <v>266</v>
      </c>
      <c r="G3" s="133" t="s">
        <v>36</v>
      </c>
      <c r="H3" s="133" t="s">
        <v>157</v>
      </c>
      <c r="I3" s="133" t="s">
        <v>155</v>
      </c>
      <c r="J3" s="133" t="s">
        <v>38</v>
      </c>
      <c r="K3" s="133" t="s">
        <v>156</v>
      </c>
      <c r="L3" s="208">
        <v>2</v>
      </c>
      <c r="M3" s="208"/>
      <c r="N3" s="208">
        <v>1</v>
      </c>
      <c r="O3" s="208">
        <v>0.45</v>
      </c>
      <c r="P3" s="136">
        <v>0.4</v>
      </c>
      <c r="Q3" s="231">
        <f t="shared" si="0"/>
        <v>0.42500000000000004</v>
      </c>
      <c r="R3" s="208">
        <v>14.4</v>
      </c>
      <c r="S3" s="208">
        <v>134</v>
      </c>
      <c r="T3" s="135">
        <f t="shared" si="1"/>
        <v>30</v>
      </c>
      <c r="U3" s="216">
        <v>128</v>
      </c>
      <c r="V3" s="155">
        <f t="shared" si="2"/>
        <v>3840</v>
      </c>
      <c r="W3" s="216">
        <v>6</v>
      </c>
      <c r="X3" s="133" t="s">
        <v>46</v>
      </c>
      <c r="Y3" s="133" t="s">
        <v>86</v>
      </c>
      <c r="Z3" s="133" t="s">
        <v>78</v>
      </c>
      <c r="AA3" s="232" t="s">
        <v>97</v>
      </c>
      <c r="AB3" s="220" t="s">
        <v>327</v>
      </c>
      <c r="AE3" s="184" t="s">
        <v>41</v>
      </c>
      <c r="AG3" s="204" t="s">
        <v>268</v>
      </c>
      <c r="AH3" s="204" t="s">
        <v>269</v>
      </c>
      <c r="AJ3" s="157" t="s">
        <v>42</v>
      </c>
      <c r="AL3" s="185" t="s">
        <v>128</v>
      </c>
      <c r="AN3" s="185" t="s">
        <v>43</v>
      </c>
      <c r="AP3" s="185" t="s">
        <v>44</v>
      </c>
      <c r="AR3" s="199" t="s">
        <v>45</v>
      </c>
      <c r="AT3" s="185" t="s">
        <v>46</v>
      </c>
      <c r="AV3" s="185" t="s">
        <v>47</v>
      </c>
      <c r="AX3" s="186">
        <v>72</v>
      </c>
      <c r="AY3" s="187">
        <v>46</v>
      </c>
      <c r="AZ3" s="187">
        <v>71</v>
      </c>
      <c r="BA3" s="188">
        <v>42</v>
      </c>
    </row>
    <row r="4" spans="1:53" x14ac:dyDescent="0.15">
      <c r="A4" s="133" t="s">
        <v>34</v>
      </c>
      <c r="B4" s="133" t="s">
        <v>325</v>
      </c>
      <c r="C4" s="133">
        <v>2018</v>
      </c>
      <c r="D4" s="233" t="s">
        <v>465</v>
      </c>
      <c r="E4" s="133" t="s">
        <v>461</v>
      </c>
      <c r="F4" s="133" t="s">
        <v>266</v>
      </c>
      <c r="G4" s="133" t="s">
        <v>36</v>
      </c>
      <c r="H4" s="133" t="s">
        <v>157</v>
      </c>
      <c r="I4" s="133" t="s">
        <v>155</v>
      </c>
      <c r="J4" s="133" t="s">
        <v>38</v>
      </c>
      <c r="K4" s="133" t="s">
        <v>156</v>
      </c>
      <c r="L4" s="208">
        <v>3</v>
      </c>
      <c r="M4" s="208"/>
      <c r="N4" s="208">
        <v>1</v>
      </c>
      <c r="O4" s="208">
        <v>0.4</v>
      </c>
      <c r="P4" s="136">
        <v>0.35</v>
      </c>
      <c r="Q4" s="134">
        <f t="shared" si="0"/>
        <v>0.375</v>
      </c>
      <c r="R4" s="208">
        <v>14.5</v>
      </c>
      <c r="S4" s="208">
        <v>130</v>
      </c>
      <c r="T4" s="135">
        <f t="shared" si="1"/>
        <v>30</v>
      </c>
      <c r="U4" s="133">
        <v>128</v>
      </c>
      <c r="V4" s="155">
        <f t="shared" si="2"/>
        <v>3840</v>
      </c>
      <c r="W4" s="208">
        <v>6</v>
      </c>
      <c r="X4" s="133" t="s">
        <v>46</v>
      </c>
      <c r="Y4" s="133" t="s">
        <v>86</v>
      </c>
      <c r="Z4" s="133" t="s">
        <v>78</v>
      </c>
      <c r="AA4" s="232" t="s">
        <v>97</v>
      </c>
      <c r="AB4" s="220" t="s">
        <v>327</v>
      </c>
      <c r="AE4" s="184" t="s">
        <v>34</v>
      </c>
      <c r="AG4" s="204" t="s">
        <v>466</v>
      </c>
      <c r="AH4" s="204" t="s">
        <v>270</v>
      </c>
      <c r="AJ4" s="158" t="s">
        <v>48</v>
      </c>
      <c r="AL4" s="189" t="s">
        <v>129</v>
      </c>
      <c r="AN4" s="190" t="s">
        <v>49</v>
      </c>
      <c r="AP4" s="185" t="s">
        <v>467</v>
      </c>
      <c r="AR4" s="199" t="s">
        <v>468</v>
      </c>
      <c r="AT4" s="190"/>
      <c r="AV4" s="185" t="s">
        <v>50</v>
      </c>
      <c r="AX4" s="186">
        <v>75</v>
      </c>
      <c r="AY4" s="187">
        <v>42</v>
      </c>
      <c r="AZ4" s="187">
        <v>76</v>
      </c>
      <c r="BA4" s="188">
        <v>39</v>
      </c>
    </row>
    <row r="5" spans="1:53" x14ac:dyDescent="0.15">
      <c r="A5" s="133" t="s">
        <v>34</v>
      </c>
      <c r="B5" s="133" t="s">
        <v>325</v>
      </c>
      <c r="C5" s="208">
        <v>2018</v>
      </c>
      <c r="D5" s="233" t="s">
        <v>465</v>
      </c>
      <c r="E5" s="133" t="s">
        <v>461</v>
      </c>
      <c r="F5" s="133" t="s">
        <v>266</v>
      </c>
      <c r="G5" s="133" t="s">
        <v>36</v>
      </c>
      <c r="H5" s="133" t="s">
        <v>167</v>
      </c>
      <c r="I5" s="133" t="s">
        <v>155</v>
      </c>
      <c r="J5" s="133" t="s">
        <v>38</v>
      </c>
      <c r="K5" s="133" t="s">
        <v>156</v>
      </c>
      <c r="L5" s="208">
        <v>1</v>
      </c>
      <c r="M5" s="208"/>
      <c r="N5" s="208">
        <v>1</v>
      </c>
      <c r="O5" s="208">
        <v>0.35</v>
      </c>
      <c r="P5" s="214">
        <v>0.4</v>
      </c>
      <c r="Q5" s="134">
        <f t="shared" si="0"/>
        <v>0.375</v>
      </c>
      <c r="R5" s="208">
        <v>16.7</v>
      </c>
      <c r="S5" s="208">
        <v>149</v>
      </c>
      <c r="T5" s="135">
        <f t="shared" si="1"/>
        <v>30</v>
      </c>
      <c r="U5" s="133">
        <v>138</v>
      </c>
      <c r="V5" s="155">
        <f t="shared" si="2"/>
        <v>4140</v>
      </c>
      <c r="W5" s="208">
        <v>6</v>
      </c>
      <c r="X5" s="133" t="s">
        <v>46</v>
      </c>
      <c r="Y5" s="133" t="s">
        <v>86</v>
      </c>
      <c r="Z5" s="133" t="s">
        <v>78</v>
      </c>
      <c r="AA5" s="232" t="s">
        <v>97</v>
      </c>
      <c r="AB5" s="220" t="s">
        <v>327</v>
      </c>
      <c r="AE5" s="184" t="s">
        <v>51</v>
      </c>
      <c r="AG5" s="204" t="s">
        <v>469</v>
      </c>
      <c r="AH5" s="204" t="s">
        <v>273</v>
      </c>
      <c r="AJ5" s="159"/>
      <c r="AL5" s="191" t="s">
        <v>470</v>
      </c>
      <c r="AN5" s="191" t="s">
        <v>471</v>
      </c>
      <c r="AP5" s="185" t="s">
        <v>472</v>
      </c>
      <c r="AR5" s="199" t="s">
        <v>54</v>
      </c>
      <c r="AT5" s="208"/>
      <c r="AV5" s="185" t="s">
        <v>55</v>
      </c>
      <c r="AX5" s="186">
        <v>84</v>
      </c>
      <c r="AY5" s="187">
        <v>39</v>
      </c>
      <c r="AZ5" s="187">
        <v>84</v>
      </c>
      <c r="BA5" s="188">
        <v>36</v>
      </c>
    </row>
    <row r="6" spans="1:53" x14ac:dyDescent="0.15">
      <c r="A6" s="133" t="s">
        <v>34</v>
      </c>
      <c r="B6" s="133" t="s">
        <v>325</v>
      </c>
      <c r="C6" s="133">
        <v>2018</v>
      </c>
      <c r="D6" s="233" t="s">
        <v>465</v>
      </c>
      <c r="E6" s="133" t="s">
        <v>461</v>
      </c>
      <c r="F6" s="133" t="s">
        <v>266</v>
      </c>
      <c r="G6" s="133" t="s">
        <v>36</v>
      </c>
      <c r="H6" s="133" t="s">
        <v>167</v>
      </c>
      <c r="I6" s="133" t="s">
        <v>155</v>
      </c>
      <c r="J6" s="133" t="s">
        <v>38</v>
      </c>
      <c r="K6" s="133" t="s">
        <v>156</v>
      </c>
      <c r="L6" s="208">
        <v>2</v>
      </c>
      <c r="M6" s="208"/>
      <c r="N6" s="208">
        <v>1</v>
      </c>
      <c r="O6" s="208">
        <v>0.4</v>
      </c>
      <c r="P6" s="214">
        <v>0.35</v>
      </c>
      <c r="Q6" s="134">
        <f t="shared" si="0"/>
        <v>0.375</v>
      </c>
      <c r="R6" s="208">
        <v>17.100000000000001</v>
      </c>
      <c r="S6" s="208">
        <v>149</v>
      </c>
      <c r="T6" s="135">
        <f t="shared" si="1"/>
        <v>30</v>
      </c>
      <c r="U6" s="133">
        <v>138</v>
      </c>
      <c r="V6" s="155">
        <f t="shared" si="2"/>
        <v>4140</v>
      </c>
      <c r="W6" s="208">
        <v>6</v>
      </c>
      <c r="X6" s="133" t="s">
        <v>46</v>
      </c>
      <c r="Y6" s="133" t="s">
        <v>86</v>
      </c>
      <c r="Z6" s="133" t="s">
        <v>78</v>
      </c>
      <c r="AA6" s="232" t="s">
        <v>97</v>
      </c>
      <c r="AB6" s="220" t="s">
        <v>327</v>
      </c>
      <c r="AE6" s="184" t="s">
        <v>56</v>
      </c>
      <c r="AG6" s="204" t="s">
        <v>473</v>
      </c>
      <c r="AH6" s="204" t="s">
        <v>272</v>
      </c>
      <c r="AL6" s="191" t="s">
        <v>474</v>
      </c>
      <c r="AN6" s="191" t="s">
        <v>475</v>
      </c>
      <c r="AP6" s="185" t="s">
        <v>53</v>
      </c>
      <c r="AR6" s="199" t="s">
        <v>59</v>
      </c>
      <c r="AV6" s="185" t="s">
        <v>60</v>
      </c>
      <c r="AX6" s="186">
        <v>97</v>
      </c>
      <c r="AY6" s="187">
        <v>36</v>
      </c>
      <c r="AZ6" s="187">
        <v>99</v>
      </c>
      <c r="BA6" s="188">
        <v>33</v>
      </c>
    </row>
    <row r="7" spans="1:53" x14ac:dyDescent="0.15">
      <c r="A7" s="133" t="s">
        <v>34</v>
      </c>
      <c r="B7" s="133" t="s">
        <v>325</v>
      </c>
      <c r="C7" s="208">
        <v>2018</v>
      </c>
      <c r="D7" s="233" t="s">
        <v>465</v>
      </c>
      <c r="E7" s="133" t="s">
        <v>461</v>
      </c>
      <c r="F7" s="133" t="s">
        <v>266</v>
      </c>
      <c r="G7" s="133" t="s">
        <v>36</v>
      </c>
      <c r="H7" s="133" t="s">
        <v>167</v>
      </c>
      <c r="I7" s="133" t="s">
        <v>155</v>
      </c>
      <c r="J7" s="133" t="s">
        <v>38</v>
      </c>
      <c r="K7" s="133" t="s">
        <v>156</v>
      </c>
      <c r="L7" s="208">
        <v>3</v>
      </c>
      <c r="M7" s="208"/>
      <c r="N7" s="208">
        <v>1</v>
      </c>
      <c r="O7" s="208">
        <v>0.35</v>
      </c>
      <c r="P7" s="214">
        <v>0.4</v>
      </c>
      <c r="Q7" s="134">
        <f t="shared" si="0"/>
        <v>0.375</v>
      </c>
      <c r="R7" s="208">
        <v>16.399999999999999</v>
      </c>
      <c r="S7" s="208">
        <v>154</v>
      </c>
      <c r="T7" s="135">
        <f t="shared" si="1"/>
        <v>30</v>
      </c>
      <c r="U7" s="133">
        <v>138</v>
      </c>
      <c r="V7" s="155">
        <f t="shared" si="2"/>
        <v>4140</v>
      </c>
      <c r="W7" s="208">
        <v>6</v>
      </c>
      <c r="X7" s="133" t="s">
        <v>46</v>
      </c>
      <c r="Y7" s="133" t="s">
        <v>86</v>
      </c>
      <c r="Z7" s="133" t="s">
        <v>78</v>
      </c>
      <c r="AA7" s="232" t="s">
        <v>97</v>
      </c>
      <c r="AB7" s="220" t="s">
        <v>327</v>
      </c>
      <c r="AE7" s="184" t="s">
        <v>61</v>
      </c>
      <c r="AG7" s="204" t="s">
        <v>271</v>
      </c>
      <c r="AH7" s="204" t="s">
        <v>266</v>
      </c>
      <c r="AL7" s="196" t="s">
        <v>476</v>
      </c>
      <c r="AP7" s="185" t="s">
        <v>58</v>
      </c>
      <c r="AR7" s="192" t="s">
        <v>122</v>
      </c>
      <c r="AV7" s="185" t="s">
        <v>64</v>
      </c>
      <c r="AX7" s="186">
        <v>109</v>
      </c>
      <c r="AY7" s="187">
        <v>33</v>
      </c>
      <c r="AZ7" s="187">
        <v>113</v>
      </c>
      <c r="BA7" s="188">
        <v>30</v>
      </c>
    </row>
    <row r="8" spans="1:53" x14ac:dyDescent="0.15">
      <c r="A8" s="133" t="s">
        <v>34</v>
      </c>
      <c r="B8" s="133" t="s">
        <v>325</v>
      </c>
      <c r="C8" s="133">
        <v>2018</v>
      </c>
      <c r="D8" s="233" t="s">
        <v>465</v>
      </c>
      <c r="E8" s="208" t="s">
        <v>271</v>
      </c>
      <c r="F8" s="133" t="s">
        <v>272</v>
      </c>
      <c r="G8" s="133" t="s">
        <v>36</v>
      </c>
      <c r="H8" s="133" t="s">
        <v>157</v>
      </c>
      <c r="I8" s="133" t="s">
        <v>155</v>
      </c>
      <c r="J8" s="133" t="s">
        <v>38</v>
      </c>
      <c r="K8" s="133" t="s">
        <v>156</v>
      </c>
      <c r="L8" s="208">
        <v>1</v>
      </c>
      <c r="M8" s="208"/>
      <c r="N8" s="208">
        <v>1</v>
      </c>
      <c r="O8" s="208">
        <v>0.55000000000000004</v>
      </c>
      <c r="P8" s="208">
        <v>0.5</v>
      </c>
      <c r="Q8" s="134">
        <f t="shared" si="0"/>
        <v>0.52500000000000002</v>
      </c>
      <c r="R8" s="208">
        <v>14.5</v>
      </c>
      <c r="S8" s="208">
        <v>124</v>
      </c>
      <c r="T8" s="135">
        <f t="shared" si="1"/>
        <v>30</v>
      </c>
      <c r="U8" s="208">
        <v>138</v>
      </c>
      <c r="V8" s="155">
        <f t="shared" si="2"/>
        <v>4140</v>
      </c>
      <c r="W8" s="208">
        <v>4</v>
      </c>
      <c r="X8" s="133" t="s">
        <v>46</v>
      </c>
      <c r="Y8" s="208" t="s">
        <v>78</v>
      </c>
      <c r="Z8" s="133" t="s">
        <v>97</v>
      </c>
      <c r="AA8" s="232" t="s">
        <v>47</v>
      </c>
      <c r="AB8" s="220" t="s">
        <v>327</v>
      </c>
      <c r="AE8" s="184" t="s">
        <v>59</v>
      </c>
      <c r="AG8" s="204" t="s">
        <v>477</v>
      </c>
      <c r="AH8" s="204" t="s">
        <v>275</v>
      </c>
      <c r="AL8" s="196" t="s">
        <v>333</v>
      </c>
      <c r="AP8" s="185" t="s">
        <v>62</v>
      </c>
      <c r="AR8" s="199" t="s">
        <v>81</v>
      </c>
      <c r="AV8" s="185" t="s">
        <v>97</v>
      </c>
      <c r="AX8" s="186">
        <v>151</v>
      </c>
      <c r="AY8" s="187">
        <v>22</v>
      </c>
      <c r="AZ8" s="187">
        <v>152</v>
      </c>
      <c r="BA8" s="188">
        <v>18</v>
      </c>
    </row>
    <row r="9" spans="1:53" x14ac:dyDescent="0.15">
      <c r="A9" s="133" t="s">
        <v>34</v>
      </c>
      <c r="B9" s="133" t="s">
        <v>325</v>
      </c>
      <c r="C9" s="208">
        <v>2018</v>
      </c>
      <c r="D9" s="233" t="s">
        <v>465</v>
      </c>
      <c r="E9" s="208" t="s">
        <v>271</v>
      </c>
      <c r="F9" s="133" t="s">
        <v>272</v>
      </c>
      <c r="G9" s="133" t="s">
        <v>36</v>
      </c>
      <c r="H9" s="133" t="s">
        <v>157</v>
      </c>
      <c r="I9" s="133" t="s">
        <v>155</v>
      </c>
      <c r="J9" s="133" t="s">
        <v>38</v>
      </c>
      <c r="K9" s="133" t="s">
        <v>156</v>
      </c>
      <c r="L9" s="208">
        <v>2</v>
      </c>
      <c r="M9" s="208"/>
      <c r="N9" s="208">
        <v>1</v>
      </c>
      <c r="O9" s="208">
        <v>0.45</v>
      </c>
      <c r="P9" s="208">
        <v>0.5</v>
      </c>
      <c r="Q9" s="134">
        <f t="shared" si="0"/>
        <v>0.47499999999999998</v>
      </c>
      <c r="R9" s="208">
        <v>14.2</v>
      </c>
      <c r="S9" s="208">
        <v>123</v>
      </c>
      <c r="T9" s="135">
        <f t="shared" si="1"/>
        <v>30</v>
      </c>
      <c r="U9" s="208">
        <v>138</v>
      </c>
      <c r="V9" s="155">
        <f t="shared" si="2"/>
        <v>4140</v>
      </c>
      <c r="W9" s="208">
        <v>4</v>
      </c>
      <c r="X9" s="133" t="s">
        <v>46</v>
      </c>
      <c r="Y9" s="208" t="s">
        <v>78</v>
      </c>
      <c r="Z9" s="133" t="s">
        <v>97</v>
      </c>
      <c r="AA9" s="232" t="s">
        <v>47</v>
      </c>
      <c r="AB9" s="220" t="s">
        <v>327</v>
      </c>
      <c r="AE9" s="184" t="s">
        <v>98</v>
      </c>
      <c r="AG9" s="204" t="s">
        <v>478</v>
      </c>
      <c r="AH9" s="204" t="s">
        <v>276</v>
      </c>
      <c r="AL9" s="191"/>
      <c r="AP9" s="185" t="s">
        <v>95</v>
      </c>
      <c r="AR9" s="192" t="s">
        <v>89</v>
      </c>
      <c r="AV9" s="185" t="s">
        <v>102</v>
      </c>
      <c r="AX9" s="193">
        <v>180</v>
      </c>
      <c r="AY9" s="194">
        <v>18</v>
      </c>
      <c r="AZ9" s="194">
        <v>181</v>
      </c>
      <c r="BA9" s="195">
        <v>16</v>
      </c>
    </row>
    <row r="10" spans="1:53" x14ac:dyDescent="0.15">
      <c r="A10" s="133" t="s">
        <v>34</v>
      </c>
      <c r="B10" s="133" t="s">
        <v>325</v>
      </c>
      <c r="C10" s="133">
        <v>2018</v>
      </c>
      <c r="D10" s="233" t="s">
        <v>465</v>
      </c>
      <c r="E10" s="208" t="s">
        <v>271</v>
      </c>
      <c r="F10" s="133" t="s">
        <v>272</v>
      </c>
      <c r="G10" s="133" t="s">
        <v>36</v>
      </c>
      <c r="H10" s="133" t="s">
        <v>157</v>
      </c>
      <c r="I10" s="133" t="s">
        <v>155</v>
      </c>
      <c r="J10" s="133" t="s">
        <v>38</v>
      </c>
      <c r="K10" s="133" t="s">
        <v>156</v>
      </c>
      <c r="L10" s="208">
        <v>3</v>
      </c>
      <c r="M10" s="208"/>
      <c r="N10" s="208">
        <v>1</v>
      </c>
      <c r="O10" s="208">
        <v>0.5</v>
      </c>
      <c r="P10" s="208">
        <v>0.4</v>
      </c>
      <c r="Q10" s="134">
        <f t="shared" si="0"/>
        <v>0.45</v>
      </c>
      <c r="R10" s="208">
        <v>15.1</v>
      </c>
      <c r="S10" s="208">
        <v>124</v>
      </c>
      <c r="T10" s="135">
        <f t="shared" si="1"/>
        <v>30</v>
      </c>
      <c r="U10" s="208">
        <v>138</v>
      </c>
      <c r="V10" s="155">
        <f t="shared" si="2"/>
        <v>4140</v>
      </c>
      <c r="W10" s="208">
        <v>4</v>
      </c>
      <c r="X10" s="133" t="s">
        <v>46</v>
      </c>
      <c r="Y10" s="208" t="s">
        <v>78</v>
      </c>
      <c r="Z10" s="133" t="s">
        <v>97</v>
      </c>
      <c r="AA10" s="232" t="s">
        <v>47</v>
      </c>
      <c r="AB10" s="220" t="s">
        <v>327</v>
      </c>
      <c r="AE10" s="184" t="s">
        <v>103</v>
      </c>
      <c r="AG10" s="204" t="s">
        <v>479</v>
      </c>
      <c r="AH10" s="204" t="s">
        <v>480</v>
      </c>
      <c r="AL10" s="196"/>
      <c r="AP10" s="185" t="s">
        <v>100</v>
      </c>
      <c r="AR10" s="192" t="s">
        <v>123</v>
      </c>
      <c r="AV10" s="185" t="s">
        <v>106</v>
      </c>
    </row>
    <row r="11" spans="1:53" x14ac:dyDescent="0.15">
      <c r="A11" s="133" t="s">
        <v>34</v>
      </c>
      <c r="B11" s="133" t="s">
        <v>325</v>
      </c>
      <c r="C11" s="208">
        <v>2018</v>
      </c>
      <c r="D11" s="233" t="s">
        <v>465</v>
      </c>
      <c r="E11" s="208" t="s">
        <v>271</v>
      </c>
      <c r="F11" s="133" t="s">
        <v>272</v>
      </c>
      <c r="G11" s="133" t="s">
        <v>36</v>
      </c>
      <c r="H11" s="133" t="s">
        <v>167</v>
      </c>
      <c r="I11" s="133" t="s">
        <v>155</v>
      </c>
      <c r="J11" s="133" t="s">
        <v>38</v>
      </c>
      <c r="K11" s="133" t="s">
        <v>156</v>
      </c>
      <c r="L11" s="208">
        <v>1</v>
      </c>
      <c r="M11" s="208"/>
      <c r="N11" s="208">
        <v>1</v>
      </c>
      <c r="O11" s="208">
        <v>0.5</v>
      </c>
      <c r="P11" s="208">
        <v>0.45</v>
      </c>
      <c r="Q11" s="134">
        <f t="shared" si="0"/>
        <v>0.47499999999999998</v>
      </c>
      <c r="R11" s="208">
        <v>15.3</v>
      </c>
      <c r="S11" s="208">
        <v>138</v>
      </c>
      <c r="T11" s="135">
        <f t="shared" si="1"/>
        <v>30</v>
      </c>
      <c r="U11" s="208">
        <v>148</v>
      </c>
      <c r="V11" s="155">
        <f t="shared" si="2"/>
        <v>4440</v>
      </c>
      <c r="W11" s="208">
        <v>4</v>
      </c>
      <c r="X11" s="133" t="s">
        <v>46</v>
      </c>
      <c r="Y11" s="208" t="s">
        <v>78</v>
      </c>
      <c r="Z11" s="133" t="s">
        <v>97</v>
      </c>
      <c r="AA11" s="214" t="s">
        <v>47</v>
      </c>
      <c r="AB11" s="220" t="s">
        <v>327</v>
      </c>
      <c r="AE11" s="184" t="s">
        <v>65</v>
      </c>
      <c r="AG11" s="199"/>
      <c r="AH11" s="199"/>
      <c r="AL11" s="196"/>
      <c r="AP11" s="185" t="s">
        <v>104</v>
      </c>
      <c r="AR11" s="192" t="s">
        <v>87</v>
      </c>
      <c r="AV11" s="185" t="s">
        <v>69</v>
      </c>
    </row>
    <row r="12" spans="1:53" x14ac:dyDescent="0.15">
      <c r="A12" s="133" t="s">
        <v>34</v>
      </c>
      <c r="B12" s="133" t="s">
        <v>325</v>
      </c>
      <c r="C12" s="133">
        <v>2018</v>
      </c>
      <c r="D12" s="233" t="s">
        <v>465</v>
      </c>
      <c r="E12" s="208" t="s">
        <v>271</v>
      </c>
      <c r="F12" s="133" t="s">
        <v>272</v>
      </c>
      <c r="G12" s="133" t="s">
        <v>36</v>
      </c>
      <c r="H12" s="133" t="s">
        <v>167</v>
      </c>
      <c r="I12" s="133" t="s">
        <v>155</v>
      </c>
      <c r="J12" s="133" t="s">
        <v>38</v>
      </c>
      <c r="K12" s="133" t="s">
        <v>156</v>
      </c>
      <c r="L12" s="208">
        <v>2</v>
      </c>
      <c r="M12" s="208"/>
      <c r="N12" s="208">
        <v>1</v>
      </c>
      <c r="O12" s="208">
        <v>0.45</v>
      </c>
      <c r="P12" s="208">
        <v>0.4</v>
      </c>
      <c r="Q12" s="134">
        <f t="shared" si="0"/>
        <v>0.42500000000000004</v>
      </c>
      <c r="R12" s="208">
        <v>14.9</v>
      </c>
      <c r="S12" s="208">
        <v>135</v>
      </c>
      <c r="T12" s="135">
        <f t="shared" si="1"/>
        <v>30</v>
      </c>
      <c r="U12" s="208">
        <v>148</v>
      </c>
      <c r="V12" s="155">
        <f t="shared" si="2"/>
        <v>4440</v>
      </c>
      <c r="W12" s="208">
        <v>4</v>
      </c>
      <c r="X12" s="133" t="s">
        <v>46</v>
      </c>
      <c r="Y12" s="208" t="s">
        <v>78</v>
      </c>
      <c r="Z12" s="133" t="s">
        <v>97</v>
      </c>
      <c r="AA12" s="214" t="s">
        <v>47</v>
      </c>
      <c r="AB12" s="220" t="s">
        <v>327</v>
      </c>
      <c r="AE12" s="184" t="s">
        <v>70</v>
      </c>
      <c r="AG12" s="199"/>
      <c r="AH12" s="199"/>
      <c r="AL12" s="196"/>
      <c r="AP12" s="185" t="s">
        <v>67</v>
      </c>
      <c r="AR12" s="192" t="s">
        <v>124</v>
      </c>
      <c r="AV12" s="185" t="s">
        <v>72</v>
      </c>
    </row>
    <row r="13" spans="1:53" x14ac:dyDescent="0.15">
      <c r="A13" s="133" t="s">
        <v>34</v>
      </c>
      <c r="B13" s="133" t="s">
        <v>325</v>
      </c>
      <c r="C13" s="208">
        <v>2018</v>
      </c>
      <c r="D13" s="233" t="s">
        <v>465</v>
      </c>
      <c r="E13" s="208" t="s">
        <v>271</v>
      </c>
      <c r="F13" s="133" t="s">
        <v>272</v>
      </c>
      <c r="G13" s="133" t="s">
        <v>36</v>
      </c>
      <c r="H13" s="133" t="s">
        <v>167</v>
      </c>
      <c r="I13" s="133" t="s">
        <v>155</v>
      </c>
      <c r="J13" s="133" t="s">
        <v>38</v>
      </c>
      <c r="K13" s="133" t="s">
        <v>156</v>
      </c>
      <c r="L13" s="208">
        <v>3</v>
      </c>
      <c r="M13" s="208"/>
      <c r="N13" s="208">
        <v>1</v>
      </c>
      <c r="O13" s="208">
        <v>0.4</v>
      </c>
      <c r="P13" s="208">
        <v>0.45</v>
      </c>
      <c r="Q13" s="134">
        <f t="shared" si="0"/>
        <v>0.42500000000000004</v>
      </c>
      <c r="R13" s="208">
        <v>15.5</v>
      </c>
      <c r="S13" s="208">
        <v>138</v>
      </c>
      <c r="T13" s="135">
        <f t="shared" si="1"/>
        <v>30</v>
      </c>
      <c r="U13" s="208">
        <v>148</v>
      </c>
      <c r="V13" s="155">
        <f t="shared" si="2"/>
        <v>4440</v>
      </c>
      <c r="W13" s="208">
        <v>4</v>
      </c>
      <c r="X13" s="133" t="s">
        <v>46</v>
      </c>
      <c r="Y13" s="208" t="s">
        <v>78</v>
      </c>
      <c r="Z13" s="133" t="s">
        <v>97</v>
      </c>
      <c r="AA13" s="214" t="s">
        <v>47</v>
      </c>
      <c r="AB13" s="220" t="s">
        <v>327</v>
      </c>
      <c r="AE13" s="184" t="s">
        <v>73</v>
      </c>
      <c r="AG13" s="160"/>
      <c r="AH13" s="160"/>
      <c r="AP13" s="185" t="s">
        <v>71</v>
      </c>
      <c r="AR13" s="192" t="s">
        <v>103</v>
      </c>
      <c r="AV13" s="185" t="s">
        <v>75</v>
      </c>
    </row>
    <row r="14" spans="1:53" x14ac:dyDescent="0.15">
      <c r="A14" s="133" t="s">
        <v>34</v>
      </c>
      <c r="B14" s="133" t="s">
        <v>325</v>
      </c>
      <c r="C14" s="133">
        <v>2018</v>
      </c>
      <c r="D14" s="233" t="s">
        <v>465</v>
      </c>
      <c r="E14" s="208" t="s">
        <v>274</v>
      </c>
      <c r="F14" s="133" t="s">
        <v>272</v>
      </c>
      <c r="G14" s="133" t="s">
        <v>36</v>
      </c>
      <c r="H14" s="133" t="s">
        <v>157</v>
      </c>
      <c r="I14" s="133" t="s">
        <v>155</v>
      </c>
      <c r="J14" s="133" t="s">
        <v>38</v>
      </c>
      <c r="K14" s="133" t="s">
        <v>156</v>
      </c>
      <c r="L14" s="208">
        <v>1</v>
      </c>
      <c r="M14" s="208"/>
      <c r="N14" s="208">
        <v>1</v>
      </c>
      <c r="O14" s="208">
        <v>0.5</v>
      </c>
      <c r="P14" s="208">
        <v>0.5</v>
      </c>
      <c r="Q14" s="134">
        <f t="shared" si="0"/>
        <v>0.5</v>
      </c>
      <c r="R14" s="208">
        <v>12.3</v>
      </c>
      <c r="S14" s="208">
        <v>131</v>
      </c>
      <c r="T14" s="135">
        <f t="shared" si="1"/>
        <v>30</v>
      </c>
      <c r="U14" s="208">
        <v>148</v>
      </c>
      <c r="V14" s="155">
        <f t="shared" si="2"/>
        <v>4440</v>
      </c>
      <c r="W14" s="208">
        <v>6</v>
      </c>
      <c r="X14" s="133" t="s">
        <v>46</v>
      </c>
      <c r="Y14" s="208" t="s">
        <v>97</v>
      </c>
      <c r="Z14" s="208" t="s">
        <v>78</v>
      </c>
      <c r="AA14" s="214" t="s">
        <v>86</v>
      </c>
      <c r="AB14" s="220" t="s">
        <v>327</v>
      </c>
      <c r="AC14" s="196"/>
      <c r="AE14" s="184" t="s">
        <v>76</v>
      </c>
      <c r="AG14" s="208"/>
      <c r="AH14" s="208"/>
      <c r="AP14" s="185" t="s">
        <v>74</v>
      </c>
      <c r="AR14" s="192" t="s">
        <v>125</v>
      </c>
      <c r="AV14" s="185" t="s">
        <v>78</v>
      </c>
    </row>
    <row r="15" spans="1:53" x14ac:dyDescent="0.15">
      <c r="A15" s="133" t="s">
        <v>34</v>
      </c>
      <c r="B15" s="133" t="s">
        <v>325</v>
      </c>
      <c r="C15" s="208">
        <v>2018</v>
      </c>
      <c r="D15" s="233" t="s">
        <v>465</v>
      </c>
      <c r="E15" s="208" t="s">
        <v>274</v>
      </c>
      <c r="F15" s="133" t="s">
        <v>272</v>
      </c>
      <c r="G15" s="133" t="s">
        <v>36</v>
      </c>
      <c r="H15" s="133" t="s">
        <v>157</v>
      </c>
      <c r="I15" s="133" t="s">
        <v>155</v>
      </c>
      <c r="J15" s="133" t="s">
        <v>38</v>
      </c>
      <c r="K15" s="133" t="s">
        <v>156</v>
      </c>
      <c r="L15" s="208">
        <v>2</v>
      </c>
      <c r="M15" s="208"/>
      <c r="N15" s="208">
        <v>1</v>
      </c>
      <c r="O15" s="208">
        <v>0.4</v>
      </c>
      <c r="P15" s="208">
        <v>0.4</v>
      </c>
      <c r="Q15" s="134">
        <f t="shared" si="0"/>
        <v>0.4</v>
      </c>
      <c r="R15" s="208">
        <v>14.1</v>
      </c>
      <c r="S15" s="208">
        <v>132</v>
      </c>
      <c r="T15" s="135">
        <f t="shared" si="1"/>
        <v>30</v>
      </c>
      <c r="U15" s="208">
        <v>148</v>
      </c>
      <c r="V15" s="155">
        <f t="shared" si="2"/>
        <v>4440</v>
      </c>
      <c r="W15" s="208">
        <v>6</v>
      </c>
      <c r="X15" s="133" t="s">
        <v>46</v>
      </c>
      <c r="Y15" s="208" t="s">
        <v>97</v>
      </c>
      <c r="Z15" s="208" t="s">
        <v>78</v>
      </c>
      <c r="AA15" s="214" t="s">
        <v>86</v>
      </c>
      <c r="AB15" s="220" t="s">
        <v>327</v>
      </c>
      <c r="AC15" s="196"/>
      <c r="AE15" s="184" t="s">
        <v>79</v>
      </c>
      <c r="AP15" s="185" t="s">
        <v>77</v>
      </c>
      <c r="AR15" s="192" t="s">
        <v>94</v>
      </c>
      <c r="AV15" s="185" t="s">
        <v>107</v>
      </c>
    </row>
    <row r="16" spans="1:53" x14ac:dyDescent="0.15">
      <c r="A16" s="133" t="s">
        <v>34</v>
      </c>
      <c r="B16" s="133" t="s">
        <v>325</v>
      </c>
      <c r="C16" s="133">
        <v>2018</v>
      </c>
      <c r="D16" s="233" t="s">
        <v>465</v>
      </c>
      <c r="E16" s="208" t="s">
        <v>274</v>
      </c>
      <c r="F16" s="133" t="s">
        <v>272</v>
      </c>
      <c r="G16" s="133" t="s">
        <v>36</v>
      </c>
      <c r="H16" s="133" t="s">
        <v>157</v>
      </c>
      <c r="I16" s="133" t="s">
        <v>155</v>
      </c>
      <c r="J16" s="133" t="s">
        <v>38</v>
      </c>
      <c r="K16" s="133" t="s">
        <v>156</v>
      </c>
      <c r="L16" s="208">
        <v>3</v>
      </c>
      <c r="M16" s="208"/>
      <c r="N16" s="208">
        <v>1</v>
      </c>
      <c r="O16" s="208">
        <v>0.4</v>
      </c>
      <c r="P16" s="208">
        <v>0.45</v>
      </c>
      <c r="Q16" s="134">
        <f t="shared" si="0"/>
        <v>0.42500000000000004</v>
      </c>
      <c r="R16" s="208">
        <v>13.6</v>
      </c>
      <c r="S16" s="208">
        <v>129</v>
      </c>
      <c r="T16" s="135">
        <f t="shared" si="1"/>
        <v>30</v>
      </c>
      <c r="U16" s="208">
        <v>148</v>
      </c>
      <c r="V16" s="155">
        <f t="shared" si="2"/>
        <v>4440</v>
      </c>
      <c r="W16" s="208">
        <v>6</v>
      </c>
      <c r="X16" s="133" t="s">
        <v>46</v>
      </c>
      <c r="Y16" s="208" t="s">
        <v>97</v>
      </c>
      <c r="Z16" s="208" t="s">
        <v>78</v>
      </c>
      <c r="AA16" s="214" t="s">
        <v>86</v>
      </c>
      <c r="AB16" s="220" t="s">
        <v>327</v>
      </c>
      <c r="AC16" s="196"/>
      <c r="AE16" s="184" t="s">
        <v>82</v>
      </c>
      <c r="AP16" s="185" t="s">
        <v>80</v>
      </c>
      <c r="AR16" s="199" t="s">
        <v>63</v>
      </c>
      <c r="AV16" s="185" t="s">
        <v>84</v>
      </c>
    </row>
    <row r="17" spans="1:48" x14ac:dyDescent="0.15">
      <c r="A17" s="133" t="s">
        <v>34</v>
      </c>
      <c r="B17" s="133" t="s">
        <v>325</v>
      </c>
      <c r="C17" s="208">
        <v>2018</v>
      </c>
      <c r="D17" s="233" t="s">
        <v>465</v>
      </c>
      <c r="E17" s="208" t="s">
        <v>274</v>
      </c>
      <c r="F17" s="133" t="s">
        <v>272</v>
      </c>
      <c r="G17" s="133" t="s">
        <v>36</v>
      </c>
      <c r="H17" s="133" t="s">
        <v>167</v>
      </c>
      <c r="I17" s="133" t="s">
        <v>155</v>
      </c>
      <c r="J17" s="133" t="s">
        <v>38</v>
      </c>
      <c r="K17" s="133" t="s">
        <v>156</v>
      </c>
      <c r="L17" s="208">
        <v>1</v>
      </c>
      <c r="M17" s="208"/>
      <c r="N17" s="208">
        <v>1</v>
      </c>
      <c r="O17" s="208">
        <v>0.4</v>
      </c>
      <c r="P17" s="208">
        <v>0.4</v>
      </c>
      <c r="Q17" s="134">
        <f t="shared" si="0"/>
        <v>0.4</v>
      </c>
      <c r="R17" s="208">
        <v>15.6</v>
      </c>
      <c r="S17" s="208">
        <v>150</v>
      </c>
      <c r="T17" s="135">
        <f t="shared" si="1"/>
        <v>30</v>
      </c>
      <c r="U17" s="208">
        <v>148</v>
      </c>
      <c r="V17" s="155">
        <f t="shared" si="2"/>
        <v>4440</v>
      </c>
      <c r="W17" s="208">
        <v>6</v>
      </c>
      <c r="X17" s="133" t="s">
        <v>46</v>
      </c>
      <c r="Y17" s="208" t="s">
        <v>97</v>
      </c>
      <c r="Z17" s="208" t="s">
        <v>78</v>
      </c>
      <c r="AA17" s="214" t="s">
        <v>86</v>
      </c>
      <c r="AB17" s="220" t="s">
        <v>327</v>
      </c>
      <c r="AC17" s="196"/>
      <c r="AE17" s="184" t="s">
        <v>85</v>
      </c>
      <c r="AP17" s="200" t="s">
        <v>110</v>
      </c>
      <c r="AR17" s="199" t="s">
        <v>96</v>
      </c>
      <c r="AV17" s="185" t="s">
        <v>86</v>
      </c>
    </row>
    <row r="18" spans="1:48" x14ac:dyDescent="0.15">
      <c r="A18" s="133" t="s">
        <v>34</v>
      </c>
      <c r="B18" s="133" t="s">
        <v>325</v>
      </c>
      <c r="C18" s="133">
        <v>2018</v>
      </c>
      <c r="D18" s="233" t="s">
        <v>465</v>
      </c>
      <c r="E18" s="208" t="s">
        <v>274</v>
      </c>
      <c r="F18" s="133" t="s">
        <v>272</v>
      </c>
      <c r="G18" s="133" t="s">
        <v>36</v>
      </c>
      <c r="H18" s="133" t="s">
        <v>167</v>
      </c>
      <c r="I18" s="133" t="s">
        <v>155</v>
      </c>
      <c r="J18" s="133" t="s">
        <v>38</v>
      </c>
      <c r="K18" s="133" t="s">
        <v>156</v>
      </c>
      <c r="L18" s="208">
        <v>2</v>
      </c>
      <c r="M18" s="208"/>
      <c r="N18" s="208">
        <v>1</v>
      </c>
      <c r="O18" s="208">
        <v>0.4</v>
      </c>
      <c r="P18" s="208">
        <v>0.4</v>
      </c>
      <c r="Q18" s="134">
        <f t="shared" si="0"/>
        <v>0.4</v>
      </c>
      <c r="R18" s="208">
        <v>16.100000000000001</v>
      </c>
      <c r="S18" s="208">
        <v>152</v>
      </c>
      <c r="T18" s="135">
        <f t="shared" si="1"/>
        <v>30</v>
      </c>
      <c r="U18" s="208">
        <v>148</v>
      </c>
      <c r="V18" s="155">
        <f t="shared" si="2"/>
        <v>4440</v>
      </c>
      <c r="W18" s="208">
        <v>6</v>
      </c>
      <c r="X18" s="133" t="s">
        <v>46</v>
      </c>
      <c r="Y18" s="208" t="s">
        <v>97</v>
      </c>
      <c r="Z18" s="208" t="s">
        <v>78</v>
      </c>
      <c r="AA18" s="214" t="s">
        <v>86</v>
      </c>
      <c r="AB18" s="220" t="s">
        <v>327</v>
      </c>
      <c r="AC18" s="196"/>
      <c r="AE18" s="184" t="s">
        <v>87</v>
      </c>
      <c r="AP18" s="200" t="s">
        <v>111</v>
      </c>
      <c r="AR18" s="199" t="s">
        <v>101</v>
      </c>
      <c r="AV18" s="185" t="s">
        <v>88</v>
      </c>
    </row>
    <row r="19" spans="1:48" x14ac:dyDescent="0.15">
      <c r="A19" s="133" t="s">
        <v>34</v>
      </c>
      <c r="B19" s="133" t="s">
        <v>325</v>
      </c>
      <c r="C19" s="208">
        <v>2018</v>
      </c>
      <c r="D19" s="233" t="s">
        <v>465</v>
      </c>
      <c r="E19" s="208" t="s">
        <v>274</v>
      </c>
      <c r="F19" s="133" t="s">
        <v>272</v>
      </c>
      <c r="G19" s="133" t="s">
        <v>36</v>
      </c>
      <c r="H19" s="133" t="s">
        <v>167</v>
      </c>
      <c r="I19" s="133" t="s">
        <v>155</v>
      </c>
      <c r="J19" s="133" t="s">
        <v>38</v>
      </c>
      <c r="K19" s="133" t="s">
        <v>156</v>
      </c>
      <c r="L19" s="208">
        <v>3</v>
      </c>
      <c r="M19" s="208"/>
      <c r="N19" s="208">
        <v>1</v>
      </c>
      <c r="O19" s="208">
        <v>0.4</v>
      </c>
      <c r="P19" s="208">
        <v>0.35</v>
      </c>
      <c r="Q19" s="134">
        <f t="shared" si="0"/>
        <v>0.375</v>
      </c>
      <c r="R19" s="208">
        <v>16.100000000000001</v>
      </c>
      <c r="S19" s="208">
        <v>161</v>
      </c>
      <c r="T19" s="135">
        <f t="shared" si="1"/>
        <v>30</v>
      </c>
      <c r="U19" s="208">
        <v>148</v>
      </c>
      <c r="V19" s="155">
        <f t="shared" si="2"/>
        <v>4440</v>
      </c>
      <c r="W19" s="208">
        <v>6</v>
      </c>
      <c r="X19" s="133" t="s">
        <v>46</v>
      </c>
      <c r="Y19" s="208" t="s">
        <v>97</v>
      </c>
      <c r="Z19" s="208" t="s">
        <v>78</v>
      </c>
      <c r="AA19" s="214" t="s">
        <v>86</v>
      </c>
      <c r="AB19" s="220" t="s">
        <v>327</v>
      </c>
      <c r="AC19" s="196"/>
      <c r="AE19" s="197" t="s">
        <v>89</v>
      </c>
      <c r="AP19" s="200" t="s">
        <v>112</v>
      </c>
      <c r="AR19" s="192" t="s">
        <v>126</v>
      </c>
      <c r="AV19" s="185" t="s">
        <v>90</v>
      </c>
    </row>
    <row r="20" spans="1:48" x14ac:dyDescent="0.15">
      <c r="A20" s="133" t="s">
        <v>34</v>
      </c>
      <c r="B20" s="133" t="s">
        <v>325</v>
      </c>
      <c r="C20" s="133">
        <v>2018</v>
      </c>
      <c r="D20" s="233" t="s">
        <v>465</v>
      </c>
      <c r="E20" s="208" t="s">
        <v>461</v>
      </c>
      <c r="F20" s="133" t="s">
        <v>481</v>
      </c>
      <c r="G20" s="133" t="s">
        <v>36</v>
      </c>
      <c r="H20" s="133" t="s">
        <v>157</v>
      </c>
      <c r="I20" s="133" t="s">
        <v>155</v>
      </c>
      <c r="J20" s="133" t="s">
        <v>38</v>
      </c>
      <c r="K20" s="133" t="s">
        <v>156</v>
      </c>
      <c r="L20" s="208">
        <v>1</v>
      </c>
      <c r="M20" s="208"/>
      <c r="N20" s="208">
        <v>1</v>
      </c>
      <c r="O20" s="208">
        <v>0.45</v>
      </c>
      <c r="P20" s="208">
        <v>0.4</v>
      </c>
      <c r="Q20" s="134">
        <f t="shared" si="0"/>
        <v>0.42500000000000004</v>
      </c>
      <c r="R20" s="208">
        <v>14.3</v>
      </c>
      <c r="S20" s="214">
        <v>127</v>
      </c>
      <c r="T20" s="135">
        <f t="shared" si="1"/>
        <v>30</v>
      </c>
      <c r="U20" s="208">
        <v>128</v>
      </c>
      <c r="V20" s="155">
        <f t="shared" si="2"/>
        <v>3840</v>
      </c>
      <c r="W20" s="208">
        <v>10</v>
      </c>
      <c r="X20" s="133" t="s">
        <v>46</v>
      </c>
      <c r="Y20" s="208" t="s">
        <v>97</v>
      </c>
      <c r="Z20" s="208" t="s">
        <v>40</v>
      </c>
      <c r="AA20" s="214" t="s">
        <v>78</v>
      </c>
      <c r="AB20" s="220" t="s">
        <v>327</v>
      </c>
      <c r="AE20" s="197"/>
      <c r="AP20" s="200" t="s">
        <v>113</v>
      </c>
      <c r="AR20" s="199" t="s">
        <v>105</v>
      </c>
      <c r="AV20" s="189" t="s">
        <v>334</v>
      </c>
    </row>
    <row r="21" spans="1:48" x14ac:dyDescent="0.15">
      <c r="A21" s="133" t="s">
        <v>34</v>
      </c>
      <c r="B21" s="133" t="s">
        <v>325</v>
      </c>
      <c r="C21" s="208">
        <v>2018</v>
      </c>
      <c r="D21" s="233" t="s">
        <v>465</v>
      </c>
      <c r="E21" s="208" t="s">
        <v>461</v>
      </c>
      <c r="F21" s="133" t="s">
        <v>481</v>
      </c>
      <c r="G21" s="133" t="s">
        <v>36</v>
      </c>
      <c r="H21" s="133" t="s">
        <v>157</v>
      </c>
      <c r="I21" s="133" t="s">
        <v>155</v>
      </c>
      <c r="J21" s="133" t="s">
        <v>38</v>
      </c>
      <c r="K21" s="133" t="s">
        <v>156</v>
      </c>
      <c r="L21" s="208">
        <v>2</v>
      </c>
      <c r="M21" s="208"/>
      <c r="N21" s="208">
        <v>1</v>
      </c>
      <c r="O21" s="208">
        <v>0.35</v>
      </c>
      <c r="P21" s="208">
        <v>0.4</v>
      </c>
      <c r="Q21" s="134">
        <f t="shared" si="0"/>
        <v>0.375</v>
      </c>
      <c r="R21" s="214">
        <v>14.5</v>
      </c>
      <c r="S21" s="208">
        <v>131</v>
      </c>
      <c r="T21" s="135">
        <f t="shared" si="1"/>
        <v>30</v>
      </c>
      <c r="U21" s="208">
        <v>128</v>
      </c>
      <c r="V21" s="155">
        <f t="shared" si="2"/>
        <v>3840</v>
      </c>
      <c r="W21" s="208">
        <v>10</v>
      </c>
      <c r="X21" s="133" t="s">
        <v>46</v>
      </c>
      <c r="Y21" s="208" t="s">
        <v>97</v>
      </c>
      <c r="Z21" s="208" t="s">
        <v>40</v>
      </c>
      <c r="AA21" s="214" t="s">
        <v>78</v>
      </c>
      <c r="AB21" s="220" t="s">
        <v>327</v>
      </c>
      <c r="AE21" s="190"/>
      <c r="AP21" s="200" t="s">
        <v>114</v>
      </c>
      <c r="AR21" s="199" t="s">
        <v>68</v>
      </c>
      <c r="AV21" s="189" t="s">
        <v>335</v>
      </c>
    </row>
    <row r="22" spans="1:48" x14ac:dyDescent="0.15">
      <c r="A22" s="133" t="s">
        <v>34</v>
      </c>
      <c r="B22" s="133" t="s">
        <v>325</v>
      </c>
      <c r="C22" s="133">
        <v>2018</v>
      </c>
      <c r="D22" s="233" t="s">
        <v>465</v>
      </c>
      <c r="E22" s="208" t="s">
        <v>461</v>
      </c>
      <c r="F22" s="133" t="s">
        <v>481</v>
      </c>
      <c r="G22" s="133" t="s">
        <v>36</v>
      </c>
      <c r="H22" s="133" t="s">
        <v>157</v>
      </c>
      <c r="I22" s="133" t="s">
        <v>155</v>
      </c>
      <c r="J22" s="133" t="s">
        <v>38</v>
      </c>
      <c r="K22" s="133" t="s">
        <v>156</v>
      </c>
      <c r="L22" s="208">
        <v>3</v>
      </c>
      <c r="M22" s="208"/>
      <c r="N22" s="208">
        <v>1</v>
      </c>
      <c r="O22" s="208">
        <v>0.4</v>
      </c>
      <c r="P22" s="136">
        <v>0.4</v>
      </c>
      <c r="Q22" s="134">
        <f t="shared" si="0"/>
        <v>0.4</v>
      </c>
      <c r="R22" s="208">
        <v>14.2</v>
      </c>
      <c r="S22" s="208">
        <v>124</v>
      </c>
      <c r="T22" s="135">
        <f t="shared" si="1"/>
        <v>30</v>
      </c>
      <c r="U22" s="208">
        <v>128</v>
      </c>
      <c r="V22" s="155">
        <f t="shared" si="2"/>
        <v>3840</v>
      </c>
      <c r="W22" s="208">
        <v>10</v>
      </c>
      <c r="X22" s="133" t="s">
        <v>46</v>
      </c>
      <c r="Y22" s="208" t="s">
        <v>97</v>
      </c>
      <c r="Z22" s="208" t="s">
        <v>40</v>
      </c>
      <c r="AA22" s="214" t="s">
        <v>78</v>
      </c>
      <c r="AB22" s="220" t="s">
        <v>327</v>
      </c>
      <c r="AP22" s="200" t="s">
        <v>115</v>
      </c>
      <c r="AR22" s="199" t="s">
        <v>83</v>
      </c>
      <c r="AV22" s="185"/>
    </row>
    <row r="23" spans="1:48" x14ac:dyDescent="0.15">
      <c r="A23" s="133" t="s">
        <v>34</v>
      </c>
      <c r="B23" s="133" t="s">
        <v>325</v>
      </c>
      <c r="C23" s="208">
        <v>2018</v>
      </c>
      <c r="D23" s="233" t="s">
        <v>465</v>
      </c>
      <c r="E23" s="208" t="s">
        <v>461</v>
      </c>
      <c r="F23" s="133" t="s">
        <v>481</v>
      </c>
      <c r="G23" s="133" t="s">
        <v>36</v>
      </c>
      <c r="H23" s="133" t="s">
        <v>167</v>
      </c>
      <c r="I23" s="133" t="s">
        <v>155</v>
      </c>
      <c r="J23" s="133" t="s">
        <v>38</v>
      </c>
      <c r="K23" s="133" t="s">
        <v>156</v>
      </c>
      <c r="L23" s="208">
        <v>1</v>
      </c>
      <c r="M23" s="208"/>
      <c r="N23" s="208">
        <v>1</v>
      </c>
      <c r="O23" s="208">
        <v>0.35</v>
      </c>
      <c r="P23" s="136">
        <v>0.3</v>
      </c>
      <c r="Q23" s="134">
        <f t="shared" si="0"/>
        <v>0.32499999999999996</v>
      </c>
      <c r="R23" s="208">
        <v>16.5</v>
      </c>
      <c r="S23" s="208">
        <v>170</v>
      </c>
      <c r="T23" s="135">
        <f t="shared" si="1"/>
        <v>30</v>
      </c>
      <c r="U23" s="208">
        <v>138</v>
      </c>
      <c r="V23" s="155">
        <f t="shared" si="2"/>
        <v>4140</v>
      </c>
      <c r="W23" s="208">
        <v>10</v>
      </c>
      <c r="X23" s="133" t="s">
        <v>46</v>
      </c>
      <c r="Y23" s="208" t="s">
        <v>97</v>
      </c>
      <c r="Z23" s="208" t="s">
        <v>40</v>
      </c>
      <c r="AA23" s="214" t="s">
        <v>78</v>
      </c>
      <c r="AB23" s="220" t="s">
        <v>327</v>
      </c>
      <c r="AP23" s="200" t="s">
        <v>381</v>
      </c>
      <c r="AR23" s="199" t="s">
        <v>61</v>
      </c>
      <c r="AV23" s="185"/>
    </row>
    <row r="24" spans="1:48" x14ac:dyDescent="0.15">
      <c r="A24" s="133" t="s">
        <v>34</v>
      </c>
      <c r="B24" s="133" t="s">
        <v>325</v>
      </c>
      <c r="C24" s="133">
        <v>2018</v>
      </c>
      <c r="D24" s="233" t="s">
        <v>465</v>
      </c>
      <c r="E24" s="208" t="s">
        <v>461</v>
      </c>
      <c r="F24" s="133" t="s">
        <v>481</v>
      </c>
      <c r="G24" s="133" t="s">
        <v>36</v>
      </c>
      <c r="H24" s="133" t="s">
        <v>167</v>
      </c>
      <c r="I24" s="133" t="s">
        <v>155</v>
      </c>
      <c r="J24" s="133" t="s">
        <v>38</v>
      </c>
      <c r="K24" s="133" t="s">
        <v>156</v>
      </c>
      <c r="L24" s="208">
        <v>2</v>
      </c>
      <c r="M24" s="208"/>
      <c r="N24" s="208">
        <v>1</v>
      </c>
      <c r="O24" s="208">
        <v>0.35</v>
      </c>
      <c r="P24" s="136">
        <v>0.3</v>
      </c>
      <c r="Q24" s="134">
        <f t="shared" si="0"/>
        <v>0.32499999999999996</v>
      </c>
      <c r="R24" s="208">
        <v>17.2</v>
      </c>
      <c r="S24" s="208">
        <v>164</v>
      </c>
      <c r="T24" s="135">
        <f t="shared" si="1"/>
        <v>30</v>
      </c>
      <c r="U24" s="208">
        <v>138</v>
      </c>
      <c r="V24" s="155">
        <f t="shared" si="2"/>
        <v>4140</v>
      </c>
      <c r="W24" s="208">
        <v>10</v>
      </c>
      <c r="X24" s="133" t="s">
        <v>46</v>
      </c>
      <c r="Y24" s="208" t="s">
        <v>97</v>
      </c>
      <c r="Z24" s="208" t="s">
        <v>40</v>
      </c>
      <c r="AA24" s="214" t="s">
        <v>78</v>
      </c>
      <c r="AB24" s="220" t="s">
        <v>327</v>
      </c>
      <c r="AP24" s="200" t="s">
        <v>382</v>
      </c>
      <c r="AR24" s="199" t="s">
        <v>91</v>
      </c>
      <c r="AV24" s="185"/>
    </row>
    <row r="25" spans="1:48" x14ac:dyDescent="0.15">
      <c r="A25" s="133" t="s">
        <v>34</v>
      </c>
      <c r="B25" s="133" t="s">
        <v>325</v>
      </c>
      <c r="C25" s="208">
        <v>2018</v>
      </c>
      <c r="D25" s="233" t="s">
        <v>465</v>
      </c>
      <c r="E25" s="208" t="s">
        <v>461</v>
      </c>
      <c r="F25" s="133" t="s">
        <v>481</v>
      </c>
      <c r="G25" s="133" t="s">
        <v>36</v>
      </c>
      <c r="H25" s="133" t="s">
        <v>167</v>
      </c>
      <c r="I25" s="133" t="s">
        <v>155</v>
      </c>
      <c r="J25" s="133" t="s">
        <v>38</v>
      </c>
      <c r="K25" s="133" t="s">
        <v>156</v>
      </c>
      <c r="L25" s="208">
        <v>3</v>
      </c>
      <c r="M25" s="208"/>
      <c r="N25" s="208">
        <v>1</v>
      </c>
      <c r="O25" s="208">
        <v>0.3</v>
      </c>
      <c r="P25" s="136">
        <v>0.25</v>
      </c>
      <c r="Q25" s="134">
        <f t="shared" si="0"/>
        <v>0.27500000000000002</v>
      </c>
      <c r="R25" s="208">
        <v>16.8</v>
      </c>
      <c r="S25" s="208">
        <v>163</v>
      </c>
      <c r="T25" s="135">
        <f t="shared" si="1"/>
        <v>30</v>
      </c>
      <c r="U25" s="208">
        <v>138</v>
      </c>
      <c r="V25" s="155">
        <f t="shared" si="2"/>
        <v>4140</v>
      </c>
      <c r="W25" s="208">
        <v>10</v>
      </c>
      <c r="X25" s="133" t="s">
        <v>46</v>
      </c>
      <c r="Y25" s="208" t="s">
        <v>97</v>
      </c>
      <c r="Z25" s="208" t="s">
        <v>40</v>
      </c>
      <c r="AA25" s="214" t="s">
        <v>78</v>
      </c>
      <c r="AB25" s="220" t="s">
        <v>327</v>
      </c>
      <c r="AP25" s="200" t="s">
        <v>116</v>
      </c>
      <c r="AR25" s="42" t="s">
        <v>92</v>
      </c>
      <c r="AV25" s="185"/>
    </row>
    <row r="26" spans="1:48" x14ac:dyDescent="0.15">
      <c r="A26" s="133" t="s">
        <v>34</v>
      </c>
      <c r="B26" s="133" t="s">
        <v>325</v>
      </c>
      <c r="C26" s="133">
        <v>2018</v>
      </c>
      <c r="D26" s="233" t="s">
        <v>465</v>
      </c>
      <c r="E26" s="208" t="s">
        <v>268</v>
      </c>
      <c r="F26" s="133" t="s">
        <v>269</v>
      </c>
      <c r="G26" s="133" t="s">
        <v>42</v>
      </c>
      <c r="H26" s="133" t="s">
        <v>157</v>
      </c>
      <c r="I26" s="133" t="s">
        <v>155</v>
      </c>
      <c r="J26" s="133" t="s">
        <v>38</v>
      </c>
      <c r="K26" s="133" t="s">
        <v>156</v>
      </c>
      <c r="L26" s="208">
        <v>1</v>
      </c>
      <c r="M26" s="208"/>
      <c r="N26" s="208">
        <v>1</v>
      </c>
      <c r="O26" s="208">
        <v>0.4</v>
      </c>
      <c r="P26" s="214">
        <v>0.35</v>
      </c>
      <c r="Q26" s="134">
        <f t="shared" si="0"/>
        <v>0.375</v>
      </c>
      <c r="R26" s="208">
        <v>15.2</v>
      </c>
      <c r="S26" s="208">
        <v>133</v>
      </c>
      <c r="T26" s="135">
        <f t="shared" si="1"/>
        <v>30</v>
      </c>
      <c r="U26" s="208">
        <v>127</v>
      </c>
      <c r="V26" s="155">
        <f t="shared" si="2"/>
        <v>3810</v>
      </c>
      <c r="W26" s="208">
        <v>18</v>
      </c>
      <c r="X26" s="133" t="s">
        <v>46</v>
      </c>
      <c r="Y26" s="214" t="s">
        <v>55</v>
      </c>
      <c r="Z26" s="208" t="s">
        <v>97</v>
      </c>
      <c r="AA26" s="214" t="s">
        <v>78</v>
      </c>
      <c r="AB26" s="220" t="s">
        <v>327</v>
      </c>
      <c r="AP26" s="200" t="s">
        <v>117</v>
      </c>
      <c r="AR26" s="185" t="s">
        <v>278</v>
      </c>
      <c r="AV26" s="189"/>
    </row>
    <row r="27" spans="1:48" x14ac:dyDescent="0.15">
      <c r="A27" s="133" t="s">
        <v>34</v>
      </c>
      <c r="B27" s="133" t="s">
        <v>325</v>
      </c>
      <c r="C27" s="208">
        <v>2018</v>
      </c>
      <c r="D27" s="233" t="s">
        <v>465</v>
      </c>
      <c r="E27" s="208" t="s">
        <v>268</v>
      </c>
      <c r="F27" s="133" t="s">
        <v>269</v>
      </c>
      <c r="G27" s="133" t="s">
        <v>42</v>
      </c>
      <c r="H27" s="133" t="s">
        <v>157</v>
      </c>
      <c r="I27" s="133" t="s">
        <v>155</v>
      </c>
      <c r="J27" s="133" t="s">
        <v>38</v>
      </c>
      <c r="K27" s="133" t="s">
        <v>156</v>
      </c>
      <c r="L27" s="208">
        <v>2</v>
      </c>
      <c r="M27" s="208"/>
      <c r="N27" s="208">
        <v>1</v>
      </c>
      <c r="O27" s="136">
        <v>0.45</v>
      </c>
      <c r="P27" s="214">
        <v>0.4</v>
      </c>
      <c r="Q27" s="134">
        <f t="shared" si="0"/>
        <v>0.42500000000000004</v>
      </c>
      <c r="R27" s="208">
        <v>15.5</v>
      </c>
      <c r="S27" s="208">
        <v>136</v>
      </c>
      <c r="T27" s="135">
        <f t="shared" si="1"/>
        <v>30</v>
      </c>
      <c r="U27" s="208">
        <v>127</v>
      </c>
      <c r="V27" s="155">
        <f t="shared" si="2"/>
        <v>3810</v>
      </c>
      <c r="W27" s="208">
        <v>18</v>
      </c>
      <c r="X27" s="133" t="s">
        <v>46</v>
      </c>
      <c r="Y27" s="214" t="s">
        <v>55</v>
      </c>
      <c r="Z27" s="208" t="s">
        <v>97</v>
      </c>
      <c r="AA27" s="214" t="s">
        <v>78</v>
      </c>
      <c r="AB27" s="220" t="s">
        <v>327</v>
      </c>
      <c r="AP27" s="200" t="s">
        <v>118</v>
      </c>
      <c r="AR27" s="185"/>
    </row>
    <row r="28" spans="1:48" x14ac:dyDescent="0.15">
      <c r="A28" s="133" t="s">
        <v>34</v>
      </c>
      <c r="B28" s="133" t="s">
        <v>325</v>
      </c>
      <c r="C28" s="133">
        <v>2018</v>
      </c>
      <c r="D28" s="233" t="s">
        <v>465</v>
      </c>
      <c r="E28" s="208" t="s">
        <v>268</v>
      </c>
      <c r="F28" s="133" t="s">
        <v>269</v>
      </c>
      <c r="G28" s="133" t="s">
        <v>42</v>
      </c>
      <c r="H28" s="133" t="s">
        <v>157</v>
      </c>
      <c r="I28" s="133" t="s">
        <v>155</v>
      </c>
      <c r="J28" s="133" t="s">
        <v>38</v>
      </c>
      <c r="K28" s="133" t="s">
        <v>156</v>
      </c>
      <c r="L28" s="208">
        <v>3</v>
      </c>
      <c r="M28" s="208"/>
      <c r="N28" s="208">
        <v>1</v>
      </c>
      <c r="O28" s="136">
        <v>0.4</v>
      </c>
      <c r="P28" s="208">
        <v>0.4</v>
      </c>
      <c r="Q28" s="134">
        <f t="shared" si="0"/>
        <v>0.4</v>
      </c>
      <c r="R28" s="208">
        <v>15.4</v>
      </c>
      <c r="S28" s="208">
        <v>141</v>
      </c>
      <c r="T28" s="135">
        <f t="shared" si="1"/>
        <v>30</v>
      </c>
      <c r="U28" s="208">
        <v>127</v>
      </c>
      <c r="V28" s="155">
        <f t="shared" si="2"/>
        <v>3810</v>
      </c>
      <c r="W28" s="208">
        <v>18</v>
      </c>
      <c r="X28" s="133" t="s">
        <v>46</v>
      </c>
      <c r="Y28" s="214" t="s">
        <v>55</v>
      </c>
      <c r="Z28" s="208" t="s">
        <v>97</v>
      </c>
      <c r="AA28" s="214" t="s">
        <v>78</v>
      </c>
      <c r="AB28" s="220" t="s">
        <v>327</v>
      </c>
      <c r="AR28" s="185"/>
    </row>
    <row r="29" spans="1:48" x14ac:dyDescent="0.15">
      <c r="A29" s="133" t="s">
        <v>34</v>
      </c>
      <c r="B29" s="133" t="s">
        <v>325</v>
      </c>
      <c r="C29" s="133">
        <v>2018</v>
      </c>
      <c r="D29" s="233" t="s">
        <v>465</v>
      </c>
      <c r="E29" s="208" t="s">
        <v>268</v>
      </c>
      <c r="F29" s="133" t="s">
        <v>269</v>
      </c>
      <c r="G29" s="133" t="s">
        <v>42</v>
      </c>
      <c r="H29" s="133" t="s">
        <v>167</v>
      </c>
      <c r="I29" s="133" t="s">
        <v>155</v>
      </c>
      <c r="J29" s="133" t="s">
        <v>38</v>
      </c>
      <c r="K29" s="133" t="s">
        <v>156</v>
      </c>
      <c r="L29" s="208">
        <v>1</v>
      </c>
      <c r="M29" s="208"/>
      <c r="N29" s="208">
        <v>1</v>
      </c>
      <c r="O29" s="208">
        <v>0.55000000000000004</v>
      </c>
      <c r="P29" s="208">
        <v>0.45</v>
      </c>
      <c r="Q29" s="134">
        <f t="shared" si="0"/>
        <v>0.5</v>
      </c>
      <c r="R29" s="208">
        <v>15.5</v>
      </c>
      <c r="S29" s="208">
        <v>162</v>
      </c>
      <c r="T29" s="135">
        <f t="shared" si="1"/>
        <v>30</v>
      </c>
      <c r="U29" s="208">
        <v>127</v>
      </c>
      <c r="V29" s="155">
        <f t="shared" si="2"/>
        <v>3810</v>
      </c>
      <c r="W29" s="208">
        <v>18</v>
      </c>
      <c r="X29" s="133" t="s">
        <v>46</v>
      </c>
      <c r="Y29" s="214" t="s">
        <v>55</v>
      </c>
      <c r="Z29" s="208" t="s">
        <v>97</v>
      </c>
      <c r="AA29" s="214" t="s">
        <v>78</v>
      </c>
      <c r="AB29" s="220" t="s">
        <v>327</v>
      </c>
      <c r="AR29" s="190"/>
    </row>
    <row r="30" spans="1:48" x14ac:dyDescent="0.15">
      <c r="A30" s="133" t="s">
        <v>34</v>
      </c>
      <c r="B30" s="133" t="s">
        <v>325</v>
      </c>
      <c r="C30" s="208">
        <v>2018</v>
      </c>
      <c r="D30" s="233" t="s">
        <v>465</v>
      </c>
      <c r="E30" s="208" t="s">
        <v>268</v>
      </c>
      <c r="F30" s="133" t="s">
        <v>269</v>
      </c>
      <c r="G30" s="133" t="s">
        <v>42</v>
      </c>
      <c r="H30" s="133" t="s">
        <v>167</v>
      </c>
      <c r="I30" s="133" t="s">
        <v>155</v>
      </c>
      <c r="J30" s="133" t="s">
        <v>38</v>
      </c>
      <c r="K30" s="133" t="s">
        <v>156</v>
      </c>
      <c r="L30" s="208">
        <v>2</v>
      </c>
      <c r="M30" s="208"/>
      <c r="N30" s="208">
        <v>1</v>
      </c>
      <c r="O30" s="208">
        <v>0.45</v>
      </c>
      <c r="P30" s="208">
        <v>0.4</v>
      </c>
      <c r="Q30" s="134">
        <f t="shared" si="0"/>
        <v>0.42500000000000004</v>
      </c>
      <c r="R30" s="208">
        <v>16.100000000000001</v>
      </c>
      <c r="S30" s="208">
        <v>156</v>
      </c>
      <c r="T30" s="135">
        <f t="shared" si="1"/>
        <v>30</v>
      </c>
      <c r="U30" s="208">
        <v>127</v>
      </c>
      <c r="V30" s="155">
        <f t="shared" si="2"/>
        <v>3810</v>
      </c>
      <c r="W30" s="208">
        <v>18</v>
      </c>
      <c r="X30" s="133" t="s">
        <v>46</v>
      </c>
      <c r="Y30" s="214" t="s">
        <v>55</v>
      </c>
      <c r="Z30" s="208" t="s">
        <v>97</v>
      </c>
      <c r="AA30" s="214" t="s">
        <v>78</v>
      </c>
      <c r="AB30" s="220" t="s">
        <v>327</v>
      </c>
    </row>
    <row r="31" spans="1:48" x14ac:dyDescent="0.15">
      <c r="A31" s="133" t="s">
        <v>34</v>
      </c>
      <c r="B31" s="133" t="s">
        <v>325</v>
      </c>
      <c r="C31" s="133">
        <v>2018</v>
      </c>
      <c r="D31" s="233" t="s">
        <v>465</v>
      </c>
      <c r="E31" s="208" t="s">
        <v>268</v>
      </c>
      <c r="F31" s="133" t="s">
        <v>269</v>
      </c>
      <c r="G31" s="133" t="s">
        <v>42</v>
      </c>
      <c r="H31" s="133" t="s">
        <v>167</v>
      </c>
      <c r="I31" s="133" t="s">
        <v>155</v>
      </c>
      <c r="J31" s="133" t="s">
        <v>38</v>
      </c>
      <c r="K31" s="133" t="s">
        <v>156</v>
      </c>
      <c r="L31" s="208">
        <v>3</v>
      </c>
      <c r="M31" s="208"/>
      <c r="N31" s="208">
        <v>1</v>
      </c>
      <c r="O31" s="208">
        <v>0.45</v>
      </c>
      <c r="P31" s="208">
        <v>0.35</v>
      </c>
      <c r="Q31" s="134">
        <f t="shared" si="0"/>
        <v>0.4</v>
      </c>
      <c r="R31" s="208">
        <v>16.3</v>
      </c>
      <c r="S31" s="208">
        <v>159</v>
      </c>
      <c r="T31" s="135">
        <f t="shared" si="1"/>
        <v>30</v>
      </c>
      <c r="U31" s="208">
        <v>127</v>
      </c>
      <c r="V31" s="155">
        <f t="shared" si="2"/>
        <v>3810</v>
      </c>
      <c r="W31" s="208">
        <v>18</v>
      </c>
      <c r="X31" s="133" t="s">
        <v>46</v>
      </c>
      <c r="Y31" s="214" t="s">
        <v>55</v>
      </c>
      <c r="Z31" s="208" t="s">
        <v>97</v>
      </c>
      <c r="AA31" s="214" t="s">
        <v>78</v>
      </c>
      <c r="AB31" s="220" t="s">
        <v>327</v>
      </c>
    </row>
    <row r="32" spans="1:48" ht="14.25" customHeight="1" x14ac:dyDescent="0.15">
      <c r="A32" s="133" t="s">
        <v>34</v>
      </c>
      <c r="B32" s="133" t="s">
        <v>325</v>
      </c>
      <c r="C32" s="208">
        <v>2018</v>
      </c>
      <c r="D32" s="233" t="s">
        <v>465</v>
      </c>
      <c r="E32" s="208" t="s">
        <v>482</v>
      </c>
      <c r="F32" s="133" t="s">
        <v>269</v>
      </c>
      <c r="G32" s="133" t="s">
        <v>42</v>
      </c>
      <c r="H32" s="133" t="s">
        <v>157</v>
      </c>
      <c r="I32" s="133" t="s">
        <v>155</v>
      </c>
      <c r="J32" s="133" t="s">
        <v>38</v>
      </c>
      <c r="K32" s="133" t="s">
        <v>156</v>
      </c>
      <c r="L32" s="208">
        <v>1</v>
      </c>
      <c r="M32" s="208"/>
      <c r="N32" s="208">
        <v>1</v>
      </c>
      <c r="O32" s="208">
        <v>0.4</v>
      </c>
      <c r="P32" s="208">
        <v>0.45</v>
      </c>
      <c r="Q32" s="134">
        <f t="shared" si="0"/>
        <v>0.42500000000000004</v>
      </c>
      <c r="R32" s="208">
        <v>15.1</v>
      </c>
      <c r="S32" s="208">
        <v>133</v>
      </c>
      <c r="T32" s="135">
        <f t="shared" si="1"/>
        <v>30</v>
      </c>
      <c r="U32" s="208">
        <v>129</v>
      </c>
      <c r="V32" s="155">
        <f t="shared" si="2"/>
        <v>3870</v>
      </c>
      <c r="W32" s="208">
        <v>2</v>
      </c>
      <c r="X32" s="133" t="s">
        <v>46</v>
      </c>
      <c r="Y32" s="214" t="s">
        <v>97</v>
      </c>
      <c r="Z32" s="208" t="s">
        <v>78</v>
      </c>
      <c r="AA32" s="208" t="s">
        <v>64</v>
      </c>
      <c r="AB32" s="220" t="s">
        <v>327</v>
      </c>
    </row>
    <row r="33" spans="1:28" x14ac:dyDescent="0.15">
      <c r="A33" s="133" t="s">
        <v>34</v>
      </c>
      <c r="B33" s="133" t="s">
        <v>325</v>
      </c>
      <c r="C33" s="133">
        <v>2018</v>
      </c>
      <c r="D33" s="233" t="s">
        <v>465</v>
      </c>
      <c r="E33" s="208" t="s">
        <v>482</v>
      </c>
      <c r="F33" s="133" t="s">
        <v>269</v>
      </c>
      <c r="G33" s="133" t="s">
        <v>42</v>
      </c>
      <c r="H33" s="133" t="s">
        <v>157</v>
      </c>
      <c r="I33" s="133" t="s">
        <v>155</v>
      </c>
      <c r="J33" s="133" t="s">
        <v>38</v>
      </c>
      <c r="K33" s="133" t="s">
        <v>156</v>
      </c>
      <c r="L33" s="208">
        <v>2</v>
      </c>
      <c r="M33" s="208"/>
      <c r="N33" s="208">
        <v>1</v>
      </c>
      <c r="O33" s="208">
        <v>0.35</v>
      </c>
      <c r="P33" s="208">
        <v>0.35</v>
      </c>
      <c r="Q33" s="134">
        <f t="shared" si="0"/>
        <v>0.35</v>
      </c>
      <c r="R33" s="208">
        <v>15.3</v>
      </c>
      <c r="S33" s="208">
        <v>139</v>
      </c>
      <c r="T33" s="135">
        <f t="shared" si="1"/>
        <v>30</v>
      </c>
      <c r="U33" s="208">
        <v>129</v>
      </c>
      <c r="V33" s="155">
        <f t="shared" si="2"/>
        <v>3870</v>
      </c>
      <c r="W33" s="208">
        <v>2</v>
      </c>
      <c r="X33" s="133" t="s">
        <v>46</v>
      </c>
      <c r="Y33" s="214" t="s">
        <v>97</v>
      </c>
      <c r="Z33" s="208" t="s">
        <v>78</v>
      </c>
      <c r="AA33" s="208" t="s">
        <v>64</v>
      </c>
      <c r="AB33" s="220" t="s">
        <v>327</v>
      </c>
    </row>
    <row r="34" spans="1:28" x14ac:dyDescent="0.15">
      <c r="A34" s="133" t="s">
        <v>34</v>
      </c>
      <c r="B34" s="133" t="s">
        <v>325</v>
      </c>
      <c r="C34" s="208">
        <v>2018</v>
      </c>
      <c r="D34" s="233" t="s">
        <v>465</v>
      </c>
      <c r="E34" s="208" t="s">
        <v>482</v>
      </c>
      <c r="F34" s="133" t="s">
        <v>269</v>
      </c>
      <c r="G34" s="133" t="s">
        <v>42</v>
      </c>
      <c r="H34" s="133" t="s">
        <v>157</v>
      </c>
      <c r="I34" s="133" t="s">
        <v>155</v>
      </c>
      <c r="J34" s="133" t="s">
        <v>38</v>
      </c>
      <c r="K34" s="133" t="s">
        <v>156</v>
      </c>
      <c r="L34" s="208">
        <v>3</v>
      </c>
      <c r="M34" s="208"/>
      <c r="N34" s="208">
        <v>1</v>
      </c>
      <c r="O34" s="208">
        <v>0.4</v>
      </c>
      <c r="P34" s="136">
        <v>0.45</v>
      </c>
      <c r="Q34" s="134">
        <f t="shared" si="0"/>
        <v>0.42500000000000004</v>
      </c>
      <c r="R34" s="208">
        <v>14.8</v>
      </c>
      <c r="S34" s="208">
        <v>140</v>
      </c>
      <c r="T34" s="135">
        <f t="shared" si="1"/>
        <v>30</v>
      </c>
      <c r="U34" s="208">
        <v>129</v>
      </c>
      <c r="V34" s="155">
        <f t="shared" si="2"/>
        <v>3870</v>
      </c>
      <c r="W34" s="208">
        <v>2</v>
      </c>
      <c r="X34" s="133" t="s">
        <v>46</v>
      </c>
      <c r="Y34" s="214" t="s">
        <v>97</v>
      </c>
      <c r="Z34" s="208" t="s">
        <v>78</v>
      </c>
      <c r="AA34" s="208" t="s">
        <v>64</v>
      </c>
      <c r="AB34" s="220" t="s">
        <v>327</v>
      </c>
    </row>
    <row r="35" spans="1:28" x14ac:dyDescent="0.15">
      <c r="A35" s="133" t="s">
        <v>34</v>
      </c>
      <c r="B35" s="133" t="s">
        <v>325</v>
      </c>
      <c r="C35" s="133">
        <v>2018</v>
      </c>
      <c r="D35" s="233" t="s">
        <v>465</v>
      </c>
      <c r="E35" s="208" t="s">
        <v>482</v>
      </c>
      <c r="F35" s="133" t="s">
        <v>269</v>
      </c>
      <c r="G35" s="133" t="s">
        <v>42</v>
      </c>
      <c r="H35" s="133" t="s">
        <v>167</v>
      </c>
      <c r="I35" s="133" t="s">
        <v>155</v>
      </c>
      <c r="J35" s="133" t="s">
        <v>38</v>
      </c>
      <c r="K35" s="133" t="s">
        <v>156</v>
      </c>
      <c r="L35" s="208">
        <v>1</v>
      </c>
      <c r="M35" s="208"/>
      <c r="N35" s="208">
        <v>1</v>
      </c>
      <c r="O35" s="208">
        <v>0.35</v>
      </c>
      <c r="P35" s="208">
        <v>0.4</v>
      </c>
      <c r="Q35" s="134">
        <f t="shared" si="0"/>
        <v>0.375</v>
      </c>
      <c r="R35" s="208">
        <v>15</v>
      </c>
      <c r="S35" s="208">
        <v>141</v>
      </c>
      <c r="T35" s="135">
        <f t="shared" si="1"/>
        <v>30</v>
      </c>
      <c r="U35" s="208">
        <v>129</v>
      </c>
      <c r="V35" s="155">
        <f t="shared" si="2"/>
        <v>3870</v>
      </c>
      <c r="W35" s="208">
        <v>2</v>
      </c>
      <c r="X35" s="133" t="s">
        <v>46</v>
      </c>
      <c r="Y35" s="208" t="s">
        <v>97</v>
      </c>
      <c r="Z35" s="208" t="s">
        <v>78</v>
      </c>
      <c r="AA35" s="208" t="s">
        <v>64</v>
      </c>
      <c r="AB35" s="220" t="s">
        <v>327</v>
      </c>
    </row>
    <row r="36" spans="1:28" x14ac:dyDescent="0.15">
      <c r="A36" s="133" t="s">
        <v>34</v>
      </c>
      <c r="B36" s="133" t="s">
        <v>325</v>
      </c>
      <c r="C36" s="208">
        <v>2018</v>
      </c>
      <c r="D36" s="233" t="s">
        <v>465</v>
      </c>
      <c r="E36" s="208" t="s">
        <v>482</v>
      </c>
      <c r="F36" s="133" t="s">
        <v>269</v>
      </c>
      <c r="G36" s="133" t="s">
        <v>42</v>
      </c>
      <c r="H36" s="133" t="s">
        <v>167</v>
      </c>
      <c r="I36" s="133" t="s">
        <v>155</v>
      </c>
      <c r="J36" s="133" t="s">
        <v>38</v>
      </c>
      <c r="K36" s="133" t="s">
        <v>156</v>
      </c>
      <c r="L36" s="208">
        <v>2</v>
      </c>
      <c r="M36" s="208"/>
      <c r="N36" s="208">
        <v>1</v>
      </c>
      <c r="O36" s="208">
        <v>0.35</v>
      </c>
      <c r="P36" s="208">
        <v>0.3</v>
      </c>
      <c r="Q36" s="134">
        <f t="shared" si="0"/>
        <v>0.32499999999999996</v>
      </c>
      <c r="R36" s="208">
        <v>16.100000000000001</v>
      </c>
      <c r="S36" s="208">
        <v>139</v>
      </c>
      <c r="T36" s="135">
        <f t="shared" si="1"/>
        <v>30</v>
      </c>
      <c r="U36" s="208">
        <v>129</v>
      </c>
      <c r="V36" s="155">
        <f t="shared" si="2"/>
        <v>3870</v>
      </c>
      <c r="W36" s="208">
        <v>2</v>
      </c>
      <c r="X36" s="133" t="s">
        <v>46</v>
      </c>
      <c r="Y36" s="208" t="s">
        <v>97</v>
      </c>
      <c r="Z36" s="208" t="s">
        <v>78</v>
      </c>
      <c r="AA36" s="208" t="s">
        <v>64</v>
      </c>
      <c r="AB36" s="220" t="s">
        <v>327</v>
      </c>
    </row>
    <row r="37" spans="1:28" x14ac:dyDescent="0.15">
      <c r="A37" s="133" t="s">
        <v>34</v>
      </c>
      <c r="B37" s="133" t="s">
        <v>325</v>
      </c>
      <c r="C37" s="133">
        <v>2018</v>
      </c>
      <c r="D37" s="233" t="s">
        <v>465</v>
      </c>
      <c r="E37" s="208" t="s">
        <v>482</v>
      </c>
      <c r="F37" s="133" t="s">
        <v>269</v>
      </c>
      <c r="G37" s="133" t="s">
        <v>42</v>
      </c>
      <c r="H37" s="133" t="s">
        <v>167</v>
      </c>
      <c r="I37" s="133" t="s">
        <v>155</v>
      </c>
      <c r="J37" s="133" t="s">
        <v>38</v>
      </c>
      <c r="K37" s="133" t="s">
        <v>156</v>
      </c>
      <c r="L37" s="208">
        <v>3</v>
      </c>
      <c r="M37" s="208"/>
      <c r="N37" s="208">
        <v>1</v>
      </c>
      <c r="O37" s="208">
        <v>0.4</v>
      </c>
      <c r="P37" s="208">
        <v>0.35</v>
      </c>
      <c r="Q37" s="134">
        <f t="shared" si="0"/>
        <v>0.375</v>
      </c>
      <c r="R37" s="208">
        <v>15.5</v>
      </c>
      <c r="S37" s="208">
        <v>133</v>
      </c>
      <c r="T37" s="135">
        <f t="shared" si="1"/>
        <v>30</v>
      </c>
      <c r="U37" s="208">
        <v>129</v>
      </c>
      <c r="V37" s="155">
        <f t="shared" si="2"/>
        <v>3870</v>
      </c>
      <c r="W37" s="208">
        <v>2</v>
      </c>
      <c r="X37" s="133" t="s">
        <v>46</v>
      </c>
      <c r="Y37" s="208" t="s">
        <v>97</v>
      </c>
      <c r="Z37" s="208" t="s">
        <v>78</v>
      </c>
      <c r="AA37" s="208" t="s">
        <v>64</v>
      </c>
      <c r="AB37" s="220" t="s">
        <v>327</v>
      </c>
    </row>
    <row r="38" spans="1:28" x14ac:dyDescent="0.15">
      <c r="A38" s="133" t="s">
        <v>34</v>
      </c>
      <c r="B38" s="133" t="s">
        <v>325</v>
      </c>
      <c r="C38" s="208">
        <v>2018</v>
      </c>
      <c r="D38" s="233" t="s">
        <v>465</v>
      </c>
      <c r="E38" s="208" t="s">
        <v>268</v>
      </c>
      <c r="F38" s="133" t="s">
        <v>276</v>
      </c>
      <c r="G38" s="133" t="s">
        <v>42</v>
      </c>
      <c r="H38" s="133" t="s">
        <v>157</v>
      </c>
      <c r="I38" s="133" t="s">
        <v>155</v>
      </c>
      <c r="J38" s="133" t="s">
        <v>38</v>
      </c>
      <c r="K38" s="133" t="s">
        <v>156</v>
      </c>
      <c r="L38" s="208">
        <v>1</v>
      </c>
      <c r="M38" s="208"/>
      <c r="N38" s="208">
        <v>1</v>
      </c>
      <c r="O38" s="208">
        <v>0.4</v>
      </c>
      <c r="P38" s="208">
        <v>0.35</v>
      </c>
      <c r="Q38" s="134">
        <f t="shared" si="0"/>
        <v>0.375</v>
      </c>
      <c r="R38" s="208">
        <v>15.7</v>
      </c>
      <c r="S38" s="208">
        <v>144</v>
      </c>
      <c r="T38" s="135">
        <f t="shared" si="1"/>
        <v>30</v>
      </c>
      <c r="U38" s="208">
        <v>127</v>
      </c>
      <c r="V38" s="155">
        <f t="shared" si="2"/>
        <v>3810</v>
      </c>
      <c r="W38" s="208">
        <v>20</v>
      </c>
      <c r="X38" s="133" t="s">
        <v>46</v>
      </c>
      <c r="Y38" s="208" t="s">
        <v>55</v>
      </c>
      <c r="Z38" s="208" t="s">
        <v>69</v>
      </c>
      <c r="AA38" s="208" t="s">
        <v>86</v>
      </c>
      <c r="AB38" s="220" t="s">
        <v>327</v>
      </c>
    </row>
    <row r="39" spans="1:28" x14ac:dyDescent="0.15">
      <c r="A39" s="133" t="s">
        <v>34</v>
      </c>
      <c r="B39" s="133" t="s">
        <v>325</v>
      </c>
      <c r="C39" s="133">
        <v>2018</v>
      </c>
      <c r="D39" s="233" t="s">
        <v>465</v>
      </c>
      <c r="E39" s="208" t="s">
        <v>268</v>
      </c>
      <c r="F39" s="133" t="s">
        <v>276</v>
      </c>
      <c r="G39" s="133" t="s">
        <v>42</v>
      </c>
      <c r="H39" s="133" t="s">
        <v>157</v>
      </c>
      <c r="I39" s="133" t="s">
        <v>155</v>
      </c>
      <c r="J39" s="133" t="s">
        <v>38</v>
      </c>
      <c r="K39" s="133" t="s">
        <v>156</v>
      </c>
      <c r="L39" s="208">
        <v>2</v>
      </c>
      <c r="M39" s="208"/>
      <c r="N39" s="208">
        <v>1</v>
      </c>
      <c r="O39" s="208">
        <v>0.4</v>
      </c>
      <c r="P39" s="208">
        <v>0.4</v>
      </c>
      <c r="Q39" s="134">
        <f t="shared" si="0"/>
        <v>0.4</v>
      </c>
      <c r="R39" s="208">
        <v>15.2</v>
      </c>
      <c r="S39" s="208">
        <v>148</v>
      </c>
      <c r="T39" s="135">
        <f t="shared" si="1"/>
        <v>30</v>
      </c>
      <c r="U39" s="208">
        <v>127</v>
      </c>
      <c r="V39" s="155">
        <f t="shared" si="2"/>
        <v>3810</v>
      </c>
      <c r="W39" s="208">
        <v>20</v>
      </c>
      <c r="X39" s="133" t="s">
        <v>46</v>
      </c>
      <c r="Y39" s="208" t="s">
        <v>55</v>
      </c>
      <c r="Z39" s="208" t="s">
        <v>69</v>
      </c>
      <c r="AA39" s="208" t="s">
        <v>86</v>
      </c>
      <c r="AB39" s="220" t="s">
        <v>327</v>
      </c>
    </row>
    <row r="40" spans="1:28" ht="12.75" customHeight="1" x14ac:dyDescent="0.15">
      <c r="A40" s="133" t="s">
        <v>34</v>
      </c>
      <c r="B40" s="133" t="s">
        <v>325</v>
      </c>
      <c r="C40" s="208">
        <v>2018</v>
      </c>
      <c r="D40" s="233" t="s">
        <v>465</v>
      </c>
      <c r="E40" s="208" t="s">
        <v>268</v>
      </c>
      <c r="F40" s="133" t="s">
        <v>276</v>
      </c>
      <c r="G40" s="133" t="s">
        <v>42</v>
      </c>
      <c r="H40" s="133" t="s">
        <v>157</v>
      </c>
      <c r="I40" s="133" t="s">
        <v>155</v>
      </c>
      <c r="J40" s="133" t="s">
        <v>38</v>
      </c>
      <c r="K40" s="133" t="s">
        <v>156</v>
      </c>
      <c r="L40" s="208">
        <v>3</v>
      </c>
      <c r="M40" s="208"/>
      <c r="N40" s="208">
        <v>1</v>
      </c>
      <c r="O40" s="208">
        <v>0.45</v>
      </c>
      <c r="P40" s="208">
        <v>0.4</v>
      </c>
      <c r="Q40" s="134">
        <f t="shared" si="0"/>
        <v>0.42500000000000004</v>
      </c>
      <c r="R40" s="208">
        <v>15.5</v>
      </c>
      <c r="S40" s="208">
        <v>141</v>
      </c>
      <c r="T40" s="135">
        <f t="shared" si="1"/>
        <v>30</v>
      </c>
      <c r="U40" s="208">
        <v>127</v>
      </c>
      <c r="V40" s="155">
        <f t="shared" si="2"/>
        <v>3810</v>
      </c>
      <c r="W40" s="208">
        <v>20</v>
      </c>
      <c r="X40" s="133" t="s">
        <v>46</v>
      </c>
      <c r="Y40" s="208" t="s">
        <v>55</v>
      </c>
      <c r="Z40" s="208" t="s">
        <v>69</v>
      </c>
      <c r="AA40" s="208" t="s">
        <v>86</v>
      </c>
      <c r="AB40" s="220" t="s">
        <v>327</v>
      </c>
    </row>
    <row r="41" spans="1:28" ht="12.75" customHeight="1" x14ac:dyDescent="0.15">
      <c r="A41" s="133" t="s">
        <v>34</v>
      </c>
      <c r="B41" s="133" t="s">
        <v>325</v>
      </c>
      <c r="C41" s="208">
        <v>2018</v>
      </c>
      <c r="D41" s="233" t="s">
        <v>465</v>
      </c>
      <c r="E41" s="208" t="s">
        <v>268</v>
      </c>
      <c r="F41" s="133" t="s">
        <v>276</v>
      </c>
      <c r="G41" s="133" t="s">
        <v>42</v>
      </c>
      <c r="H41" s="133" t="s">
        <v>167</v>
      </c>
      <c r="I41" s="133" t="s">
        <v>155</v>
      </c>
      <c r="J41" s="133" t="s">
        <v>38</v>
      </c>
      <c r="K41" s="133" t="s">
        <v>156</v>
      </c>
      <c r="L41" s="208">
        <v>1</v>
      </c>
      <c r="M41" s="208"/>
      <c r="N41" s="208">
        <v>1</v>
      </c>
      <c r="O41" s="208">
        <v>0.35</v>
      </c>
      <c r="P41" s="208">
        <v>0.4</v>
      </c>
      <c r="Q41" s="134">
        <f t="shared" si="0"/>
        <v>0.375</v>
      </c>
      <c r="R41" s="208">
        <v>16.2</v>
      </c>
      <c r="S41" s="208">
        <v>163</v>
      </c>
      <c r="T41" s="135">
        <f t="shared" si="1"/>
        <v>30</v>
      </c>
      <c r="U41" s="208">
        <v>127</v>
      </c>
      <c r="V41" s="155">
        <f t="shared" si="2"/>
        <v>3810</v>
      </c>
      <c r="W41" s="208">
        <v>20</v>
      </c>
      <c r="X41" s="133" t="s">
        <v>46</v>
      </c>
      <c r="Y41" s="208" t="s">
        <v>55</v>
      </c>
      <c r="Z41" s="208" t="s">
        <v>69</v>
      </c>
      <c r="AA41" s="208" t="s">
        <v>86</v>
      </c>
      <c r="AB41" s="220" t="s">
        <v>327</v>
      </c>
    </row>
    <row r="42" spans="1:28" ht="12.75" customHeight="1" x14ac:dyDescent="0.15">
      <c r="A42" s="133" t="s">
        <v>34</v>
      </c>
      <c r="B42" s="133" t="s">
        <v>325</v>
      </c>
      <c r="C42" s="208">
        <v>2018</v>
      </c>
      <c r="D42" s="233" t="s">
        <v>465</v>
      </c>
      <c r="E42" s="208" t="s">
        <v>268</v>
      </c>
      <c r="F42" s="133" t="s">
        <v>276</v>
      </c>
      <c r="G42" s="133" t="s">
        <v>42</v>
      </c>
      <c r="H42" s="133" t="s">
        <v>167</v>
      </c>
      <c r="I42" s="133" t="s">
        <v>155</v>
      </c>
      <c r="J42" s="133" t="s">
        <v>38</v>
      </c>
      <c r="K42" s="133" t="s">
        <v>156</v>
      </c>
      <c r="L42" s="208">
        <v>2</v>
      </c>
      <c r="M42" s="208"/>
      <c r="N42" s="208">
        <v>1</v>
      </c>
      <c r="O42" s="208">
        <v>0.35</v>
      </c>
      <c r="P42" s="208">
        <v>0.35</v>
      </c>
      <c r="Q42" s="134">
        <f t="shared" si="0"/>
        <v>0.35</v>
      </c>
      <c r="R42" s="208">
        <v>15.6</v>
      </c>
      <c r="S42" s="208">
        <v>148</v>
      </c>
      <c r="T42" s="135">
        <f t="shared" si="1"/>
        <v>30</v>
      </c>
      <c r="U42" s="208">
        <v>127</v>
      </c>
      <c r="V42" s="155">
        <f t="shared" si="2"/>
        <v>3810</v>
      </c>
      <c r="W42" s="208">
        <v>20</v>
      </c>
      <c r="X42" s="133" t="s">
        <v>46</v>
      </c>
      <c r="Y42" s="208" t="s">
        <v>55</v>
      </c>
      <c r="Z42" s="208" t="s">
        <v>69</v>
      </c>
      <c r="AA42" s="208" t="s">
        <v>86</v>
      </c>
      <c r="AB42" s="220" t="s">
        <v>327</v>
      </c>
    </row>
    <row r="43" spans="1:28" ht="12.75" customHeight="1" x14ac:dyDescent="0.15">
      <c r="A43" s="133" t="s">
        <v>34</v>
      </c>
      <c r="B43" s="133" t="s">
        <v>325</v>
      </c>
      <c r="C43" s="208">
        <v>2018</v>
      </c>
      <c r="D43" s="233" t="s">
        <v>465</v>
      </c>
      <c r="E43" s="208" t="s">
        <v>268</v>
      </c>
      <c r="F43" s="133" t="s">
        <v>276</v>
      </c>
      <c r="G43" s="133" t="s">
        <v>42</v>
      </c>
      <c r="H43" s="133" t="s">
        <v>167</v>
      </c>
      <c r="I43" s="133" t="s">
        <v>155</v>
      </c>
      <c r="J43" s="133" t="s">
        <v>38</v>
      </c>
      <c r="K43" s="133" t="s">
        <v>156</v>
      </c>
      <c r="L43" s="208">
        <v>3</v>
      </c>
      <c r="M43" s="208"/>
      <c r="N43" s="208">
        <v>1</v>
      </c>
      <c r="O43" s="208">
        <v>0.4</v>
      </c>
      <c r="P43" s="208">
        <v>0.4</v>
      </c>
      <c r="Q43" s="134">
        <f t="shared" si="0"/>
        <v>0.4</v>
      </c>
      <c r="R43" s="208">
        <v>15.4</v>
      </c>
      <c r="S43" s="208">
        <v>173</v>
      </c>
      <c r="T43" s="135">
        <f t="shared" si="1"/>
        <v>30</v>
      </c>
      <c r="U43" s="208">
        <v>127</v>
      </c>
      <c r="V43" s="155">
        <f t="shared" si="2"/>
        <v>3810</v>
      </c>
      <c r="W43" s="208">
        <v>20</v>
      </c>
      <c r="X43" s="133" t="s">
        <v>46</v>
      </c>
      <c r="Y43" s="208" t="s">
        <v>55</v>
      </c>
      <c r="Z43" s="208" t="s">
        <v>69</v>
      </c>
      <c r="AA43" s="208" t="s">
        <v>86</v>
      </c>
      <c r="AB43" s="220" t="s">
        <v>327</v>
      </c>
    </row>
    <row r="44" spans="1:28" x14ac:dyDescent="0.15">
      <c r="A44" s="208" t="s">
        <v>34</v>
      </c>
      <c r="B44" s="133" t="s">
        <v>325</v>
      </c>
      <c r="C44" s="208">
        <v>2018</v>
      </c>
      <c r="D44" s="233" t="s">
        <v>465</v>
      </c>
      <c r="E44" s="208" t="s">
        <v>139</v>
      </c>
      <c r="F44" s="133" t="s">
        <v>276</v>
      </c>
      <c r="G44" s="133" t="s">
        <v>36</v>
      </c>
      <c r="H44" s="133" t="s">
        <v>157</v>
      </c>
      <c r="I44" s="133" t="s">
        <v>155</v>
      </c>
      <c r="J44" s="208" t="s">
        <v>38</v>
      </c>
      <c r="K44" s="133" t="s">
        <v>156</v>
      </c>
      <c r="L44" s="208">
        <v>1</v>
      </c>
      <c r="M44" s="208"/>
      <c r="N44" s="208">
        <v>1</v>
      </c>
      <c r="O44" s="208">
        <v>0.55000000000000004</v>
      </c>
      <c r="P44" s="208">
        <v>0.45</v>
      </c>
      <c r="Q44" s="134">
        <f t="shared" si="0"/>
        <v>0.5</v>
      </c>
      <c r="R44" s="208">
        <v>14.3</v>
      </c>
      <c r="S44" s="208">
        <v>113</v>
      </c>
      <c r="T44" s="135">
        <f t="shared" si="1"/>
        <v>30</v>
      </c>
      <c r="U44" s="208">
        <v>108</v>
      </c>
      <c r="V44" s="135">
        <f t="shared" si="2"/>
        <v>3240</v>
      </c>
      <c r="W44" s="208">
        <v>16</v>
      </c>
      <c r="X44" s="133" t="s">
        <v>46</v>
      </c>
      <c r="Y44" s="208" t="s">
        <v>64</v>
      </c>
      <c r="Z44" s="208" t="s">
        <v>86</v>
      </c>
      <c r="AA44" s="208" t="s">
        <v>97</v>
      </c>
      <c r="AB44" s="220" t="s">
        <v>327</v>
      </c>
    </row>
    <row r="45" spans="1:28" x14ac:dyDescent="0.15">
      <c r="A45" s="208" t="s">
        <v>34</v>
      </c>
      <c r="B45" s="133" t="s">
        <v>325</v>
      </c>
      <c r="C45" s="133">
        <v>2018</v>
      </c>
      <c r="D45" s="233" t="s">
        <v>465</v>
      </c>
      <c r="E45" s="208" t="s">
        <v>139</v>
      </c>
      <c r="F45" s="133" t="s">
        <v>276</v>
      </c>
      <c r="G45" s="133" t="s">
        <v>36</v>
      </c>
      <c r="H45" s="133" t="s">
        <v>157</v>
      </c>
      <c r="I45" s="133" t="s">
        <v>155</v>
      </c>
      <c r="J45" s="208" t="s">
        <v>38</v>
      </c>
      <c r="K45" s="133" t="s">
        <v>156</v>
      </c>
      <c r="L45" s="208">
        <v>2</v>
      </c>
      <c r="M45" s="208"/>
      <c r="N45" s="208">
        <v>1</v>
      </c>
      <c r="O45" s="208">
        <v>0.45</v>
      </c>
      <c r="P45" s="208">
        <v>0.45</v>
      </c>
      <c r="Q45" s="134">
        <f t="shared" si="0"/>
        <v>0.45</v>
      </c>
      <c r="R45" s="208">
        <v>14.1</v>
      </c>
      <c r="S45" s="208">
        <v>113</v>
      </c>
      <c r="T45" s="135">
        <f t="shared" si="1"/>
        <v>30</v>
      </c>
      <c r="U45" s="208">
        <v>108</v>
      </c>
      <c r="V45" s="135">
        <f t="shared" si="2"/>
        <v>3240</v>
      </c>
      <c r="W45" s="208">
        <v>16</v>
      </c>
      <c r="X45" s="133" t="s">
        <v>46</v>
      </c>
      <c r="Y45" s="208" t="s">
        <v>64</v>
      </c>
      <c r="Z45" s="208" t="s">
        <v>86</v>
      </c>
      <c r="AA45" s="208" t="s">
        <v>97</v>
      </c>
      <c r="AB45" s="220" t="s">
        <v>327</v>
      </c>
    </row>
    <row r="46" spans="1:28" x14ac:dyDescent="0.15">
      <c r="A46" s="208" t="s">
        <v>34</v>
      </c>
      <c r="B46" s="133" t="s">
        <v>325</v>
      </c>
      <c r="C46" s="208">
        <v>2018</v>
      </c>
      <c r="D46" s="233" t="s">
        <v>465</v>
      </c>
      <c r="E46" s="208" t="s">
        <v>139</v>
      </c>
      <c r="F46" s="133" t="s">
        <v>276</v>
      </c>
      <c r="G46" s="133" t="s">
        <v>36</v>
      </c>
      <c r="H46" s="133" t="s">
        <v>157</v>
      </c>
      <c r="I46" s="133" t="s">
        <v>155</v>
      </c>
      <c r="J46" s="208" t="s">
        <v>38</v>
      </c>
      <c r="K46" s="133" t="s">
        <v>156</v>
      </c>
      <c r="L46" s="208">
        <v>3</v>
      </c>
      <c r="M46" s="208"/>
      <c r="N46" s="208">
        <v>1</v>
      </c>
      <c r="O46" s="208">
        <v>0.5</v>
      </c>
      <c r="P46" s="208">
        <v>0.45</v>
      </c>
      <c r="Q46" s="134">
        <f t="shared" si="0"/>
        <v>0.47499999999999998</v>
      </c>
      <c r="R46" s="208">
        <v>15.1</v>
      </c>
      <c r="S46" s="208">
        <v>114</v>
      </c>
      <c r="T46" s="135">
        <f t="shared" si="1"/>
        <v>30</v>
      </c>
      <c r="U46" s="208">
        <v>108</v>
      </c>
      <c r="V46" s="135">
        <f t="shared" si="2"/>
        <v>3240</v>
      </c>
      <c r="W46" s="208">
        <v>16</v>
      </c>
      <c r="X46" s="133" t="s">
        <v>46</v>
      </c>
      <c r="Y46" s="208" t="s">
        <v>64</v>
      </c>
      <c r="Z46" s="208" t="s">
        <v>86</v>
      </c>
      <c r="AA46" s="208" t="s">
        <v>97</v>
      </c>
      <c r="AB46" s="220" t="s">
        <v>327</v>
      </c>
    </row>
    <row r="47" spans="1:28" x14ac:dyDescent="0.15">
      <c r="A47" s="208" t="s">
        <v>34</v>
      </c>
      <c r="B47" s="136" t="s">
        <v>325</v>
      </c>
      <c r="C47" s="208">
        <v>2018</v>
      </c>
      <c r="D47" s="233" t="s">
        <v>465</v>
      </c>
      <c r="E47" s="208" t="s">
        <v>139</v>
      </c>
      <c r="F47" s="133" t="s">
        <v>276</v>
      </c>
      <c r="G47" s="133" t="s">
        <v>36</v>
      </c>
      <c r="H47" s="133" t="s">
        <v>167</v>
      </c>
      <c r="I47" s="133" t="s">
        <v>155</v>
      </c>
      <c r="J47" s="208" t="s">
        <v>38</v>
      </c>
      <c r="K47" s="133" t="s">
        <v>156</v>
      </c>
      <c r="L47" s="208">
        <v>1</v>
      </c>
      <c r="M47" s="208"/>
      <c r="N47" s="208">
        <v>1</v>
      </c>
      <c r="O47" s="208">
        <v>0.45</v>
      </c>
      <c r="P47" s="208">
        <v>0.4</v>
      </c>
      <c r="Q47" s="134">
        <f t="shared" si="0"/>
        <v>0.42500000000000004</v>
      </c>
      <c r="R47" s="208">
        <v>16.600000000000001</v>
      </c>
      <c r="S47" s="208">
        <v>143</v>
      </c>
      <c r="T47" s="135">
        <f t="shared" si="1"/>
        <v>30</v>
      </c>
      <c r="U47" s="208">
        <v>149</v>
      </c>
      <c r="V47" s="135">
        <f t="shared" si="2"/>
        <v>4470</v>
      </c>
      <c r="W47" s="208">
        <v>16</v>
      </c>
      <c r="X47" s="133" t="s">
        <v>46</v>
      </c>
      <c r="Y47" s="208" t="s">
        <v>64</v>
      </c>
      <c r="Z47" s="208" t="s">
        <v>86</v>
      </c>
      <c r="AA47" s="208" t="s">
        <v>97</v>
      </c>
      <c r="AB47" s="220" t="s">
        <v>327</v>
      </c>
    </row>
    <row r="48" spans="1:28" x14ac:dyDescent="0.15">
      <c r="A48" s="208" t="s">
        <v>34</v>
      </c>
      <c r="B48" s="136" t="s">
        <v>325</v>
      </c>
      <c r="C48" s="208">
        <v>2018</v>
      </c>
      <c r="D48" s="233" t="s">
        <v>465</v>
      </c>
      <c r="E48" s="208" t="s">
        <v>139</v>
      </c>
      <c r="F48" s="133" t="s">
        <v>276</v>
      </c>
      <c r="G48" s="133" t="s">
        <v>36</v>
      </c>
      <c r="H48" s="133" t="s">
        <v>167</v>
      </c>
      <c r="I48" s="133" t="s">
        <v>155</v>
      </c>
      <c r="J48" s="208" t="s">
        <v>38</v>
      </c>
      <c r="K48" s="133" t="s">
        <v>156</v>
      </c>
      <c r="L48" s="208">
        <v>2</v>
      </c>
      <c r="M48" s="208"/>
      <c r="N48" s="208">
        <v>1</v>
      </c>
      <c r="O48" s="208">
        <v>0.5</v>
      </c>
      <c r="P48" s="208">
        <v>0.45</v>
      </c>
      <c r="Q48" s="134">
        <f t="shared" si="0"/>
        <v>0.47499999999999998</v>
      </c>
      <c r="R48" s="208">
        <v>16.3</v>
      </c>
      <c r="S48" s="208">
        <v>140</v>
      </c>
      <c r="T48" s="135">
        <f t="shared" si="1"/>
        <v>30</v>
      </c>
      <c r="U48" s="208">
        <v>149</v>
      </c>
      <c r="V48" s="135">
        <f t="shared" si="2"/>
        <v>4470</v>
      </c>
      <c r="W48" s="208">
        <v>16</v>
      </c>
      <c r="X48" s="133" t="s">
        <v>46</v>
      </c>
      <c r="Y48" s="208" t="s">
        <v>64</v>
      </c>
      <c r="Z48" s="208" t="s">
        <v>86</v>
      </c>
      <c r="AA48" s="208" t="s">
        <v>97</v>
      </c>
      <c r="AB48" s="220" t="s">
        <v>327</v>
      </c>
    </row>
    <row r="49" spans="1:28" x14ac:dyDescent="0.15">
      <c r="A49" s="208" t="s">
        <v>34</v>
      </c>
      <c r="B49" s="136" t="s">
        <v>325</v>
      </c>
      <c r="C49" s="208">
        <v>2018</v>
      </c>
      <c r="D49" s="233" t="s">
        <v>465</v>
      </c>
      <c r="E49" s="208" t="s">
        <v>139</v>
      </c>
      <c r="F49" s="133" t="s">
        <v>276</v>
      </c>
      <c r="G49" s="133" t="s">
        <v>36</v>
      </c>
      <c r="H49" s="133" t="s">
        <v>167</v>
      </c>
      <c r="I49" s="133" t="s">
        <v>155</v>
      </c>
      <c r="J49" s="208" t="s">
        <v>38</v>
      </c>
      <c r="K49" s="133" t="s">
        <v>156</v>
      </c>
      <c r="L49" s="208">
        <v>3</v>
      </c>
      <c r="M49" s="208"/>
      <c r="N49" s="208">
        <v>1</v>
      </c>
      <c r="O49" s="208">
        <v>0.45</v>
      </c>
      <c r="P49" s="208">
        <v>0.4</v>
      </c>
      <c r="Q49" s="134">
        <f t="shared" si="0"/>
        <v>0.42500000000000004</v>
      </c>
      <c r="R49" s="208">
        <v>16.399999999999999</v>
      </c>
      <c r="S49" s="208">
        <v>137</v>
      </c>
      <c r="T49" s="135">
        <f t="shared" si="1"/>
        <v>30</v>
      </c>
      <c r="U49" s="208">
        <v>149</v>
      </c>
      <c r="V49" s="135">
        <f t="shared" si="2"/>
        <v>4470</v>
      </c>
      <c r="W49" s="208">
        <v>16</v>
      </c>
      <c r="X49" s="133" t="s">
        <v>46</v>
      </c>
      <c r="Y49" s="208" t="s">
        <v>64</v>
      </c>
      <c r="Z49" s="208" t="s">
        <v>86</v>
      </c>
      <c r="AA49" s="208" t="s">
        <v>97</v>
      </c>
      <c r="AB49" s="220" t="s">
        <v>327</v>
      </c>
    </row>
    <row r="50" spans="1:28" x14ac:dyDescent="0.15">
      <c r="A50" s="208" t="s">
        <v>34</v>
      </c>
      <c r="B50" s="208" t="s">
        <v>325</v>
      </c>
      <c r="C50" s="208">
        <v>2018</v>
      </c>
      <c r="D50" s="233" t="s">
        <v>465</v>
      </c>
      <c r="E50" s="208" t="s">
        <v>133</v>
      </c>
      <c r="F50" s="133" t="s">
        <v>270</v>
      </c>
      <c r="G50" s="133" t="s">
        <v>36</v>
      </c>
      <c r="H50" s="208" t="s">
        <v>221</v>
      </c>
      <c r="I50" s="208" t="s">
        <v>155</v>
      </c>
      <c r="J50" s="208" t="s">
        <v>38</v>
      </c>
      <c r="K50" s="133" t="s">
        <v>156</v>
      </c>
      <c r="L50" s="208">
        <v>1</v>
      </c>
      <c r="M50" s="208"/>
      <c r="N50" s="208">
        <v>1</v>
      </c>
      <c r="O50" s="208">
        <v>0.4</v>
      </c>
      <c r="P50" s="208">
        <v>0.35</v>
      </c>
      <c r="Q50" s="134">
        <f t="shared" si="0"/>
        <v>0.375</v>
      </c>
      <c r="R50" s="208">
        <v>21.2</v>
      </c>
      <c r="S50" s="208">
        <v>122</v>
      </c>
      <c r="T50" s="135">
        <f t="shared" si="1"/>
        <v>30</v>
      </c>
      <c r="U50" s="208">
        <v>105</v>
      </c>
      <c r="V50" s="135">
        <f t="shared" si="2"/>
        <v>3150</v>
      </c>
      <c r="W50" s="208">
        <v>20</v>
      </c>
      <c r="X50" s="133" t="s">
        <v>46</v>
      </c>
      <c r="Y50" s="208" t="s">
        <v>69</v>
      </c>
      <c r="Z50" s="208" t="s">
        <v>60</v>
      </c>
      <c r="AA50" s="208" t="s">
        <v>47</v>
      </c>
      <c r="AB50" s="208" t="s">
        <v>327</v>
      </c>
    </row>
    <row r="51" spans="1:28" x14ac:dyDescent="0.15">
      <c r="A51" s="208" t="s">
        <v>34</v>
      </c>
      <c r="B51" s="208" t="s">
        <v>325</v>
      </c>
      <c r="C51" s="208">
        <v>2018</v>
      </c>
      <c r="D51" s="233" t="s">
        <v>465</v>
      </c>
      <c r="E51" s="208" t="s">
        <v>133</v>
      </c>
      <c r="F51" s="133" t="s">
        <v>270</v>
      </c>
      <c r="G51" s="133" t="s">
        <v>36</v>
      </c>
      <c r="H51" s="208" t="s">
        <v>221</v>
      </c>
      <c r="I51" s="208" t="s">
        <v>155</v>
      </c>
      <c r="J51" s="208" t="s">
        <v>38</v>
      </c>
      <c r="K51" s="133" t="s">
        <v>156</v>
      </c>
      <c r="L51" s="208">
        <v>2</v>
      </c>
      <c r="M51" s="208"/>
      <c r="N51" s="208">
        <v>1</v>
      </c>
      <c r="O51" s="208">
        <v>0.35</v>
      </c>
      <c r="P51" s="208">
        <v>0.4</v>
      </c>
      <c r="Q51" s="134">
        <f t="shared" si="0"/>
        <v>0.375</v>
      </c>
      <c r="R51" s="208">
        <v>19.8</v>
      </c>
      <c r="S51" s="208">
        <v>111</v>
      </c>
      <c r="T51" s="135">
        <f t="shared" si="1"/>
        <v>33</v>
      </c>
      <c r="U51" s="208">
        <v>105</v>
      </c>
      <c r="V51" s="135">
        <f t="shared" si="2"/>
        <v>3465</v>
      </c>
      <c r="W51" s="208">
        <v>20</v>
      </c>
      <c r="X51" s="133" t="s">
        <v>46</v>
      </c>
      <c r="Y51" s="208" t="s">
        <v>69</v>
      </c>
      <c r="Z51" s="208" t="s">
        <v>60</v>
      </c>
      <c r="AA51" s="208" t="s">
        <v>47</v>
      </c>
      <c r="AB51" s="208" t="s">
        <v>327</v>
      </c>
    </row>
    <row r="52" spans="1:28" x14ac:dyDescent="0.15">
      <c r="A52" s="208" t="s">
        <v>34</v>
      </c>
      <c r="B52" s="208" t="s">
        <v>325</v>
      </c>
      <c r="C52" s="208">
        <v>2018</v>
      </c>
      <c r="D52" s="233" t="s">
        <v>465</v>
      </c>
      <c r="E52" s="208" t="s">
        <v>133</v>
      </c>
      <c r="F52" s="133" t="s">
        <v>270</v>
      </c>
      <c r="G52" s="133" t="s">
        <v>36</v>
      </c>
      <c r="H52" s="208" t="s">
        <v>221</v>
      </c>
      <c r="I52" s="208" t="s">
        <v>155</v>
      </c>
      <c r="J52" s="208" t="s">
        <v>38</v>
      </c>
      <c r="K52" s="133" t="s">
        <v>156</v>
      </c>
      <c r="L52" s="208">
        <v>3</v>
      </c>
      <c r="M52" s="208"/>
      <c r="N52" s="208">
        <v>1</v>
      </c>
      <c r="O52" s="208">
        <v>0.4</v>
      </c>
      <c r="P52" s="208">
        <v>0.35</v>
      </c>
      <c r="Q52" s="134">
        <f t="shared" si="0"/>
        <v>0.375</v>
      </c>
      <c r="R52" s="208">
        <v>19.2</v>
      </c>
      <c r="S52" s="208">
        <v>117</v>
      </c>
      <c r="T52" s="135">
        <f t="shared" si="1"/>
        <v>30</v>
      </c>
      <c r="U52" s="208">
        <v>105</v>
      </c>
      <c r="V52" s="135">
        <f t="shared" si="2"/>
        <v>3150</v>
      </c>
      <c r="W52" s="208">
        <v>20</v>
      </c>
      <c r="X52" s="133" t="s">
        <v>46</v>
      </c>
      <c r="Y52" s="208" t="s">
        <v>69</v>
      </c>
      <c r="Z52" s="208" t="s">
        <v>60</v>
      </c>
      <c r="AA52" s="208" t="s">
        <v>47</v>
      </c>
      <c r="AB52" s="208" t="s">
        <v>327</v>
      </c>
    </row>
    <row r="53" spans="1:28" x14ac:dyDescent="0.15">
      <c r="A53" s="208" t="s">
        <v>34</v>
      </c>
      <c r="B53" s="208" t="s">
        <v>325</v>
      </c>
      <c r="C53" s="208">
        <v>2018</v>
      </c>
      <c r="D53" s="233" t="s">
        <v>465</v>
      </c>
      <c r="E53" s="208" t="s">
        <v>133</v>
      </c>
      <c r="F53" s="133" t="s">
        <v>270</v>
      </c>
      <c r="G53" s="133" t="s">
        <v>36</v>
      </c>
      <c r="H53" s="208" t="s">
        <v>167</v>
      </c>
      <c r="I53" s="208" t="s">
        <v>155</v>
      </c>
      <c r="J53" s="208" t="s">
        <v>38</v>
      </c>
      <c r="K53" s="133" t="s">
        <v>156</v>
      </c>
      <c r="L53" s="208">
        <v>1</v>
      </c>
      <c r="M53" s="208"/>
      <c r="N53" s="208">
        <v>1</v>
      </c>
      <c r="O53" s="208">
        <v>0.45</v>
      </c>
      <c r="P53" s="208">
        <v>0.4</v>
      </c>
      <c r="Q53" s="134">
        <f t="shared" si="0"/>
        <v>0.42500000000000004</v>
      </c>
      <c r="R53" s="208">
        <v>15.8</v>
      </c>
      <c r="S53" s="208">
        <v>154</v>
      </c>
      <c r="T53" s="135">
        <f t="shared" si="1"/>
        <v>30</v>
      </c>
      <c r="U53" s="208">
        <v>149</v>
      </c>
      <c r="V53" s="135">
        <f t="shared" si="2"/>
        <v>4470</v>
      </c>
      <c r="W53" s="208">
        <v>20</v>
      </c>
      <c r="X53" s="133" t="s">
        <v>46</v>
      </c>
      <c r="Y53" s="208" t="s">
        <v>69</v>
      </c>
      <c r="Z53" s="208" t="s">
        <v>60</v>
      </c>
      <c r="AA53" s="208" t="s">
        <v>47</v>
      </c>
      <c r="AB53" s="208" t="s">
        <v>327</v>
      </c>
    </row>
    <row r="54" spans="1:28" x14ac:dyDescent="0.15">
      <c r="A54" s="208" t="s">
        <v>34</v>
      </c>
      <c r="B54" s="208" t="s">
        <v>325</v>
      </c>
      <c r="C54" s="208">
        <v>2018</v>
      </c>
      <c r="D54" s="233" t="s">
        <v>465</v>
      </c>
      <c r="E54" s="208" t="s">
        <v>133</v>
      </c>
      <c r="F54" s="133" t="s">
        <v>270</v>
      </c>
      <c r="G54" s="133" t="s">
        <v>36</v>
      </c>
      <c r="H54" s="208" t="s">
        <v>167</v>
      </c>
      <c r="I54" s="208" t="s">
        <v>155</v>
      </c>
      <c r="J54" s="208" t="s">
        <v>38</v>
      </c>
      <c r="K54" s="133" t="s">
        <v>156</v>
      </c>
      <c r="L54" s="208">
        <v>2</v>
      </c>
      <c r="M54" s="208"/>
      <c r="N54" s="208">
        <v>1</v>
      </c>
      <c r="O54" s="208">
        <v>0.4</v>
      </c>
      <c r="P54" s="208">
        <v>0.35</v>
      </c>
      <c r="Q54" s="134">
        <f t="shared" si="0"/>
        <v>0.375</v>
      </c>
      <c r="R54" s="208">
        <v>16.100000000000001</v>
      </c>
      <c r="S54" s="208">
        <v>159</v>
      </c>
      <c r="T54" s="135">
        <f t="shared" si="1"/>
        <v>30</v>
      </c>
      <c r="U54" s="208">
        <v>149</v>
      </c>
      <c r="V54" s="135">
        <f t="shared" si="2"/>
        <v>4470</v>
      </c>
      <c r="W54" s="208">
        <v>20</v>
      </c>
      <c r="X54" s="133" t="s">
        <v>46</v>
      </c>
      <c r="Y54" s="208" t="s">
        <v>69</v>
      </c>
      <c r="Z54" s="208" t="s">
        <v>60</v>
      </c>
      <c r="AA54" s="208" t="s">
        <v>47</v>
      </c>
      <c r="AB54" s="208" t="s">
        <v>327</v>
      </c>
    </row>
    <row r="55" spans="1:28" x14ac:dyDescent="0.15">
      <c r="A55" s="208" t="s">
        <v>34</v>
      </c>
      <c r="B55" s="208" t="s">
        <v>325</v>
      </c>
      <c r="C55" s="208">
        <v>2018</v>
      </c>
      <c r="D55" s="233" t="s">
        <v>465</v>
      </c>
      <c r="E55" s="208" t="s">
        <v>133</v>
      </c>
      <c r="F55" s="133" t="s">
        <v>270</v>
      </c>
      <c r="G55" s="133" t="s">
        <v>36</v>
      </c>
      <c r="H55" s="208" t="s">
        <v>167</v>
      </c>
      <c r="I55" s="208" t="s">
        <v>155</v>
      </c>
      <c r="J55" s="208" t="s">
        <v>38</v>
      </c>
      <c r="K55" s="133" t="s">
        <v>156</v>
      </c>
      <c r="L55" s="208">
        <v>3</v>
      </c>
      <c r="M55" s="208"/>
      <c r="N55" s="208">
        <v>1</v>
      </c>
      <c r="O55" s="208">
        <v>0.4</v>
      </c>
      <c r="P55" s="208">
        <v>0.4</v>
      </c>
      <c r="Q55" s="134">
        <f t="shared" si="0"/>
        <v>0.4</v>
      </c>
      <c r="R55" s="208">
        <v>15.4</v>
      </c>
      <c r="S55" s="208">
        <v>154</v>
      </c>
      <c r="T55" s="135">
        <f t="shared" si="1"/>
        <v>30</v>
      </c>
      <c r="U55" s="208">
        <v>149</v>
      </c>
      <c r="V55" s="135">
        <f t="shared" si="2"/>
        <v>4470</v>
      </c>
      <c r="W55" s="208">
        <v>20</v>
      </c>
      <c r="X55" s="133" t="s">
        <v>46</v>
      </c>
      <c r="Y55" s="208" t="s">
        <v>69</v>
      </c>
      <c r="Z55" s="208" t="s">
        <v>60</v>
      </c>
      <c r="AA55" s="208" t="s">
        <v>47</v>
      </c>
      <c r="AB55" s="208" t="s">
        <v>327</v>
      </c>
    </row>
    <row r="56" spans="1:28" x14ac:dyDescent="0.15">
      <c r="A56" s="208" t="s">
        <v>34</v>
      </c>
      <c r="B56" s="208" t="s">
        <v>325</v>
      </c>
      <c r="C56" s="208">
        <v>2018</v>
      </c>
      <c r="D56" s="233" t="s">
        <v>465</v>
      </c>
      <c r="E56" s="208" t="s">
        <v>215</v>
      </c>
      <c r="F56" s="133" t="s">
        <v>273</v>
      </c>
      <c r="G56" s="133" t="s">
        <v>36</v>
      </c>
      <c r="H56" s="208" t="s">
        <v>157</v>
      </c>
      <c r="I56" s="208" t="s">
        <v>155</v>
      </c>
      <c r="J56" s="208" t="s">
        <v>38</v>
      </c>
      <c r="K56" s="133" t="s">
        <v>156</v>
      </c>
      <c r="L56" s="208">
        <v>1</v>
      </c>
      <c r="M56" s="208"/>
      <c r="N56" s="208">
        <v>1</v>
      </c>
      <c r="O56" s="208">
        <v>0.3</v>
      </c>
      <c r="P56" s="208">
        <v>0.35</v>
      </c>
      <c r="Q56" s="134">
        <f t="shared" si="0"/>
        <v>0.32499999999999996</v>
      </c>
      <c r="R56" s="208">
        <v>15.2</v>
      </c>
      <c r="S56" s="208">
        <v>165</v>
      </c>
      <c r="T56" s="135">
        <f t="shared" si="1"/>
        <v>30</v>
      </c>
      <c r="U56" s="208">
        <v>128</v>
      </c>
      <c r="V56" s="135">
        <f t="shared" si="2"/>
        <v>3840</v>
      </c>
      <c r="W56" s="208">
        <v>12</v>
      </c>
      <c r="X56" s="133" t="s">
        <v>46</v>
      </c>
      <c r="Y56" s="208" t="s">
        <v>78</v>
      </c>
      <c r="Z56" s="208" t="s">
        <v>75</v>
      </c>
      <c r="AA56" s="208" t="s">
        <v>86</v>
      </c>
      <c r="AB56" s="208" t="s">
        <v>327</v>
      </c>
    </row>
    <row r="57" spans="1:28" x14ac:dyDescent="0.15">
      <c r="A57" s="208" t="s">
        <v>34</v>
      </c>
      <c r="B57" s="208" t="s">
        <v>325</v>
      </c>
      <c r="C57" s="208">
        <v>2018</v>
      </c>
      <c r="D57" s="233" t="s">
        <v>465</v>
      </c>
      <c r="E57" s="208" t="s">
        <v>215</v>
      </c>
      <c r="F57" s="133" t="s">
        <v>273</v>
      </c>
      <c r="G57" s="133" t="s">
        <v>36</v>
      </c>
      <c r="H57" s="208" t="s">
        <v>157</v>
      </c>
      <c r="I57" s="208" t="s">
        <v>155</v>
      </c>
      <c r="J57" s="208" t="s">
        <v>38</v>
      </c>
      <c r="K57" s="133" t="s">
        <v>156</v>
      </c>
      <c r="L57" s="208">
        <v>2</v>
      </c>
      <c r="M57" s="208"/>
      <c r="N57" s="208">
        <v>1</v>
      </c>
      <c r="O57" s="208">
        <v>0.35</v>
      </c>
      <c r="P57" s="208">
        <v>0.4</v>
      </c>
      <c r="Q57" s="134">
        <f t="shared" si="0"/>
        <v>0.375</v>
      </c>
      <c r="R57" s="208">
        <v>15.7</v>
      </c>
      <c r="S57" s="208">
        <v>147</v>
      </c>
      <c r="T57" s="135">
        <f t="shared" si="1"/>
        <v>30</v>
      </c>
      <c r="U57" s="208">
        <v>128</v>
      </c>
      <c r="V57" s="135">
        <f t="shared" si="2"/>
        <v>3840</v>
      </c>
      <c r="W57" s="208">
        <v>12</v>
      </c>
      <c r="X57" s="133" t="s">
        <v>46</v>
      </c>
      <c r="Y57" s="208" t="s">
        <v>78</v>
      </c>
      <c r="Z57" s="208" t="s">
        <v>75</v>
      </c>
      <c r="AA57" s="208" t="s">
        <v>86</v>
      </c>
      <c r="AB57" s="208" t="s">
        <v>327</v>
      </c>
    </row>
    <row r="58" spans="1:28" x14ac:dyDescent="0.15">
      <c r="A58" s="208" t="s">
        <v>34</v>
      </c>
      <c r="B58" s="208" t="s">
        <v>325</v>
      </c>
      <c r="C58" s="208">
        <v>2018</v>
      </c>
      <c r="D58" s="233" t="s">
        <v>465</v>
      </c>
      <c r="E58" s="208" t="s">
        <v>215</v>
      </c>
      <c r="F58" s="133" t="s">
        <v>273</v>
      </c>
      <c r="G58" s="133" t="s">
        <v>36</v>
      </c>
      <c r="H58" s="208" t="s">
        <v>157</v>
      </c>
      <c r="I58" s="208" t="s">
        <v>155</v>
      </c>
      <c r="J58" s="208" t="s">
        <v>38</v>
      </c>
      <c r="K58" s="133" t="s">
        <v>156</v>
      </c>
      <c r="L58" s="208">
        <v>3</v>
      </c>
      <c r="M58" s="208"/>
      <c r="N58" s="208">
        <v>1</v>
      </c>
      <c r="O58" s="208">
        <v>0.3</v>
      </c>
      <c r="P58" s="208">
        <v>0.3</v>
      </c>
      <c r="Q58" s="134">
        <f t="shared" si="0"/>
        <v>0.3</v>
      </c>
      <c r="R58" s="208">
        <v>15.3</v>
      </c>
      <c r="S58" s="208">
        <v>149</v>
      </c>
      <c r="T58" s="135">
        <f t="shared" si="1"/>
        <v>30</v>
      </c>
      <c r="U58" s="208">
        <v>128</v>
      </c>
      <c r="V58" s="135">
        <f t="shared" si="2"/>
        <v>3840</v>
      </c>
      <c r="W58" s="208">
        <v>12</v>
      </c>
      <c r="X58" s="133" t="s">
        <v>46</v>
      </c>
      <c r="Y58" s="208" t="s">
        <v>78</v>
      </c>
      <c r="Z58" s="208" t="s">
        <v>75</v>
      </c>
      <c r="AA58" s="208" t="s">
        <v>86</v>
      </c>
      <c r="AB58" s="208" t="s">
        <v>327</v>
      </c>
    </row>
    <row r="59" spans="1:28" x14ac:dyDescent="0.15">
      <c r="A59" s="208" t="s">
        <v>34</v>
      </c>
      <c r="B59" s="208" t="s">
        <v>325</v>
      </c>
      <c r="C59" s="208">
        <v>2018</v>
      </c>
      <c r="D59" s="233" t="s">
        <v>465</v>
      </c>
      <c r="E59" s="208" t="s">
        <v>215</v>
      </c>
      <c r="F59" s="133" t="s">
        <v>273</v>
      </c>
      <c r="G59" s="133" t="s">
        <v>36</v>
      </c>
      <c r="H59" s="208" t="s">
        <v>167</v>
      </c>
      <c r="I59" s="208" t="s">
        <v>155</v>
      </c>
      <c r="J59" s="208" t="s">
        <v>38</v>
      </c>
      <c r="K59" s="133" t="s">
        <v>156</v>
      </c>
      <c r="L59" s="208">
        <v>1</v>
      </c>
      <c r="M59" s="208"/>
      <c r="N59" s="208">
        <v>1</v>
      </c>
      <c r="O59" s="208">
        <v>0.3</v>
      </c>
      <c r="P59" s="208">
        <v>0.3</v>
      </c>
      <c r="Q59" s="134">
        <f t="shared" si="0"/>
        <v>0.3</v>
      </c>
      <c r="R59" s="208">
        <v>16.100000000000001</v>
      </c>
      <c r="S59" s="208">
        <v>153</v>
      </c>
      <c r="T59" s="135">
        <f t="shared" si="1"/>
        <v>30</v>
      </c>
      <c r="U59" s="208">
        <v>128</v>
      </c>
      <c r="V59" s="135">
        <f t="shared" si="2"/>
        <v>3840</v>
      </c>
      <c r="W59" s="208">
        <v>12</v>
      </c>
      <c r="X59" s="133" t="s">
        <v>46</v>
      </c>
      <c r="Y59" s="208" t="s">
        <v>78</v>
      </c>
      <c r="Z59" s="208" t="s">
        <v>75</v>
      </c>
      <c r="AA59" s="208" t="s">
        <v>86</v>
      </c>
      <c r="AB59" s="208" t="s">
        <v>327</v>
      </c>
    </row>
    <row r="60" spans="1:28" x14ac:dyDescent="0.15">
      <c r="A60" s="208" t="s">
        <v>34</v>
      </c>
      <c r="B60" s="208" t="s">
        <v>325</v>
      </c>
      <c r="C60" s="208">
        <v>2018</v>
      </c>
      <c r="D60" s="233" t="s">
        <v>465</v>
      </c>
      <c r="E60" s="208" t="s">
        <v>215</v>
      </c>
      <c r="F60" s="133" t="s">
        <v>273</v>
      </c>
      <c r="G60" s="133" t="s">
        <v>36</v>
      </c>
      <c r="H60" s="208" t="s">
        <v>167</v>
      </c>
      <c r="I60" s="208" t="s">
        <v>155</v>
      </c>
      <c r="J60" s="208" t="s">
        <v>38</v>
      </c>
      <c r="K60" s="133" t="s">
        <v>156</v>
      </c>
      <c r="L60" s="208">
        <v>2</v>
      </c>
      <c r="M60" s="208"/>
      <c r="N60" s="208">
        <v>1</v>
      </c>
      <c r="O60" s="208">
        <v>0.35</v>
      </c>
      <c r="P60" s="208">
        <v>0.35</v>
      </c>
      <c r="Q60" s="134">
        <f t="shared" si="0"/>
        <v>0.35</v>
      </c>
      <c r="R60" s="208">
        <v>16.3</v>
      </c>
      <c r="S60" s="208">
        <v>153</v>
      </c>
      <c r="T60" s="135">
        <f t="shared" si="1"/>
        <v>30</v>
      </c>
      <c r="U60" s="208">
        <v>128</v>
      </c>
      <c r="V60" s="135">
        <f t="shared" si="2"/>
        <v>3840</v>
      </c>
      <c r="W60" s="208">
        <v>12</v>
      </c>
      <c r="X60" s="133" t="s">
        <v>46</v>
      </c>
      <c r="Y60" s="208" t="s">
        <v>78</v>
      </c>
      <c r="Z60" s="208" t="s">
        <v>75</v>
      </c>
      <c r="AA60" s="208" t="s">
        <v>86</v>
      </c>
      <c r="AB60" s="208" t="s">
        <v>327</v>
      </c>
    </row>
    <row r="61" spans="1:28" x14ac:dyDescent="0.15">
      <c r="A61" s="208" t="s">
        <v>34</v>
      </c>
      <c r="B61" s="208" t="s">
        <v>325</v>
      </c>
      <c r="C61" s="208">
        <v>2018</v>
      </c>
      <c r="D61" s="233" t="s">
        <v>465</v>
      </c>
      <c r="E61" s="208" t="s">
        <v>215</v>
      </c>
      <c r="F61" s="133" t="s">
        <v>273</v>
      </c>
      <c r="G61" s="133" t="s">
        <v>36</v>
      </c>
      <c r="H61" s="208" t="s">
        <v>167</v>
      </c>
      <c r="I61" s="208" t="s">
        <v>155</v>
      </c>
      <c r="J61" s="208" t="s">
        <v>38</v>
      </c>
      <c r="K61" s="133" t="s">
        <v>156</v>
      </c>
      <c r="L61" s="208">
        <v>3</v>
      </c>
      <c r="M61" s="208"/>
      <c r="N61" s="208">
        <v>1</v>
      </c>
      <c r="O61" s="208">
        <v>0.4</v>
      </c>
      <c r="P61" s="208">
        <v>0.4</v>
      </c>
      <c r="Q61" s="134">
        <f t="shared" si="0"/>
        <v>0.4</v>
      </c>
      <c r="R61" s="208">
        <v>15.8</v>
      </c>
      <c r="S61" s="208">
        <v>156</v>
      </c>
      <c r="T61" s="135">
        <f t="shared" si="1"/>
        <v>30</v>
      </c>
      <c r="U61" s="208">
        <v>128</v>
      </c>
      <c r="V61" s="135">
        <f t="shared" si="2"/>
        <v>3840</v>
      </c>
      <c r="W61" s="208">
        <v>12</v>
      </c>
      <c r="X61" s="133" t="s">
        <v>46</v>
      </c>
      <c r="Y61" s="208" t="s">
        <v>78</v>
      </c>
      <c r="Z61" s="208" t="s">
        <v>75</v>
      </c>
      <c r="AA61" s="208" t="s">
        <v>86</v>
      </c>
      <c r="AB61" s="208" t="s">
        <v>327</v>
      </c>
    </row>
    <row r="62" spans="1:28" x14ac:dyDescent="0.15">
      <c r="D62" s="161"/>
      <c r="F62" s="228"/>
      <c r="G62" s="229"/>
      <c r="H62" s="208"/>
      <c r="I62" s="208"/>
      <c r="J62" s="208"/>
      <c r="K62" s="133"/>
      <c r="Q62" s="206" t="str">
        <f t="shared" si="0"/>
        <v/>
      </c>
      <c r="T62" s="178" t="str">
        <f t="shared" si="1"/>
        <v/>
      </c>
      <c r="V62" s="178" t="str">
        <f t="shared" si="2"/>
        <v/>
      </c>
      <c r="X62" s="152"/>
    </row>
    <row r="63" spans="1:28" x14ac:dyDescent="0.15">
      <c r="D63" s="161"/>
      <c r="F63" s="153"/>
      <c r="G63" s="154"/>
      <c r="H63" s="208"/>
      <c r="I63" s="208"/>
      <c r="J63" s="208"/>
      <c r="K63" s="133"/>
      <c r="Q63" s="206" t="str">
        <f t="shared" si="0"/>
        <v/>
      </c>
      <c r="T63" s="178" t="str">
        <f t="shared" si="1"/>
        <v/>
      </c>
      <c r="V63" s="178" t="str">
        <f t="shared" si="2"/>
        <v/>
      </c>
      <c r="X63" s="156"/>
    </row>
    <row r="64" spans="1:28" x14ac:dyDescent="0.15">
      <c r="D64" s="161"/>
      <c r="F64" s="153"/>
      <c r="G64" s="154"/>
      <c r="H64" s="208"/>
      <c r="I64" s="208"/>
      <c r="J64" s="208"/>
      <c r="K64" s="133"/>
      <c r="Q64" s="206" t="str">
        <f t="shared" si="0"/>
        <v/>
      </c>
      <c r="T64" s="178" t="str">
        <f t="shared" si="1"/>
        <v/>
      </c>
      <c r="V64" s="178" t="str">
        <f t="shared" si="2"/>
        <v/>
      </c>
      <c r="X64" s="156"/>
    </row>
    <row r="65" spans="4:24" x14ac:dyDescent="0.15">
      <c r="D65" s="161"/>
      <c r="F65" s="153"/>
      <c r="G65" s="154"/>
      <c r="H65" s="208"/>
      <c r="I65" s="208"/>
      <c r="J65" s="208"/>
      <c r="K65" s="133"/>
      <c r="Q65" s="206" t="str">
        <f t="shared" si="0"/>
        <v/>
      </c>
      <c r="T65" s="178" t="str">
        <f t="shared" si="1"/>
        <v/>
      </c>
      <c r="V65" s="178" t="str">
        <f t="shared" si="2"/>
        <v/>
      </c>
      <c r="X65" s="156"/>
    </row>
    <row r="66" spans="4:24" x14ac:dyDescent="0.15">
      <c r="D66" s="161"/>
      <c r="F66" s="153"/>
      <c r="G66" s="154"/>
      <c r="H66" s="208"/>
      <c r="I66" s="208"/>
      <c r="J66" s="208"/>
      <c r="K66" s="133"/>
      <c r="Q66" s="206" t="str">
        <f t="shared" ref="Q66:Q91" si="3">IF(OR(O66="",P66=""),"",AVERAGE(O66,P66))</f>
        <v/>
      </c>
      <c r="T66" s="178" t="str">
        <f t="shared" ref="T66:T91" si="4">IF(H66="","",IF(OR(H66="GREEN",H66="GK"),IF(S66&gt;=$AX$2,VLOOKUP(S66,$AX$2:$AY$7,2,1),""),IF(S66&gt;=$AZ$2,VLOOKUP(S66,$AZ$2:$BA$7,2,1),"")))</f>
        <v/>
      </c>
      <c r="V66" s="178" t="str">
        <f t="shared" ref="V66:V91" si="5">IF(OR(N66="",U66="",T66=""),"",U66/N66*T66)</f>
        <v/>
      </c>
      <c r="X66" s="156"/>
    </row>
    <row r="67" spans="4:24" x14ac:dyDescent="0.15">
      <c r="D67" s="161"/>
      <c r="F67" s="153"/>
      <c r="G67" s="154"/>
      <c r="H67" s="208"/>
      <c r="I67" s="208"/>
      <c r="J67" s="208"/>
      <c r="K67" s="133"/>
      <c r="Q67" s="206" t="str">
        <f t="shared" si="3"/>
        <v/>
      </c>
      <c r="T67" s="178" t="str">
        <f t="shared" si="4"/>
        <v/>
      </c>
      <c r="V67" s="178" t="str">
        <f t="shared" si="5"/>
        <v/>
      </c>
      <c r="X67" s="156"/>
    </row>
    <row r="68" spans="4:24" x14ac:dyDescent="0.15">
      <c r="D68" s="161"/>
      <c r="F68" s="153"/>
      <c r="G68" s="154"/>
      <c r="H68" s="208"/>
      <c r="I68" s="208"/>
      <c r="J68" s="208"/>
      <c r="K68" s="133"/>
      <c r="Q68" s="206" t="str">
        <f t="shared" si="3"/>
        <v/>
      </c>
      <c r="T68" s="178" t="str">
        <f t="shared" si="4"/>
        <v/>
      </c>
      <c r="V68" s="178" t="str">
        <f t="shared" si="5"/>
        <v/>
      </c>
      <c r="X68" s="156"/>
    </row>
    <row r="69" spans="4:24" x14ac:dyDescent="0.15">
      <c r="D69" s="161"/>
      <c r="F69" s="153"/>
      <c r="G69" s="154"/>
      <c r="H69" s="208"/>
      <c r="I69" s="208"/>
      <c r="J69" s="208"/>
      <c r="K69" s="133"/>
      <c r="Q69" s="206" t="str">
        <f t="shared" si="3"/>
        <v/>
      </c>
      <c r="T69" s="178" t="str">
        <f t="shared" si="4"/>
        <v/>
      </c>
      <c r="V69" s="178" t="str">
        <f t="shared" si="5"/>
        <v/>
      </c>
      <c r="X69" s="156"/>
    </row>
    <row r="70" spans="4:24" x14ac:dyDescent="0.15">
      <c r="D70" s="161"/>
      <c r="F70" s="153"/>
      <c r="G70" s="154"/>
      <c r="H70" s="208"/>
      <c r="I70" s="208"/>
      <c r="J70" s="208"/>
      <c r="K70" s="133"/>
      <c r="Q70" s="206" t="str">
        <f t="shared" si="3"/>
        <v/>
      </c>
      <c r="T70" s="178" t="str">
        <f t="shared" si="4"/>
        <v/>
      </c>
      <c r="V70" s="178" t="str">
        <f t="shared" si="5"/>
        <v/>
      </c>
      <c r="X70" s="156"/>
    </row>
    <row r="71" spans="4:24" x14ac:dyDescent="0.15">
      <c r="D71" s="161"/>
      <c r="F71" s="153"/>
      <c r="G71" s="154"/>
      <c r="H71" s="208"/>
      <c r="I71" s="208"/>
      <c r="J71" s="208"/>
      <c r="K71" s="133"/>
      <c r="Q71" s="206" t="str">
        <f t="shared" si="3"/>
        <v/>
      </c>
      <c r="T71" s="178" t="str">
        <f t="shared" si="4"/>
        <v/>
      </c>
      <c r="V71" s="178" t="str">
        <f t="shared" si="5"/>
        <v/>
      </c>
      <c r="X71" s="156"/>
    </row>
    <row r="72" spans="4:24" x14ac:dyDescent="0.15">
      <c r="D72" s="161"/>
      <c r="F72" s="153"/>
      <c r="G72" s="154"/>
      <c r="H72" s="208"/>
      <c r="I72" s="208"/>
      <c r="J72" s="208"/>
      <c r="K72" s="133"/>
      <c r="Q72" s="206" t="str">
        <f t="shared" si="3"/>
        <v/>
      </c>
      <c r="T72" s="178" t="str">
        <f t="shared" si="4"/>
        <v/>
      </c>
      <c r="V72" s="178" t="str">
        <f t="shared" si="5"/>
        <v/>
      </c>
      <c r="X72" s="156"/>
    </row>
    <row r="73" spans="4:24" x14ac:dyDescent="0.15">
      <c r="D73" s="161"/>
      <c r="F73" s="153"/>
      <c r="G73" s="154"/>
      <c r="H73" s="208"/>
      <c r="I73" s="208"/>
      <c r="J73" s="208"/>
      <c r="K73" s="133"/>
      <c r="Q73" s="206" t="str">
        <f t="shared" si="3"/>
        <v/>
      </c>
      <c r="T73" s="178" t="str">
        <f t="shared" si="4"/>
        <v/>
      </c>
      <c r="V73" s="178" t="str">
        <f t="shared" si="5"/>
        <v/>
      </c>
      <c r="X73" s="156"/>
    </row>
    <row r="74" spans="4:24" x14ac:dyDescent="0.15">
      <c r="D74" s="161"/>
      <c r="F74" s="153"/>
      <c r="G74" s="154"/>
      <c r="H74" s="208"/>
      <c r="I74" s="208"/>
      <c r="J74" s="208"/>
      <c r="K74" s="133"/>
      <c r="Q74" s="206" t="str">
        <f t="shared" si="3"/>
        <v/>
      </c>
      <c r="T74" s="178" t="str">
        <f t="shared" si="4"/>
        <v/>
      </c>
      <c r="V74" s="178" t="str">
        <f t="shared" si="5"/>
        <v/>
      </c>
      <c r="X74" s="156"/>
    </row>
    <row r="75" spans="4:24" x14ac:dyDescent="0.15">
      <c r="D75" s="161"/>
      <c r="F75" s="153"/>
      <c r="G75" s="154"/>
      <c r="H75" s="208"/>
      <c r="I75" s="208"/>
      <c r="J75" s="208"/>
      <c r="K75" s="133"/>
      <c r="Q75" s="206" t="str">
        <f t="shared" si="3"/>
        <v/>
      </c>
      <c r="T75" s="178" t="str">
        <f t="shared" si="4"/>
        <v/>
      </c>
      <c r="V75" s="178" t="str">
        <f t="shared" si="5"/>
        <v/>
      </c>
      <c r="X75" s="156"/>
    </row>
    <row r="76" spans="4:24" x14ac:dyDescent="0.15">
      <c r="D76" s="161"/>
      <c r="F76" s="153"/>
      <c r="G76" s="154"/>
      <c r="H76" s="208"/>
      <c r="I76" s="208"/>
      <c r="J76" s="208"/>
      <c r="K76" s="133"/>
      <c r="Q76" s="206" t="str">
        <f t="shared" si="3"/>
        <v/>
      </c>
      <c r="T76" s="178" t="str">
        <f t="shared" si="4"/>
        <v/>
      </c>
      <c r="V76" s="178" t="str">
        <f t="shared" si="5"/>
        <v/>
      </c>
      <c r="X76" s="156"/>
    </row>
    <row r="77" spans="4:24" x14ac:dyDescent="0.15">
      <c r="D77" s="161"/>
      <c r="F77" s="153"/>
      <c r="G77" s="154"/>
      <c r="H77" s="208"/>
      <c r="I77" s="208"/>
      <c r="J77" s="208"/>
      <c r="K77" s="133"/>
      <c r="Q77" s="206" t="str">
        <f t="shared" si="3"/>
        <v/>
      </c>
      <c r="T77" s="178" t="str">
        <f t="shared" si="4"/>
        <v/>
      </c>
      <c r="V77" s="178" t="str">
        <f t="shared" si="5"/>
        <v/>
      </c>
      <c r="X77" s="156"/>
    </row>
    <row r="78" spans="4:24" x14ac:dyDescent="0.15">
      <c r="D78" s="161"/>
      <c r="F78" s="153"/>
      <c r="G78" s="154"/>
      <c r="H78" s="208"/>
      <c r="I78" s="208"/>
      <c r="J78" s="208"/>
      <c r="K78" s="133"/>
      <c r="Q78" s="206" t="str">
        <f t="shared" si="3"/>
        <v/>
      </c>
      <c r="T78" s="178" t="str">
        <f t="shared" si="4"/>
        <v/>
      </c>
      <c r="V78" s="178" t="str">
        <f t="shared" si="5"/>
        <v/>
      </c>
      <c r="X78" s="156"/>
    </row>
    <row r="79" spans="4:24" x14ac:dyDescent="0.15">
      <c r="D79" s="161"/>
      <c r="F79" s="153"/>
      <c r="G79" s="154"/>
      <c r="H79" s="208"/>
      <c r="I79" s="208"/>
      <c r="J79" s="208"/>
      <c r="K79" s="133"/>
      <c r="Q79" s="206" t="str">
        <f t="shared" si="3"/>
        <v/>
      </c>
      <c r="T79" s="178" t="str">
        <f t="shared" si="4"/>
        <v/>
      </c>
      <c r="V79" s="178" t="str">
        <f t="shared" si="5"/>
        <v/>
      </c>
      <c r="X79" s="156"/>
    </row>
    <row r="80" spans="4:24" x14ac:dyDescent="0.15">
      <c r="H80" s="208"/>
      <c r="I80" s="208"/>
      <c r="J80" s="208"/>
      <c r="K80" s="133"/>
      <c r="Q80" s="206" t="str">
        <f t="shared" si="3"/>
        <v/>
      </c>
      <c r="T80" s="178" t="str">
        <f t="shared" si="4"/>
        <v/>
      </c>
      <c r="V80" s="178" t="str">
        <f t="shared" si="5"/>
        <v/>
      </c>
    </row>
    <row r="81" spans="8:22" x14ac:dyDescent="0.15">
      <c r="H81" s="208"/>
      <c r="I81" s="208"/>
      <c r="J81" s="208"/>
      <c r="K81" s="133"/>
      <c r="Q81" s="206" t="str">
        <f t="shared" si="3"/>
        <v/>
      </c>
      <c r="T81" s="178" t="str">
        <f t="shared" si="4"/>
        <v/>
      </c>
      <c r="V81" s="178" t="str">
        <f t="shared" si="5"/>
        <v/>
      </c>
    </row>
    <row r="82" spans="8:22" x14ac:dyDescent="0.15">
      <c r="H82" s="208"/>
      <c r="I82" s="208"/>
      <c r="J82" s="208"/>
      <c r="K82" s="133"/>
      <c r="Q82" s="206" t="str">
        <f t="shared" si="3"/>
        <v/>
      </c>
      <c r="T82" s="178" t="str">
        <f t="shared" si="4"/>
        <v/>
      </c>
      <c r="V82" s="178" t="str">
        <f t="shared" si="5"/>
        <v/>
      </c>
    </row>
    <row r="83" spans="8:22" x14ac:dyDescent="0.15">
      <c r="H83" s="208"/>
      <c r="I83" s="208"/>
      <c r="J83" s="208"/>
      <c r="K83" s="133"/>
      <c r="Q83" s="206" t="str">
        <f t="shared" si="3"/>
        <v/>
      </c>
      <c r="T83" s="178" t="str">
        <f t="shared" si="4"/>
        <v/>
      </c>
      <c r="V83" s="178" t="str">
        <f t="shared" si="5"/>
        <v/>
      </c>
    </row>
    <row r="84" spans="8:22" x14ac:dyDescent="0.15">
      <c r="H84" s="208"/>
      <c r="I84" s="208"/>
      <c r="J84" s="208"/>
      <c r="K84" s="133"/>
      <c r="Q84" s="206" t="str">
        <f t="shared" si="3"/>
        <v/>
      </c>
      <c r="T84" s="178" t="str">
        <f t="shared" si="4"/>
        <v/>
      </c>
      <c r="V84" s="178" t="str">
        <f t="shared" si="5"/>
        <v/>
      </c>
    </row>
    <row r="85" spans="8:22" x14ac:dyDescent="0.15">
      <c r="H85" s="208"/>
      <c r="I85" s="208"/>
      <c r="J85" s="208"/>
      <c r="K85" s="133"/>
      <c r="Q85" s="206" t="str">
        <f t="shared" si="3"/>
        <v/>
      </c>
      <c r="T85" s="178" t="str">
        <f t="shared" si="4"/>
        <v/>
      </c>
      <c r="V85" s="178" t="str">
        <f t="shared" si="5"/>
        <v/>
      </c>
    </row>
    <row r="86" spans="8:22" x14ac:dyDescent="0.15">
      <c r="H86" s="208"/>
      <c r="I86" s="208"/>
      <c r="J86" s="208"/>
      <c r="K86" s="133"/>
      <c r="Q86" s="206" t="str">
        <f t="shared" si="3"/>
        <v/>
      </c>
      <c r="T86" s="178" t="str">
        <f t="shared" si="4"/>
        <v/>
      </c>
      <c r="V86" s="178" t="str">
        <f t="shared" si="5"/>
        <v/>
      </c>
    </row>
    <row r="87" spans="8:22" x14ac:dyDescent="0.15">
      <c r="H87" s="208"/>
      <c r="I87" s="208"/>
      <c r="J87" s="208"/>
      <c r="K87" s="133"/>
      <c r="Q87" s="206" t="str">
        <f t="shared" si="3"/>
        <v/>
      </c>
      <c r="T87" s="178" t="str">
        <f t="shared" si="4"/>
        <v/>
      </c>
      <c r="V87" s="178" t="str">
        <f t="shared" si="5"/>
        <v/>
      </c>
    </row>
    <row r="88" spans="8:22" x14ac:dyDescent="0.15">
      <c r="H88" s="208"/>
      <c r="I88" s="208"/>
      <c r="J88" s="208"/>
      <c r="K88" s="133"/>
      <c r="Q88" s="206" t="str">
        <f t="shared" si="3"/>
        <v/>
      </c>
      <c r="T88" s="178" t="str">
        <f t="shared" si="4"/>
        <v/>
      </c>
      <c r="V88" s="178" t="str">
        <f t="shared" si="5"/>
        <v/>
      </c>
    </row>
    <row r="89" spans="8:22" x14ac:dyDescent="0.15">
      <c r="H89" s="208"/>
      <c r="I89" s="208"/>
      <c r="J89" s="208"/>
      <c r="K89" s="133"/>
      <c r="Q89" s="206" t="str">
        <f t="shared" si="3"/>
        <v/>
      </c>
      <c r="T89" s="178" t="str">
        <f t="shared" si="4"/>
        <v/>
      </c>
      <c r="V89" s="178" t="str">
        <f t="shared" si="5"/>
        <v/>
      </c>
    </row>
    <row r="90" spans="8:22" x14ac:dyDescent="0.15">
      <c r="H90" s="208"/>
      <c r="I90" s="208"/>
      <c r="J90" s="208"/>
      <c r="K90" s="133"/>
      <c r="Q90" s="206" t="str">
        <f t="shared" si="3"/>
        <v/>
      </c>
      <c r="T90" s="178" t="str">
        <f t="shared" si="4"/>
        <v/>
      </c>
      <c r="V90" s="178" t="str">
        <f t="shared" si="5"/>
        <v/>
      </c>
    </row>
    <row r="91" spans="8:22" x14ac:dyDescent="0.15">
      <c r="H91" s="208"/>
      <c r="I91" s="208"/>
      <c r="J91" s="208"/>
      <c r="K91" s="133"/>
      <c r="Q91" s="206" t="str">
        <f t="shared" si="3"/>
        <v/>
      </c>
      <c r="T91" s="178" t="str">
        <f t="shared" si="4"/>
        <v/>
      </c>
      <c r="V91" s="178" t="str">
        <f t="shared" si="5"/>
        <v/>
      </c>
    </row>
    <row r="92" spans="8:22" x14ac:dyDescent="0.15">
      <c r="H92" s="208"/>
      <c r="I92" s="208"/>
      <c r="J92" s="208"/>
      <c r="K92" s="133"/>
      <c r="Q92" s="206"/>
    </row>
    <row r="93" spans="8:22" x14ac:dyDescent="0.15">
      <c r="H93" s="208"/>
      <c r="I93" s="208"/>
      <c r="J93" s="208"/>
      <c r="K93" s="133"/>
      <c r="Q93" s="206"/>
    </row>
    <row r="94" spans="8:22" x14ac:dyDescent="0.15">
      <c r="H94" s="208"/>
      <c r="I94" s="208"/>
      <c r="J94" s="208"/>
      <c r="K94" s="133"/>
      <c r="Q94" s="206"/>
    </row>
    <row r="95" spans="8:22" x14ac:dyDescent="0.15">
      <c r="H95" s="208"/>
      <c r="I95" s="208"/>
      <c r="J95" s="208"/>
      <c r="K95" s="133"/>
      <c r="Q95" s="206"/>
    </row>
    <row r="96" spans="8:22" x14ac:dyDescent="0.15">
      <c r="H96" s="208"/>
      <c r="I96" s="208"/>
      <c r="J96" s="208"/>
      <c r="K96" s="133"/>
      <c r="Q96" s="206"/>
    </row>
    <row r="97" spans="8:17" x14ac:dyDescent="0.15">
      <c r="H97" s="208"/>
      <c r="I97" s="208"/>
      <c r="J97" s="208"/>
      <c r="K97" s="133"/>
      <c r="Q97" s="206"/>
    </row>
    <row r="98" spans="8:17" x14ac:dyDescent="0.15">
      <c r="H98" s="208"/>
      <c r="I98" s="208"/>
      <c r="J98" s="208"/>
      <c r="K98" s="133"/>
      <c r="Q98" s="206"/>
    </row>
    <row r="99" spans="8:17" x14ac:dyDescent="0.15">
      <c r="H99" s="208"/>
      <c r="I99" s="208"/>
      <c r="J99" s="208"/>
      <c r="K99" s="133"/>
      <c r="Q99" s="206"/>
    </row>
    <row r="100" spans="8:17" x14ac:dyDescent="0.15">
      <c r="H100" s="208"/>
      <c r="I100" s="208"/>
      <c r="J100" s="208"/>
      <c r="K100" s="133"/>
      <c r="Q100" s="206"/>
    </row>
    <row r="101" spans="8:17" x14ac:dyDescent="0.15">
      <c r="H101" s="208"/>
      <c r="I101" s="208"/>
      <c r="J101" s="208"/>
      <c r="K101" s="133"/>
      <c r="Q101" s="206"/>
    </row>
    <row r="102" spans="8:17" x14ac:dyDescent="0.15">
      <c r="H102" s="208"/>
      <c r="I102" s="208"/>
      <c r="J102" s="208"/>
      <c r="K102" s="133"/>
      <c r="Q102" s="206"/>
    </row>
    <row r="103" spans="8:17" x14ac:dyDescent="0.15">
      <c r="H103" s="208"/>
      <c r="I103" s="208"/>
      <c r="J103" s="208"/>
      <c r="K103" s="133"/>
      <c r="Q103" s="206"/>
    </row>
    <row r="104" spans="8:17" x14ac:dyDescent="0.15">
      <c r="H104" s="208"/>
      <c r="I104" s="208"/>
      <c r="J104" s="208"/>
      <c r="K104" s="133"/>
      <c r="Q104" s="206"/>
    </row>
    <row r="105" spans="8:17" x14ac:dyDescent="0.15">
      <c r="H105" s="208"/>
      <c r="I105" s="208"/>
      <c r="J105" s="208"/>
      <c r="K105" s="133"/>
      <c r="Q105" s="206"/>
    </row>
    <row r="106" spans="8:17" x14ac:dyDescent="0.15">
      <c r="H106" s="208"/>
      <c r="I106" s="208"/>
      <c r="J106" s="208"/>
      <c r="K106" s="133"/>
      <c r="Q106" s="206"/>
    </row>
    <row r="107" spans="8:17" x14ac:dyDescent="0.15">
      <c r="H107" s="208"/>
      <c r="I107" s="208"/>
      <c r="J107" s="208"/>
      <c r="K107" s="133"/>
      <c r="Q107" s="206"/>
    </row>
    <row r="108" spans="8:17" x14ac:dyDescent="0.15">
      <c r="H108" s="208"/>
      <c r="I108" s="208"/>
      <c r="J108" s="208"/>
      <c r="K108" s="133"/>
      <c r="Q108" s="206"/>
    </row>
    <row r="109" spans="8:17" x14ac:dyDescent="0.15">
      <c r="H109" s="208"/>
      <c r="I109" s="208"/>
      <c r="J109" s="208"/>
      <c r="K109" s="133"/>
      <c r="Q109" s="206"/>
    </row>
    <row r="110" spans="8:17" x14ac:dyDescent="0.15">
      <c r="H110" s="208"/>
      <c r="I110" s="208"/>
      <c r="J110" s="208"/>
      <c r="K110" s="133"/>
      <c r="Q110" s="206"/>
    </row>
    <row r="111" spans="8:17" x14ac:dyDescent="0.15">
      <c r="H111" s="208"/>
      <c r="I111" s="208"/>
      <c r="J111" s="208"/>
      <c r="K111" s="133"/>
      <c r="Q111" s="206"/>
    </row>
    <row r="112" spans="8:17" x14ac:dyDescent="0.15">
      <c r="H112" s="208"/>
      <c r="I112" s="208"/>
      <c r="J112" s="208"/>
      <c r="K112" s="133"/>
      <c r="Q112" s="206"/>
    </row>
    <row r="113" spans="8:17" x14ac:dyDescent="0.15">
      <c r="H113" s="208"/>
      <c r="I113" s="208"/>
      <c r="J113" s="208"/>
      <c r="K113" s="133"/>
      <c r="Q113" s="206"/>
    </row>
    <row r="114" spans="8:17" x14ac:dyDescent="0.15">
      <c r="H114" s="208"/>
      <c r="I114" s="208"/>
      <c r="J114" s="208"/>
      <c r="K114" s="133"/>
      <c r="Q114" s="206"/>
    </row>
    <row r="115" spans="8:17" x14ac:dyDescent="0.15">
      <c r="H115" s="208"/>
      <c r="I115" s="208"/>
      <c r="J115" s="208"/>
      <c r="K115" s="133"/>
      <c r="Q115" s="206"/>
    </row>
    <row r="116" spans="8:17" x14ac:dyDescent="0.15">
      <c r="H116" s="208"/>
      <c r="I116" s="208"/>
      <c r="J116" s="208"/>
      <c r="K116" s="133"/>
      <c r="Q116" s="206"/>
    </row>
    <row r="117" spans="8:17" x14ac:dyDescent="0.15">
      <c r="H117" s="208"/>
      <c r="I117" s="208"/>
      <c r="J117" s="208"/>
      <c r="K117" s="133"/>
      <c r="Q117" s="206"/>
    </row>
    <row r="118" spans="8:17" x14ac:dyDescent="0.15">
      <c r="H118" s="208"/>
      <c r="I118" s="208"/>
      <c r="J118" s="208"/>
      <c r="K118" s="133"/>
      <c r="Q118" s="206"/>
    </row>
    <row r="119" spans="8:17" x14ac:dyDescent="0.15">
      <c r="H119" s="208"/>
      <c r="I119" s="208"/>
      <c r="J119" s="208"/>
      <c r="K119" s="133"/>
      <c r="Q119" s="206"/>
    </row>
    <row r="120" spans="8:17" x14ac:dyDescent="0.15">
      <c r="H120" s="208"/>
      <c r="I120" s="208"/>
      <c r="J120" s="208"/>
      <c r="K120" s="133"/>
      <c r="Q120" s="206"/>
    </row>
    <row r="121" spans="8:17" x14ac:dyDescent="0.15">
      <c r="H121" s="208"/>
      <c r="I121" s="208"/>
      <c r="J121" s="208"/>
      <c r="K121" s="133"/>
      <c r="Q121" s="206"/>
    </row>
    <row r="122" spans="8:17" x14ac:dyDescent="0.15">
      <c r="H122" s="208"/>
      <c r="I122" s="208"/>
      <c r="J122" s="208"/>
      <c r="K122" s="133"/>
      <c r="Q122" s="206"/>
    </row>
    <row r="123" spans="8:17" x14ac:dyDescent="0.15">
      <c r="H123" s="208"/>
      <c r="I123" s="208"/>
      <c r="J123" s="208"/>
      <c r="K123" s="133"/>
      <c r="Q123" s="206"/>
    </row>
    <row r="124" spans="8:17" x14ac:dyDescent="0.15">
      <c r="H124" s="208"/>
      <c r="I124" s="208"/>
      <c r="J124" s="208"/>
      <c r="K124" s="133"/>
      <c r="Q124" s="206"/>
    </row>
    <row r="125" spans="8:17" x14ac:dyDescent="0.15">
      <c r="H125" s="208"/>
      <c r="I125" s="208"/>
      <c r="J125" s="208"/>
      <c r="K125" s="133"/>
      <c r="Q125" s="206"/>
    </row>
    <row r="126" spans="8:17" x14ac:dyDescent="0.15">
      <c r="H126" s="208"/>
      <c r="I126" s="208"/>
      <c r="J126" s="208"/>
      <c r="K126" s="133"/>
      <c r="Q126" s="206"/>
    </row>
    <row r="127" spans="8:17" x14ac:dyDescent="0.15">
      <c r="H127" s="208"/>
      <c r="I127" s="208"/>
      <c r="J127" s="208"/>
      <c r="K127" s="133"/>
      <c r="Q127" s="206"/>
    </row>
    <row r="128" spans="8:17" x14ac:dyDescent="0.15">
      <c r="H128" s="208"/>
      <c r="I128" s="208"/>
      <c r="J128" s="208"/>
      <c r="K128" s="133"/>
      <c r="Q128" s="206"/>
    </row>
    <row r="129" spans="8:17" x14ac:dyDescent="0.15">
      <c r="H129" s="208"/>
      <c r="I129" s="208"/>
      <c r="J129" s="208"/>
      <c r="K129" s="133"/>
      <c r="Q129" s="206"/>
    </row>
    <row r="130" spans="8:17" x14ac:dyDescent="0.15">
      <c r="H130" s="208"/>
      <c r="I130" s="208"/>
      <c r="J130" s="208"/>
      <c r="K130" s="133"/>
      <c r="Q130" s="206"/>
    </row>
    <row r="131" spans="8:17" x14ac:dyDescent="0.15">
      <c r="H131" s="208"/>
      <c r="I131" s="208"/>
      <c r="J131" s="208"/>
      <c r="K131" s="133"/>
      <c r="Q131" s="206"/>
    </row>
    <row r="132" spans="8:17" x14ac:dyDescent="0.15">
      <c r="H132" s="208"/>
      <c r="I132" s="208"/>
      <c r="J132" s="208"/>
      <c r="K132" s="133"/>
      <c r="Q132" s="206"/>
    </row>
    <row r="133" spans="8:17" x14ac:dyDescent="0.15">
      <c r="H133" s="208"/>
      <c r="I133" s="208"/>
      <c r="J133" s="208"/>
      <c r="K133" s="133"/>
      <c r="Q133" s="206"/>
    </row>
    <row r="134" spans="8:17" x14ac:dyDescent="0.15">
      <c r="H134" s="208"/>
      <c r="I134" s="208"/>
      <c r="J134" s="208"/>
      <c r="K134" s="133"/>
      <c r="Q134" s="206"/>
    </row>
    <row r="135" spans="8:17" x14ac:dyDescent="0.15">
      <c r="H135" s="208"/>
      <c r="I135" s="208"/>
      <c r="J135" s="208"/>
      <c r="K135" s="133"/>
      <c r="Q135" s="206"/>
    </row>
    <row r="136" spans="8:17" x14ac:dyDescent="0.15">
      <c r="H136" s="208"/>
      <c r="I136" s="208"/>
      <c r="J136" s="208"/>
      <c r="K136" s="133"/>
      <c r="Q136" s="206"/>
    </row>
    <row r="137" spans="8:17" x14ac:dyDescent="0.15">
      <c r="H137" s="208"/>
      <c r="I137" s="208"/>
      <c r="J137" s="208"/>
      <c r="K137" s="133"/>
      <c r="Q137" s="206"/>
    </row>
    <row r="138" spans="8:17" x14ac:dyDescent="0.15">
      <c r="H138" s="208"/>
      <c r="I138" s="208"/>
      <c r="J138" s="208"/>
      <c r="K138" s="133"/>
      <c r="Q138" s="206"/>
    </row>
    <row r="139" spans="8:17" x14ac:dyDescent="0.15">
      <c r="H139" s="208"/>
      <c r="I139" s="208"/>
      <c r="J139" s="208"/>
      <c r="K139" s="133"/>
      <c r="Q139" s="206"/>
    </row>
    <row r="140" spans="8:17" x14ac:dyDescent="0.15">
      <c r="H140" s="208"/>
      <c r="I140" s="208"/>
      <c r="J140" s="208"/>
      <c r="K140" s="133"/>
      <c r="Q140" s="206"/>
    </row>
    <row r="141" spans="8:17" x14ac:dyDescent="0.15">
      <c r="H141" s="208"/>
      <c r="I141" s="208"/>
      <c r="J141" s="208"/>
      <c r="K141" s="133"/>
      <c r="Q141" s="206"/>
    </row>
    <row r="142" spans="8:17" x14ac:dyDescent="0.15">
      <c r="K142" s="133"/>
      <c r="Q142" s="206"/>
    </row>
    <row r="143" spans="8:17" x14ac:dyDescent="0.15">
      <c r="K143" s="133"/>
      <c r="Q143" s="206"/>
    </row>
    <row r="144" spans="8:17" x14ac:dyDescent="0.15">
      <c r="K144" s="133"/>
      <c r="Q144" s="206"/>
    </row>
    <row r="145" spans="11:17" x14ac:dyDescent="0.15">
      <c r="K145" s="133"/>
      <c r="Q145" s="206"/>
    </row>
    <row r="146" spans="11:17" x14ac:dyDescent="0.15">
      <c r="K146" s="133"/>
      <c r="Q146" s="206"/>
    </row>
    <row r="147" spans="11:17" x14ac:dyDescent="0.15">
      <c r="K147" s="133"/>
      <c r="Q147" s="206"/>
    </row>
    <row r="148" spans="11:17" x14ac:dyDescent="0.15">
      <c r="K148" s="133"/>
      <c r="Q148" s="206"/>
    </row>
    <row r="149" spans="11:17" x14ac:dyDescent="0.15">
      <c r="K149" s="133"/>
      <c r="Q149" s="206"/>
    </row>
    <row r="150" spans="11:17" x14ac:dyDescent="0.15">
      <c r="K150" s="133"/>
      <c r="Q150" s="206"/>
    </row>
    <row r="151" spans="11:17" x14ac:dyDescent="0.15">
      <c r="K151" s="133"/>
      <c r="Q151" s="206"/>
    </row>
    <row r="152" spans="11:17" x14ac:dyDescent="0.15">
      <c r="K152" s="133"/>
      <c r="Q152" s="206"/>
    </row>
    <row r="153" spans="11:17" x14ac:dyDescent="0.15">
      <c r="K153" s="133"/>
      <c r="Q153" s="206"/>
    </row>
    <row r="154" spans="11:17" x14ac:dyDescent="0.15">
      <c r="K154" s="133"/>
      <c r="Q154" s="206"/>
    </row>
    <row r="155" spans="11:17" x14ac:dyDescent="0.15">
      <c r="K155" s="133"/>
      <c r="Q155" s="206"/>
    </row>
    <row r="156" spans="11:17" x14ac:dyDescent="0.15">
      <c r="K156" s="133"/>
      <c r="Q156" s="206"/>
    </row>
    <row r="157" spans="11:17" x14ac:dyDescent="0.15">
      <c r="K157" s="133"/>
      <c r="Q157" s="206"/>
    </row>
    <row r="158" spans="11:17" x14ac:dyDescent="0.15">
      <c r="K158" s="133"/>
      <c r="Q158" s="206"/>
    </row>
    <row r="159" spans="11:17" x14ac:dyDescent="0.15">
      <c r="K159" s="133"/>
      <c r="Q159" s="206"/>
    </row>
    <row r="160" spans="11:17" x14ac:dyDescent="0.15">
      <c r="K160" s="133"/>
      <c r="Q160" s="206"/>
    </row>
    <row r="161" spans="11:17" x14ac:dyDescent="0.15">
      <c r="K161" s="133"/>
      <c r="Q161" s="206"/>
    </row>
    <row r="162" spans="11:17" x14ac:dyDescent="0.15">
      <c r="K162" s="133"/>
      <c r="Q162" s="206"/>
    </row>
    <row r="163" spans="11:17" x14ac:dyDescent="0.15">
      <c r="K163" s="133"/>
      <c r="Q163" s="206"/>
    </row>
    <row r="164" spans="11:17" x14ac:dyDescent="0.15">
      <c r="K164" s="133"/>
      <c r="Q164" s="206"/>
    </row>
    <row r="165" spans="11:17" x14ac:dyDescent="0.15">
      <c r="K165" s="133"/>
      <c r="Q165" s="206"/>
    </row>
    <row r="166" spans="11:17" x14ac:dyDescent="0.15">
      <c r="K166" s="133"/>
      <c r="Q166" s="206"/>
    </row>
    <row r="167" spans="11:17" x14ac:dyDescent="0.15">
      <c r="K167" s="133"/>
      <c r="Q167" s="206"/>
    </row>
    <row r="168" spans="11:17" x14ac:dyDescent="0.15">
      <c r="K168" s="133"/>
      <c r="Q168" s="206"/>
    </row>
    <row r="169" spans="11:17" x14ac:dyDescent="0.15">
      <c r="K169" s="133"/>
      <c r="Q169" s="206"/>
    </row>
    <row r="170" spans="11:17" x14ac:dyDescent="0.15">
      <c r="K170" s="133"/>
      <c r="Q170" s="206"/>
    </row>
    <row r="171" spans="11:17" x14ac:dyDescent="0.15">
      <c r="K171" s="133"/>
      <c r="Q171" s="206"/>
    </row>
    <row r="172" spans="11:17" x14ac:dyDescent="0.15">
      <c r="K172" s="133"/>
      <c r="Q172" s="206"/>
    </row>
    <row r="173" spans="11:17" x14ac:dyDescent="0.15">
      <c r="K173" s="133"/>
      <c r="Q173" s="206"/>
    </row>
    <row r="174" spans="11:17" x14ac:dyDescent="0.15">
      <c r="K174" s="133"/>
      <c r="Q174" s="206"/>
    </row>
    <row r="175" spans="11:17" x14ac:dyDescent="0.15">
      <c r="K175" s="133"/>
      <c r="Q175" s="206"/>
    </row>
    <row r="176" spans="11:17" x14ac:dyDescent="0.15">
      <c r="K176" s="133"/>
      <c r="Q176" s="206"/>
    </row>
    <row r="177" spans="11:17" x14ac:dyDescent="0.15">
      <c r="K177" s="133"/>
      <c r="Q177" s="206"/>
    </row>
    <row r="178" spans="11:17" x14ac:dyDescent="0.15">
      <c r="K178" s="133"/>
      <c r="Q178" s="206"/>
    </row>
    <row r="179" spans="11:17" x14ac:dyDescent="0.15">
      <c r="K179" s="133"/>
      <c r="Q179" s="206"/>
    </row>
    <row r="180" spans="11:17" x14ac:dyDescent="0.15">
      <c r="K180" s="133"/>
      <c r="Q180" s="206"/>
    </row>
    <row r="181" spans="11:17" x14ac:dyDescent="0.15">
      <c r="K181" s="133"/>
      <c r="Q181" s="206"/>
    </row>
    <row r="182" spans="11:17" x14ac:dyDescent="0.15">
      <c r="K182" s="133"/>
      <c r="Q182" s="206"/>
    </row>
    <row r="183" spans="11:17" x14ac:dyDescent="0.15">
      <c r="K183" s="133"/>
      <c r="Q183" s="206"/>
    </row>
    <row r="184" spans="11:17" x14ac:dyDescent="0.15">
      <c r="K184" s="133"/>
      <c r="Q184" s="206"/>
    </row>
    <row r="185" spans="11:17" x14ac:dyDescent="0.15">
      <c r="K185" s="133"/>
      <c r="Q185" s="206"/>
    </row>
    <row r="186" spans="11:17" x14ac:dyDescent="0.15">
      <c r="K186" s="133"/>
      <c r="Q186" s="206"/>
    </row>
    <row r="187" spans="11:17" x14ac:dyDescent="0.15">
      <c r="K187" s="133"/>
      <c r="Q187" s="206"/>
    </row>
    <row r="188" spans="11:17" x14ac:dyDescent="0.15">
      <c r="K188" s="133"/>
      <c r="Q188" s="206"/>
    </row>
    <row r="189" spans="11:17" x14ac:dyDescent="0.15">
      <c r="K189" s="133"/>
      <c r="Q189" s="206"/>
    </row>
    <row r="190" spans="11:17" x14ac:dyDescent="0.15">
      <c r="K190" s="133"/>
      <c r="Q190" s="206"/>
    </row>
    <row r="191" spans="11:17" x14ac:dyDescent="0.15">
      <c r="K191" s="133"/>
      <c r="Q191" s="206"/>
    </row>
    <row r="192" spans="11:17" x14ac:dyDescent="0.15">
      <c r="K192" s="133"/>
      <c r="Q192" s="206"/>
    </row>
    <row r="193" spans="11:17" x14ac:dyDescent="0.15">
      <c r="K193" s="133"/>
      <c r="Q193" s="206"/>
    </row>
    <row r="194" spans="11:17" x14ac:dyDescent="0.15">
      <c r="K194" s="133"/>
      <c r="Q194" s="206"/>
    </row>
    <row r="195" spans="11:17" x14ac:dyDescent="0.15">
      <c r="K195" s="133"/>
      <c r="Q195" s="206"/>
    </row>
    <row r="196" spans="11:17" x14ac:dyDescent="0.15">
      <c r="K196" s="133"/>
      <c r="Q196" s="206"/>
    </row>
    <row r="197" spans="11:17" x14ac:dyDescent="0.15">
      <c r="K197" s="133"/>
      <c r="Q197" s="206"/>
    </row>
    <row r="198" spans="11:17" x14ac:dyDescent="0.15">
      <c r="K198" s="133"/>
      <c r="Q198" s="206"/>
    </row>
    <row r="199" spans="11:17" x14ac:dyDescent="0.15">
      <c r="K199" s="133"/>
      <c r="Q199" s="206"/>
    </row>
    <row r="200" spans="11:17" x14ac:dyDescent="0.15">
      <c r="K200" s="133"/>
      <c r="Q200" s="206"/>
    </row>
    <row r="201" spans="11:17" x14ac:dyDescent="0.15">
      <c r="K201" s="133"/>
      <c r="Q201" s="206"/>
    </row>
    <row r="202" spans="11:17" x14ac:dyDescent="0.15">
      <c r="K202" s="133"/>
      <c r="Q202" s="206"/>
    </row>
    <row r="203" spans="11:17" x14ac:dyDescent="0.15">
      <c r="K203" s="133"/>
      <c r="Q203" s="206"/>
    </row>
    <row r="204" spans="11:17" x14ac:dyDescent="0.15">
      <c r="K204" s="133"/>
      <c r="Q204" s="206"/>
    </row>
    <row r="205" spans="11:17" x14ac:dyDescent="0.15">
      <c r="K205" s="133"/>
      <c r="Q205" s="206"/>
    </row>
    <row r="206" spans="11:17" x14ac:dyDescent="0.15">
      <c r="K206" s="133"/>
      <c r="Q206" s="206"/>
    </row>
    <row r="207" spans="11:17" x14ac:dyDescent="0.15">
      <c r="K207" s="133"/>
      <c r="Q207" s="206"/>
    </row>
    <row r="208" spans="11:17" x14ac:dyDescent="0.15">
      <c r="K208" s="133"/>
      <c r="Q208" s="206"/>
    </row>
    <row r="209" spans="11:17" x14ac:dyDescent="0.15">
      <c r="K209" s="133"/>
      <c r="Q209" s="206"/>
    </row>
    <row r="210" spans="11:17" x14ac:dyDescent="0.15">
      <c r="K210" s="133"/>
      <c r="Q210" s="206"/>
    </row>
    <row r="211" spans="11:17" x14ac:dyDescent="0.15">
      <c r="K211" s="133"/>
      <c r="Q211" s="206"/>
    </row>
    <row r="212" spans="11:17" x14ac:dyDescent="0.15">
      <c r="K212" s="133"/>
      <c r="Q212" s="206"/>
    </row>
    <row r="213" spans="11:17" x14ac:dyDescent="0.15">
      <c r="K213" s="133"/>
      <c r="Q213" s="206"/>
    </row>
    <row r="214" spans="11:17" x14ac:dyDescent="0.15">
      <c r="K214" s="133"/>
      <c r="Q214" s="206"/>
    </row>
    <row r="215" spans="11:17" x14ac:dyDescent="0.15">
      <c r="K215" s="133"/>
      <c r="Q215" s="206"/>
    </row>
    <row r="216" spans="11:17" x14ac:dyDescent="0.15">
      <c r="K216" s="133"/>
      <c r="Q216" s="206"/>
    </row>
    <row r="217" spans="11:17" x14ac:dyDescent="0.15">
      <c r="K217" s="133"/>
      <c r="Q217" s="206"/>
    </row>
    <row r="218" spans="11:17" x14ac:dyDescent="0.15">
      <c r="K218" s="133"/>
      <c r="Q218" s="206"/>
    </row>
    <row r="219" spans="11:17" x14ac:dyDescent="0.15">
      <c r="K219" s="133"/>
      <c r="Q219" s="206"/>
    </row>
    <row r="220" spans="11:17" x14ac:dyDescent="0.15">
      <c r="K220" s="133"/>
      <c r="Q220" s="206"/>
    </row>
    <row r="221" spans="11:17" x14ac:dyDescent="0.15">
      <c r="K221" s="133"/>
      <c r="Q221" s="206"/>
    </row>
    <row r="222" spans="11:17" x14ac:dyDescent="0.15">
      <c r="K222" s="133"/>
      <c r="Q222" s="206"/>
    </row>
    <row r="223" spans="11:17" x14ac:dyDescent="0.15">
      <c r="K223" s="133"/>
      <c r="Q223" s="206"/>
    </row>
    <row r="224" spans="11:17" x14ac:dyDescent="0.15">
      <c r="K224" s="133"/>
      <c r="Q224" s="206"/>
    </row>
    <row r="225" spans="11:17" x14ac:dyDescent="0.15">
      <c r="K225" s="133"/>
      <c r="Q225" s="206"/>
    </row>
    <row r="226" spans="11:17" x14ac:dyDescent="0.15">
      <c r="K226" s="133"/>
      <c r="Q226" s="206"/>
    </row>
    <row r="227" spans="11:17" x14ac:dyDescent="0.15">
      <c r="K227" s="133"/>
      <c r="Q227" s="206"/>
    </row>
    <row r="228" spans="11:17" x14ac:dyDescent="0.15">
      <c r="K228" s="133"/>
      <c r="Q228" s="206"/>
    </row>
    <row r="229" spans="11:17" x14ac:dyDescent="0.15">
      <c r="K229" s="133"/>
      <c r="Q229" s="206"/>
    </row>
    <row r="230" spans="11:17" x14ac:dyDescent="0.15">
      <c r="K230" s="133"/>
      <c r="Q230" s="206"/>
    </row>
    <row r="231" spans="11:17" x14ac:dyDescent="0.15">
      <c r="K231" s="133"/>
      <c r="Q231" s="206"/>
    </row>
    <row r="232" spans="11:17" x14ac:dyDescent="0.15">
      <c r="K232" s="133"/>
      <c r="Q232" s="206"/>
    </row>
    <row r="233" spans="11:17" x14ac:dyDescent="0.15">
      <c r="K233" s="133"/>
      <c r="Q233" s="206"/>
    </row>
    <row r="234" spans="11:17" x14ac:dyDescent="0.15">
      <c r="K234" s="133"/>
      <c r="Q234" s="206"/>
    </row>
    <row r="235" spans="11:17" x14ac:dyDescent="0.15">
      <c r="K235" s="133"/>
      <c r="Q235" s="206"/>
    </row>
    <row r="236" spans="11:17" x14ac:dyDescent="0.15">
      <c r="K236" s="133"/>
      <c r="Q236" s="206"/>
    </row>
    <row r="237" spans="11:17" x14ac:dyDescent="0.15">
      <c r="K237" s="133"/>
      <c r="Q237" s="206"/>
    </row>
    <row r="238" spans="11:17" x14ac:dyDescent="0.15">
      <c r="K238" s="133"/>
      <c r="Q238" s="206"/>
    </row>
    <row r="239" spans="11:17" x14ac:dyDescent="0.15">
      <c r="K239" s="133"/>
      <c r="Q239" s="206"/>
    </row>
    <row r="240" spans="11:17" x14ac:dyDescent="0.15">
      <c r="K240" s="133"/>
      <c r="Q240" s="206"/>
    </row>
    <row r="241" spans="11:17" x14ac:dyDescent="0.15">
      <c r="K241" s="133"/>
      <c r="Q241" s="206"/>
    </row>
    <row r="242" spans="11:17" x14ac:dyDescent="0.15">
      <c r="K242" s="133"/>
      <c r="Q242" s="206"/>
    </row>
    <row r="243" spans="11:17" x14ac:dyDescent="0.15">
      <c r="K243" s="133"/>
      <c r="Q243" s="206"/>
    </row>
    <row r="244" spans="11:17" x14ac:dyDescent="0.15">
      <c r="K244" s="133"/>
      <c r="Q244" s="206"/>
    </row>
    <row r="245" spans="11:17" x14ac:dyDescent="0.15">
      <c r="K245" s="133"/>
      <c r="Q245" s="206"/>
    </row>
    <row r="246" spans="11:17" x14ac:dyDescent="0.15">
      <c r="K246" s="133"/>
      <c r="Q246" s="206"/>
    </row>
    <row r="247" spans="11:17" x14ac:dyDescent="0.15">
      <c r="K247" s="133"/>
      <c r="Q247" s="206"/>
    </row>
    <row r="248" spans="11:17" x14ac:dyDescent="0.15">
      <c r="K248" s="133"/>
      <c r="Q248" s="206"/>
    </row>
    <row r="249" spans="11:17" x14ac:dyDescent="0.15">
      <c r="K249" s="133"/>
      <c r="Q249" s="206"/>
    </row>
    <row r="250" spans="11:17" x14ac:dyDescent="0.15">
      <c r="K250" s="133"/>
      <c r="Q250" s="206"/>
    </row>
    <row r="251" spans="11:17" x14ac:dyDescent="0.15">
      <c r="K251" s="133"/>
      <c r="Q251" s="206"/>
    </row>
    <row r="252" spans="11:17" x14ac:dyDescent="0.15">
      <c r="K252" s="133"/>
      <c r="Q252" s="206"/>
    </row>
    <row r="253" spans="11:17" x14ac:dyDescent="0.15">
      <c r="K253" s="133"/>
      <c r="Q253" s="206"/>
    </row>
    <row r="254" spans="11:17" x14ac:dyDescent="0.15">
      <c r="K254" s="133"/>
      <c r="Q254" s="206"/>
    </row>
    <row r="255" spans="11:17" x14ac:dyDescent="0.15">
      <c r="K255" s="133"/>
      <c r="Q255" s="206"/>
    </row>
    <row r="256" spans="11:17" x14ac:dyDescent="0.15">
      <c r="K256" s="133"/>
      <c r="Q256" s="206"/>
    </row>
    <row r="257" spans="11:17" x14ac:dyDescent="0.15">
      <c r="K257" s="133"/>
      <c r="Q257" s="206"/>
    </row>
    <row r="258" spans="11:17" x14ac:dyDescent="0.15">
      <c r="K258" s="133"/>
      <c r="Q258" s="206"/>
    </row>
    <row r="259" spans="11:17" x14ac:dyDescent="0.15">
      <c r="K259" s="133"/>
      <c r="Q259" s="206"/>
    </row>
    <row r="260" spans="11:17" x14ac:dyDescent="0.15">
      <c r="K260" s="133"/>
      <c r="Q260" s="206"/>
    </row>
    <row r="261" spans="11:17" x14ac:dyDescent="0.15">
      <c r="K261" s="133"/>
      <c r="Q261" s="206"/>
    </row>
    <row r="262" spans="11:17" x14ac:dyDescent="0.15">
      <c r="K262" s="133"/>
      <c r="Q262" s="206"/>
    </row>
    <row r="263" spans="11:17" x14ac:dyDescent="0.15">
      <c r="K263" s="133"/>
      <c r="Q263" s="206"/>
    </row>
    <row r="264" spans="11:17" x14ac:dyDescent="0.15">
      <c r="K264" s="133"/>
      <c r="Q264" s="206"/>
    </row>
    <row r="265" spans="11:17" x14ac:dyDescent="0.15">
      <c r="K265" s="133"/>
      <c r="Q265" s="206"/>
    </row>
    <row r="266" spans="11:17" x14ac:dyDescent="0.15">
      <c r="K266" s="133"/>
      <c r="Q266" s="206"/>
    </row>
    <row r="267" spans="11:17" x14ac:dyDescent="0.15">
      <c r="K267" s="133"/>
      <c r="Q267" s="206"/>
    </row>
    <row r="268" spans="11:17" x14ac:dyDescent="0.15">
      <c r="K268" s="133"/>
      <c r="Q268" s="206"/>
    </row>
    <row r="269" spans="11:17" x14ac:dyDescent="0.15">
      <c r="K269" s="133"/>
      <c r="Q269" s="206"/>
    </row>
    <row r="270" spans="11:17" x14ac:dyDescent="0.15">
      <c r="K270" s="133"/>
      <c r="Q270" s="206"/>
    </row>
    <row r="271" spans="11:17" x14ac:dyDescent="0.15">
      <c r="K271" s="133"/>
      <c r="Q271" s="206"/>
    </row>
    <row r="272" spans="11:17" x14ac:dyDescent="0.15">
      <c r="K272" s="133"/>
      <c r="Q272" s="206"/>
    </row>
    <row r="273" spans="11:17" x14ac:dyDescent="0.15">
      <c r="K273" s="133"/>
      <c r="Q273" s="206"/>
    </row>
    <row r="274" spans="11:17" x14ac:dyDescent="0.15">
      <c r="K274" s="133"/>
      <c r="Q274" s="206"/>
    </row>
    <row r="275" spans="11:17" x14ac:dyDescent="0.15">
      <c r="K275" s="133"/>
      <c r="Q275" s="206"/>
    </row>
    <row r="276" spans="11:17" x14ac:dyDescent="0.15">
      <c r="K276" s="133"/>
      <c r="Q276" s="206"/>
    </row>
    <row r="277" spans="11:17" x14ac:dyDescent="0.15">
      <c r="K277" s="133"/>
      <c r="Q277" s="206"/>
    </row>
    <row r="278" spans="11:17" x14ac:dyDescent="0.15">
      <c r="K278" s="133"/>
      <c r="Q278" s="206"/>
    </row>
    <row r="279" spans="11:17" x14ac:dyDescent="0.15">
      <c r="K279" s="133"/>
      <c r="Q279" s="206"/>
    </row>
    <row r="280" spans="11:17" x14ac:dyDescent="0.15">
      <c r="K280" s="133"/>
      <c r="Q280" s="206"/>
    </row>
    <row r="281" spans="11:17" x14ac:dyDescent="0.15">
      <c r="K281" s="133"/>
      <c r="Q281" s="206"/>
    </row>
    <row r="282" spans="11:17" x14ac:dyDescent="0.15">
      <c r="K282" s="133"/>
      <c r="Q282" s="206"/>
    </row>
    <row r="283" spans="11:17" x14ac:dyDescent="0.15">
      <c r="K283" s="133"/>
      <c r="Q283" s="206"/>
    </row>
    <row r="284" spans="11:17" x14ac:dyDescent="0.15">
      <c r="K284" s="133"/>
      <c r="Q284" s="206"/>
    </row>
    <row r="285" spans="11:17" x14ac:dyDescent="0.15">
      <c r="K285" s="133"/>
      <c r="Q285" s="206"/>
    </row>
    <row r="286" spans="11:17" x14ac:dyDescent="0.15">
      <c r="K286" s="133"/>
      <c r="Q286" s="206"/>
    </row>
    <row r="287" spans="11:17" x14ac:dyDescent="0.15">
      <c r="K287" s="133"/>
      <c r="Q287" s="206"/>
    </row>
    <row r="288" spans="11:17" x14ac:dyDescent="0.15">
      <c r="K288" s="133"/>
      <c r="Q288" s="206"/>
    </row>
    <row r="289" spans="11:17" x14ac:dyDescent="0.15">
      <c r="K289" s="133"/>
      <c r="Q289" s="206"/>
    </row>
    <row r="290" spans="11:17" x14ac:dyDescent="0.15">
      <c r="K290" s="133"/>
      <c r="Q290" s="206"/>
    </row>
    <row r="291" spans="11:17" x14ac:dyDescent="0.15">
      <c r="K291" s="133"/>
      <c r="Q291" s="206"/>
    </row>
    <row r="292" spans="11:17" x14ac:dyDescent="0.15">
      <c r="K292" s="133"/>
    </row>
    <row r="293" spans="11:17" x14ac:dyDescent="0.15">
      <c r="K293" s="133"/>
    </row>
    <row r="294" spans="11:17" x14ac:dyDescent="0.15">
      <c r="K294" s="133"/>
    </row>
    <row r="295" spans="11:17" x14ac:dyDescent="0.15">
      <c r="K295" s="133"/>
    </row>
    <row r="296" spans="11:17" x14ac:dyDescent="0.15">
      <c r="K296" s="133"/>
    </row>
    <row r="297" spans="11:17" x14ac:dyDescent="0.15">
      <c r="K297" s="133"/>
    </row>
    <row r="298" spans="11:17" x14ac:dyDescent="0.15">
      <c r="K298" s="133"/>
    </row>
    <row r="299" spans="11:17" x14ac:dyDescent="0.15">
      <c r="K299" s="133"/>
    </row>
    <row r="300" spans="11:17" x14ac:dyDescent="0.15">
      <c r="K300" s="133"/>
    </row>
    <row r="301" spans="11:17" x14ac:dyDescent="0.15">
      <c r="K301" s="133"/>
    </row>
    <row r="302" spans="11:17" x14ac:dyDescent="0.15">
      <c r="K302" s="133"/>
    </row>
    <row r="303" spans="11:17" x14ac:dyDescent="0.15">
      <c r="K303" s="133"/>
    </row>
    <row r="304" spans="11:17" x14ac:dyDescent="0.15">
      <c r="K304" s="133"/>
    </row>
    <row r="305" spans="11:11" x14ac:dyDescent="0.15">
      <c r="K305" s="133"/>
    </row>
    <row r="306" spans="11:11" x14ac:dyDescent="0.15">
      <c r="K306" s="133"/>
    </row>
    <row r="307" spans="11:11" x14ac:dyDescent="0.15">
      <c r="K307" s="133"/>
    </row>
    <row r="308" spans="11:11" x14ac:dyDescent="0.15">
      <c r="K308" s="133"/>
    </row>
    <row r="309" spans="11:11" x14ac:dyDescent="0.15">
      <c r="K309" s="133"/>
    </row>
    <row r="310" spans="11:11" x14ac:dyDescent="0.15">
      <c r="K310" s="133"/>
    </row>
    <row r="311" spans="11:11" x14ac:dyDescent="0.15">
      <c r="K311" s="133"/>
    </row>
    <row r="312" spans="11:11" x14ac:dyDescent="0.15">
      <c r="K312" s="133"/>
    </row>
    <row r="313" spans="11:11" x14ac:dyDescent="0.15">
      <c r="K313" s="133"/>
    </row>
    <row r="314" spans="11:11" x14ac:dyDescent="0.15">
      <c r="K314" s="133"/>
    </row>
    <row r="315" spans="11:11" x14ac:dyDescent="0.15">
      <c r="K315" s="133"/>
    </row>
    <row r="316" spans="11:11" x14ac:dyDescent="0.15">
      <c r="K316" s="133"/>
    </row>
    <row r="317" spans="11:11" x14ac:dyDescent="0.15">
      <c r="K317" s="133"/>
    </row>
    <row r="318" spans="11:11" x14ac:dyDescent="0.15">
      <c r="K318" s="133"/>
    </row>
    <row r="319" spans="11:11" x14ac:dyDescent="0.15">
      <c r="K319" s="133"/>
    </row>
    <row r="320" spans="11:11" x14ac:dyDescent="0.15">
      <c r="K320" s="133"/>
    </row>
    <row r="321" spans="11:11" x14ac:dyDescent="0.15">
      <c r="K321" s="133"/>
    </row>
    <row r="322" spans="11:11" x14ac:dyDescent="0.15">
      <c r="K322" s="133"/>
    </row>
    <row r="323" spans="11:11" x14ac:dyDescent="0.15">
      <c r="K323" s="133"/>
    </row>
    <row r="324" spans="11:11" x14ac:dyDescent="0.15">
      <c r="K324" s="133"/>
    </row>
    <row r="325" spans="11:11" x14ac:dyDescent="0.15">
      <c r="K325" s="133"/>
    </row>
    <row r="326" spans="11:11" x14ac:dyDescent="0.15">
      <c r="K326" s="133"/>
    </row>
    <row r="327" spans="11:11" x14ac:dyDescent="0.15">
      <c r="K327" s="133"/>
    </row>
    <row r="328" spans="11:11" x14ac:dyDescent="0.15">
      <c r="K328" s="133"/>
    </row>
    <row r="329" spans="11:11" x14ac:dyDescent="0.15">
      <c r="K329" s="133"/>
    </row>
    <row r="330" spans="11:11" x14ac:dyDescent="0.15">
      <c r="K330" s="133"/>
    </row>
    <row r="331" spans="11:11" x14ac:dyDescent="0.15">
      <c r="K331" s="133"/>
    </row>
    <row r="332" spans="11:11" x14ac:dyDescent="0.15">
      <c r="K332" s="133"/>
    </row>
    <row r="333" spans="11:11" x14ac:dyDescent="0.15">
      <c r="K333" s="133"/>
    </row>
    <row r="334" spans="11:11" x14ac:dyDescent="0.15">
      <c r="K334" s="133"/>
    </row>
    <row r="335" spans="11:11" x14ac:dyDescent="0.15">
      <c r="K335" s="133"/>
    </row>
    <row r="336" spans="11:11" x14ac:dyDescent="0.15">
      <c r="K336" s="133"/>
    </row>
    <row r="337" spans="11:11" x14ac:dyDescent="0.15">
      <c r="K337" s="133"/>
    </row>
    <row r="338" spans="11:11" x14ac:dyDescent="0.15">
      <c r="K338" s="133"/>
    </row>
    <row r="339" spans="11:11" x14ac:dyDescent="0.15">
      <c r="K339" s="133"/>
    </row>
    <row r="340" spans="11:11" x14ac:dyDescent="0.15">
      <c r="K340" s="133"/>
    </row>
    <row r="341" spans="11:11" x14ac:dyDescent="0.15">
      <c r="K341" s="133"/>
    </row>
    <row r="342" spans="11:11" x14ac:dyDescent="0.15">
      <c r="K342" s="133"/>
    </row>
    <row r="343" spans="11:11" x14ac:dyDescent="0.15">
      <c r="K343" s="133"/>
    </row>
    <row r="344" spans="11:11" x14ac:dyDescent="0.15">
      <c r="K344" s="133"/>
    </row>
    <row r="345" spans="11:11" x14ac:dyDescent="0.15">
      <c r="K345" s="133"/>
    </row>
    <row r="346" spans="11:11" x14ac:dyDescent="0.15">
      <c r="K346" s="133"/>
    </row>
    <row r="347" spans="11:11" x14ac:dyDescent="0.15">
      <c r="K347" s="133"/>
    </row>
    <row r="348" spans="11:11" x14ac:dyDescent="0.15">
      <c r="K348" s="133"/>
    </row>
    <row r="349" spans="11:11" x14ac:dyDescent="0.15">
      <c r="K349" s="133"/>
    </row>
    <row r="350" spans="11:11" x14ac:dyDescent="0.15">
      <c r="K350" s="133"/>
    </row>
    <row r="351" spans="11:11" x14ac:dyDescent="0.15">
      <c r="K351" s="133"/>
    </row>
    <row r="352" spans="11:11" x14ac:dyDescent="0.15">
      <c r="K352" s="133"/>
    </row>
    <row r="353" spans="11:11" x14ac:dyDescent="0.15">
      <c r="K353" s="133"/>
    </row>
    <row r="354" spans="11:11" x14ac:dyDescent="0.15">
      <c r="K354" s="133"/>
    </row>
    <row r="355" spans="11:11" x14ac:dyDescent="0.15">
      <c r="K355" s="133"/>
    </row>
    <row r="356" spans="11:11" x14ac:dyDescent="0.15">
      <c r="K356" s="133"/>
    </row>
    <row r="357" spans="11:11" x14ac:dyDescent="0.15">
      <c r="K357" s="133"/>
    </row>
    <row r="358" spans="11:11" x14ac:dyDescent="0.15">
      <c r="K358" s="133"/>
    </row>
    <row r="359" spans="11:11" x14ac:dyDescent="0.15">
      <c r="K359" s="133"/>
    </row>
    <row r="360" spans="11:11" x14ac:dyDescent="0.15">
      <c r="K360" s="133"/>
    </row>
    <row r="361" spans="11:11" x14ac:dyDescent="0.15">
      <c r="K361" s="133"/>
    </row>
    <row r="362" spans="11:11" x14ac:dyDescent="0.15">
      <c r="K362" s="133"/>
    </row>
    <row r="363" spans="11:11" x14ac:dyDescent="0.15">
      <c r="K363" s="133"/>
    </row>
    <row r="364" spans="11:11" x14ac:dyDescent="0.15">
      <c r="K364" s="133"/>
    </row>
    <row r="365" spans="11:11" x14ac:dyDescent="0.15">
      <c r="K365" s="133"/>
    </row>
    <row r="366" spans="11:11" x14ac:dyDescent="0.15">
      <c r="K366" s="133"/>
    </row>
    <row r="367" spans="11:11" x14ac:dyDescent="0.15">
      <c r="K367" s="133"/>
    </row>
    <row r="368" spans="11:11" x14ac:dyDescent="0.15">
      <c r="K368" s="133"/>
    </row>
    <row r="369" spans="11:11" x14ac:dyDescent="0.15">
      <c r="K369" s="133"/>
    </row>
    <row r="370" spans="11:11" x14ac:dyDescent="0.15">
      <c r="K370" s="133"/>
    </row>
    <row r="371" spans="11:11" x14ac:dyDescent="0.15">
      <c r="K371" s="133"/>
    </row>
    <row r="372" spans="11:11" x14ac:dyDescent="0.15">
      <c r="K372" s="133"/>
    </row>
    <row r="373" spans="11:11" x14ac:dyDescent="0.15">
      <c r="K373" s="133"/>
    </row>
    <row r="374" spans="11:11" x14ac:dyDescent="0.15">
      <c r="K374" s="133"/>
    </row>
    <row r="375" spans="11:11" x14ac:dyDescent="0.15">
      <c r="K375" s="133"/>
    </row>
    <row r="376" spans="11:11" x14ac:dyDescent="0.15">
      <c r="K376" s="133"/>
    </row>
    <row r="377" spans="11:11" x14ac:dyDescent="0.15">
      <c r="K377" s="133"/>
    </row>
    <row r="378" spans="11:11" x14ac:dyDescent="0.15">
      <c r="K378" s="133"/>
    </row>
    <row r="379" spans="11:11" x14ac:dyDescent="0.15">
      <c r="K379" s="133"/>
    </row>
    <row r="380" spans="11:11" x14ac:dyDescent="0.15">
      <c r="K380" s="133"/>
    </row>
    <row r="381" spans="11:11" x14ac:dyDescent="0.15">
      <c r="K381" s="133"/>
    </row>
    <row r="382" spans="11:11" x14ac:dyDescent="0.15">
      <c r="K382" s="133"/>
    </row>
    <row r="383" spans="11:11" x14ac:dyDescent="0.15">
      <c r="K383" s="133"/>
    </row>
    <row r="384" spans="11:11" x14ac:dyDescent="0.15">
      <c r="K384" s="133"/>
    </row>
    <row r="385" spans="11:11" x14ac:dyDescent="0.15">
      <c r="K385" s="133"/>
    </row>
    <row r="386" spans="11:11" x14ac:dyDescent="0.15">
      <c r="K386" s="133"/>
    </row>
    <row r="387" spans="11:11" x14ac:dyDescent="0.15">
      <c r="K387" s="133"/>
    </row>
    <row r="388" spans="11:11" x14ac:dyDescent="0.15">
      <c r="K388" s="133"/>
    </row>
    <row r="389" spans="11:11" x14ac:dyDescent="0.15">
      <c r="K389" s="133"/>
    </row>
    <row r="390" spans="11:11" x14ac:dyDescent="0.15">
      <c r="K390" s="133"/>
    </row>
    <row r="391" spans="11:11" x14ac:dyDescent="0.15">
      <c r="K391" s="133"/>
    </row>
    <row r="392" spans="11:11" x14ac:dyDescent="0.15">
      <c r="K392" s="133"/>
    </row>
    <row r="393" spans="11:11" x14ac:dyDescent="0.15">
      <c r="K393" s="133"/>
    </row>
    <row r="394" spans="11:11" x14ac:dyDescent="0.15">
      <c r="K394" s="133"/>
    </row>
    <row r="395" spans="11:11" x14ac:dyDescent="0.15">
      <c r="K395" s="133"/>
    </row>
    <row r="396" spans="11:11" x14ac:dyDescent="0.15">
      <c r="K396" s="133"/>
    </row>
    <row r="397" spans="11:11" x14ac:dyDescent="0.15">
      <c r="K397" s="133"/>
    </row>
    <row r="398" spans="11:11" x14ac:dyDescent="0.15">
      <c r="K398" s="133"/>
    </row>
    <row r="399" spans="11:11" x14ac:dyDescent="0.15">
      <c r="K399" s="133"/>
    </row>
    <row r="400" spans="11:11" x14ac:dyDescent="0.15">
      <c r="K400" s="133"/>
    </row>
    <row r="401" spans="11:11" x14ac:dyDescent="0.15">
      <c r="K401" s="133"/>
    </row>
    <row r="402" spans="11:11" x14ac:dyDescent="0.15">
      <c r="K402" s="133"/>
    </row>
    <row r="403" spans="11:11" x14ac:dyDescent="0.15">
      <c r="K403" s="133"/>
    </row>
    <row r="404" spans="11:11" x14ac:dyDescent="0.15">
      <c r="K404" s="133"/>
    </row>
    <row r="405" spans="11:11" x14ac:dyDescent="0.15">
      <c r="K405" s="133"/>
    </row>
    <row r="406" spans="11:11" x14ac:dyDescent="0.15">
      <c r="K406" s="133"/>
    </row>
    <row r="407" spans="11:11" x14ac:dyDescent="0.15">
      <c r="K407" s="133"/>
    </row>
    <row r="408" spans="11:11" x14ac:dyDescent="0.15">
      <c r="K408" s="133"/>
    </row>
    <row r="409" spans="11:11" x14ac:dyDescent="0.15">
      <c r="K409" s="133"/>
    </row>
    <row r="410" spans="11:11" x14ac:dyDescent="0.15">
      <c r="K410" s="133"/>
    </row>
    <row r="411" spans="11:11" x14ac:dyDescent="0.15">
      <c r="K411" s="133"/>
    </row>
    <row r="412" spans="11:11" x14ac:dyDescent="0.15">
      <c r="K412" s="133"/>
    </row>
    <row r="413" spans="11:11" x14ac:dyDescent="0.15">
      <c r="K413" s="133"/>
    </row>
    <row r="414" spans="11:11" x14ac:dyDescent="0.15">
      <c r="K414" s="133"/>
    </row>
    <row r="415" spans="11:11" x14ac:dyDescent="0.15">
      <c r="K415" s="133"/>
    </row>
    <row r="416" spans="11:11" x14ac:dyDescent="0.15">
      <c r="K416" s="133"/>
    </row>
    <row r="417" spans="11:11" x14ac:dyDescent="0.15">
      <c r="K417" s="133"/>
    </row>
    <row r="418" spans="11:11" x14ac:dyDescent="0.15">
      <c r="K418" s="133"/>
    </row>
    <row r="419" spans="11:11" x14ac:dyDescent="0.15">
      <c r="K419" s="133"/>
    </row>
    <row r="420" spans="11:11" x14ac:dyDescent="0.15">
      <c r="K420" s="133"/>
    </row>
    <row r="421" spans="11:11" x14ac:dyDescent="0.15">
      <c r="K421" s="133"/>
    </row>
    <row r="422" spans="11:11" x14ac:dyDescent="0.15">
      <c r="K422" s="133"/>
    </row>
    <row r="423" spans="11:11" x14ac:dyDescent="0.15">
      <c r="K423" s="133"/>
    </row>
    <row r="424" spans="11:11" x14ac:dyDescent="0.15">
      <c r="K424" s="133"/>
    </row>
    <row r="425" spans="11:11" x14ac:dyDescent="0.15">
      <c r="K425" s="133"/>
    </row>
    <row r="426" spans="11:11" x14ac:dyDescent="0.15">
      <c r="K426" s="133"/>
    </row>
    <row r="427" spans="11:11" x14ac:dyDescent="0.15">
      <c r="K427" s="133"/>
    </row>
    <row r="428" spans="11:11" x14ac:dyDescent="0.15">
      <c r="K428" s="133"/>
    </row>
    <row r="429" spans="11:11" x14ac:dyDescent="0.15">
      <c r="K429" s="133"/>
    </row>
    <row r="430" spans="11:11" x14ac:dyDescent="0.15">
      <c r="K430" s="133"/>
    </row>
    <row r="431" spans="11:11" x14ac:dyDescent="0.15">
      <c r="K431" s="133"/>
    </row>
    <row r="432" spans="11:11" x14ac:dyDescent="0.15">
      <c r="K432" s="133"/>
    </row>
    <row r="433" spans="11:11" x14ac:dyDescent="0.15">
      <c r="K433" s="133"/>
    </row>
    <row r="434" spans="11:11" x14ac:dyDescent="0.15">
      <c r="K434" s="133"/>
    </row>
    <row r="435" spans="11:11" x14ac:dyDescent="0.15">
      <c r="K435" s="133"/>
    </row>
    <row r="436" spans="11:11" x14ac:dyDescent="0.15">
      <c r="K436" s="133"/>
    </row>
    <row r="437" spans="11:11" x14ac:dyDescent="0.15">
      <c r="K437" s="133"/>
    </row>
    <row r="438" spans="11:11" x14ac:dyDescent="0.15">
      <c r="K438" s="133"/>
    </row>
    <row r="439" spans="11:11" x14ac:dyDescent="0.15">
      <c r="K439" s="133"/>
    </row>
    <row r="440" spans="11:11" x14ac:dyDescent="0.15">
      <c r="K440" s="133"/>
    </row>
    <row r="441" spans="11:11" x14ac:dyDescent="0.15">
      <c r="K441" s="133"/>
    </row>
    <row r="442" spans="11:11" x14ac:dyDescent="0.15">
      <c r="K442" s="133"/>
    </row>
    <row r="443" spans="11:11" x14ac:dyDescent="0.15">
      <c r="K443" s="133"/>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46"/>
  <sheetViews>
    <sheetView zoomScale="70" zoomScaleNormal="70" workbookViewId="0">
      <pane ySplit="1" topLeftCell="A2" activePane="bottomLeft" state="frozen"/>
      <selection pane="bottomLeft" activeCell="AE42" sqref="AE42"/>
    </sheetView>
  </sheetViews>
  <sheetFormatPr defaultRowHeight="13.5" x14ac:dyDescent="0.15"/>
  <cols>
    <col min="1" max="3" width="9" style="169"/>
    <col min="4" max="4" width="10.5" style="169" bestFit="1" customWidth="1"/>
    <col min="5" max="5" width="10.875" style="169" bestFit="1" customWidth="1"/>
    <col min="6" max="6" width="18.875" style="169" bestFit="1" customWidth="1"/>
    <col min="7" max="9" width="9" style="169"/>
    <col min="10" max="10" width="9.25" style="169" customWidth="1"/>
    <col min="11" max="16" width="9" style="169"/>
    <col min="17" max="17" width="9" style="178"/>
    <col min="18" max="19" width="9" style="169"/>
    <col min="20" max="20" width="9" style="178"/>
    <col min="21" max="21" width="9" style="169"/>
    <col min="22" max="22" width="14.25" style="178" customWidth="1"/>
    <col min="23" max="23" width="9" style="169"/>
    <col min="24" max="24" width="9.625" style="169" customWidth="1"/>
    <col min="25" max="26" width="9" style="169"/>
    <col min="27" max="27" width="12.125" style="169" customWidth="1"/>
    <col min="28" max="32" width="9" style="169"/>
    <col min="33" max="33" width="15.125" style="169" bestFit="1" customWidth="1"/>
    <col min="34" max="34" width="19.625" style="169" bestFit="1" customWidth="1"/>
    <col min="35" max="16384" width="9" style="169"/>
  </cols>
  <sheetData>
    <row r="1" spans="1:53" ht="45" x14ac:dyDescent="0.15">
      <c r="A1" s="201" t="s">
        <v>0</v>
      </c>
      <c r="B1" s="163" t="s">
        <v>1</v>
      </c>
      <c r="C1" s="163" t="s">
        <v>159</v>
      </c>
      <c r="D1" s="164" t="s">
        <v>3</v>
      </c>
      <c r="E1" s="202" t="s">
        <v>4</v>
      </c>
      <c r="F1" s="202" t="s">
        <v>5</v>
      </c>
      <c r="G1" s="202" t="s">
        <v>6</v>
      </c>
      <c r="H1" s="202" t="s">
        <v>7</v>
      </c>
      <c r="I1" s="202" t="s">
        <v>8</v>
      </c>
      <c r="J1" s="202" t="s">
        <v>9</v>
      </c>
      <c r="K1" s="202" t="s">
        <v>10</v>
      </c>
      <c r="L1" s="164" t="s">
        <v>160</v>
      </c>
      <c r="M1" s="164" t="s">
        <v>12</v>
      </c>
      <c r="N1" s="164" t="s">
        <v>13</v>
      </c>
      <c r="O1" s="164" t="s">
        <v>161</v>
      </c>
      <c r="P1" s="164" t="s">
        <v>15</v>
      </c>
      <c r="Q1" s="165" t="s">
        <v>16</v>
      </c>
      <c r="R1" s="164" t="s">
        <v>17</v>
      </c>
      <c r="S1" s="164" t="s">
        <v>18</v>
      </c>
      <c r="T1" s="165" t="s">
        <v>19</v>
      </c>
      <c r="U1" s="166" t="s">
        <v>251</v>
      </c>
      <c r="V1" s="167" t="s">
        <v>20</v>
      </c>
      <c r="W1" s="164" t="s">
        <v>21</v>
      </c>
      <c r="X1" s="202" t="s">
        <v>22</v>
      </c>
      <c r="Y1" s="202" t="s">
        <v>23</v>
      </c>
      <c r="Z1" s="202" t="s">
        <v>483</v>
      </c>
      <c r="AA1" s="203" t="s">
        <v>25</v>
      </c>
      <c r="AB1" s="168" t="s">
        <v>162</v>
      </c>
      <c r="AE1" s="170" t="s">
        <v>0</v>
      </c>
      <c r="AF1" s="171"/>
      <c r="AG1" s="210" t="s">
        <v>4</v>
      </c>
      <c r="AH1" s="170" t="s">
        <v>5</v>
      </c>
      <c r="AI1" s="171"/>
      <c r="AJ1" s="170" t="s">
        <v>6</v>
      </c>
      <c r="AK1" s="171"/>
      <c r="AL1" s="172" t="s">
        <v>7</v>
      </c>
      <c r="AM1" s="171"/>
      <c r="AN1" s="172" t="s">
        <v>8</v>
      </c>
      <c r="AO1" s="171"/>
      <c r="AP1" s="172" t="s">
        <v>27</v>
      </c>
      <c r="AQ1" s="171"/>
      <c r="AR1" s="172" t="s">
        <v>10</v>
      </c>
      <c r="AS1" s="171"/>
      <c r="AT1" s="173" t="s">
        <v>28</v>
      </c>
      <c r="AU1" s="171"/>
      <c r="AV1" s="172" t="s">
        <v>29</v>
      </c>
      <c r="AX1" s="174" t="s">
        <v>163</v>
      </c>
      <c r="AY1" s="175" t="s">
        <v>164</v>
      </c>
      <c r="AZ1" s="175" t="s">
        <v>165</v>
      </c>
      <c r="BA1" s="176" t="s">
        <v>166</v>
      </c>
    </row>
    <row r="2" spans="1:53" s="177" customFormat="1" x14ac:dyDescent="0.15">
      <c r="A2" s="177" t="s">
        <v>34</v>
      </c>
      <c r="B2" s="169" t="s">
        <v>325</v>
      </c>
      <c r="C2" s="169">
        <v>2018</v>
      </c>
      <c r="D2" s="211" t="s">
        <v>387</v>
      </c>
      <c r="E2" s="198" t="s">
        <v>277</v>
      </c>
      <c r="F2" s="198" t="s">
        <v>320</v>
      </c>
      <c r="G2" s="177" t="s">
        <v>36</v>
      </c>
      <c r="H2" s="169" t="s">
        <v>157</v>
      </c>
      <c r="I2" s="177" t="s">
        <v>155</v>
      </c>
      <c r="J2" s="177" t="s">
        <v>38</v>
      </c>
      <c r="K2" s="177" t="s">
        <v>156</v>
      </c>
      <c r="L2" s="177">
        <v>1</v>
      </c>
      <c r="N2" s="177">
        <v>1</v>
      </c>
      <c r="O2" s="177">
        <v>0.2</v>
      </c>
      <c r="P2" s="177">
        <v>0.2</v>
      </c>
      <c r="Q2" s="206">
        <f t="shared" ref="Q2:Q82" si="0">IF(OR(O2="",P2=""),"",AVERAGE(O2,P2))</f>
        <v>0.2</v>
      </c>
      <c r="R2" s="177">
        <v>13.4</v>
      </c>
      <c r="S2" s="177">
        <v>128</v>
      </c>
      <c r="T2" s="178">
        <f t="shared" ref="T2:T83" si="1">IF(H2="","",IF(OR(H2="GREEN",H2="GK"),IF(S2&gt;=$AX$2,VLOOKUP(S2,$AX$2:$AY$9,2,1),""),IF(S2&gt;=$AZ$2,VLOOKUP(S2,$AZ$2:$BA$9,2,1),"")))</f>
        <v>30</v>
      </c>
      <c r="U2" s="177">
        <v>95</v>
      </c>
      <c r="V2" s="178">
        <f t="shared" ref="V2:V83" si="2">IF(OR(N2="",U2="",T2=""),"",U2/N2*T2)</f>
        <v>2850</v>
      </c>
      <c r="W2" s="177">
        <v>5</v>
      </c>
      <c r="X2" s="177" t="s">
        <v>46</v>
      </c>
      <c r="Y2" s="177" t="s">
        <v>55</v>
      </c>
      <c r="Z2" s="177" t="s">
        <v>69</v>
      </c>
      <c r="AA2" s="177" t="s">
        <v>90</v>
      </c>
      <c r="AB2" s="177" t="s">
        <v>327</v>
      </c>
      <c r="AE2" s="179" t="s">
        <v>35</v>
      </c>
      <c r="AG2" s="212" t="s">
        <v>274</v>
      </c>
      <c r="AH2" s="204" t="s">
        <v>308</v>
      </c>
      <c r="AJ2" s="180" t="s">
        <v>36</v>
      </c>
      <c r="AL2" s="180" t="s">
        <v>127</v>
      </c>
      <c r="AN2" s="180" t="s">
        <v>37</v>
      </c>
      <c r="AP2" s="180" t="s">
        <v>38</v>
      </c>
      <c r="AR2" s="180" t="s">
        <v>120</v>
      </c>
      <c r="AT2" s="180" t="s">
        <v>39</v>
      </c>
      <c r="AV2" s="209" t="s">
        <v>40</v>
      </c>
      <c r="AX2" s="181">
        <v>1</v>
      </c>
      <c r="AY2" s="182">
        <v>50</v>
      </c>
      <c r="AZ2" s="182">
        <v>1</v>
      </c>
      <c r="BA2" s="183">
        <v>50</v>
      </c>
    </row>
    <row r="3" spans="1:53" x14ac:dyDescent="0.15">
      <c r="A3" s="177" t="s">
        <v>34</v>
      </c>
      <c r="B3" s="169" t="s">
        <v>325</v>
      </c>
      <c r="C3" s="169">
        <v>2018</v>
      </c>
      <c r="D3" s="211" t="s">
        <v>387</v>
      </c>
      <c r="E3" s="198" t="s">
        <v>277</v>
      </c>
      <c r="F3" s="198" t="s">
        <v>320</v>
      </c>
      <c r="G3" s="177" t="s">
        <v>36</v>
      </c>
      <c r="H3" s="169" t="s">
        <v>157</v>
      </c>
      <c r="I3" s="177" t="s">
        <v>155</v>
      </c>
      <c r="J3" s="177" t="s">
        <v>38</v>
      </c>
      <c r="K3" s="177" t="s">
        <v>156</v>
      </c>
      <c r="L3" s="169">
        <v>2</v>
      </c>
      <c r="N3" s="169">
        <v>1</v>
      </c>
      <c r="O3" s="169">
        <v>0.6</v>
      </c>
      <c r="P3" s="169">
        <v>0.7</v>
      </c>
      <c r="Q3" s="206">
        <f t="shared" si="0"/>
        <v>0.64999999999999991</v>
      </c>
      <c r="R3" s="169">
        <v>14.4</v>
      </c>
      <c r="S3" s="169">
        <v>121</v>
      </c>
      <c r="T3" s="178">
        <f t="shared" si="1"/>
        <v>30</v>
      </c>
      <c r="U3" s="169">
        <v>95</v>
      </c>
      <c r="V3" s="178">
        <f t="shared" si="2"/>
        <v>2850</v>
      </c>
      <c r="W3" s="177">
        <v>5</v>
      </c>
      <c r="X3" s="177" t="s">
        <v>46</v>
      </c>
      <c r="Y3" s="177" t="s">
        <v>55</v>
      </c>
      <c r="Z3" s="177" t="s">
        <v>69</v>
      </c>
      <c r="AA3" s="177" t="s">
        <v>90</v>
      </c>
      <c r="AB3" s="177" t="s">
        <v>327</v>
      </c>
      <c r="AC3" s="177"/>
      <c r="AE3" s="184" t="s">
        <v>41</v>
      </c>
      <c r="AG3" s="213" t="s">
        <v>309</v>
      </c>
      <c r="AH3" s="204" t="s">
        <v>310</v>
      </c>
      <c r="AJ3" s="185" t="s">
        <v>42</v>
      </c>
      <c r="AL3" s="185" t="s">
        <v>128</v>
      </c>
      <c r="AN3" s="185" t="s">
        <v>43</v>
      </c>
      <c r="AP3" s="185" t="s">
        <v>44</v>
      </c>
      <c r="AR3" s="199" t="s">
        <v>45</v>
      </c>
      <c r="AT3" s="185" t="s">
        <v>46</v>
      </c>
      <c r="AV3" s="185" t="s">
        <v>47</v>
      </c>
      <c r="AX3" s="186">
        <v>72</v>
      </c>
      <c r="AY3" s="187">
        <v>46</v>
      </c>
      <c r="AZ3" s="187">
        <v>71</v>
      </c>
      <c r="BA3" s="188">
        <v>42</v>
      </c>
    </row>
    <row r="4" spans="1:53" x14ac:dyDescent="0.15">
      <c r="A4" s="177" t="s">
        <v>34</v>
      </c>
      <c r="B4" s="169" t="s">
        <v>325</v>
      </c>
      <c r="C4" s="169">
        <v>2018</v>
      </c>
      <c r="D4" s="211" t="s">
        <v>387</v>
      </c>
      <c r="E4" s="198" t="s">
        <v>277</v>
      </c>
      <c r="F4" s="198" t="s">
        <v>320</v>
      </c>
      <c r="G4" s="177" t="s">
        <v>36</v>
      </c>
      <c r="H4" s="169" t="s">
        <v>157</v>
      </c>
      <c r="I4" s="177" t="s">
        <v>155</v>
      </c>
      <c r="J4" s="177" t="s">
        <v>38</v>
      </c>
      <c r="K4" s="177" t="s">
        <v>156</v>
      </c>
      <c r="L4" s="169">
        <v>3</v>
      </c>
      <c r="N4" s="169">
        <v>1</v>
      </c>
      <c r="O4" s="169">
        <v>0.55000000000000004</v>
      </c>
      <c r="P4" s="169">
        <v>0.6</v>
      </c>
      <c r="Q4" s="206">
        <f t="shared" si="0"/>
        <v>0.57499999999999996</v>
      </c>
      <c r="R4" s="169">
        <v>13.8</v>
      </c>
      <c r="S4" s="169">
        <v>133</v>
      </c>
      <c r="T4" s="178">
        <f t="shared" si="1"/>
        <v>30</v>
      </c>
      <c r="U4" s="169">
        <v>95</v>
      </c>
      <c r="V4" s="178">
        <f t="shared" si="2"/>
        <v>2850</v>
      </c>
      <c r="W4" s="169">
        <v>5</v>
      </c>
      <c r="X4" s="177" t="s">
        <v>46</v>
      </c>
      <c r="Y4" s="177" t="s">
        <v>55</v>
      </c>
      <c r="Z4" s="177" t="s">
        <v>69</v>
      </c>
      <c r="AA4" s="177" t="s">
        <v>90</v>
      </c>
      <c r="AB4" s="177" t="s">
        <v>327</v>
      </c>
      <c r="AC4" s="177"/>
      <c r="AE4" s="184" t="s">
        <v>34</v>
      </c>
      <c r="AG4" s="213" t="s">
        <v>311</v>
      </c>
      <c r="AH4" s="204" t="s">
        <v>312</v>
      </c>
      <c r="AJ4" s="189" t="s">
        <v>48</v>
      </c>
      <c r="AL4" s="189" t="s">
        <v>129</v>
      </c>
      <c r="AN4" s="190" t="s">
        <v>49</v>
      </c>
      <c r="AP4" s="185" t="s">
        <v>93</v>
      </c>
      <c r="AR4" s="199" t="s">
        <v>121</v>
      </c>
      <c r="AT4" s="190"/>
      <c r="AV4" s="185" t="s">
        <v>50</v>
      </c>
      <c r="AX4" s="186">
        <v>75</v>
      </c>
      <c r="AY4" s="187">
        <v>42</v>
      </c>
      <c r="AZ4" s="187">
        <v>76</v>
      </c>
      <c r="BA4" s="188">
        <v>39</v>
      </c>
    </row>
    <row r="5" spans="1:53" x14ac:dyDescent="0.15">
      <c r="A5" s="177" t="s">
        <v>34</v>
      </c>
      <c r="B5" s="169" t="s">
        <v>325</v>
      </c>
      <c r="C5" s="169">
        <v>2018</v>
      </c>
      <c r="D5" s="211" t="s">
        <v>387</v>
      </c>
      <c r="E5" s="198" t="s">
        <v>277</v>
      </c>
      <c r="F5" s="198" t="s">
        <v>320</v>
      </c>
      <c r="G5" s="177" t="s">
        <v>36</v>
      </c>
      <c r="H5" s="169" t="s">
        <v>221</v>
      </c>
      <c r="I5" s="177" t="s">
        <v>155</v>
      </c>
      <c r="J5" s="177" t="s">
        <v>38</v>
      </c>
      <c r="K5" s="177" t="s">
        <v>156</v>
      </c>
      <c r="L5" s="177">
        <v>1</v>
      </c>
      <c r="N5" s="169">
        <v>4</v>
      </c>
      <c r="O5" s="169">
        <v>0.2</v>
      </c>
      <c r="P5" s="169">
        <v>0.2</v>
      </c>
      <c r="Q5" s="206">
        <f t="shared" si="0"/>
        <v>0.2</v>
      </c>
      <c r="R5" s="169">
        <v>14.8</v>
      </c>
      <c r="S5" s="169">
        <v>75</v>
      </c>
      <c r="T5" s="178">
        <f t="shared" si="1"/>
        <v>42</v>
      </c>
      <c r="U5" s="169">
        <v>429</v>
      </c>
      <c r="V5" s="178">
        <f t="shared" si="2"/>
        <v>4504.5</v>
      </c>
      <c r="W5" s="169">
        <v>2</v>
      </c>
      <c r="X5" s="177" t="s">
        <v>46</v>
      </c>
      <c r="Y5" s="177" t="s">
        <v>55</v>
      </c>
      <c r="Z5" s="177" t="s">
        <v>69</v>
      </c>
      <c r="AA5" s="177" t="s">
        <v>90</v>
      </c>
      <c r="AB5" s="177" t="s">
        <v>327</v>
      </c>
      <c r="AE5" s="184" t="s">
        <v>51</v>
      </c>
      <c r="AG5" s="213" t="s">
        <v>313</v>
      </c>
      <c r="AH5" s="204" t="s">
        <v>314</v>
      </c>
      <c r="AJ5" s="190"/>
      <c r="AL5" s="191" t="s">
        <v>169</v>
      </c>
      <c r="AN5" s="191" t="s">
        <v>170</v>
      </c>
      <c r="AP5" s="185" t="s">
        <v>119</v>
      </c>
      <c r="AR5" s="199" t="s">
        <v>54</v>
      </c>
      <c r="AV5" s="185" t="s">
        <v>55</v>
      </c>
      <c r="AX5" s="186">
        <v>84</v>
      </c>
      <c r="AY5" s="187">
        <v>39</v>
      </c>
      <c r="AZ5" s="187">
        <v>84</v>
      </c>
      <c r="BA5" s="188">
        <v>36</v>
      </c>
    </row>
    <row r="6" spans="1:53" x14ac:dyDescent="0.15">
      <c r="A6" s="177" t="s">
        <v>34</v>
      </c>
      <c r="B6" s="169" t="s">
        <v>325</v>
      </c>
      <c r="C6" s="169">
        <v>2018</v>
      </c>
      <c r="D6" s="211" t="s">
        <v>387</v>
      </c>
      <c r="E6" s="198" t="s">
        <v>277</v>
      </c>
      <c r="F6" s="198" t="s">
        <v>320</v>
      </c>
      <c r="G6" s="177" t="s">
        <v>36</v>
      </c>
      <c r="H6" s="169" t="s">
        <v>221</v>
      </c>
      <c r="I6" s="177" t="s">
        <v>155</v>
      </c>
      <c r="J6" s="177" t="s">
        <v>38</v>
      </c>
      <c r="K6" s="177" t="s">
        <v>156</v>
      </c>
      <c r="L6" s="169">
        <v>2</v>
      </c>
      <c r="N6" s="169">
        <v>4</v>
      </c>
      <c r="O6" s="169">
        <v>0.2</v>
      </c>
      <c r="P6" s="169">
        <v>0.2</v>
      </c>
      <c r="Q6" s="206">
        <f t="shared" si="0"/>
        <v>0.2</v>
      </c>
      <c r="R6" s="169">
        <v>16.600000000000001</v>
      </c>
      <c r="S6" s="169">
        <v>71</v>
      </c>
      <c r="T6" s="178">
        <f t="shared" si="1"/>
        <v>42</v>
      </c>
      <c r="U6" s="169">
        <v>429</v>
      </c>
      <c r="V6" s="178">
        <f t="shared" si="2"/>
        <v>4504.5</v>
      </c>
      <c r="W6" s="169">
        <v>2</v>
      </c>
      <c r="X6" s="177" t="s">
        <v>46</v>
      </c>
      <c r="Y6" s="177" t="s">
        <v>55</v>
      </c>
      <c r="Z6" s="177" t="s">
        <v>69</v>
      </c>
      <c r="AA6" s="177" t="s">
        <v>90</v>
      </c>
      <c r="AB6" s="177" t="s">
        <v>327</v>
      </c>
      <c r="AE6" s="184" t="s">
        <v>56</v>
      </c>
      <c r="AG6" s="213" t="s">
        <v>315</v>
      </c>
      <c r="AH6" s="204" t="s">
        <v>316</v>
      </c>
      <c r="AL6" s="191" t="s">
        <v>99</v>
      </c>
      <c r="AN6" s="191" t="s">
        <v>171</v>
      </c>
      <c r="AP6" s="185" t="s">
        <v>53</v>
      </c>
      <c r="AR6" s="199" t="s">
        <v>59</v>
      </c>
      <c r="AV6" s="185" t="s">
        <v>60</v>
      </c>
      <c r="AX6" s="186">
        <v>97</v>
      </c>
      <c r="AY6" s="187">
        <v>36</v>
      </c>
      <c r="AZ6" s="187">
        <v>99</v>
      </c>
      <c r="BA6" s="188">
        <v>33</v>
      </c>
    </row>
    <row r="7" spans="1:53" x14ac:dyDescent="0.15">
      <c r="A7" s="177" t="s">
        <v>34</v>
      </c>
      <c r="B7" s="169" t="s">
        <v>325</v>
      </c>
      <c r="C7" s="169">
        <v>2018</v>
      </c>
      <c r="D7" s="211" t="s">
        <v>387</v>
      </c>
      <c r="E7" s="198" t="s">
        <v>277</v>
      </c>
      <c r="F7" s="198" t="s">
        <v>320</v>
      </c>
      <c r="G7" s="177" t="s">
        <v>36</v>
      </c>
      <c r="H7" s="169" t="s">
        <v>221</v>
      </c>
      <c r="I7" s="177" t="s">
        <v>155</v>
      </c>
      <c r="J7" s="177" t="s">
        <v>38</v>
      </c>
      <c r="K7" s="177" t="s">
        <v>156</v>
      </c>
      <c r="L7" s="169">
        <v>3</v>
      </c>
      <c r="N7" s="169">
        <v>4</v>
      </c>
      <c r="O7" s="169">
        <v>0.2</v>
      </c>
      <c r="P7" s="169">
        <v>0.2</v>
      </c>
      <c r="Q7" s="206">
        <f t="shared" si="0"/>
        <v>0.2</v>
      </c>
      <c r="R7" s="169">
        <v>13.9</v>
      </c>
      <c r="S7" s="169">
        <v>80</v>
      </c>
      <c r="T7" s="178">
        <f t="shared" si="1"/>
        <v>39</v>
      </c>
      <c r="U7" s="169">
        <v>429</v>
      </c>
      <c r="V7" s="178">
        <f t="shared" si="2"/>
        <v>4182.75</v>
      </c>
      <c r="W7" s="169">
        <v>2</v>
      </c>
      <c r="X7" s="177" t="s">
        <v>46</v>
      </c>
      <c r="Y7" s="177" t="s">
        <v>55</v>
      </c>
      <c r="Z7" s="177" t="s">
        <v>69</v>
      </c>
      <c r="AA7" s="177" t="s">
        <v>90</v>
      </c>
      <c r="AB7" s="177" t="s">
        <v>327</v>
      </c>
      <c r="AE7" s="184" t="s">
        <v>61</v>
      </c>
      <c r="AG7" s="213" t="s">
        <v>215</v>
      </c>
      <c r="AH7" s="204" t="s">
        <v>317</v>
      </c>
      <c r="AL7" s="196" t="s">
        <v>172</v>
      </c>
      <c r="AP7" s="185" t="s">
        <v>58</v>
      </c>
      <c r="AR7" s="192" t="s">
        <v>122</v>
      </c>
      <c r="AV7" s="185" t="s">
        <v>64</v>
      </c>
      <c r="AX7" s="186">
        <v>109</v>
      </c>
      <c r="AY7" s="187">
        <v>33</v>
      </c>
      <c r="AZ7" s="187">
        <v>113</v>
      </c>
      <c r="BA7" s="188">
        <v>30</v>
      </c>
    </row>
    <row r="8" spans="1:53" x14ac:dyDescent="0.15">
      <c r="A8" s="177" t="s">
        <v>34</v>
      </c>
      <c r="B8" s="169" t="s">
        <v>325</v>
      </c>
      <c r="C8" s="169">
        <v>2018</v>
      </c>
      <c r="D8" s="211" t="s">
        <v>387</v>
      </c>
      <c r="E8" s="198" t="s">
        <v>277</v>
      </c>
      <c r="F8" s="198" t="s">
        <v>320</v>
      </c>
      <c r="G8" s="177" t="s">
        <v>36</v>
      </c>
      <c r="H8" s="169" t="s">
        <v>167</v>
      </c>
      <c r="I8" s="177" t="s">
        <v>155</v>
      </c>
      <c r="J8" s="177" t="s">
        <v>38</v>
      </c>
      <c r="K8" s="177" t="s">
        <v>156</v>
      </c>
      <c r="L8" s="177">
        <v>1</v>
      </c>
      <c r="N8" s="169">
        <v>1</v>
      </c>
      <c r="O8" s="169">
        <v>0.5</v>
      </c>
      <c r="P8" s="169">
        <v>0.65</v>
      </c>
      <c r="Q8" s="206">
        <f t="shared" si="0"/>
        <v>0.57499999999999996</v>
      </c>
      <c r="R8" s="169">
        <v>15.5</v>
      </c>
      <c r="S8" s="169">
        <v>160</v>
      </c>
      <c r="T8" s="178">
        <f t="shared" si="1"/>
        <v>18</v>
      </c>
      <c r="U8" s="169">
        <v>170</v>
      </c>
      <c r="V8" s="178">
        <f t="shared" si="2"/>
        <v>3060</v>
      </c>
      <c r="W8" s="169">
        <v>6</v>
      </c>
      <c r="X8" s="177" t="s">
        <v>46</v>
      </c>
      <c r="Y8" s="177" t="s">
        <v>55</v>
      </c>
      <c r="Z8" s="177" t="s">
        <v>69</v>
      </c>
      <c r="AA8" s="177" t="s">
        <v>90</v>
      </c>
      <c r="AB8" s="177" t="s">
        <v>327</v>
      </c>
      <c r="AE8" s="184" t="s">
        <v>59</v>
      </c>
      <c r="AG8" s="213" t="s">
        <v>318</v>
      </c>
      <c r="AH8" s="204" t="s">
        <v>319</v>
      </c>
      <c r="AL8" s="196" t="s">
        <v>333</v>
      </c>
      <c r="AP8" s="185" t="s">
        <v>62</v>
      </c>
      <c r="AR8" s="199" t="s">
        <v>81</v>
      </c>
      <c r="AV8" s="185" t="s">
        <v>97</v>
      </c>
      <c r="AX8" s="186">
        <v>151</v>
      </c>
      <c r="AY8" s="187">
        <v>22</v>
      </c>
      <c r="AZ8" s="187">
        <v>152</v>
      </c>
      <c r="BA8" s="188">
        <v>18</v>
      </c>
    </row>
    <row r="9" spans="1:53" x14ac:dyDescent="0.15">
      <c r="A9" s="177" t="s">
        <v>34</v>
      </c>
      <c r="B9" s="169" t="s">
        <v>325</v>
      </c>
      <c r="C9" s="169">
        <v>2018</v>
      </c>
      <c r="D9" s="211" t="s">
        <v>387</v>
      </c>
      <c r="E9" s="198" t="s">
        <v>277</v>
      </c>
      <c r="F9" s="198" t="s">
        <v>320</v>
      </c>
      <c r="G9" s="177" t="s">
        <v>36</v>
      </c>
      <c r="H9" s="169" t="s">
        <v>167</v>
      </c>
      <c r="I9" s="177" t="s">
        <v>155</v>
      </c>
      <c r="J9" s="177" t="s">
        <v>38</v>
      </c>
      <c r="K9" s="177" t="s">
        <v>156</v>
      </c>
      <c r="L9" s="169">
        <v>2</v>
      </c>
      <c r="N9" s="169">
        <v>1</v>
      </c>
      <c r="O9" s="169">
        <v>0.45</v>
      </c>
      <c r="P9" s="169">
        <v>0.55000000000000004</v>
      </c>
      <c r="Q9" s="206">
        <f t="shared" si="0"/>
        <v>0.5</v>
      </c>
      <c r="R9" s="169">
        <v>15.1</v>
      </c>
      <c r="S9" s="169">
        <v>150</v>
      </c>
      <c r="T9" s="178">
        <f t="shared" si="1"/>
        <v>30</v>
      </c>
      <c r="U9" s="169">
        <v>170</v>
      </c>
      <c r="V9" s="178">
        <f t="shared" si="2"/>
        <v>5100</v>
      </c>
      <c r="W9" s="169">
        <v>6</v>
      </c>
      <c r="X9" s="177" t="s">
        <v>46</v>
      </c>
      <c r="Y9" s="177" t="s">
        <v>55</v>
      </c>
      <c r="Z9" s="177" t="s">
        <v>69</v>
      </c>
      <c r="AA9" s="177" t="s">
        <v>90</v>
      </c>
      <c r="AB9" s="177" t="s">
        <v>327</v>
      </c>
      <c r="AE9" s="184" t="s">
        <v>98</v>
      </c>
      <c r="AG9" s="213" t="s">
        <v>277</v>
      </c>
      <c r="AH9" s="204" t="s">
        <v>320</v>
      </c>
      <c r="AL9" s="191"/>
      <c r="AP9" s="185" t="s">
        <v>95</v>
      </c>
      <c r="AR9" s="192" t="s">
        <v>89</v>
      </c>
      <c r="AV9" s="185" t="s">
        <v>102</v>
      </c>
      <c r="AX9" s="193">
        <v>180</v>
      </c>
      <c r="AY9" s="194">
        <v>18</v>
      </c>
      <c r="AZ9" s="194">
        <v>181</v>
      </c>
      <c r="BA9" s="195">
        <v>16</v>
      </c>
    </row>
    <row r="10" spans="1:53" x14ac:dyDescent="0.15">
      <c r="A10" s="177" t="s">
        <v>34</v>
      </c>
      <c r="B10" s="169" t="s">
        <v>325</v>
      </c>
      <c r="C10" s="169">
        <v>2018</v>
      </c>
      <c r="D10" s="211" t="s">
        <v>387</v>
      </c>
      <c r="E10" s="198" t="s">
        <v>277</v>
      </c>
      <c r="F10" s="198" t="s">
        <v>320</v>
      </c>
      <c r="G10" s="177" t="s">
        <v>36</v>
      </c>
      <c r="H10" s="169" t="s">
        <v>167</v>
      </c>
      <c r="I10" s="177" t="s">
        <v>155</v>
      </c>
      <c r="J10" s="177" t="s">
        <v>38</v>
      </c>
      <c r="K10" s="177" t="s">
        <v>156</v>
      </c>
      <c r="L10" s="169">
        <v>3</v>
      </c>
      <c r="N10" s="169">
        <v>1</v>
      </c>
      <c r="O10" s="169">
        <v>0.85</v>
      </c>
      <c r="P10" s="169">
        <v>0.65</v>
      </c>
      <c r="Q10" s="206">
        <f t="shared" si="0"/>
        <v>0.75</v>
      </c>
      <c r="R10" s="169">
        <v>14.9</v>
      </c>
      <c r="S10" s="169">
        <v>167</v>
      </c>
      <c r="T10" s="178">
        <f t="shared" si="1"/>
        <v>18</v>
      </c>
      <c r="U10" s="169">
        <v>170</v>
      </c>
      <c r="V10" s="178">
        <f t="shared" si="2"/>
        <v>3060</v>
      </c>
      <c r="W10" s="169">
        <v>6</v>
      </c>
      <c r="X10" s="177" t="s">
        <v>46</v>
      </c>
      <c r="Y10" s="177" t="s">
        <v>55</v>
      </c>
      <c r="Z10" s="177" t="s">
        <v>69</v>
      </c>
      <c r="AA10" s="177" t="s">
        <v>90</v>
      </c>
      <c r="AB10" s="177" t="s">
        <v>327</v>
      </c>
      <c r="AE10" s="184" t="s">
        <v>103</v>
      </c>
      <c r="AG10" s="213" t="s">
        <v>321</v>
      </c>
      <c r="AH10" s="204" t="s">
        <v>322</v>
      </c>
      <c r="AL10" s="196"/>
      <c r="AP10" s="185" t="s">
        <v>100</v>
      </c>
      <c r="AR10" s="192" t="s">
        <v>123</v>
      </c>
      <c r="AV10" s="185" t="s">
        <v>106</v>
      </c>
    </row>
    <row r="11" spans="1:53" x14ac:dyDescent="0.15">
      <c r="A11" s="177" t="s">
        <v>34</v>
      </c>
      <c r="B11" s="169" t="s">
        <v>325</v>
      </c>
      <c r="C11" s="169">
        <v>2018</v>
      </c>
      <c r="D11" s="211" t="s">
        <v>387</v>
      </c>
      <c r="E11" s="198" t="s">
        <v>321</v>
      </c>
      <c r="F11" s="198" t="s">
        <v>322</v>
      </c>
      <c r="G11" s="177" t="s">
        <v>36</v>
      </c>
      <c r="H11" s="169" t="s">
        <v>157</v>
      </c>
      <c r="I11" s="177" t="s">
        <v>155</v>
      </c>
      <c r="J11" s="177" t="s">
        <v>38</v>
      </c>
      <c r="K11" s="177" t="s">
        <v>156</v>
      </c>
      <c r="L11" s="177">
        <v>1</v>
      </c>
      <c r="N11" s="169">
        <v>1</v>
      </c>
      <c r="O11" s="169">
        <v>0.95</v>
      </c>
      <c r="P11" s="169">
        <v>0.8</v>
      </c>
      <c r="Q11" s="206">
        <f t="shared" si="0"/>
        <v>0.875</v>
      </c>
      <c r="R11" s="169">
        <v>15</v>
      </c>
      <c r="S11" s="169">
        <v>148</v>
      </c>
      <c r="T11" s="178">
        <f t="shared" si="1"/>
        <v>30</v>
      </c>
      <c r="U11" s="169">
        <v>136</v>
      </c>
      <c r="V11" s="178">
        <f t="shared" si="2"/>
        <v>4080</v>
      </c>
      <c r="W11" s="169">
        <v>2</v>
      </c>
      <c r="X11" s="177" t="s">
        <v>46</v>
      </c>
      <c r="Y11" s="177" t="s">
        <v>69</v>
      </c>
      <c r="Z11" s="177" t="s">
        <v>90</v>
      </c>
      <c r="AA11" s="177" t="s">
        <v>55</v>
      </c>
      <c r="AB11" s="177" t="s">
        <v>327</v>
      </c>
      <c r="AE11" s="184" t="s">
        <v>65</v>
      </c>
      <c r="AG11" s="213" t="s">
        <v>175</v>
      </c>
      <c r="AH11" s="204" t="s">
        <v>323</v>
      </c>
      <c r="AL11" s="196"/>
      <c r="AP11" s="185" t="s">
        <v>104</v>
      </c>
      <c r="AR11" s="192" t="s">
        <v>87</v>
      </c>
      <c r="AV11" s="185" t="s">
        <v>69</v>
      </c>
    </row>
    <row r="12" spans="1:53" x14ac:dyDescent="0.15">
      <c r="A12" s="177" t="s">
        <v>34</v>
      </c>
      <c r="B12" s="169" t="s">
        <v>325</v>
      </c>
      <c r="C12" s="169">
        <v>2018</v>
      </c>
      <c r="D12" s="211" t="s">
        <v>387</v>
      </c>
      <c r="E12" s="198" t="s">
        <v>321</v>
      </c>
      <c r="F12" s="198" t="s">
        <v>322</v>
      </c>
      <c r="G12" s="177" t="s">
        <v>36</v>
      </c>
      <c r="H12" s="169" t="s">
        <v>157</v>
      </c>
      <c r="I12" s="177" t="s">
        <v>155</v>
      </c>
      <c r="J12" s="177" t="s">
        <v>38</v>
      </c>
      <c r="K12" s="177" t="s">
        <v>156</v>
      </c>
      <c r="L12" s="169">
        <v>2</v>
      </c>
      <c r="N12" s="169">
        <v>1</v>
      </c>
      <c r="O12" s="169">
        <v>0.75</v>
      </c>
      <c r="P12" s="169">
        <v>0.8</v>
      </c>
      <c r="Q12" s="206">
        <f t="shared" si="0"/>
        <v>0.77500000000000002</v>
      </c>
      <c r="R12" s="169">
        <v>14.4</v>
      </c>
      <c r="S12" s="169">
        <v>150</v>
      </c>
      <c r="T12" s="178">
        <f t="shared" si="1"/>
        <v>30</v>
      </c>
      <c r="U12" s="169">
        <v>136</v>
      </c>
      <c r="V12" s="178">
        <f t="shared" si="2"/>
        <v>4080</v>
      </c>
      <c r="W12" s="169">
        <v>2</v>
      </c>
      <c r="X12" s="177" t="s">
        <v>46</v>
      </c>
      <c r="Y12" s="177" t="s">
        <v>69</v>
      </c>
      <c r="Z12" s="177" t="s">
        <v>90</v>
      </c>
      <c r="AA12" s="177" t="s">
        <v>55</v>
      </c>
      <c r="AB12" s="177" t="s">
        <v>327</v>
      </c>
      <c r="AE12" s="184" t="s">
        <v>70</v>
      </c>
      <c r="AG12" s="205"/>
      <c r="AH12" s="185"/>
      <c r="AL12" s="196"/>
      <c r="AP12" s="185" t="s">
        <v>67</v>
      </c>
      <c r="AR12" s="192" t="s">
        <v>124</v>
      </c>
      <c r="AV12" s="185" t="s">
        <v>72</v>
      </c>
    </row>
    <row r="13" spans="1:53" x14ac:dyDescent="0.15">
      <c r="A13" s="177" t="s">
        <v>34</v>
      </c>
      <c r="B13" s="169" t="s">
        <v>325</v>
      </c>
      <c r="C13" s="169">
        <v>2018</v>
      </c>
      <c r="D13" s="211" t="s">
        <v>387</v>
      </c>
      <c r="E13" s="198" t="s">
        <v>321</v>
      </c>
      <c r="F13" s="198" t="s">
        <v>322</v>
      </c>
      <c r="G13" s="177" t="s">
        <v>36</v>
      </c>
      <c r="H13" s="169" t="s">
        <v>157</v>
      </c>
      <c r="I13" s="177" t="s">
        <v>155</v>
      </c>
      <c r="J13" s="177" t="s">
        <v>38</v>
      </c>
      <c r="K13" s="177" t="s">
        <v>156</v>
      </c>
      <c r="L13" s="169">
        <v>3</v>
      </c>
      <c r="N13" s="169">
        <v>1</v>
      </c>
      <c r="O13" s="169">
        <v>0.75</v>
      </c>
      <c r="P13" s="169">
        <v>1.05</v>
      </c>
      <c r="Q13" s="206">
        <f t="shared" si="0"/>
        <v>0.9</v>
      </c>
      <c r="R13" s="169">
        <v>14.3</v>
      </c>
      <c r="S13" s="169">
        <v>147</v>
      </c>
      <c r="T13" s="178">
        <f t="shared" si="1"/>
        <v>30</v>
      </c>
      <c r="U13" s="169">
        <v>136</v>
      </c>
      <c r="V13" s="178">
        <f t="shared" si="2"/>
        <v>4080</v>
      </c>
      <c r="W13" s="169">
        <v>2</v>
      </c>
      <c r="X13" s="177" t="s">
        <v>46</v>
      </c>
      <c r="Y13" s="177" t="s">
        <v>69</v>
      </c>
      <c r="Z13" s="177" t="s">
        <v>90</v>
      </c>
      <c r="AA13" s="177" t="s">
        <v>55</v>
      </c>
      <c r="AB13" s="177" t="s">
        <v>327</v>
      </c>
      <c r="AE13" s="184" t="s">
        <v>73</v>
      </c>
      <c r="AG13" s="214"/>
      <c r="AH13" s="190"/>
      <c r="AP13" s="185" t="s">
        <v>71</v>
      </c>
      <c r="AR13" s="192" t="s">
        <v>103</v>
      </c>
      <c r="AV13" s="185" t="s">
        <v>75</v>
      </c>
    </row>
    <row r="14" spans="1:53" x14ac:dyDescent="0.15">
      <c r="A14" s="177" t="s">
        <v>34</v>
      </c>
      <c r="B14" s="169" t="s">
        <v>325</v>
      </c>
      <c r="C14" s="169">
        <v>2018</v>
      </c>
      <c r="D14" s="211" t="s">
        <v>387</v>
      </c>
      <c r="E14" s="198" t="s">
        <v>321</v>
      </c>
      <c r="F14" s="198" t="s">
        <v>322</v>
      </c>
      <c r="G14" s="177" t="s">
        <v>36</v>
      </c>
      <c r="H14" s="169" t="s">
        <v>157</v>
      </c>
      <c r="I14" s="177" t="s">
        <v>155</v>
      </c>
      <c r="J14" s="177" t="s">
        <v>38</v>
      </c>
      <c r="K14" s="177" t="s">
        <v>156</v>
      </c>
      <c r="L14" s="177">
        <v>1</v>
      </c>
      <c r="N14" s="169">
        <v>4</v>
      </c>
      <c r="O14" s="169">
        <v>0.6</v>
      </c>
      <c r="P14" s="169">
        <v>0.65</v>
      </c>
      <c r="Q14" s="206">
        <f t="shared" si="0"/>
        <v>0.625</v>
      </c>
      <c r="R14" s="169">
        <v>13.8</v>
      </c>
      <c r="S14" s="169">
        <v>129</v>
      </c>
      <c r="T14" s="178">
        <f t="shared" si="1"/>
        <v>30</v>
      </c>
      <c r="U14" s="169">
        <v>406</v>
      </c>
      <c r="V14" s="178">
        <f t="shared" si="2"/>
        <v>3045</v>
      </c>
      <c r="W14" s="169">
        <v>2</v>
      </c>
      <c r="X14" s="177" t="s">
        <v>46</v>
      </c>
      <c r="Y14" s="177" t="s">
        <v>69</v>
      </c>
      <c r="Z14" s="177" t="s">
        <v>90</v>
      </c>
      <c r="AA14" s="177" t="s">
        <v>55</v>
      </c>
      <c r="AB14" s="177" t="s">
        <v>327</v>
      </c>
      <c r="AE14" s="184" t="s">
        <v>76</v>
      </c>
      <c r="AG14" s="215"/>
      <c r="AL14" s="208"/>
      <c r="AP14" s="185" t="s">
        <v>74</v>
      </c>
      <c r="AR14" s="192" t="s">
        <v>125</v>
      </c>
      <c r="AV14" s="185" t="s">
        <v>78</v>
      </c>
    </row>
    <row r="15" spans="1:53" x14ac:dyDescent="0.15">
      <c r="A15" s="177" t="s">
        <v>34</v>
      </c>
      <c r="B15" s="169" t="s">
        <v>325</v>
      </c>
      <c r="C15" s="169">
        <v>2018</v>
      </c>
      <c r="D15" s="211" t="s">
        <v>387</v>
      </c>
      <c r="E15" s="198" t="s">
        <v>321</v>
      </c>
      <c r="F15" s="198" t="s">
        <v>322</v>
      </c>
      <c r="G15" s="177" t="s">
        <v>36</v>
      </c>
      <c r="H15" s="169" t="s">
        <v>157</v>
      </c>
      <c r="I15" s="177" t="s">
        <v>155</v>
      </c>
      <c r="J15" s="177" t="s">
        <v>38</v>
      </c>
      <c r="K15" s="177" t="s">
        <v>156</v>
      </c>
      <c r="L15" s="169">
        <v>2</v>
      </c>
      <c r="N15" s="169">
        <v>4</v>
      </c>
      <c r="O15" s="169">
        <v>0.5</v>
      </c>
      <c r="P15" s="169">
        <v>0.6</v>
      </c>
      <c r="Q15" s="206">
        <f t="shared" si="0"/>
        <v>0.55000000000000004</v>
      </c>
      <c r="R15" s="169">
        <v>11.8</v>
      </c>
      <c r="S15" s="169">
        <v>129</v>
      </c>
      <c r="T15" s="178">
        <f t="shared" si="1"/>
        <v>30</v>
      </c>
      <c r="U15" s="169">
        <v>406</v>
      </c>
      <c r="V15" s="178">
        <f t="shared" si="2"/>
        <v>3045</v>
      </c>
      <c r="W15" s="169">
        <v>2</v>
      </c>
      <c r="X15" s="177" t="s">
        <v>46</v>
      </c>
      <c r="Y15" s="177" t="s">
        <v>69</v>
      </c>
      <c r="Z15" s="177" t="s">
        <v>90</v>
      </c>
      <c r="AA15" s="177" t="s">
        <v>55</v>
      </c>
      <c r="AB15" s="177" t="s">
        <v>327</v>
      </c>
      <c r="AE15" s="184" t="s">
        <v>79</v>
      </c>
      <c r="AL15" s="216"/>
      <c r="AP15" s="185" t="s">
        <v>77</v>
      </c>
      <c r="AR15" s="192" t="s">
        <v>94</v>
      </c>
      <c r="AV15" s="185" t="s">
        <v>107</v>
      </c>
    </row>
    <row r="16" spans="1:53" x14ac:dyDescent="0.15">
      <c r="A16" s="177" t="s">
        <v>34</v>
      </c>
      <c r="B16" s="169" t="s">
        <v>325</v>
      </c>
      <c r="C16" s="169">
        <v>2018</v>
      </c>
      <c r="D16" s="211" t="s">
        <v>387</v>
      </c>
      <c r="E16" s="198" t="s">
        <v>321</v>
      </c>
      <c r="F16" s="198" t="s">
        <v>322</v>
      </c>
      <c r="G16" s="177" t="s">
        <v>36</v>
      </c>
      <c r="H16" s="169" t="s">
        <v>157</v>
      </c>
      <c r="I16" s="177" t="s">
        <v>155</v>
      </c>
      <c r="J16" s="177" t="s">
        <v>38</v>
      </c>
      <c r="K16" s="177" t="s">
        <v>156</v>
      </c>
      <c r="L16" s="169">
        <v>3</v>
      </c>
      <c r="N16" s="169">
        <v>4</v>
      </c>
      <c r="O16" s="169">
        <v>0.2</v>
      </c>
      <c r="P16" s="169">
        <v>0.55000000000000004</v>
      </c>
      <c r="Q16" s="206">
        <f t="shared" si="0"/>
        <v>0.375</v>
      </c>
      <c r="R16" s="169">
        <v>11.6</v>
      </c>
      <c r="S16" s="169">
        <v>136</v>
      </c>
      <c r="T16" s="178">
        <f t="shared" si="1"/>
        <v>30</v>
      </c>
      <c r="U16" s="169">
        <v>406</v>
      </c>
      <c r="V16" s="178">
        <f t="shared" si="2"/>
        <v>3045</v>
      </c>
      <c r="W16" s="169">
        <v>2</v>
      </c>
      <c r="X16" s="177" t="s">
        <v>46</v>
      </c>
      <c r="Y16" s="177" t="s">
        <v>69</v>
      </c>
      <c r="Z16" s="177" t="s">
        <v>90</v>
      </c>
      <c r="AA16" s="177" t="s">
        <v>55</v>
      </c>
      <c r="AB16" s="177" t="s">
        <v>327</v>
      </c>
      <c r="AE16" s="184" t="s">
        <v>82</v>
      </c>
      <c r="AL16" s="216"/>
      <c r="AP16" s="185" t="s">
        <v>80</v>
      </c>
      <c r="AR16" s="199" t="s">
        <v>63</v>
      </c>
      <c r="AV16" s="185" t="s">
        <v>84</v>
      </c>
    </row>
    <row r="17" spans="1:48" x14ac:dyDescent="0.15">
      <c r="A17" s="177" t="s">
        <v>34</v>
      </c>
      <c r="B17" s="169" t="s">
        <v>325</v>
      </c>
      <c r="C17" s="169">
        <v>2018</v>
      </c>
      <c r="D17" s="211" t="s">
        <v>387</v>
      </c>
      <c r="E17" s="198" t="s">
        <v>321</v>
      </c>
      <c r="F17" s="198" t="s">
        <v>322</v>
      </c>
      <c r="G17" s="177" t="s">
        <v>36</v>
      </c>
      <c r="H17" s="169" t="s">
        <v>167</v>
      </c>
      <c r="I17" s="177" t="s">
        <v>155</v>
      </c>
      <c r="J17" s="177" t="s">
        <v>38</v>
      </c>
      <c r="K17" s="177" t="s">
        <v>156</v>
      </c>
      <c r="L17" s="177">
        <v>1</v>
      </c>
      <c r="N17" s="169">
        <v>1</v>
      </c>
      <c r="O17" s="169">
        <v>0.7</v>
      </c>
      <c r="P17" s="169">
        <v>0.55000000000000004</v>
      </c>
      <c r="Q17" s="206">
        <f t="shared" si="0"/>
        <v>0.625</v>
      </c>
      <c r="R17" s="169">
        <v>17.7</v>
      </c>
      <c r="S17" s="169">
        <v>152</v>
      </c>
      <c r="T17" s="178">
        <f t="shared" si="1"/>
        <v>18</v>
      </c>
      <c r="U17" s="169">
        <v>136</v>
      </c>
      <c r="V17" s="178">
        <f t="shared" si="2"/>
        <v>2448</v>
      </c>
      <c r="W17" s="169">
        <v>1</v>
      </c>
      <c r="X17" s="177" t="s">
        <v>46</v>
      </c>
      <c r="Y17" s="177" t="s">
        <v>69</v>
      </c>
      <c r="Z17" s="177" t="s">
        <v>90</v>
      </c>
      <c r="AA17" s="177" t="s">
        <v>55</v>
      </c>
      <c r="AB17" s="177" t="s">
        <v>327</v>
      </c>
      <c r="AE17" s="184" t="s">
        <v>85</v>
      </c>
      <c r="AL17" s="216"/>
      <c r="AP17" s="200" t="s">
        <v>110</v>
      </c>
      <c r="AR17" s="199" t="s">
        <v>96</v>
      </c>
      <c r="AV17" s="185" t="s">
        <v>86</v>
      </c>
    </row>
    <row r="18" spans="1:48" x14ac:dyDescent="0.15">
      <c r="A18" s="177" t="s">
        <v>34</v>
      </c>
      <c r="B18" s="169" t="s">
        <v>325</v>
      </c>
      <c r="C18" s="169">
        <v>2018</v>
      </c>
      <c r="D18" s="211" t="s">
        <v>387</v>
      </c>
      <c r="E18" s="198" t="s">
        <v>321</v>
      </c>
      <c r="F18" s="198" t="s">
        <v>322</v>
      </c>
      <c r="G18" s="177" t="s">
        <v>36</v>
      </c>
      <c r="H18" s="169" t="s">
        <v>167</v>
      </c>
      <c r="I18" s="177" t="s">
        <v>155</v>
      </c>
      <c r="J18" s="177" t="s">
        <v>38</v>
      </c>
      <c r="K18" s="177" t="s">
        <v>156</v>
      </c>
      <c r="L18" s="169">
        <v>2</v>
      </c>
      <c r="N18" s="169">
        <v>1</v>
      </c>
      <c r="O18" s="169">
        <v>0.5</v>
      </c>
      <c r="P18" s="169">
        <v>0.55000000000000004</v>
      </c>
      <c r="Q18" s="206">
        <f t="shared" si="0"/>
        <v>0.52500000000000002</v>
      </c>
      <c r="R18" s="169">
        <v>17.600000000000001</v>
      </c>
      <c r="S18" s="169">
        <v>155</v>
      </c>
      <c r="T18" s="178">
        <f t="shared" si="1"/>
        <v>18</v>
      </c>
      <c r="U18" s="169">
        <v>136</v>
      </c>
      <c r="V18" s="178">
        <f t="shared" si="2"/>
        <v>2448</v>
      </c>
      <c r="W18" s="169">
        <v>1</v>
      </c>
      <c r="X18" s="177" t="s">
        <v>46</v>
      </c>
      <c r="Y18" s="177" t="s">
        <v>69</v>
      </c>
      <c r="Z18" s="177" t="s">
        <v>90</v>
      </c>
      <c r="AA18" s="177" t="s">
        <v>55</v>
      </c>
      <c r="AB18" s="177" t="s">
        <v>327</v>
      </c>
      <c r="AE18" s="184" t="s">
        <v>87</v>
      </c>
      <c r="AL18" s="177"/>
      <c r="AP18" s="200" t="s">
        <v>111</v>
      </c>
      <c r="AR18" s="199" t="s">
        <v>101</v>
      </c>
      <c r="AV18" s="185" t="s">
        <v>88</v>
      </c>
    </row>
    <row r="19" spans="1:48" x14ac:dyDescent="0.15">
      <c r="A19" s="177" t="s">
        <v>34</v>
      </c>
      <c r="B19" s="169" t="s">
        <v>325</v>
      </c>
      <c r="C19" s="169">
        <v>2018</v>
      </c>
      <c r="D19" s="211" t="s">
        <v>387</v>
      </c>
      <c r="E19" s="198" t="s">
        <v>321</v>
      </c>
      <c r="F19" s="198" t="s">
        <v>322</v>
      </c>
      <c r="G19" s="177" t="s">
        <v>36</v>
      </c>
      <c r="H19" s="169" t="s">
        <v>167</v>
      </c>
      <c r="I19" s="177" t="s">
        <v>155</v>
      </c>
      <c r="J19" s="177" t="s">
        <v>38</v>
      </c>
      <c r="K19" s="177" t="s">
        <v>156</v>
      </c>
      <c r="L19" s="169">
        <v>3</v>
      </c>
      <c r="N19" s="169">
        <v>1</v>
      </c>
      <c r="O19" s="169">
        <v>0.5</v>
      </c>
      <c r="P19" s="169">
        <v>1.1000000000000001</v>
      </c>
      <c r="Q19" s="206">
        <f t="shared" si="0"/>
        <v>0.8</v>
      </c>
      <c r="R19" s="169">
        <v>10</v>
      </c>
      <c r="S19" s="169">
        <v>141</v>
      </c>
      <c r="T19" s="178">
        <f t="shared" si="1"/>
        <v>30</v>
      </c>
      <c r="U19" s="169">
        <v>136</v>
      </c>
      <c r="V19" s="178">
        <f t="shared" si="2"/>
        <v>4080</v>
      </c>
      <c r="W19" s="169">
        <v>1</v>
      </c>
      <c r="X19" s="177" t="s">
        <v>46</v>
      </c>
      <c r="Y19" s="177" t="s">
        <v>69</v>
      </c>
      <c r="Z19" s="177" t="s">
        <v>90</v>
      </c>
      <c r="AA19" s="177" t="s">
        <v>55</v>
      </c>
      <c r="AB19" s="177" t="s">
        <v>327</v>
      </c>
      <c r="AE19" s="197" t="s">
        <v>89</v>
      </c>
      <c r="AP19" s="200" t="s">
        <v>112</v>
      </c>
      <c r="AR19" s="192" t="s">
        <v>126</v>
      </c>
      <c r="AV19" s="185" t="s">
        <v>90</v>
      </c>
    </row>
    <row r="20" spans="1:48" x14ac:dyDescent="0.15">
      <c r="A20" s="177" t="s">
        <v>34</v>
      </c>
      <c r="B20" s="169" t="s">
        <v>325</v>
      </c>
      <c r="C20" s="169">
        <v>2018</v>
      </c>
      <c r="D20" s="211" t="s">
        <v>387</v>
      </c>
      <c r="E20" s="198" t="s">
        <v>318</v>
      </c>
      <c r="F20" s="198" t="s">
        <v>319</v>
      </c>
      <c r="G20" s="177" t="s">
        <v>36</v>
      </c>
      <c r="H20" s="169" t="s">
        <v>167</v>
      </c>
      <c r="I20" s="177" t="s">
        <v>155</v>
      </c>
      <c r="J20" s="177" t="s">
        <v>38</v>
      </c>
      <c r="K20" s="177" t="s">
        <v>156</v>
      </c>
      <c r="L20" s="177">
        <v>1</v>
      </c>
      <c r="N20" s="169">
        <v>1</v>
      </c>
      <c r="O20" s="169">
        <v>0.5</v>
      </c>
      <c r="P20" s="169">
        <v>0.5</v>
      </c>
      <c r="Q20" s="206">
        <f t="shared" si="0"/>
        <v>0.5</v>
      </c>
      <c r="R20" s="169">
        <v>16.399999999999999</v>
      </c>
      <c r="S20" s="169">
        <v>154</v>
      </c>
      <c r="T20" s="178">
        <f t="shared" si="1"/>
        <v>18</v>
      </c>
      <c r="U20" s="169">
        <v>105</v>
      </c>
      <c r="V20" s="178">
        <f t="shared" si="2"/>
        <v>1890</v>
      </c>
      <c r="W20" s="169">
        <v>8</v>
      </c>
      <c r="X20" s="177" t="s">
        <v>46</v>
      </c>
      <c r="Y20" s="177" t="s">
        <v>69</v>
      </c>
      <c r="Z20" s="177" t="s">
        <v>55</v>
      </c>
      <c r="AA20" s="177" t="s">
        <v>47</v>
      </c>
      <c r="AB20" s="177" t="s">
        <v>327</v>
      </c>
      <c r="AP20" s="200" t="s">
        <v>113</v>
      </c>
      <c r="AR20" s="199" t="s">
        <v>105</v>
      </c>
      <c r="AV20" s="189" t="s">
        <v>334</v>
      </c>
    </row>
    <row r="21" spans="1:48" x14ac:dyDescent="0.15">
      <c r="A21" s="177" t="s">
        <v>34</v>
      </c>
      <c r="B21" s="169" t="s">
        <v>325</v>
      </c>
      <c r="C21" s="169">
        <v>2018</v>
      </c>
      <c r="D21" s="211" t="s">
        <v>387</v>
      </c>
      <c r="E21" s="198" t="s">
        <v>318</v>
      </c>
      <c r="F21" s="198" t="s">
        <v>319</v>
      </c>
      <c r="G21" s="177" t="s">
        <v>36</v>
      </c>
      <c r="H21" s="169" t="s">
        <v>167</v>
      </c>
      <c r="I21" s="177" t="s">
        <v>155</v>
      </c>
      <c r="J21" s="177" t="s">
        <v>38</v>
      </c>
      <c r="K21" s="177" t="s">
        <v>156</v>
      </c>
      <c r="L21" s="169">
        <v>2</v>
      </c>
      <c r="N21" s="169">
        <v>1</v>
      </c>
      <c r="O21" s="169">
        <v>0.6</v>
      </c>
      <c r="P21" s="169">
        <v>0.6</v>
      </c>
      <c r="Q21" s="206">
        <f t="shared" si="0"/>
        <v>0.6</v>
      </c>
      <c r="R21" s="169">
        <v>16.100000000000001</v>
      </c>
      <c r="S21" s="169">
        <v>154</v>
      </c>
      <c r="T21" s="178">
        <f t="shared" si="1"/>
        <v>18</v>
      </c>
      <c r="U21" s="169">
        <v>105</v>
      </c>
      <c r="V21" s="178">
        <f t="shared" si="2"/>
        <v>1890</v>
      </c>
      <c r="W21" s="169">
        <v>8</v>
      </c>
      <c r="X21" s="177" t="s">
        <v>46</v>
      </c>
      <c r="Y21" s="177" t="s">
        <v>69</v>
      </c>
      <c r="Z21" s="177" t="s">
        <v>55</v>
      </c>
      <c r="AA21" s="177" t="s">
        <v>47</v>
      </c>
      <c r="AB21" s="177" t="s">
        <v>327</v>
      </c>
      <c r="AP21" s="200" t="s">
        <v>114</v>
      </c>
      <c r="AR21" s="199" t="s">
        <v>68</v>
      </c>
      <c r="AV21" s="189" t="s">
        <v>335</v>
      </c>
    </row>
    <row r="22" spans="1:48" x14ac:dyDescent="0.15">
      <c r="A22" s="177" t="s">
        <v>34</v>
      </c>
      <c r="B22" s="169" t="s">
        <v>325</v>
      </c>
      <c r="C22" s="169">
        <v>2018</v>
      </c>
      <c r="D22" s="211" t="s">
        <v>387</v>
      </c>
      <c r="E22" s="198" t="s">
        <v>318</v>
      </c>
      <c r="F22" s="198" t="s">
        <v>319</v>
      </c>
      <c r="G22" s="177" t="s">
        <v>36</v>
      </c>
      <c r="H22" s="169" t="s">
        <v>167</v>
      </c>
      <c r="I22" s="177" t="s">
        <v>155</v>
      </c>
      <c r="J22" s="177" t="s">
        <v>38</v>
      </c>
      <c r="K22" s="177" t="s">
        <v>156</v>
      </c>
      <c r="L22" s="169">
        <v>3</v>
      </c>
      <c r="N22" s="169">
        <v>1</v>
      </c>
      <c r="O22" s="169">
        <v>0.5</v>
      </c>
      <c r="P22" s="169">
        <v>0.2</v>
      </c>
      <c r="Q22" s="206">
        <f t="shared" si="0"/>
        <v>0.35</v>
      </c>
      <c r="R22" s="169">
        <v>15.4</v>
      </c>
      <c r="S22" s="169">
        <v>156</v>
      </c>
      <c r="T22" s="178">
        <f t="shared" si="1"/>
        <v>18</v>
      </c>
      <c r="U22" s="169">
        <v>105</v>
      </c>
      <c r="V22" s="178">
        <f t="shared" si="2"/>
        <v>1890</v>
      </c>
      <c r="W22" s="169">
        <v>8</v>
      </c>
      <c r="X22" s="177" t="s">
        <v>46</v>
      </c>
      <c r="Y22" s="177" t="s">
        <v>69</v>
      </c>
      <c r="Z22" s="177" t="s">
        <v>55</v>
      </c>
      <c r="AA22" s="177" t="s">
        <v>47</v>
      </c>
      <c r="AB22" s="177" t="s">
        <v>327</v>
      </c>
      <c r="AP22" s="200" t="s">
        <v>115</v>
      </c>
      <c r="AR22" s="199" t="s">
        <v>83</v>
      </c>
      <c r="AV22" s="189"/>
    </row>
    <row r="23" spans="1:48" x14ac:dyDescent="0.15">
      <c r="A23" s="177" t="s">
        <v>34</v>
      </c>
      <c r="B23" s="169" t="s">
        <v>325</v>
      </c>
      <c r="C23" s="169">
        <v>2018</v>
      </c>
      <c r="D23" s="211" t="s">
        <v>387</v>
      </c>
      <c r="E23" s="198" t="s">
        <v>175</v>
      </c>
      <c r="F23" s="198" t="s">
        <v>323</v>
      </c>
      <c r="G23" s="177" t="s">
        <v>36</v>
      </c>
      <c r="H23" s="169" t="s">
        <v>157</v>
      </c>
      <c r="I23" s="177" t="s">
        <v>155</v>
      </c>
      <c r="J23" s="177" t="s">
        <v>38</v>
      </c>
      <c r="K23" s="177" t="s">
        <v>156</v>
      </c>
      <c r="L23" s="177">
        <v>1</v>
      </c>
      <c r="N23" s="169">
        <v>1</v>
      </c>
      <c r="O23" s="169">
        <v>0.2</v>
      </c>
      <c r="P23" s="169">
        <v>0.2</v>
      </c>
      <c r="Q23" s="206">
        <f t="shared" si="0"/>
        <v>0.2</v>
      </c>
      <c r="R23" s="169">
        <v>14.5</v>
      </c>
      <c r="S23" s="169">
        <v>134</v>
      </c>
      <c r="T23" s="178">
        <f t="shared" si="1"/>
        <v>30</v>
      </c>
      <c r="U23" s="169">
        <v>137</v>
      </c>
      <c r="V23" s="178">
        <f t="shared" si="2"/>
        <v>4110</v>
      </c>
      <c r="W23" s="169">
        <v>7</v>
      </c>
      <c r="X23" s="177" t="s">
        <v>46</v>
      </c>
      <c r="Y23" s="177" t="s">
        <v>55</v>
      </c>
      <c r="Z23" s="177" t="s">
        <v>69</v>
      </c>
      <c r="AA23" s="177" t="s">
        <v>47</v>
      </c>
      <c r="AB23" s="177" t="s">
        <v>327</v>
      </c>
      <c r="AP23" s="200" t="s">
        <v>117</v>
      </c>
      <c r="AR23" s="199" t="s">
        <v>278</v>
      </c>
    </row>
    <row r="24" spans="1:48" x14ac:dyDescent="0.15">
      <c r="A24" s="177" t="s">
        <v>34</v>
      </c>
      <c r="B24" s="169" t="s">
        <v>325</v>
      </c>
      <c r="C24" s="169">
        <v>2018</v>
      </c>
      <c r="D24" s="211" t="s">
        <v>387</v>
      </c>
      <c r="E24" s="198" t="s">
        <v>175</v>
      </c>
      <c r="F24" s="198" t="s">
        <v>323</v>
      </c>
      <c r="G24" s="177" t="s">
        <v>36</v>
      </c>
      <c r="H24" s="169" t="s">
        <v>157</v>
      </c>
      <c r="I24" s="177" t="s">
        <v>155</v>
      </c>
      <c r="J24" s="177" t="s">
        <v>38</v>
      </c>
      <c r="K24" s="177" t="s">
        <v>156</v>
      </c>
      <c r="L24" s="169">
        <v>2</v>
      </c>
      <c r="N24" s="169">
        <v>1</v>
      </c>
      <c r="O24" s="169">
        <v>0.5</v>
      </c>
      <c r="P24" s="169">
        <v>0.5</v>
      </c>
      <c r="Q24" s="206">
        <f t="shared" si="0"/>
        <v>0.5</v>
      </c>
      <c r="R24" s="169">
        <v>13.6</v>
      </c>
      <c r="S24" s="169">
        <v>146</v>
      </c>
      <c r="T24" s="178">
        <f t="shared" si="1"/>
        <v>30</v>
      </c>
      <c r="U24" s="169">
        <v>137</v>
      </c>
      <c r="V24" s="178">
        <f t="shared" si="2"/>
        <v>4110</v>
      </c>
      <c r="W24" s="169">
        <v>7</v>
      </c>
      <c r="X24" s="177" t="s">
        <v>46</v>
      </c>
      <c r="Y24" s="177" t="s">
        <v>55</v>
      </c>
      <c r="Z24" s="177" t="s">
        <v>69</v>
      </c>
      <c r="AA24" s="177" t="s">
        <v>47</v>
      </c>
      <c r="AB24" s="177" t="s">
        <v>327</v>
      </c>
      <c r="AP24" s="200" t="s">
        <v>118</v>
      </c>
    </row>
    <row r="25" spans="1:48" x14ac:dyDescent="0.15">
      <c r="A25" s="177" t="s">
        <v>34</v>
      </c>
      <c r="B25" s="169" t="s">
        <v>325</v>
      </c>
      <c r="C25" s="169">
        <v>2018</v>
      </c>
      <c r="D25" s="211" t="s">
        <v>387</v>
      </c>
      <c r="E25" s="198" t="s">
        <v>175</v>
      </c>
      <c r="F25" s="198" t="s">
        <v>323</v>
      </c>
      <c r="G25" s="177" t="s">
        <v>36</v>
      </c>
      <c r="H25" s="169" t="s">
        <v>157</v>
      </c>
      <c r="I25" s="177" t="s">
        <v>155</v>
      </c>
      <c r="J25" s="177" t="s">
        <v>38</v>
      </c>
      <c r="K25" s="177" t="s">
        <v>156</v>
      </c>
      <c r="L25" s="169">
        <v>3</v>
      </c>
      <c r="N25" s="169">
        <v>1</v>
      </c>
      <c r="O25" s="169">
        <v>0.45</v>
      </c>
      <c r="P25" s="169">
        <v>0.2</v>
      </c>
      <c r="Q25" s="206">
        <f t="shared" si="0"/>
        <v>0.32500000000000001</v>
      </c>
      <c r="R25" s="169">
        <v>14.4</v>
      </c>
      <c r="S25" s="169">
        <v>144</v>
      </c>
      <c r="T25" s="178">
        <f t="shared" si="1"/>
        <v>30</v>
      </c>
      <c r="U25" s="169">
        <v>137</v>
      </c>
      <c r="V25" s="178">
        <f t="shared" si="2"/>
        <v>4110</v>
      </c>
      <c r="W25" s="169">
        <v>7</v>
      </c>
      <c r="X25" s="177" t="s">
        <v>46</v>
      </c>
      <c r="Y25" s="177" t="s">
        <v>55</v>
      </c>
      <c r="Z25" s="177" t="s">
        <v>69</v>
      </c>
      <c r="AA25" s="177" t="s">
        <v>47</v>
      </c>
      <c r="AB25" s="177" t="s">
        <v>327</v>
      </c>
    </row>
    <row r="26" spans="1:48" x14ac:dyDescent="0.15">
      <c r="A26" s="177" t="s">
        <v>34</v>
      </c>
      <c r="B26" s="169" t="s">
        <v>325</v>
      </c>
      <c r="C26" s="169">
        <v>2018</v>
      </c>
      <c r="D26" s="211" t="s">
        <v>387</v>
      </c>
      <c r="E26" s="198" t="s">
        <v>175</v>
      </c>
      <c r="F26" s="198" t="s">
        <v>323</v>
      </c>
      <c r="G26" s="177" t="s">
        <v>36</v>
      </c>
      <c r="H26" s="169" t="s">
        <v>157</v>
      </c>
      <c r="I26" s="177" t="s">
        <v>155</v>
      </c>
      <c r="J26" s="177" t="s">
        <v>38</v>
      </c>
      <c r="K26" s="177" t="s">
        <v>156</v>
      </c>
      <c r="L26" s="177">
        <v>1</v>
      </c>
      <c r="N26" s="169">
        <v>4</v>
      </c>
      <c r="O26" s="169">
        <v>0.5</v>
      </c>
      <c r="P26" s="169">
        <v>0.5</v>
      </c>
      <c r="Q26" s="206">
        <f t="shared" si="0"/>
        <v>0.5</v>
      </c>
      <c r="R26" s="169">
        <v>14.5</v>
      </c>
      <c r="S26" s="169">
        <v>120</v>
      </c>
      <c r="T26" s="178">
        <f t="shared" si="1"/>
        <v>30</v>
      </c>
      <c r="U26" s="169">
        <v>471</v>
      </c>
      <c r="V26" s="178">
        <f t="shared" si="2"/>
        <v>3532.5</v>
      </c>
      <c r="W26" s="169">
        <v>7</v>
      </c>
      <c r="X26" s="177" t="s">
        <v>46</v>
      </c>
      <c r="Y26" s="177" t="s">
        <v>55</v>
      </c>
      <c r="Z26" s="177" t="s">
        <v>69</v>
      </c>
      <c r="AA26" s="177" t="s">
        <v>47</v>
      </c>
      <c r="AB26" s="177" t="s">
        <v>327</v>
      </c>
    </row>
    <row r="27" spans="1:48" x14ac:dyDescent="0.15">
      <c r="A27" s="177" t="s">
        <v>34</v>
      </c>
      <c r="B27" s="169" t="s">
        <v>325</v>
      </c>
      <c r="C27" s="169">
        <v>2018</v>
      </c>
      <c r="D27" s="211" t="s">
        <v>387</v>
      </c>
      <c r="E27" s="198" t="s">
        <v>175</v>
      </c>
      <c r="F27" s="198" t="s">
        <v>323</v>
      </c>
      <c r="G27" s="177" t="s">
        <v>36</v>
      </c>
      <c r="H27" s="169" t="s">
        <v>157</v>
      </c>
      <c r="I27" s="177" t="s">
        <v>155</v>
      </c>
      <c r="J27" s="177" t="s">
        <v>38</v>
      </c>
      <c r="K27" s="177" t="s">
        <v>156</v>
      </c>
      <c r="L27" s="169">
        <v>2</v>
      </c>
      <c r="N27" s="169">
        <v>4</v>
      </c>
      <c r="O27" s="169">
        <v>0.6</v>
      </c>
      <c r="P27" s="169">
        <v>0.2</v>
      </c>
      <c r="Q27" s="206">
        <f t="shared" si="0"/>
        <v>0.4</v>
      </c>
      <c r="R27" s="169">
        <v>11.7</v>
      </c>
      <c r="S27" s="169">
        <v>114</v>
      </c>
      <c r="T27" s="178">
        <f t="shared" si="1"/>
        <v>30</v>
      </c>
      <c r="U27" s="169">
        <v>471</v>
      </c>
      <c r="V27" s="178">
        <f t="shared" si="2"/>
        <v>3532.5</v>
      </c>
      <c r="W27" s="169">
        <v>7</v>
      </c>
      <c r="X27" s="177" t="s">
        <v>46</v>
      </c>
      <c r="Y27" s="177" t="s">
        <v>55</v>
      </c>
      <c r="Z27" s="177" t="s">
        <v>69</v>
      </c>
      <c r="AA27" s="177" t="s">
        <v>47</v>
      </c>
      <c r="AB27" s="177" t="s">
        <v>327</v>
      </c>
    </row>
    <row r="28" spans="1:48" x14ac:dyDescent="0.15">
      <c r="A28" s="177" t="s">
        <v>34</v>
      </c>
      <c r="B28" s="169" t="s">
        <v>325</v>
      </c>
      <c r="C28" s="169">
        <v>2018</v>
      </c>
      <c r="D28" s="211" t="s">
        <v>387</v>
      </c>
      <c r="E28" s="198" t="s">
        <v>175</v>
      </c>
      <c r="F28" s="198" t="s">
        <v>323</v>
      </c>
      <c r="G28" s="177" t="s">
        <v>36</v>
      </c>
      <c r="H28" s="169" t="s">
        <v>157</v>
      </c>
      <c r="I28" s="177" t="s">
        <v>155</v>
      </c>
      <c r="J28" s="177" t="s">
        <v>38</v>
      </c>
      <c r="K28" s="177" t="s">
        <v>156</v>
      </c>
      <c r="L28" s="169">
        <v>3</v>
      </c>
      <c r="N28" s="169">
        <v>4</v>
      </c>
      <c r="O28" s="169">
        <v>0.5</v>
      </c>
      <c r="P28" s="169">
        <v>0.2</v>
      </c>
      <c r="Q28" s="206">
        <f t="shared" si="0"/>
        <v>0.35</v>
      </c>
      <c r="R28" s="169">
        <v>15.4</v>
      </c>
      <c r="S28" s="169">
        <v>121</v>
      </c>
      <c r="T28" s="178">
        <f t="shared" si="1"/>
        <v>30</v>
      </c>
      <c r="U28" s="169">
        <v>471</v>
      </c>
      <c r="V28" s="178">
        <f t="shared" si="2"/>
        <v>3532.5</v>
      </c>
      <c r="W28" s="169">
        <v>7</v>
      </c>
      <c r="X28" s="177" t="s">
        <v>46</v>
      </c>
      <c r="Y28" s="177" t="s">
        <v>55</v>
      </c>
      <c r="Z28" s="177" t="s">
        <v>69</v>
      </c>
      <c r="AA28" s="177" t="s">
        <v>47</v>
      </c>
      <c r="AB28" s="177" t="s">
        <v>327</v>
      </c>
    </row>
    <row r="29" spans="1:48" x14ac:dyDescent="0.15">
      <c r="A29" s="177" t="s">
        <v>34</v>
      </c>
      <c r="B29" s="169" t="s">
        <v>325</v>
      </c>
      <c r="C29" s="169">
        <v>2018</v>
      </c>
      <c r="D29" s="211" t="s">
        <v>387</v>
      </c>
      <c r="E29" s="198" t="s">
        <v>175</v>
      </c>
      <c r="F29" s="198" t="s">
        <v>323</v>
      </c>
      <c r="G29" s="177" t="s">
        <v>36</v>
      </c>
      <c r="H29" s="169" t="s">
        <v>221</v>
      </c>
      <c r="I29" s="177" t="s">
        <v>155</v>
      </c>
      <c r="J29" s="177" t="s">
        <v>38</v>
      </c>
      <c r="K29" s="177" t="s">
        <v>156</v>
      </c>
      <c r="L29" s="177">
        <v>1</v>
      </c>
      <c r="N29" s="169">
        <v>5</v>
      </c>
      <c r="O29" s="169">
        <v>0.2</v>
      </c>
      <c r="P29" s="169">
        <v>0.2</v>
      </c>
      <c r="Q29" s="206">
        <f t="shared" si="0"/>
        <v>0.2</v>
      </c>
      <c r="R29" s="169">
        <v>14.4</v>
      </c>
      <c r="S29" s="169">
        <v>86</v>
      </c>
      <c r="T29" s="178">
        <f t="shared" si="1"/>
        <v>36</v>
      </c>
      <c r="U29" s="169">
        <v>428</v>
      </c>
      <c r="V29" s="178">
        <f t="shared" si="2"/>
        <v>3081.6</v>
      </c>
      <c r="W29" s="169">
        <v>2</v>
      </c>
      <c r="X29" s="177" t="s">
        <v>46</v>
      </c>
      <c r="Y29" s="177" t="s">
        <v>55</v>
      </c>
      <c r="Z29" s="177" t="s">
        <v>69</v>
      </c>
      <c r="AA29" s="177" t="s">
        <v>47</v>
      </c>
      <c r="AB29" s="177" t="s">
        <v>327</v>
      </c>
    </row>
    <row r="30" spans="1:48" x14ac:dyDescent="0.15">
      <c r="A30" s="177" t="s">
        <v>34</v>
      </c>
      <c r="B30" s="169" t="s">
        <v>325</v>
      </c>
      <c r="C30" s="169">
        <v>2018</v>
      </c>
      <c r="D30" s="211" t="s">
        <v>387</v>
      </c>
      <c r="E30" s="198" t="s">
        <v>175</v>
      </c>
      <c r="F30" s="198" t="s">
        <v>323</v>
      </c>
      <c r="G30" s="177" t="s">
        <v>36</v>
      </c>
      <c r="H30" s="169" t="s">
        <v>221</v>
      </c>
      <c r="I30" s="177" t="s">
        <v>155</v>
      </c>
      <c r="J30" s="177" t="s">
        <v>38</v>
      </c>
      <c r="K30" s="177" t="s">
        <v>156</v>
      </c>
      <c r="L30" s="169">
        <v>2</v>
      </c>
      <c r="N30" s="169">
        <v>5</v>
      </c>
      <c r="O30" s="169">
        <v>0.45</v>
      </c>
      <c r="P30" s="169">
        <v>0.5</v>
      </c>
      <c r="Q30" s="206">
        <f t="shared" si="0"/>
        <v>0.47499999999999998</v>
      </c>
      <c r="R30" s="169">
        <v>15.3</v>
      </c>
      <c r="S30" s="169">
        <v>82</v>
      </c>
      <c r="T30" s="178">
        <f t="shared" si="1"/>
        <v>39</v>
      </c>
      <c r="U30" s="169">
        <v>428</v>
      </c>
      <c r="V30" s="178">
        <f t="shared" si="2"/>
        <v>3338.3999999999996</v>
      </c>
      <c r="W30" s="169">
        <v>2</v>
      </c>
      <c r="X30" s="177" t="s">
        <v>46</v>
      </c>
      <c r="Y30" s="177" t="s">
        <v>55</v>
      </c>
      <c r="Z30" s="177" t="s">
        <v>69</v>
      </c>
      <c r="AA30" s="177" t="s">
        <v>47</v>
      </c>
      <c r="AB30" s="177" t="s">
        <v>327</v>
      </c>
    </row>
    <row r="31" spans="1:48" x14ac:dyDescent="0.15">
      <c r="A31" s="177" t="s">
        <v>34</v>
      </c>
      <c r="B31" s="169" t="s">
        <v>325</v>
      </c>
      <c r="C31" s="169">
        <v>2018</v>
      </c>
      <c r="D31" s="211" t="s">
        <v>387</v>
      </c>
      <c r="E31" s="198" t="s">
        <v>175</v>
      </c>
      <c r="F31" s="198" t="s">
        <v>323</v>
      </c>
      <c r="G31" s="177" t="s">
        <v>36</v>
      </c>
      <c r="H31" s="169" t="s">
        <v>221</v>
      </c>
      <c r="I31" s="177" t="s">
        <v>155</v>
      </c>
      <c r="J31" s="177" t="s">
        <v>38</v>
      </c>
      <c r="K31" s="177" t="s">
        <v>156</v>
      </c>
      <c r="L31" s="169">
        <v>3</v>
      </c>
      <c r="N31" s="169">
        <v>5</v>
      </c>
      <c r="O31" s="169">
        <v>0.5</v>
      </c>
      <c r="P31" s="169">
        <v>0.45</v>
      </c>
      <c r="Q31" s="206">
        <f t="shared" si="0"/>
        <v>0.47499999999999998</v>
      </c>
      <c r="R31" s="169">
        <v>13.5</v>
      </c>
      <c r="S31" s="169">
        <v>84</v>
      </c>
      <c r="T31" s="178">
        <f t="shared" si="1"/>
        <v>36</v>
      </c>
      <c r="U31" s="169">
        <v>428</v>
      </c>
      <c r="V31" s="178">
        <f t="shared" si="2"/>
        <v>3081.6</v>
      </c>
      <c r="W31" s="169">
        <v>2</v>
      </c>
      <c r="X31" s="177" t="s">
        <v>46</v>
      </c>
      <c r="Y31" s="177" t="s">
        <v>55</v>
      </c>
      <c r="Z31" s="177" t="s">
        <v>69</v>
      </c>
      <c r="AA31" s="177" t="s">
        <v>47</v>
      </c>
      <c r="AB31" s="177" t="s">
        <v>327</v>
      </c>
    </row>
    <row r="32" spans="1:48" x14ac:dyDescent="0.15">
      <c r="A32" s="177" t="s">
        <v>34</v>
      </c>
      <c r="B32" s="169" t="s">
        <v>325</v>
      </c>
      <c r="C32" s="169">
        <v>2018</v>
      </c>
      <c r="D32" s="211" t="s">
        <v>387</v>
      </c>
      <c r="E32" s="198" t="s">
        <v>175</v>
      </c>
      <c r="F32" s="198" t="s">
        <v>323</v>
      </c>
      <c r="G32" s="177" t="s">
        <v>36</v>
      </c>
      <c r="H32" s="169" t="s">
        <v>167</v>
      </c>
      <c r="I32" s="177" t="s">
        <v>155</v>
      </c>
      <c r="J32" s="177" t="s">
        <v>38</v>
      </c>
      <c r="K32" s="177" t="s">
        <v>156</v>
      </c>
      <c r="L32" s="177">
        <v>1</v>
      </c>
      <c r="N32" s="169">
        <v>1</v>
      </c>
      <c r="O32" s="169">
        <v>0.5</v>
      </c>
      <c r="P32" s="169">
        <v>0.7</v>
      </c>
      <c r="Q32" s="206">
        <f t="shared" si="0"/>
        <v>0.6</v>
      </c>
      <c r="R32" s="169">
        <v>16.899999999999999</v>
      </c>
      <c r="S32" s="169">
        <v>166</v>
      </c>
      <c r="T32" s="178">
        <f t="shared" si="1"/>
        <v>18</v>
      </c>
      <c r="U32" s="169">
        <v>137</v>
      </c>
      <c r="V32" s="178">
        <f t="shared" si="2"/>
        <v>2466</v>
      </c>
      <c r="W32" s="169">
        <v>12</v>
      </c>
      <c r="X32" s="177" t="s">
        <v>46</v>
      </c>
      <c r="Y32" s="177" t="s">
        <v>55</v>
      </c>
      <c r="Z32" s="177" t="s">
        <v>69</v>
      </c>
      <c r="AA32" s="177" t="s">
        <v>47</v>
      </c>
      <c r="AB32" s="177" t="s">
        <v>327</v>
      </c>
    </row>
    <row r="33" spans="1:28" x14ac:dyDescent="0.15">
      <c r="A33" s="177" t="s">
        <v>34</v>
      </c>
      <c r="B33" s="169" t="s">
        <v>325</v>
      </c>
      <c r="C33" s="169">
        <v>2018</v>
      </c>
      <c r="D33" s="211" t="s">
        <v>387</v>
      </c>
      <c r="E33" s="198" t="s">
        <v>175</v>
      </c>
      <c r="F33" s="198" t="s">
        <v>323</v>
      </c>
      <c r="G33" s="177" t="s">
        <v>36</v>
      </c>
      <c r="H33" s="169" t="s">
        <v>167</v>
      </c>
      <c r="I33" s="177" t="s">
        <v>155</v>
      </c>
      <c r="J33" s="177" t="s">
        <v>38</v>
      </c>
      <c r="K33" s="177" t="s">
        <v>156</v>
      </c>
      <c r="L33" s="169">
        <v>2</v>
      </c>
      <c r="N33" s="169">
        <v>1</v>
      </c>
      <c r="O33" s="169">
        <v>0.6</v>
      </c>
      <c r="P33" s="169">
        <v>0.7</v>
      </c>
      <c r="Q33" s="206">
        <f t="shared" si="0"/>
        <v>0.64999999999999991</v>
      </c>
      <c r="R33" s="169">
        <v>17.899999999999999</v>
      </c>
      <c r="S33" s="169">
        <v>156</v>
      </c>
      <c r="T33" s="178">
        <f t="shared" si="1"/>
        <v>18</v>
      </c>
      <c r="U33" s="169">
        <v>137</v>
      </c>
      <c r="V33" s="178">
        <f t="shared" si="2"/>
        <v>2466</v>
      </c>
      <c r="W33" s="169">
        <v>12</v>
      </c>
      <c r="X33" s="177" t="s">
        <v>46</v>
      </c>
      <c r="Y33" s="177" t="s">
        <v>55</v>
      </c>
      <c r="Z33" s="177" t="s">
        <v>69</v>
      </c>
      <c r="AA33" s="177" t="s">
        <v>47</v>
      </c>
      <c r="AB33" s="177" t="s">
        <v>327</v>
      </c>
    </row>
    <row r="34" spans="1:28" x14ac:dyDescent="0.15">
      <c r="A34" s="177" t="s">
        <v>34</v>
      </c>
      <c r="B34" s="169" t="s">
        <v>325</v>
      </c>
      <c r="C34" s="169">
        <v>2018</v>
      </c>
      <c r="D34" s="211" t="s">
        <v>387</v>
      </c>
      <c r="E34" s="198" t="s">
        <v>175</v>
      </c>
      <c r="F34" s="198" t="s">
        <v>323</v>
      </c>
      <c r="G34" s="177" t="s">
        <v>36</v>
      </c>
      <c r="H34" s="169" t="s">
        <v>167</v>
      </c>
      <c r="I34" s="177" t="s">
        <v>155</v>
      </c>
      <c r="J34" s="177" t="s">
        <v>38</v>
      </c>
      <c r="K34" s="177" t="s">
        <v>156</v>
      </c>
      <c r="L34" s="169">
        <v>3</v>
      </c>
      <c r="N34" s="169">
        <v>1</v>
      </c>
      <c r="O34" s="169">
        <v>0.85</v>
      </c>
      <c r="P34" s="169">
        <v>0.95</v>
      </c>
      <c r="Q34" s="206">
        <f>IF(OR(O34="",P34=""),"",AVERAGE(O34,P34))</f>
        <v>0.89999999999999991</v>
      </c>
      <c r="R34" s="169">
        <v>14.3</v>
      </c>
      <c r="S34" s="169">
        <v>153</v>
      </c>
      <c r="T34" s="178">
        <f t="shared" si="1"/>
        <v>18</v>
      </c>
      <c r="U34" s="169">
        <v>137</v>
      </c>
      <c r="V34" s="178">
        <f t="shared" si="2"/>
        <v>2466</v>
      </c>
      <c r="W34" s="169">
        <v>12</v>
      </c>
      <c r="X34" s="177" t="s">
        <v>46</v>
      </c>
      <c r="Y34" s="177" t="s">
        <v>55</v>
      </c>
      <c r="Z34" s="177" t="s">
        <v>69</v>
      </c>
      <c r="AA34" s="177" t="s">
        <v>47</v>
      </c>
      <c r="AB34" s="177" t="s">
        <v>327</v>
      </c>
    </row>
    <row r="35" spans="1:28" x14ac:dyDescent="0.15">
      <c r="A35" s="177" t="s">
        <v>34</v>
      </c>
      <c r="B35" s="169" t="s">
        <v>325</v>
      </c>
      <c r="C35" s="169">
        <v>2018</v>
      </c>
      <c r="D35" s="211" t="s">
        <v>387</v>
      </c>
      <c r="E35" s="198" t="s">
        <v>175</v>
      </c>
      <c r="F35" s="198" t="s">
        <v>323</v>
      </c>
      <c r="G35" s="177" t="s">
        <v>36</v>
      </c>
      <c r="H35" s="169" t="s">
        <v>167</v>
      </c>
      <c r="I35" s="177" t="s">
        <v>155</v>
      </c>
      <c r="J35" s="177" t="s">
        <v>38</v>
      </c>
      <c r="K35" s="177" t="s">
        <v>156</v>
      </c>
      <c r="L35" s="177">
        <v>1</v>
      </c>
      <c r="N35" s="169">
        <v>4</v>
      </c>
      <c r="O35" s="169">
        <v>0.2</v>
      </c>
      <c r="P35" s="169">
        <v>0.2</v>
      </c>
      <c r="Q35" s="206">
        <f t="shared" ref="Q35:Q36" si="3">IF(OR(O35="",P35=""),"",AVERAGE(O35,P35))</f>
        <v>0.2</v>
      </c>
      <c r="R35" s="169">
        <v>13.3</v>
      </c>
      <c r="S35" s="169">
        <v>121</v>
      </c>
      <c r="T35" s="178">
        <f t="shared" si="1"/>
        <v>30</v>
      </c>
      <c r="U35" s="169">
        <v>471</v>
      </c>
      <c r="V35" s="178">
        <f t="shared" si="2"/>
        <v>3532.5</v>
      </c>
      <c r="W35" s="169">
        <v>12</v>
      </c>
      <c r="X35" s="177" t="s">
        <v>46</v>
      </c>
      <c r="Y35" s="177" t="s">
        <v>55</v>
      </c>
      <c r="Z35" s="177" t="s">
        <v>69</v>
      </c>
      <c r="AA35" s="177" t="s">
        <v>47</v>
      </c>
      <c r="AB35" s="177" t="s">
        <v>327</v>
      </c>
    </row>
    <row r="36" spans="1:28" x14ac:dyDescent="0.15">
      <c r="A36" s="177" t="s">
        <v>34</v>
      </c>
      <c r="B36" s="169" t="s">
        <v>325</v>
      </c>
      <c r="C36" s="169">
        <v>2018</v>
      </c>
      <c r="D36" s="211" t="s">
        <v>387</v>
      </c>
      <c r="E36" s="198" t="s">
        <v>175</v>
      </c>
      <c r="F36" s="198" t="s">
        <v>323</v>
      </c>
      <c r="G36" s="177" t="s">
        <v>36</v>
      </c>
      <c r="H36" s="169" t="s">
        <v>167</v>
      </c>
      <c r="I36" s="177" t="s">
        <v>155</v>
      </c>
      <c r="J36" s="177" t="s">
        <v>38</v>
      </c>
      <c r="K36" s="177" t="s">
        <v>156</v>
      </c>
      <c r="L36" s="169">
        <v>2</v>
      </c>
      <c r="N36" s="169">
        <v>4</v>
      </c>
      <c r="O36" s="169">
        <v>0.45</v>
      </c>
      <c r="P36" s="169">
        <v>0.2</v>
      </c>
      <c r="Q36" s="206">
        <f t="shared" si="3"/>
        <v>0.32500000000000001</v>
      </c>
      <c r="R36" s="169">
        <v>14.9</v>
      </c>
      <c r="S36" s="169">
        <v>116</v>
      </c>
      <c r="T36" s="178">
        <f t="shared" si="1"/>
        <v>30</v>
      </c>
      <c r="U36" s="169">
        <v>471</v>
      </c>
      <c r="V36" s="178">
        <f t="shared" si="2"/>
        <v>3532.5</v>
      </c>
      <c r="W36" s="169">
        <v>12</v>
      </c>
      <c r="X36" s="177" t="s">
        <v>46</v>
      </c>
      <c r="Y36" s="177" t="s">
        <v>55</v>
      </c>
      <c r="Z36" s="177" t="s">
        <v>69</v>
      </c>
      <c r="AA36" s="177" t="s">
        <v>47</v>
      </c>
      <c r="AB36" s="177" t="s">
        <v>327</v>
      </c>
    </row>
    <row r="37" spans="1:28" x14ac:dyDescent="0.15">
      <c r="A37" s="177" t="s">
        <v>34</v>
      </c>
      <c r="B37" s="169" t="s">
        <v>325</v>
      </c>
      <c r="C37" s="169">
        <v>2018</v>
      </c>
      <c r="D37" s="211" t="s">
        <v>387</v>
      </c>
      <c r="E37" s="198" t="s">
        <v>175</v>
      </c>
      <c r="F37" s="198" t="s">
        <v>323</v>
      </c>
      <c r="G37" s="177" t="s">
        <v>36</v>
      </c>
      <c r="H37" s="169" t="s">
        <v>167</v>
      </c>
      <c r="I37" s="177" t="s">
        <v>155</v>
      </c>
      <c r="J37" s="177" t="s">
        <v>38</v>
      </c>
      <c r="K37" s="177" t="s">
        <v>156</v>
      </c>
      <c r="L37" s="169">
        <v>3</v>
      </c>
      <c r="N37" s="169">
        <v>4</v>
      </c>
      <c r="O37" s="169">
        <v>0.45</v>
      </c>
      <c r="P37" s="169">
        <v>0.2</v>
      </c>
      <c r="Q37" s="206">
        <f>IF(OR(O37="",P37=""),"",AVERAGE(O37,P37))</f>
        <v>0.32500000000000001</v>
      </c>
      <c r="R37" s="169">
        <v>14.7</v>
      </c>
      <c r="S37" s="169">
        <v>120</v>
      </c>
      <c r="T37" s="178">
        <f t="shared" si="1"/>
        <v>30</v>
      </c>
      <c r="U37" s="169">
        <v>471</v>
      </c>
      <c r="V37" s="178">
        <f t="shared" si="2"/>
        <v>3532.5</v>
      </c>
      <c r="W37" s="169">
        <v>12</v>
      </c>
      <c r="X37" s="177" t="s">
        <v>46</v>
      </c>
      <c r="Y37" s="177" t="s">
        <v>55</v>
      </c>
      <c r="Z37" s="177" t="s">
        <v>69</v>
      </c>
      <c r="AA37" s="177" t="s">
        <v>47</v>
      </c>
      <c r="AB37" s="177" t="s">
        <v>327</v>
      </c>
    </row>
    <row r="38" spans="1:28" x14ac:dyDescent="0.15">
      <c r="A38" s="177" t="s">
        <v>34</v>
      </c>
      <c r="B38" s="169" t="s">
        <v>325</v>
      </c>
      <c r="C38" s="169">
        <v>2018</v>
      </c>
      <c r="D38" s="211" t="s">
        <v>387</v>
      </c>
      <c r="E38" s="198" t="s">
        <v>274</v>
      </c>
      <c r="F38" s="198" t="s">
        <v>308</v>
      </c>
      <c r="G38" s="177" t="s">
        <v>36</v>
      </c>
      <c r="H38" s="169" t="s">
        <v>157</v>
      </c>
      <c r="I38" s="177" t="s">
        <v>155</v>
      </c>
      <c r="J38" s="177" t="s">
        <v>38</v>
      </c>
      <c r="K38" s="177" t="s">
        <v>156</v>
      </c>
      <c r="L38" s="177">
        <v>1</v>
      </c>
      <c r="N38" s="169">
        <v>1</v>
      </c>
      <c r="O38" s="169">
        <v>0.8</v>
      </c>
      <c r="P38" s="169">
        <v>0.95</v>
      </c>
      <c r="Q38" s="206">
        <f t="shared" ref="Q38:Q39" si="4">IF(OR(O38="",P38=""),"",AVERAGE(O38,P38))</f>
        <v>0.875</v>
      </c>
      <c r="R38" s="169">
        <v>14.6</v>
      </c>
      <c r="S38" s="169">
        <v>137</v>
      </c>
      <c r="T38" s="178">
        <f t="shared" si="1"/>
        <v>30</v>
      </c>
      <c r="U38" s="169">
        <v>105</v>
      </c>
      <c r="V38" s="178">
        <f t="shared" si="2"/>
        <v>3150</v>
      </c>
      <c r="W38" s="169">
        <v>2</v>
      </c>
      <c r="X38" s="177" t="s">
        <v>46</v>
      </c>
      <c r="Y38" s="177" t="s">
        <v>97</v>
      </c>
      <c r="Z38" s="177" t="s">
        <v>69</v>
      </c>
      <c r="AA38" s="177" t="s">
        <v>55</v>
      </c>
      <c r="AB38" s="177" t="s">
        <v>327</v>
      </c>
    </row>
    <row r="39" spans="1:28" x14ac:dyDescent="0.15">
      <c r="A39" s="177" t="s">
        <v>34</v>
      </c>
      <c r="B39" s="169" t="s">
        <v>325</v>
      </c>
      <c r="C39" s="169">
        <v>2018</v>
      </c>
      <c r="D39" s="211" t="s">
        <v>387</v>
      </c>
      <c r="E39" s="198" t="s">
        <v>274</v>
      </c>
      <c r="F39" s="198" t="s">
        <v>308</v>
      </c>
      <c r="G39" s="177" t="s">
        <v>36</v>
      </c>
      <c r="H39" s="169" t="s">
        <v>157</v>
      </c>
      <c r="I39" s="177" t="s">
        <v>155</v>
      </c>
      <c r="J39" s="177" t="s">
        <v>38</v>
      </c>
      <c r="K39" s="177" t="s">
        <v>156</v>
      </c>
      <c r="L39" s="169">
        <v>2</v>
      </c>
      <c r="N39" s="169">
        <v>1</v>
      </c>
      <c r="O39" s="169">
        <v>0.65</v>
      </c>
      <c r="P39" s="169">
        <v>0.7</v>
      </c>
      <c r="Q39" s="206">
        <f t="shared" si="4"/>
        <v>0.67500000000000004</v>
      </c>
      <c r="R39" s="169">
        <v>14.5</v>
      </c>
      <c r="S39" s="169">
        <v>136</v>
      </c>
      <c r="T39" s="178">
        <f t="shared" si="1"/>
        <v>30</v>
      </c>
      <c r="U39" s="169">
        <v>105</v>
      </c>
      <c r="V39" s="178">
        <f t="shared" si="2"/>
        <v>3150</v>
      </c>
      <c r="W39" s="169">
        <v>2</v>
      </c>
      <c r="X39" s="177" t="s">
        <v>46</v>
      </c>
      <c r="Y39" s="177" t="s">
        <v>97</v>
      </c>
      <c r="Z39" s="177" t="s">
        <v>69</v>
      </c>
      <c r="AA39" s="177" t="s">
        <v>55</v>
      </c>
      <c r="AB39" s="177" t="s">
        <v>327</v>
      </c>
    </row>
    <row r="40" spans="1:28" x14ac:dyDescent="0.15">
      <c r="A40" s="177" t="s">
        <v>34</v>
      </c>
      <c r="B40" s="169" t="s">
        <v>325</v>
      </c>
      <c r="C40" s="169">
        <v>2018</v>
      </c>
      <c r="D40" s="211" t="s">
        <v>387</v>
      </c>
      <c r="E40" s="198" t="s">
        <v>274</v>
      </c>
      <c r="F40" s="198" t="s">
        <v>308</v>
      </c>
      <c r="G40" s="177" t="s">
        <v>36</v>
      </c>
      <c r="H40" s="169" t="s">
        <v>157</v>
      </c>
      <c r="I40" s="177" t="s">
        <v>155</v>
      </c>
      <c r="J40" s="177" t="s">
        <v>38</v>
      </c>
      <c r="K40" s="177" t="s">
        <v>156</v>
      </c>
      <c r="L40" s="169">
        <v>3</v>
      </c>
      <c r="N40" s="169">
        <v>1</v>
      </c>
      <c r="O40" s="169">
        <v>0.75</v>
      </c>
      <c r="P40" s="169">
        <v>0.8</v>
      </c>
      <c r="Q40" s="206">
        <f>IF(OR(O40="",P40=""),"",AVERAGE(O40,P40))</f>
        <v>0.77500000000000002</v>
      </c>
      <c r="R40" s="169">
        <v>13.9</v>
      </c>
      <c r="S40" s="169">
        <v>148</v>
      </c>
      <c r="T40" s="178">
        <f t="shared" si="1"/>
        <v>30</v>
      </c>
      <c r="U40" s="169">
        <v>105</v>
      </c>
      <c r="V40" s="178">
        <f t="shared" si="2"/>
        <v>3150</v>
      </c>
      <c r="W40" s="169">
        <v>2</v>
      </c>
      <c r="X40" s="177" t="s">
        <v>46</v>
      </c>
      <c r="Y40" s="177" t="s">
        <v>97</v>
      </c>
      <c r="Z40" s="177" t="s">
        <v>69</v>
      </c>
      <c r="AA40" s="177" t="s">
        <v>55</v>
      </c>
      <c r="AB40" s="177" t="s">
        <v>327</v>
      </c>
    </row>
    <row r="41" spans="1:28" x14ac:dyDescent="0.15">
      <c r="A41" s="177" t="s">
        <v>34</v>
      </c>
      <c r="B41" s="169" t="s">
        <v>325</v>
      </c>
      <c r="C41" s="169">
        <v>2018</v>
      </c>
      <c r="D41" s="211" t="s">
        <v>387</v>
      </c>
      <c r="E41" s="198" t="s">
        <v>274</v>
      </c>
      <c r="F41" s="198" t="s">
        <v>308</v>
      </c>
      <c r="G41" s="177" t="s">
        <v>36</v>
      </c>
      <c r="H41" s="169" t="s">
        <v>167</v>
      </c>
      <c r="I41" s="177" t="s">
        <v>155</v>
      </c>
      <c r="J41" s="177" t="s">
        <v>38</v>
      </c>
      <c r="K41" s="177" t="s">
        <v>156</v>
      </c>
      <c r="L41" s="177">
        <v>1</v>
      </c>
      <c r="N41" s="169">
        <v>1</v>
      </c>
      <c r="O41" s="169">
        <v>0.95</v>
      </c>
      <c r="P41" s="169">
        <v>1</v>
      </c>
      <c r="Q41" s="206">
        <f t="shared" si="0"/>
        <v>0.97499999999999998</v>
      </c>
      <c r="R41" s="169">
        <v>14.6</v>
      </c>
      <c r="S41" s="169">
        <v>138</v>
      </c>
      <c r="T41" s="178">
        <f t="shared" si="1"/>
        <v>30</v>
      </c>
      <c r="U41" s="169">
        <v>105</v>
      </c>
      <c r="V41" s="178">
        <f t="shared" si="2"/>
        <v>3150</v>
      </c>
      <c r="W41" s="169">
        <v>9</v>
      </c>
      <c r="X41" s="177" t="s">
        <v>46</v>
      </c>
      <c r="Y41" s="177" t="s">
        <v>97</v>
      </c>
      <c r="Z41" s="177" t="s">
        <v>69</v>
      </c>
      <c r="AA41" s="177" t="s">
        <v>55</v>
      </c>
      <c r="AB41" s="177" t="s">
        <v>327</v>
      </c>
    </row>
    <row r="42" spans="1:28" x14ac:dyDescent="0.15">
      <c r="A42" s="177" t="s">
        <v>34</v>
      </c>
      <c r="B42" s="169" t="s">
        <v>325</v>
      </c>
      <c r="C42" s="169">
        <v>2018</v>
      </c>
      <c r="D42" s="211" t="s">
        <v>387</v>
      </c>
      <c r="E42" s="198" t="s">
        <v>274</v>
      </c>
      <c r="F42" s="198" t="s">
        <v>308</v>
      </c>
      <c r="G42" s="177" t="s">
        <v>36</v>
      </c>
      <c r="H42" s="169" t="s">
        <v>167</v>
      </c>
      <c r="I42" s="177" t="s">
        <v>155</v>
      </c>
      <c r="J42" s="177" t="s">
        <v>38</v>
      </c>
      <c r="K42" s="177" t="s">
        <v>156</v>
      </c>
      <c r="L42" s="169">
        <v>2</v>
      </c>
      <c r="N42" s="169">
        <v>1</v>
      </c>
      <c r="O42" s="169">
        <v>0.45</v>
      </c>
      <c r="P42" s="169">
        <v>0.5</v>
      </c>
      <c r="Q42" s="206">
        <f t="shared" si="0"/>
        <v>0.47499999999999998</v>
      </c>
      <c r="R42" s="169">
        <v>18.399999999999999</v>
      </c>
      <c r="S42" s="169">
        <v>142</v>
      </c>
      <c r="T42" s="178">
        <f t="shared" si="1"/>
        <v>30</v>
      </c>
      <c r="U42" s="169">
        <v>105</v>
      </c>
      <c r="V42" s="178">
        <f t="shared" si="2"/>
        <v>3150</v>
      </c>
      <c r="W42" s="169">
        <v>9</v>
      </c>
      <c r="X42" s="177" t="s">
        <v>46</v>
      </c>
      <c r="Y42" s="177" t="s">
        <v>97</v>
      </c>
      <c r="Z42" s="177" t="s">
        <v>69</v>
      </c>
      <c r="AA42" s="177" t="s">
        <v>55</v>
      </c>
      <c r="AB42" s="177" t="s">
        <v>327</v>
      </c>
    </row>
    <row r="43" spans="1:28" x14ac:dyDescent="0.15">
      <c r="A43" s="177" t="s">
        <v>34</v>
      </c>
      <c r="B43" s="169" t="s">
        <v>325</v>
      </c>
      <c r="C43" s="169">
        <v>2018</v>
      </c>
      <c r="D43" s="211" t="s">
        <v>387</v>
      </c>
      <c r="E43" s="198" t="s">
        <v>274</v>
      </c>
      <c r="F43" s="198" t="s">
        <v>308</v>
      </c>
      <c r="G43" s="177" t="s">
        <v>36</v>
      </c>
      <c r="H43" s="169" t="s">
        <v>167</v>
      </c>
      <c r="I43" s="177" t="s">
        <v>155</v>
      </c>
      <c r="J43" s="177" t="s">
        <v>38</v>
      </c>
      <c r="K43" s="177" t="s">
        <v>156</v>
      </c>
      <c r="L43" s="169">
        <v>3</v>
      </c>
      <c r="N43" s="169">
        <v>1</v>
      </c>
      <c r="O43" s="169">
        <v>0.6</v>
      </c>
      <c r="P43" s="169">
        <v>0.55000000000000004</v>
      </c>
      <c r="Q43" s="206">
        <f t="shared" si="0"/>
        <v>0.57499999999999996</v>
      </c>
      <c r="R43" s="169">
        <v>15.2</v>
      </c>
      <c r="S43" s="169">
        <v>146</v>
      </c>
      <c r="T43" s="178">
        <f t="shared" si="1"/>
        <v>30</v>
      </c>
      <c r="U43" s="169">
        <v>105</v>
      </c>
      <c r="V43" s="178">
        <f t="shared" si="2"/>
        <v>3150</v>
      </c>
      <c r="W43" s="169">
        <v>9</v>
      </c>
      <c r="X43" s="177" t="s">
        <v>46</v>
      </c>
      <c r="Y43" s="177" t="s">
        <v>97</v>
      </c>
      <c r="Z43" s="177" t="s">
        <v>69</v>
      </c>
      <c r="AA43" s="177" t="s">
        <v>55</v>
      </c>
      <c r="AB43" s="177" t="s">
        <v>327</v>
      </c>
    </row>
    <row r="44" spans="1:28" x14ac:dyDescent="0.15">
      <c r="A44" s="177" t="s">
        <v>34</v>
      </c>
      <c r="B44" s="169" t="s">
        <v>325</v>
      </c>
      <c r="C44" s="169">
        <v>2018</v>
      </c>
      <c r="D44" s="211" t="s">
        <v>387</v>
      </c>
      <c r="E44" s="198" t="s">
        <v>309</v>
      </c>
      <c r="F44" s="198" t="s">
        <v>310</v>
      </c>
      <c r="G44" s="177" t="s">
        <v>36</v>
      </c>
      <c r="H44" s="169" t="s">
        <v>221</v>
      </c>
      <c r="I44" s="177" t="s">
        <v>155</v>
      </c>
      <c r="J44" s="177" t="s">
        <v>38</v>
      </c>
      <c r="K44" s="177" t="s">
        <v>156</v>
      </c>
      <c r="L44" s="177">
        <v>1</v>
      </c>
      <c r="N44" s="169">
        <v>1</v>
      </c>
      <c r="O44" s="169">
        <v>0.45</v>
      </c>
      <c r="P44" s="169">
        <v>0.45</v>
      </c>
      <c r="Q44" s="206">
        <f t="shared" si="0"/>
        <v>0.45</v>
      </c>
      <c r="R44" s="169">
        <v>15</v>
      </c>
      <c r="S44" s="169">
        <v>124</v>
      </c>
      <c r="T44" s="178">
        <f t="shared" si="1"/>
        <v>30</v>
      </c>
      <c r="U44" s="169">
        <v>138</v>
      </c>
      <c r="V44" s="178">
        <f t="shared" si="2"/>
        <v>4140</v>
      </c>
      <c r="W44" s="169">
        <v>3</v>
      </c>
      <c r="X44" s="177" t="s">
        <v>46</v>
      </c>
      <c r="Y44" s="177" t="s">
        <v>69</v>
      </c>
      <c r="Z44" s="177" t="s">
        <v>55</v>
      </c>
      <c r="AA44" s="177" t="s">
        <v>97</v>
      </c>
      <c r="AB44" s="177" t="s">
        <v>327</v>
      </c>
    </row>
    <row r="45" spans="1:28" x14ac:dyDescent="0.15">
      <c r="A45" s="177" t="s">
        <v>34</v>
      </c>
      <c r="B45" s="169" t="s">
        <v>325</v>
      </c>
      <c r="C45" s="169">
        <v>2018</v>
      </c>
      <c r="D45" s="211" t="s">
        <v>387</v>
      </c>
      <c r="E45" s="198" t="s">
        <v>309</v>
      </c>
      <c r="F45" s="198" t="s">
        <v>310</v>
      </c>
      <c r="G45" s="177" t="s">
        <v>36</v>
      </c>
      <c r="H45" s="169" t="s">
        <v>221</v>
      </c>
      <c r="I45" s="177" t="s">
        <v>155</v>
      </c>
      <c r="J45" s="177" t="s">
        <v>38</v>
      </c>
      <c r="K45" s="177" t="s">
        <v>156</v>
      </c>
      <c r="L45" s="169">
        <v>2</v>
      </c>
      <c r="N45" s="169">
        <v>1</v>
      </c>
      <c r="O45" s="169">
        <v>0.45</v>
      </c>
      <c r="P45" s="169">
        <v>0.45</v>
      </c>
      <c r="Q45" s="206">
        <f t="shared" si="0"/>
        <v>0.45</v>
      </c>
      <c r="R45" s="169">
        <v>14.6</v>
      </c>
      <c r="S45" s="169">
        <v>118</v>
      </c>
      <c r="T45" s="178">
        <f t="shared" si="1"/>
        <v>30</v>
      </c>
      <c r="U45" s="169">
        <v>138</v>
      </c>
      <c r="V45" s="178">
        <f t="shared" si="2"/>
        <v>4140</v>
      </c>
      <c r="W45" s="169">
        <v>3</v>
      </c>
      <c r="X45" s="177" t="s">
        <v>46</v>
      </c>
      <c r="Y45" s="177" t="s">
        <v>69</v>
      </c>
      <c r="Z45" s="177" t="s">
        <v>55</v>
      </c>
      <c r="AA45" s="177" t="s">
        <v>97</v>
      </c>
      <c r="AB45" s="177" t="s">
        <v>327</v>
      </c>
    </row>
    <row r="46" spans="1:28" x14ac:dyDescent="0.15">
      <c r="A46" s="177" t="s">
        <v>34</v>
      </c>
      <c r="B46" s="169" t="s">
        <v>325</v>
      </c>
      <c r="C46" s="169">
        <v>2018</v>
      </c>
      <c r="D46" s="211" t="s">
        <v>387</v>
      </c>
      <c r="E46" s="198" t="s">
        <v>309</v>
      </c>
      <c r="F46" s="198" t="s">
        <v>310</v>
      </c>
      <c r="G46" s="177" t="s">
        <v>36</v>
      </c>
      <c r="H46" s="169" t="s">
        <v>221</v>
      </c>
      <c r="I46" s="177" t="s">
        <v>155</v>
      </c>
      <c r="J46" s="177" t="s">
        <v>38</v>
      </c>
      <c r="K46" s="177" t="s">
        <v>156</v>
      </c>
      <c r="L46" s="169">
        <v>3</v>
      </c>
      <c r="N46" s="169">
        <v>1</v>
      </c>
      <c r="O46" s="169">
        <v>0.45</v>
      </c>
      <c r="P46" s="169">
        <v>0.45</v>
      </c>
      <c r="Q46" s="206">
        <f t="shared" si="0"/>
        <v>0.45</v>
      </c>
      <c r="R46" s="169">
        <v>14</v>
      </c>
      <c r="S46" s="169">
        <v>120</v>
      </c>
      <c r="T46" s="178">
        <f t="shared" si="1"/>
        <v>30</v>
      </c>
      <c r="U46" s="169">
        <v>138</v>
      </c>
      <c r="V46" s="178">
        <f t="shared" si="2"/>
        <v>4140</v>
      </c>
      <c r="W46" s="169">
        <v>3</v>
      </c>
      <c r="X46" s="177" t="s">
        <v>46</v>
      </c>
      <c r="Y46" s="177" t="s">
        <v>69</v>
      </c>
      <c r="Z46" s="177" t="s">
        <v>55</v>
      </c>
      <c r="AA46" s="177" t="s">
        <v>97</v>
      </c>
      <c r="AB46" s="177" t="s">
        <v>327</v>
      </c>
    </row>
    <row r="47" spans="1:28" x14ac:dyDescent="0.15">
      <c r="A47" s="177" t="s">
        <v>34</v>
      </c>
      <c r="B47" s="169" t="s">
        <v>325</v>
      </c>
      <c r="C47" s="169">
        <v>2018</v>
      </c>
      <c r="D47" s="211" t="s">
        <v>387</v>
      </c>
      <c r="E47" s="198" t="s">
        <v>309</v>
      </c>
      <c r="F47" s="198" t="s">
        <v>310</v>
      </c>
      <c r="G47" s="177" t="s">
        <v>36</v>
      </c>
      <c r="H47" s="169" t="s">
        <v>221</v>
      </c>
      <c r="I47" s="177" t="s">
        <v>155</v>
      </c>
      <c r="J47" s="177" t="s">
        <v>38</v>
      </c>
      <c r="K47" s="177" t="s">
        <v>156</v>
      </c>
      <c r="L47" s="177">
        <v>1</v>
      </c>
      <c r="N47" s="169">
        <v>6</v>
      </c>
      <c r="O47" s="169">
        <v>0.45</v>
      </c>
      <c r="P47" s="169">
        <v>0.5</v>
      </c>
      <c r="Q47" s="206">
        <f t="shared" si="0"/>
        <v>0.47499999999999998</v>
      </c>
      <c r="R47" s="169">
        <v>15.5</v>
      </c>
      <c r="S47" s="169">
        <v>90</v>
      </c>
      <c r="T47" s="178">
        <f t="shared" si="1"/>
        <v>36</v>
      </c>
      <c r="U47" s="169">
        <v>430</v>
      </c>
      <c r="V47" s="178">
        <f t="shared" si="2"/>
        <v>2580</v>
      </c>
      <c r="W47" s="169">
        <v>3</v>
      </c>
      <c r="X47" s="177" t="s">
        <v>46</v>
      </c>
      <c r="Y47" s="177" t="s">
        <v>69</v>
      </c>
      <c r="Z47" s="177" t="s">
        <v>55</v>
      </c>
      <c r="AA47" s="177" t="s">
        <v>97</v>
      </c>
      <c r="AB47" s="177" t="s">
        <v>327</v>
      </c>
    </row>
    <row r="48" spans="1:28" x14ac:dyDescent="0.15">
      <c r="A48" s="177" t="s">
        <v>34</v>
      </c>
      <c r="B48" s="169" t="s">
        <v>325</v>
      </c>
      <c r="C48" s="169">
        <v>2018</v>
      </c>
      <c r="D48" s="211" t="s">
        <v>387</v>
      </c>
      <c r="E48" s="198" t="s">
        <v>309</v>
      </c>
      <c r="F48" s="198" t="s">
        <v>310</v>
      </c>
      <c r="G48" s="177" t="s">
        <v>36</v>
      </c>
      <c r="H48" s="169" t="s">
        <v>221</v>
      </c>
      <c r="I48" s="177" t="s">
        <v>155</v>
      </c>
      <c r="J48" s="177" t="s">
        <v>38</v>
      </c>
      <c r="K48" s="177" t="s">
        <v>156</v>
      </c>
      <c r="L48" s="169">
        <v>2</v>
      </c>
      <c r="N48" s="169">
        <v>6</v>
      </c>
      <c r="O48" s="169">
        <v>0.2</v>
      </c>
      <c r="P48" s="169">
        <v>0.2</v>
      </c>
      <c r="Q48" s="206">
        <f t="shared" si="0"/>
        <v>0.2</v>
      </c>
      <c r="R48" s="169">
        <v>15.4</v>
      </c>
      <c r="S48" s="169">
        <v>89</v>
      </c>
      <c r="T48" s="178">
        <f t="shared" si="1"/>
        <v>36</v>
      </c>
      <c r="U48" s="169">
        <v>430</v>
      </c>
      <c r="V48" s="178">
        <f t="shared" si="2"/>
        <v>2580</v>
      </c>
      <c r="W48" s="169">
        <v>3</v>
      </c>
      <c r="X48" s="177" t="s">
        <v>46</v>
      </c>
      <c r="Y48" s="177" t="s">
        <v>69</v>
      </c>
      <c r="Z48" s="177" t="s">
        <v>55</v>
      </c>
      <c r="AA48" s="177" t="s">
        <v>97</v>
      </c>
      <c r="AB48" s="177" t="s">
        <v>327</v>
      </c>
    </row>
    <row r="49" spans="1:28" x14ac:dyDescent="0.15">
      <c r="A49" s="177" t="s">
        <v>34</v>
      </c>
      <c r="B49" s="169" t="s">
        <v>325</v>
      </c>
      <c r="C49" s="169">
        <v>2018</v>
      </c>
      <c r="D49" s="211" t="s">
        <v>387</v>
      </c>
      <c r="E49" s="198" t="s">
        <v>309</v>
      </c>
      <c r="F49" s="198" t="s">
        <v>310</v>
      </c>
      <c r="G49" s="177" t="s">
        <v>36</v>
      </c>
      <c r="H49" s="169" t="s">
        <v>221</v>
      </c>
      <c r="I49" s="177" t="s">
        <v>155</v>
      </c>
      <c r="J49" s="177" t="s">
        <v>38</v>
      </c>
      <c r="K49" s="177" t="s">
        <v>156</v>
      </c>
      <c r="L49" s="169">
        <v>3</v>
      </c>
      <c r="N49" s="169">
        <v>6</v>
      </c>
      <c r="O49" s="169">
        <v>0.55000000000000004</v>
      </c>
      <c r="P49" s="169">
        <v>0.55000000000000004</v>
      </c>
      <c r="Q49" s="206">
        <f t="shared" si="0"/>
        <v>0.55000000000000004</v>
      </c>
      <c r="R49" s="169">
        <v>14.6</v>
      </c>
      <c r="S49" s="169">
        <v>92</v>
      </c>
      <c r="T49" s="178">
        <f t="shared" si="1"/>
        <v>36</v>
      </c>
      <c r="U49" s="169">
        <v>430</v>
      </c>
      <c r="V49" s="178">
        <f t="shared" si="2"/>
        <v>2580</v>
      </c>
      <c r="W49" s="169">
        <v>3</v>
      </c>
      <c r="X49" s="177" t="s">
        <v>46</v>
      </c>
      <c r="Y49" s="177" t="s">
        <v>69</v>
      </c>
      <c r="Z49" s="177" t="s">
        <v>55</v>
      </c>
      <c r="AA49" s="177" t="s">
        <v>97</v>
      </c>
      <c r="AB49" s="177" t="s">
        <v>327</v>
      </c>
    </row>
    <row r="50" spans="1:28" x14ac:dyDescent="0.15">
      <c r="A50" s="177" t="s">
        <v>34</v>
      </c>
      <c r="B50" s="169" t="s">
        <v>325</v>
      </c>
      <c r="C50" s="169">
        <v>2018</v>
      </c>
      <c r="D50" s="211" t="s">
        <v>387</v>
      </c>
      <c r="E50" s="198" t="s">
        <v>309</v>
      </c>
      <c r="F50" s="198" t="s">
        <v>310</v>
      </c>
      <c r="G50" s="177" t="s">
        <v>36</v>
      </c>
      <c r="H50" s="169" t="s">
        <v>167</v>
      </c>
      <c r="I50" s="177" t="s">
        <v>155</v>
      </c>
      <c r="J50" s="177" t="s">
        <v>38</v>
      </c>
      <c r="K50" s="177" t="s">
        <v>156</v>
      </c>
      <c r="L50" s="177">
        <v>1</v>
      </c>
      <c r="N50" s="169">
        <v>1</v>
      </c>
      <c r="O50" s="169">
        <v>0.45</v>
      </c>
      <c r="P50" s="169">
        <v>0.55000000000000004</v>
      </c>
      <c r="Q50" s="206">
        <f t="shared" si="0"/>
        <v>0.5</v>
      </c>
      <c r="R50" s="169">
        <v>15.4</v>
      </c>
      <c r="S50" s="169">
        <v>148</v>
      </c>
      <c r="T50" s="178">
        <f t="shared" si="1"/>
        <v>30</v>
      </c>
      <c r="U50" s="169">
        <v>171</v>
      </c>
      <c r="V50" s="178">
        <f t="shared" si="2"/>
        <v>5130</v>
      </c>
      <c r="W50" s="169">
        <v>6</v>
      </c>
      <c r="X50" s="177" t="s">
        <v>46</v>
      </c>
      <c r="Y50" s="177" t="s">
        <v>69</v>
      </c>
      <c r="Z50" s="177" t="s">
        <v>55</v>
      </c>
      <c r="AA50" s="177" t="s">
        <v>97</v>
      </c>
      <c r="AB50" s="177" t="s">
        <v>327</v>
      </c>
    </row>
    <row r="51" spans="1:28" x14ac:dyDescent="0.15">
      <c r="A51" s="177" t="s">
        <v>34</v>
      </c>
      <c r="B51" s="169" t="s">
        <v>325</v>
      </c>
      <c r="C51" s="169">
        <v>2018</v>
      </c>
      <c r="D51" s="211" t="s">
        <v>387</v>
      </c>
      <c r="E51" s="198" t="s">
        <v>309</v>
      </c>
      <c r="F51" s="198" t="s">
        <v>310</v>
      </c>
      <c r="G51" s="177" t="s">
        <v>36</v>
      </c>
      <c r="H51" s="169" t="s">
        <v>167</v>
      </c>
      <c r="I51" s="177" t="s">
        <v>155</v>
      </c>
      <c r="J51" s="177" t="s">
        <v>38</v>
      </c>
      <c r="K51" s="177" t="s">
        <v>156</v>
      </c>
      <c r="L51" s="169">
        <v>2</v>
      </c>
      <c r="N51" s="169">
        <v>1</v>
      </c>
      <c r="O51" s="169">
        <v>0.6</v>
      </c>
      <c r="P51" s="169">
        <v>0.6</v>
      </c>
      <c r="Q51" s="206">
        <f t="shared" si="0"/>
        <v>0.6</v>
      </c>
      <c r="R51" s="169">
        <v>16.8</v>
      </c>
      <c r="S51" s="169">
        <v>144</v>
      </c>
      <c r="T51" s="178">
        <f t="shared" si="1"/>
        <v>30</v>
      </c>
      <c r="U51" s="169">
        <v>171</v>
      </c>
      <c r="V51" s="178">
        <f t="shared" si="2"/>
        <v>5130</v>
      </c>
      <c r="W51" s="169">
        <v>6</v>
      </c>
      <c r="X51" s="177" t="s">
        <v>46</v>
      </c>
      <c r="Y51" s="177" t="s">
        <v>69</v>
      </c>
      <c r="Z51" s="177" t="s">
        <v>55</v>
      </c>
      <c r="AA51" s="177" t="s">
        <v>97</v>
      </c>
      <c r="AB51" s="177" t="s">
        <v>327</v>
      </c>
    </row>
    <row r="52" spans="1:28" x14ac:dyDescent="0.15">
      <c r="A52" s="177" t="s">
        <v>34</v>
      </c>
      <c r="B52" s="169" t="s">
        <v>325</v>
      </c>
      <c r="C52" s="169">
        <v>2018</v>
      </c>
      <c r="D52" s="211" t="s">
        <v>387</v>
      </c>
      <c r="E52" s="198" t="s">
        <v>309</v>
      </c>
      <c r="F52" s="198" t="s">
        <v>310</v>
      </c>
      <c r="G52" s="177" t="s">
        <v>36</v>
      </c>
      <c r="H52" s="169" t="s">
        <v>167</v>
      </c>
      <c r="I52" s="177" t="s">
        <v>155</v>
      </c>
      <c r="J52" s="177" t="s">
        <v>38</v>
      </c>
      <c r="K52" s="177" t="s">
        <v>156</v>
      </c>
      <c r="L52" s="169">
        <v>3</v>
      </c>
      <c r="N52" s="169">
        <v>1</v>
      </c>
      <c r="O52" s="169">
        <v>0.45</v>
      </c>
      <c r="P52" s="169">
        <v>0.55000000000000004</v>
      </c>
      <c r="Q52" s="206">
        <f t="shared" si="0"/>
        <v>0.5</v>
      </c>
      <c r="R52" s="169">
        <v>17.399999999999999</v>
      </c>
      <c r="S52" s="169">
        <v>148</v>
      </c>
      <c r="T52" s="178">
        <f t="shared" si="1"/>
        <v>30</v>
      </c>
      <c r="U52" s="169">
        <v>171</v>
      </c>
      <c r="V52" s="178">
        <f t="shared" si="2"/>
        <v>5130</v>
      </c>
      <c r="W52" s="169">
        <v>6</v>
      </c>
      <c r="X52" s="177" t="s">
        <v>46</v>
      </c>
      <c r="Y52" s="177" t="s">
        <v>69</v>
      </c>
      <c r="Z52" s="177" t="s">
        <v>55</v>
      </c>
      <c r="AA52" s="177" t="s">
        <v>97</v>
      </c>
      <c r="AB52" s="177" t="s">
        <v>327</v>
      </c>
    </row>
    <row r="53" spans="1:28" x14ac:dyDescent="0.15">
      <c r="A53" s="177" t="s">
        <v>34</v>
      </c>
      <c r="B53" s="169" t="s">
        <v>325</v>
      </c>
      <c r="C53" s="169">
        <v>2018</v>
      </c>
      <c r="D53" s="211" t="s">
        <v>387</v>
      </c>
      <c r="E53" s="198" t="s">
        <v>309</v>
      </c>
      <c r="F53" s="198" t="s">
        <v>310</v>
      </c>
      <c r="G53" s="177" t="s">
        <v>36</v>
      </c>
      <c r="H53" s="169" t="s">
        <v>167</v>
      </c>
      <c r="I53" s="177" t="s">
        <v>155</v>
      </c>
      <c r="J53" s="177" t="s">
        <v>38</v>
      </c>
      <c r="K53" s="177" t="s">
        <v>156</v>
      </c>
      <c r="L53" s="177">
        <v>1</v>
      </c>
      <c r="N53" s="169">
        <v>3</v>
      </c>
      <c r="O53" s="169">
        <v>0.55000000000000004</v>
      </c>
      <c r="P53" s="169">
        <v>0.55000000000000004</v>
      </c>
      <c r="Q53" s="206">
        <f t="shared" si="0"/>
        <v>0.55000000000000004</v>
      </c>
      <c r="R53" s="169">
        <v>17.399999999999999</v>
      </c>
      <c r="S53" s="169">
        <v>187</v>
      </c>
      <c r="T53" s="178">
        <f t="shared" si="1"/>
        <v>16</v>
      </c>
      <c r="U53" s="169">
        <v>538</v>
      </c>
      <c r="V53" s="178">
        <f t="shared" si="2"/>
        <v>2869.3333333333335</v>
      </c>
      <c r="W53" s="169">
        <v>6</v>
      </c>
      <c r="X53" s="177" t="s">
        <v>46</v>
      </c>
      <c r="Y53" s="177" t="s">
        <v>69</v>
      </c>
      <c r="Z53" s="177" t="s">
        <v>55</v>
      </c>
      <c r="AA53" s="177" t="s">
        <v>97</v>
      </c>
      <c r="AB53" s="177" t="s">
        <v>327</v>
      </c>
    </row>
    <row r="54" spans="1:28" x14ac:dyDescent="0.15">
      <c r="A54" s="177" t="s">
        <v>34</v>
      </c>
      <c r="B54" s="169" t="s">
        <v>325</v>
      </c>
      <c r="C54" s="169">
        <v>2018</v>
      </c>
      <c r="D54" s="211" t="s">
        <v>387</v>
      </c>
      <c r="E54" s="198" t="s">
        <v>309</v>
      </c>
      <c r="F54" s="198" t="s">
        <v>310</v>
      </c>
      <c r="G54" s="177" t="s">
        <v>36</v>
      </c>
      <c r="H54" s="169" t="s">
        <v>167</v>
      </c>
      <c r="I54" s="177" t="s">
        <v>155</v>
      </c>
      <c r="J54" s="177" t="s">
        <v>38</v>
      </c>
      <c r="K54" s="177" t="s">
        <v>156</v>
      </c>
      <c r="L54" s="169">
        <v>2</v>
      </c>
      <c r="N54" s="169">
        <v>3</v>
      </c>
      <c r="O54" s="169">
        <v>0.55000000000000004</v>
      </c>
      <c r="P54" s="169">
        <v>0.55000000000000004</v>
      </c>
      <c r="Q54" s="206">
        <f t="shared" si="0"/>
        <v>0.55000000000000004</v>
      </c>
      <c r="R54" s="169">
        <v>15.3</v>
      </c>
      <c r="S54" s="169">
        <v>186</v>
      </c>
      <c r="T54" s="178">
        <f t="shared" si="1"/>
        <v>16</v>
      </c>
      <c r="U54" s="169">
        <v>538</v>
      </c>
      <c r="V54" s="178">
        <f t="shared" si="2"/>
        <v>2869.3333333333335</v>
      </c>
      <c r="W54" s="169">
        <v>6</v>
      </c>
      <c r="X54" s="177" t="s">
        <v>46</v>
      </c>
      <c r="Y54" s="177" t="s">
        <v>69</v>
      </c>
      <c r="Z54" s="177" t="s">
        <v>55</v>
      </c>
      <c r="AA54" s="177" t="s">
        <v>97</v>
      </c>
      <c r="AB54" s="177" t="s">
        <v>327</v>
      </c>
    </row>
    <row r="55" spans="1:28" x14ac:dyDescent="0.15">
      <c r="A55" s="177" t="s">
        <v>34</v>
      </c>
      <c r="B55" s="169" t="s">
        <v>325</v>
      </c>
      <c r="C55" s="169">
        <v>2018</v>
      </c>
      <c r="D55" s="211" t="s">
        <v>387</v>
      </c>
      <c r="E55" s="198" t="s">
        <v>309</v>
      </c>
      <c r="F55" s="198" t="s">
        <v>310</v>
      </c>
      <c r="G55" s="177" t="s">
        <v>36</v>
      </c>
      <c r="H55" s="169" t="s">
        <v>167</v>
      </c>
      <c r="I55" s="177" t="s">
        <v>155</v>
      </c>
      <c r="J55" s="177" t="s">
        <v>38</v>
      </c>
      <c r="K55" s="177" t="s">
        <v>156</v>
      </c>
      <c r="L55" s="169">
        <v>3</v>
      </c>
      <c r="N55" s="169">
        <v>3</v>
      </c>
      <c r="O55" s="169">
        <v>0.6</v>
      </c>
      <c r="P55" s="169">
        <v>0.65</v>
      </c>
      <c r="Q55" s="206">
        <f t="shared" si="0"/>
        <v>0.625</v>
      </c>
      <c r="R55" s="169">
        <v>14.4</v>
      </c>
      <c r="S55" s="169">
        <v>186</v>
      </c>
      <c r="T55" s="178">
        <f t="shared" si="1"/>
        <v>16</v>
      </c>
      <c r="U55" s="169">
        <v>538</v>
      </c>
      <c r="V55" s="178">
        <f t="shared" si="2"/>
        <v>2869.3333333333335</v>
      </c>
      <c r="W55" s="169">
        <v>6</v>
      </c>
      <c r="X55" s="177" t="s">
        <v>46</v>
      </c>
      <c r="Y55" s="177" t="s">
        <v>69</v>
      </c>
      <c r="Z55" s="177" t="s">
        <v>55</v>
      </c>
      <c r="AA55" s="177" t="s">
        <v>97</v>
      </c>
      <c r="AB55" s="177" t="s">
        <v>327</v>
      </c>
    </row>
    <row r="56" spans="1:28" x14ac:dyDescent="0.15">
      <c r="A56" s="177" t="s">
        <v>34</v>
      </c>
      <c r="B56" s="169" t="s">
        <v>325</v>
      </c>
      <c r="C56" s="169">
        <v>2018</v>
      </c>
      <c r="D56" s="211" t="s">
        <v>387</v>
      </c>
      <c r="E56" s="198" t="s">
        <v>309</v>
      </c>
      <c r="F56" s="198" t="s">
        <v>310</v>
      </c>
      <c r="G56" s="177" t="s">
        <v>36</v>
      </c>
      <c r="H56" s="169" t="s">
        <v>167</v>
      </c>
      <c r="I56" s="177" t="s">
        <v>155</v>
      </c>
      <c r="J56" s="177" t="s">
        <v>38</v>
      </c>
      <c r="K56" s="177" t="s">
        <v>156</v>
      </c>
      <c r="L56" s="177">
        <v>1</v>
      </c>
      <c r="N56" s="169">
        <v>4</v>
      </c>
      <c r="O56" s="169">
        <v>0.45</v>
      </c>
      <c r="P56" s="169">
        <v>0.5</v>
      </c>
      <c r="Q56" s="206">
        <f t="shared" si="0"/>
        <v>0.47499999999999998</v>
      </c>
      <c r="R56" s="169">
        <v>14.9</v>
      </c>
      <c r="S56" s="169">
        <v>133</v>
      </c>
      <c r="T56" s="178">
        <f t="shared" si="1"/>
        <v>30</v>
      </c>
      <c r="U56" s="169">
        <v>538</v>
      </c>
      <c r="V56" s="178">
        <f t="shared" si="2"/>
        <v>4035</v>
      </c>
      <c r="W56" s="169">
        <v>6</v>
      </c>
      <c r="X56" s="177" t="s">
        <v>46</v>
      </c>
      <c r="Y56" s="177" t="s">
        <v>69</v>
      </c>
      <c r="Z56" s="177" t="s">
        <v>55</v>
      </c>
      <c r="AA56" s="177" t="s">
        <v>97</v>
      </c>
      <c r="AB56" s="177" t="s">
        <v>327</v>
      </c>
    </row>
    <row r="57" spans="1:28" x14ac:dyDescent="0.15">
      <c r="A57" s="177" t="s">
        <v>34</v>
      </c>
      <c r="B57" s="169" t="s">
        <v>325</v>
      </c>
      <c r="C57" s="169">
        <v>2018</v>
      </c>
      <c r="D57" s="211" t="s">
        <v>387</v>
      </c>
      <c r="E57" s="198" t="s">
        <v>309</v>
      </c>
      <c r="F57" s="198" t="s">
        <v>310</v>
      </c>
      <c r="G57" s="177" t="s">
        <v>36</v>
      </c>
      <c r="H57" s="169" t="s">
        <v>167</v>
      </c>
      <c r="I57" s="177" t="s">
        <v>155</v>
      </c>
      <c r="J57" s="177" t="s">
        <v>38</v>
      </c>
      <c r="K57" s="177" t="s">
        <v>156</v>
      </c>
      <c r="L57" s="169">
        <v>2</v>
      </c>
      <c r="N57" s="169">
        <v>4</v>
      </c>
      <c r="O57" s="169">
        <v>0.45</v>
      </c>
      <c r="P57" s="169">
        <v>0.45</v>
      </c>
      <c r="Q57" s="206">
        <f t="shared" si="0"/>
        <v>0.45</v>
      </c>
      <c r="R57" s="169">
        <v>18.600000000000001</v>
      </c>
      <c r="S57" s="169">
        <v>134</v>
      </c>
      <c r="T57" s="178">
        <f t="shared" si="1"/>
        <v>30</v>
      </c>
      <c r="U57" s="169">
        <v>538</v>
      </c>
      <c r="V57" s="178">
        <f t="shared" si="2"/>
        <v>4035</v>
      </c>
      <c r="W57" s="169">
        <v>6</v>
      </c>
      <c r="X57" s="177" t="s">
        <v>46</v>
      </c>
      <c r="Y57" s="177" t="s">
        <v>69</v>
      </c>
      <c r="Z57" s="177" t="s">
        <v>55</v>
      </c>
      <c r="AA57" s="177" t="s">
        <v>97</v>
      </c>
      <c r="AB57" s="177" t="s">
        <v>327</v>
      </c>
    </row>
    <row r="58" spans="1:28" x14ac:dyDescent="0.15">
      <c r="A58" s="177" t="s">
        <v>34</v>
      </c>
      <c r="B58" s="169" t="s">
        <v>325</v>
      </c>
      <c r="C58" s="169">
        <v>2018</v>
      </c>
      <c r="D58" s="211" t="s">
        <v>387</v>
      </c>
      <c r="E58" s="198" t="s">
        <v>309</v>
      </c>
      <c r="F58" s="198" t="s">
        <v>310</v>
      </c>
      <c r="G58" s="177" t="s">
        <v>36</v>
      </c>
      <c r="H58" s="169" t="s">
        <v>167</v>
      </c>
      <c r="I58" s="177" t="s">
        <v>155</v>
      </c>
      <c r="J58" s="177" t="s">
        <v>38</v>
      </c>
      <c r="K58" s="177" t="s">
        <v>156</v>
      </c>
      <c r="L58" s="169">
        <v>3</v>
      </c>
      <c r="N58" s="169">
        <v>4</v>
      </c>
      <c r="O58" s="169">
        <v>0.45</v>
      </c>
      <c r="P58" s="169">
        <v>0.2</v>
      </c>
      <c r="Q58" s="206">
        <f t="shared" si="0"/>
        <v>0.32500000000000001</v>
      </c>
      <c r="R58" s="169">
        <v>14.7</v>
      </c>
      <c r="S58" s="169">
        <v>138</v>
      </c>
      <c r="T58" s="178">
        <f t="shared" si="1"/>
        <v>30</v>
      </c>
      <c r="U58" s="169">
        <v>538</v>
      </c>
      <c r="V58" s="178">
        <f t="shared" si="2"/>
        <v>4035</v>
      </c>
      <c r="W58" s="169">
        <v>6</v>
      </c>
      <c r="X58" s="177" t="s">
        <v>46</v>
      </c>
      <c r="Y58" s="177" t="s">
        <v>69</v>
      </c>
      <c r="Z58" s="177" t="s">
        <v>55</v>
      </c>
      <c r="AA58" s="177" t="s">
        <v>97</v>
      </c>
      <c r="AB58" s="177" t="s">
        <v>327</v>
      </c>
    </row>
    <row r="59" spans="1:28" x14ac:dyDescent="0.15">
      <c r="A59" s="177" t="s">
        <v>34</v>
      </c>
      <c r="B59" s="169" t="s">
        <v>325</v>
      </c>
      <c r="C59" s="169">
        <v>2018</v>
      </c>
      <c r="D59" s="211" t="s">
        <v>387</v>
      </c>
      <c r="E59" s="198" t="s">
        <v>311</v>
      </c>
      <c r="F59" s="198" t="s">
        <v>312</v>
      </c>
      <c r="G59" s="177" t="s">
        <v>36</v>
      </c>
      <c r="H59" s="169" t="s">
        <v>157</v>
      </c>
      <c r="I59" s="177" t="s">
        <v>155</v>
      </c>
      <c r="J59" s="177" t="s">
        <v>38</v>
      </c>
      <c r="K59" s="177" t="s">
        <v>156</v>
      </c>
      <c r="L59" s="177">
        <v>1</v>
      </c>
      <c r="N59" s="169">
        <v>1</v>
      </c>
      <c r="O59" s="169">
        <v>0.2</v>
      </c>
      <c r="P59" s="169">
        <v>0.2</v>
      </c>
      <c r="Q59" s="206">
        <f t="shared" si="0"/>
        <v>0.2</v>
      </c>
      <c r="R59" s="169">
        <v>14.3</v>
      </c>
      <c r="S59" s="169">
        <v>147</v>
      </c>
      <c r="T59" s="178">
        <f t="shared" si="1"/>
        <v>30</v>
      </c>
      <c r="U59" s="169">
        <v>108</v>
      </c>
      <c r="V59" s="178">
        <f t="shared" si="2"/>
        <v>3240</v>
      </c>
      <c r="W59" s="169">
        <v>4</v>
      </c>
      <c r="X59" s="177" t="s">
        <v>46</v>
      </c>
      <c r="Y59" s="177" t="s">
        <v>64</v>
      </c>
      <c r="Z59" s="177" t="s">
        <v>55</v>
      </c>
      <c r="AA59" s="177" t="s">
        <v>86</v>
      </c>
      <c r="AB59" s="177" t="s">
        <v>327</v>
      </c>
    </row>
    <row r="60" spans="1:28" x14ac:dyDescent="0.15">
      <c r="A60" s="177" t="s">
        <v>34</v>
      </c>
      <c r="B60" s="169" t="s">
        <v>325</v>
      </c>
      <c r="C60" s="169">
        <v>2018</v>
      </c>
      <c r="D60" s="211" t="s">
        <v>387</v>
      </c>
      <c r="E60" s="198" t="s">
        <v>311</v>
      </c>
      <c r="F60" s="198" t="s">
        <v>312</v>
      </c>
      <c r="G60" s="177" t="s">
        <v>36</v>
      </c>
      <c r="H60" s="169" t="s">
        <v>157</v>
      </c>
      <c r="I60" s="177" t="s">
        <v>155</v>
      </c>
      <c r="J60" s="177" t="s">
        <v>38</v>
      </c>
      <c r="K60" s="177" t="s">
        <v>156</v>
      </c>
      <c r="L60" s="169">
        <v>2</v>
      </c>
      <c r="N60" s="169">
        <v>1</v>
      </c>
      <c r="O60" s="169">
        <v>0.2</v>
      </c>
      <c r="P60" s="169">
        <v>0.2</v>
      </c>
      <c r="Q60" s="206">
        <f t="shared" si="0"/>
        <v>0.2</v>
      </c>
      <c r="R60" s="169">
        <v>13.8</v>
      </c>
      <c r="S60" s="169">
        <v>143</v>
      </c>
      <c r="T60" s="178">
        <f t="shared" si="1"/>
        <v>30</v>
      </c>
      <c r="U60" s="169">
        <v>108</v>
      </c>
      <c r="V60" s="178">
        <f t="shared" si="2"/>
        <v>3240</v>
      </c>
      <c r="W60" s="169">
        <v>4</v>
      </c>
      <c r="X60" s="177" t="s">
        <v>46</v>
      </c>
      <c r="Y60" s="177" t="s">
        <v>64</v>
      </c>
      <c r="Z60" s="177" t="s">
        <v>55</v>
      </c>
      <c r="AA60" s="177" t="s">
        <v>86</v>
      </c>
      <c r="AB60" s="177" t="s">
        <v>327</v>
      </c>
    </row>
    <row r="61" spans="1:28" x14ac:dyDescent="0.15">
      <c r="A61" s="177" t="s">
        <v>34</v>
      </c>
      <c r="B61" s="169" t="s">
        <v>325</v>
      </c>
      <c r="C61" s="169">
        <v>2018</v>
      </c>
      <c r="D61" s="211" t="s">
        <v>387</v>
      </c>
      <c r="E61" s="198" t="s">
        <v>311</v>
      </c>
      <c r="F61" s="198" t="s">
        <v>312</v>
      </c>
      <c r="G61" s="177" t="s">
        <v>36</v>
      </c>
      <c r="H61" s="169" t="s">
        <v>157</v>
      </c>
      <c r="I61" s="177" t="s">
        <v>155</v>
      </c>
      <c r="J61" s="177" t="s">
        <v>38</v>
      </c>
      <c r="K61" s="177" t="s">
        <v>156</v>
      </c>
      <c r="L61" s="169">
        <v>3</v>
      </c>
      <c r="N61" s="169">
        <v>1</v>
      </c>
      <c r="O61" s="169">
        <v>0.2</v>
      </c>
      <c r="P61" s="169">
        <v>0.55000000000000004</v>
      </c>
      <c r="Q61" s="206">
        <f t="shared" si="0"/>
        <v>0.375</v>
      </c>
      <c r="R61" s="169">
        <v>14.9</v>
      </c>
      <c r="S61" s="169">
        <v>140</v>
      </c>
      <c r="T61" s="178">
        <f t="shared" si="1"/>
        <v>30</v>
      </c>
      <c r="U61" s="169">
        <v>108</v>
      </c>
      <c r="V61" s="178">
        <f t="shared" si="2"/>
        <v>3240</v>
      </c>
      <c r="W61" s="169">
        <v>4</v>
      </c>
      <c r="X61" s="177" t="s">
        <v>46</v>
      </c>
      <c r="Y61" s="177" t="s">
        <v>64</v>
      </c>
      <c r="Z61" s="177" t="s">
        <v>55</v>
      </c>
      <c r="AA61" s="177" t="s">
        <v>86</v>
      </c>
      <c r="AB61" s="177" t="s">
        <v>327</v>
      </c>
    </row>
    <row r="62" spans="1:28" x14ac:dyDescent="0.15">
      <c r="A62" s="177" t="s">
        <v>34</v>
      </c>
      <c r="B62" s="169" t="s">
        <v>325</v>
      </c>
      <c r="C62" s="169">
        <v>2018</v>
      </c>
      <c r="D62" s="211" t="s">
        <v>387</v>
      </c>
      <c r="E62" s="198" t="s">
        <v>311</v>
      </c>
      <c r="F62" s="198" t="s">
        <v>312</v>
      </c>
      <c r="G62" s="177" t="s">
        <v>36</v>
      </c>
      <c r="H62" s="169" t="s">
        <v>157</v>
      </c>
      <c r="I62" s="177" t="s">
        <v>155</v>
      </c>
      <c r="J62" s="177" t="s">
        <v>38</v>
      </c>
      <c r="K62" s="177" t="s">
        <v>156</v>
      </c>
      <c r="L62" s="177">
        <v>1</v>
      </c>
      <c r="N62" s="169">
        <v>4</v>
      </c>
      <c r="O62" s="169">
        <v>0.2</v>
      </c>
      <c r="P62" s="169">
        <v>0.2</v>
      </c>
      <c r="Q62" s="206">
        <f t="shared" si="0"/>
        <v>0.2</v>
      </c>
      <c r="R62" s="169">
        <v>13.8</v>
      </c>
      <c r="S62" s="169">
        <v>102</v>
      </c>
      <c r="T62" s="178">
        <f t="shared" si="1"/>
        <v>33</v>
      </c>
      <c r="U62" s="169">
        <v>321</v>
      </c>
      <c r="V62" s="178">
        <f t="shared" si="2"/>
        <v>2648.25</v>
      </c>
      <c r="W62" s="169">
        <v>4</v>
      </c>
      <c r="X62" s="177" t="s">
        <v>46</v>
      </c>
      <c r="Y62" s="177" t="s">
        <v>64</v>
      </c>
      <c r="Z62" s="177" t="s">
        <v>55</v>
      </c>
      <c r="AA62" s="177" t="s">
        <v>86</v>
      </c>
      <c r="AB62" s="177" t="s">
        <v>327</v>
      </c>
    </row>
    <row r="63" spans="1:28" x14ac:dyDescent="0.15">
      <c r="A63" s="177" t="s">
        <v>34</v>
      </c>
      <c r="B63" s="169" t="s">
        <v>325</v>
      </c>
      <c r="C63" s="169">
        <v>2018</v>
      </c>
      <c r="D63" s="211" t="s">
        <v>387</v>
      </c>
      <c r="E63" s="198" t="s">
        <v>311</v>
      </c>
      <c r="F63" s="198" t="s">
        <v>312</v>
      </c>
      <c r="G63" s="177" t="s">
        <v>36</v>
      </c>
      <c r="H63" s="169" t="s">
        <v>157</v>
      </c>
      <c r="I63" s="177" t="s">
        <v>155</v>
      </c>
      <c r="J63" s="177" t="s">
        <v>38</v>
      </c>
      <c r="K63" s="177" t="s">
        <v>156</v>
      </c>
      <c r="L63" s="169">
        <v>2</v>
      </c>
      <c r="N63" s="169">
        <v>4</v>
      </c>
      <c r="O63" s="169">
        <v>0.2</v>
      </c>
      <c r="P63" s="169">
        <v>0.55000000000000004</v>
      </c>
      <c r="Q63" s="206">
        <f t="shared" si="0"/>
        <v>0.375</v>
      </c>
      <c r="R63" s="169">
        <v>13</v>
      </c>
      <c r="S63" s="169">
        <v>94</v>
      </c>
      <c r="T63" s="178">
        <f t="shared" si="1"/>
        <v>36</v>
      </c>
      <c r="U63" s="169">
        <v>321</v>
      </c>
      <c r="V63" s="178">
        <f t="shared" si="2"/>
        <v>2889</v>
      </c>
      <c r="W63" s="169">
        <v>4</v>
      </c>
      <c r="X63" s="177" t="s">
        <v>46</v>
      </c>
      <c r="Y63" s="177" t="s">
        <v>64</v>
      </c>
      <c r="Z63" s="177" t="s">
        <v>55</v>
      </c>
      <c r="AA63" s="177" t="s">
        <v>86</v>
      </c>
      <c r="AB63" s="177" t="s">
        <v>327</v>
      </c>
    </row>
    <row r="64" spans="1:28" x14ac:dyDescent="0.15">
      <c r="A64" s="177" t="s">
        <v>34</v>
      </c>
      <c r="B64" s="169" t="s">
        <v>325</v>
      </c>
      <c r="C64" s="169">
        <v>2018</v>
      </c>
      <c r="D64" s="211" t="s">
        <v>387</v>
      </c>
      <c r="E64" s="198" t="s">
        <v>311</v>
      </c>
      <c r="F64" s="198" t="s">
        <v>312</v>
      </c>
      <c r="G64" s="177" t="s">
        <v>36</v>
      </c>
      <c r="H64" s="169" t="s">
        <v>157</v>
      </c>
      <c r="I64" s="177" t="s">
        <v>155</v>
      </c>
      <c r="J64" s="177" t="s">
        <v>38</v>
      </c>
      <c r="K64" s="177" t="s">
        <v>156</v>
      </c>
      <c r="L64" s="169">
        <v>3</v>
      </c>
      <c r="N64" s="169">
        <v>4</v>
      </c>
      <c r="O64" s="169">
        <v>0.5</v>
      </c>
      <c r="P64" s="169">
        <v>0.55000000000000004</v>
      </c>
      <c r="Q64" s="206">
        <f t="shared" si="0"/>
        <v>0.52500000000000002</v>
      </c>
      <c r="R64" s="169">
        <v>12.4</v>
      </c>
      <c r="S64" s="169">
        <v>93</v>
      </c>
      <c r="T64" s="178">
        <f t="shared" si="1"/>
        <v>36</v>
      </c>
      <c r="U64" s="169">
        <v>321</v>
      </c>
      <c r="V64" s="178">
        <f t="shared" si="2"/>
        <v>2889</v>
      </c>
      <c r="W64" s="169">
        <v>4</v>
      </c>
      <c r="X64" s="177" t="s">
        <v>46</v>
      </c>
      <c r="Y64" s="177" t="s">
        <v>64</v>
      </c>
      <c r="Z64" s="177" t="s">
        <v>55</v>
      </c>
      <c r="AA64" s="177" t="s">
        <v>86</v>
      </c>
      <c r="AB64" s="177" t="s">
        <v>327</v>
      </c>
    </row>
    <row r="65" spans="1:28" x14ac:dyDescent="0.15">
      <c r="A65" s="177" t="s">
        <v>34</v>
      </c>
      <c r="B65" s="169" t="s">
        <v>325</v>
      </c>
      <c r="C65" s="169">
        <v>2018</v>
      </c>
      <c r="D65" s="211" t="s">
        <v>387</v>
      </c>
      <c r="E65" s="198" t="s">
        <v>311</v>
      </c>
      <c r="F65" s="198" t="s">
        <v>312</v>
      </c>
      <c r="G65" s="177" t="s">
        <v>36</v>
      </c>
      <c r="H65" s="169" t="s">
        <v>167</v>
      </c>
      <c r="I65" s="177" t="s">
        <v>155</v>
      </c>
      <c r="J65" s="177" t="s">
        <v>38</v>
      </c>
      <c r="K65" s="177" t="s">
        <v>156</v>
      </c>
      <c r="L65" s="177">
        <v>1</v>
      </c>
      <c r="N65" s="169">
        <v>1</v>
      </c>
      <c r="O65" s="169">
        <v>0.5</v>
      </c>
      <c r="P65" s="169">
        <v>0.5</v>
      </c>
      <c r="Q65" s="206">
        <f t="shared" si="0"/>
        <v>0.5</v>
      </c>
      <c r="R65" s="169">
        <v>15.2</v>
      </c>
      <c r="S65" s="169">
        <v>170</v>
      </c>
      <c r="T65" s="178">
        <f t="shared" si="1"/>
        <v>18</v>
      </c>
      <c r="U65" s="169">
        <v>118</v>
      </c>
      <c r="V65" s="178">
        <f t="shared" si="2"/>
        <v>2124</v>
      </c>
      <c r="W65" s="169">
        <v>6</v>
      </c>
      <c r="X65" s="177" t="s">
        <v>46</v>
      </c>
      <c r="Y65" s="177" t="s">
        <v>64</v>
      </c>
      <c r="Z65" s="177" t="s">
        <v>55</v>
      </c>
      <c r="AA65" s="177" t="s">
        <v>86</v>
      </c>
      <c r="AB65" s="177" t="s">
        <v>327</v>
      </c>
    </row>
    <row r="66" spans="1:28" x14ac:dyDescent="0.15">
      <c r="A66" s="177" t="s">
        <v>34</v>
      </c>
      <c r="B66" s="169" t="s">
        <v>325</v>
      </c>
      <c r="C66" s="169">
        <v>2018</v>
      </c>
      <c r="D66" s="211" t="s">
        <v>387</v>
      </c>
      <c r="E66" s="198" t="s">
        <v>311</v>
      </c>
      <c r="F66" s="198" t="s">
        <v>312</v>
      </c>
      <c r="G66" s="177" t="s">
        <v>36</v>
      </c>
      <c r="H66" s="169" t="s">
        <v>167</v>
      </c>
      <c r="I66" s="177" t="s">
        <v>155</v>
      </c>
      <c r="J66" s="177" t="s">
        <v>38</v>
      </c>
      <c r="K66" s="177" t="s">
        <v>156</v>
      </c>
      <c r="L66" s="169">
        <v>2</v>
      </c>
      <c r="N66" s="169">
        <v>1</v>
      </c>
      <c r="O66" s="169">
        <v>0.5</v>
      </c>
      <c r="P66" s="169">
        <v>0.6</v>
      </c>
      <c r="Q66" s="206">
        <f t="shared" si="0"/>
        <v>0.55000000000000004</v>
      </c>
      <c r="R66" s="169">
        <v>15.3</v>
      </c>
      <c r="S66" s="169">
        <v>175</v>
      </c>
      <c r="T66" s="178">
        <f t="shared" si="1"/>
        <v>18</v>
      </c>
      <c r="U66" s="169">
        <v>118</v>
      </c>
      <c r="V66" s="178">
        <f t="shared" si="2"/>
        <v>2124</v>
      </c>
      <c r="W66" s="169">
        <v>6</v>
      </c>
      <c r="X66" s="177" t="s">
        <v>46</v>
      </c>
      <c r="Y66" s="177" t="s">
        <v>64</v>
      </c>
      <c r="Z66" s="177" t="s">
        <v>55</v>
      </c>
      <c r="AA66" s="177" t="s">
        <v>86</v>
      </c>
      <c r="AB66" s="177" t="s">
        <v>327</v>
      </c>
    </row>
    <row r="67" spans="1:28" x14ac:dyDescent="0.15">
      <c r="A67" s="177" t="s">
        <v>34</v>
      </c>
      <c r="B67" s="169" t="s">
        <v>325</v>
      </c>
      <c r="C67" s="169">
        <v>2018</v>
      </c>
      <c r="D67" s="211" t="s">
        <v>387</v>
      </c>
      <c r="E67" s="198" t="s">
        <v>311</v>
      </c>
      <c r="F67" s="198" t="s">
        <v>312</v>
      </c>
      <c r="G67" s="177" t="s">
        <v>36</v>
      </c>
      <c r="H67" s="169" t="s">
        <v>167</v>
      </c>
      <c r="I67" s="177" t="s">
        <v>155</v>
      </c>
      <c r="J67" s="177" t="s">
        <v>38</v>
      </c>
      <c r="K67" s="177" t="s">
        <v>156</v>
      </c>
      <c r="L67" s="169">
        <v>3</v>
      </c>
      <c r="N67" s="169">
        <v>1</v>
      </c>
      <c r="O67" s="169">
        <v>0.65</v>
      </c>
      <c r="P67" s="169">
        <v>0.6</v>
      </c>
      <c r="Q67" s="206">
        <f t="shared" si="0"/>
        <v>0.625</v>
      </c>
      <c r="R67" s="169">
        <v>17.399999999999999</v>
      </c>
      <c r="S67" s="169">
        <v>178</v>
      </c>
      <c r="T67" s="178">
        <f t="shared" si="1"/>
        <v>18</v>
      </c>
      <c r="U67" s="169">
        <v>118</v>
      </c>
      <c r="V67" s="178">
        <f t="shared" si="2"/>
        <v>2124</v>
      </c>
      <c r="W67" s="169">
        <v>6</v>
      </c>
      <c r="X67" s="177" t="s">
        <v>46</v>
      </c>
      <c r="Y67" s="177" t="s">
        <v>64</v>
      </c>
      <c r="Z67" s="177" t="s">
        <v>55</v>
      </c>
      <c r="AA67" s="177" t="s">
        <v>86</v>
      </c>
      <c r="AB67" s="177" t="s">
        <v>327</v>
      </c>
    </row>
    <row r="68" spans="1:28" x14ac:dyDescent="0.15">
      <c r="A68" s="177" t="s">
        <v>34</v>
      </c>
      <c r="B68" s="169" t="s">
        <v>325</v>
      </c>
      <c r="C68" s="169">
        <v>2018</v>
      </c>
      <c r="D68" s="211" t="s">
        <v>387</v>
      </c>
      <c r="E68" s="198" t="s">
        <v>311</v>
      </c>
      <c r="F68" s="198" t="s">
        <v>312</v>
      </c>
      <c r="G68" s="177" t="s">
        <v>36</v>
      </c>
      <c r="H68" s="169" t="s">
        <v>167</v>
      </c>
      <c r="I68" s="177" t="s">
        <v>155</v>
      </c>
      <c r="J68" s="177" t="s">
        <v>38</v>
      </c>
      <c r="K68" s="177" t="s">
        <v>156</v>
      </c>
      <c r="L68" s="177">
        <v>1</v>
      </c>
      <c r="N68" s="169">
        <v>3</v>
      </c>
      <c r="O68" s="169">
        <v>0.2</v>
      </c>
      <c r="P68" s="169">
        <v>0.2</v>
      </c>
      <c r="Q68" s="206">
        <f t="shared" si="0"/>
        <v>0.2</v>
      </c>
      <c r="R68" s="169">
        <v>18.8</v>
      </c>
      <c r="S68" s="169">
        <v>209</v>
      </c>
      <c r="T68" s="178">
        <f t="shared" si="1"/>
        <v>16</v>
      </c>
      <c r="U68" s="169">
        <v>537</v>
      </c>
      <c r="V68" s="178">
        <f t="shared" si="2"/>
        <v>2864</v>
      </c>
      <c r="W68" s="169">
        <v>6</v>
      </c>
      <c r="X68" s="177" t="s">
        <v>46</v>
      </c>
      <c r="Y68" s="177" t="s">
        <v>64</v>
      </c>
      <c r="Z68" s="177" t="s">
        <v>55</v>
      </c>
      <c r="AA68" s="177" t="s">
        <v>86</v>
      </c>
      <c r="AB68" s="177" t="s">
        <v>327</v>
      </c>
    </row>
    <row r="69" spans="1:28" x14ac:dyDescent="0.15">
      <c r="A69" s="177" t="s">
        <v>34</v>
      </c>
      <c r="B69" s="169" t="s">
        <v>325</v>
      </c>
      <c r="C69" s="169">
        <v>2018</v>
      </c>
      <c r="D69" s="211" t="s">
        <v>387</v>
      </c>
      <c r="E69" s="198" t="s">
        <v>311</v>
      </c>
      <c r="F69" s="198" t="s">
        <v>312</v>
      </c>
      <c r="G69" s="177" t="s">
        <v>36</v>
      </c>
      <c r="H69" s="169" t="s">
        <v>167</v>
      </c>
      <c r="I69" s="177" t="s">
        <v>155</v>
      </c>
      <c r="J69" s="177" t="s">
        <v>38</v>
      </c>
      <c r="K69" s="177" t="s">
        <v>156</v>
      </c>
      <c r="L69" s="169">
        <v>2</v>
      </c>
      <c r="N69" s="169">
        <v>3</v>
      </c>
      <c r="O69" s="169">
        <v>0.2</v>
      </c>
      <c r="P69" s="169">
        <v>0.2</v>
      </c>
      <c r="Q69" s="206">
        <f t="shared" si="0"/>
        <v>0.2</v>
      </c>
      <c r="R69" s="169">
        <v>18.600000000000001</v>
      </c>
      <c r="S69" s="169">
        <v>229</v>
      </c>
      <c r="T69" s="178">
        <f t="shared" si="1"/>
        <v>16</v>
      </c>
      <c r="U69" s="169">
        <v>537</v>
      </c>
      <c r="V69" s="178">
        <f t="shared" si="2"/>
        <v>2864</v>
      </c>
      <c r="W69" s="169">
        <v>6</v>
      </c>
      <c r="X69" s="177" t="s">
        <v>46</v>
      </c>
      <c r="Y69" s="177" t="s">
        <v>64</v>
      </c>
      <c r="Z69" s="177" t="s">
        <v>55</v>
      </c>
      <c r="AA69" s="177" t="s">
        <v>86</v>
      </c>
      <c r="AB69" s="177" t="s">
        <v>327</v>
      </c>
    </row>
    <row r="70" spans="1:28" x14ac:dyDescent="0.15">
      <c r="A70" s="177" t="s">
        <v>34</v>
      </c>
      <c r="B70" s="169" t="s">
        <v>325</v>
      </c>
      <c r="C70" s="169">
        <v>2018</v>
      </c>
      <c r="D70" s="211" t="s">
        <v>387</v>
      </c>
      <c r="E70" s="198" t="s">
        <v>311</v>
      </c>
      <c r="F70" s="198" t="s">
        <v>312</v>
      </c>
      <c r="G70" s="177" t="s">
        <v>36</v>
      </c>
      <c r="H70" s="169" t="s">
        <v>167</v>
      </c>
      <c r="I70" s="177" t="s">
        <v>155</v>
      </c>
      <c r="J70" s="177" t="s">
        <v>38</v>
      </c>
      <c r="K70" s="177" t="s">
        <v>156</v>
      </c>
      <c r="L70" s="169">
        <v>3</v>
      </c>
      <c r="N70" s="169">
        <v>3</v>
      </c>
      <c r="O70" s="169">
        <v>0.2</v>
      </c>
      <c r="P70" s="169">
        <v>0.55000000000000004</v>
      </c>
      <c r="Q70" s="206">
        <f t="shared" si="0"/>
        <v>0.375</v>
      </c>
      <c r="R70" s="169">
        <v>17.7</v>
      </c>
      <c r="S70" s="169">
        <v>211</v>
      </c>
      <c r="T70" s="178">
        <f t="shared" si="1"/>
        <v>16</v>
      </c>
      <c r="U70" s="169">
        <v>537</v>
      </c>
      <c r="V70" s="178">
        <f t="shared" si="2"/>
        <v>2864</v>
      </c>
      <c r="W70" s="169">
        <v>6</v>
      </c>
      <c r="X70" s="177" t="s">
        <v>46</v>
      </c>
      <c r="Y70" s="177" t="s">
        <v>64</v>
      </c>
      <c r="Z70" s="177" t="s">
        <v>55</v>
      </c>
      <c r="AA70" s="177" t="s">
        <v>86</v>
      </c>
      <c r="AB70" s="177" t="s">
        <v>327</v>
      </c>
    </row>
    <row r="71" spans="1:28" x14ac:dyDescent="0.15">
      <c r="A71" s="177" t="s">
        <v>34</v>
      </c>
      <c r="B71" s="169" t="s">
        <v>325</v>
      </c>
      <c r="C71" s="169">
        <v>2018</v>
      </c>
      <c r="D71" s="211" t="s">
        <v>387</v>
      </c>
      <c r="E71" s="198" t="s">
        <v>311</v>
      </c>
      <c r="F71" s="198" t="s">
        <v>312</v>
      </c>
      <c r="G71" s="177" t="s">
        <v>36</v>
      </c>
      <c r="H71" s="169" t="s">
        <v>167</v>
      </c>
      <c r="I71" s="177" t="s">
        <v>155</v>
      </c>
      <c r="J71" s="177" t="s">
        <v>38</v>
      </c>
      <c r="K71" s="177" t="s">
        <v>156</v>
      </c>
      <c r="L71" s="177">
        <v>1</v>
      </c>
      <c r="N71" s="169">
        <v>4</v>
      </c>
      <c r="O71" s="169">
        <v>0.2</v>
      </c>
      <c r="P71" s="169">
        <v>0.2</v>
      </c>
      <c r="Q71" s="206">
        <f t="shared" si="0"/>
        <v>0.2</v>
      </c>
      <c r="R71" s="169">
        <v>15.1</v>
      </c>
      <c r="S71" s="169">
        <v>106</v>
      </c>
      <c r="T71" s="178">
        <f t="shared" si="1"/>
        <v>33</v>
      </c>
      <c r="U71" s="169">
        <v>429</v>
      </c>
      <c r="V71" s="178">
        <f t="shared" si="2"/>
        <v>3539.25</v>
      </c>
      <c r="W71" s="169">
        <v>6</v>
      </c>
      <c r="X71" s="177" t="s">
        <v>46</v>
      </c>
      <c r="Y71" s="177" t="s">
        <v>64</v>
      </c>
      <c r="Z71" s="177" t="s">
        <v>55</v>
      </c>
      <c r="AA71" s="177" t="s">
        <v>86</v>
      </c>
      <c r="AB71" s="177" t="s">
        <v>327</v>
      </c>
    </row>
    <row r="72" spans="1:28" x14ac:dyDescent="0.15">
      <c r="A72" s="177" t="s">
        <v>34</v>
      </c>
      <c r="B72" s="169" t="s">
        <v>325</v>
      </c>
      <c r="C72" s="169">
        <v>2018</v>
      </c>
      <c r="D72" s="211" t="s">
        <v>387</v>
      </c>
      <c r="E72" s="198" t="s">
        <v>311</v>
      </c>
      <c r="F72" s="198" t="s">
        <v>312</v>
      </c>
      <c r="G72" s="177" t="s">
        <v>36</v>
      </c>
      <c r="H72" s="169" t="s">
        <v>167</v>
      </c>
      <c r="I72" s="177" t="s">
        <v>155</v>
      </c>
      <c r="J72" s="177" t="s">
        <v>38</v>
      </c>
      <c r="K72" s="177" t="s">
        <v>156</v>
      </c>
      <c r="L72" s="169">
        <v>2</v>
      </c>
      <c r="N72" s="169">
        <v>4</v>
      </c>
      <c r="O72" s="169">
        <v>0.55000000000000004</v>
      </c>
      <c r="P72" s="169">
        <v>0.75</v>
      </c>
      <c r="Q72" s="206">
        <f t="shared" si="0"/>
        <v>0.65</v>
      </c>
      <c r="R72" s="169">
        <v>14.2</v>
      </c>
      <c r="S72" s="169">
        <v>111</v>
      </c>
      <c r="T72" s="178">
        <f t="shared" si="1"/>
        <v>33</v>
      </c>
      <c r="U72" s="169">
        <v>429</v>
      </c>
      <c r="V72" s="178">
        <f t="shared" si="2"/>
        <v>3539.25</v>
      </c>
      <c r="W72" s="169">
        <v>6</v>
      </c>
      <c r="X72" s="177" t="s">
        <v>46</v>
      </c>
      <c r="Y72" s="177" t="s">
        <v>64</v>
      </c>
      <c r="Z72" s="177" t="s">
        <v>55</v>
      </c>
      <c r="AA72" s="177" t="s">
        <v>86</v>
      </c>
      <c r="AB72" s="177" t="s">
        <v>327</v>
      </c>
    </row>
    <row r="73" spans="1:28" x14ac:dyDescent="0.15">
      <c r="A73" s="177" t="s">
        <v>34</v>
      </c>
      <c r="B73" s="169" t="s">
        <v>325</v>
      </c>
      <c r="C73" s="169">
        <v>2018</v>
      </c>
      <c r="D73" s="211" t="s">
        <v>387</v>
      </c>
      <c r="E73" s="198" t="s">
        <v>311</v>
      </c>
      <c r="F73" s="198" t="s">
        <v>312</v>
      </c>
      <c r="G73" s="177" t="s">
        <v>36</v>
      </c>
      <c r="H73" s="169" t="s">
        <v>167</v>
      </c>
      <c r="I73" s="177" t="s">
        <v>155</v>
      </c>
      <c r="J73" s="177" t="s">
        <v>38</v>
      </c>
      <c r="K73" s="177" t="s">
        <v>156</v>
      </c>
      <c r="L73" s="169">
        <v>3</v>
      </c>
      <c r="N73" s="169">
        <v>4</v>
      </c>
      <c r="O73" s="169">
        <v>0.6</v>
      </c>
      <c r="P73" s="169">
        <v>0.45</v>
      </c>
      <c r="Q73" s="206">
        <f t="shared" si="0"/>
        <v>0.52500000000000002</v>
      </c>
      <c r="R73" s="169">
        <v>15.4</v>
      </c>
      <c r="S73" s="169">
        <v>107</v>
      </c>
      <c r="T73" s="178">
        <f t="shared" si="1"/>
        <v>33</v>
      </c>
      <c r="U73" s="169">
        <v>429</v>
      </c>
      <c r="V73" s="178">
        <f t="shared" si="2"/>
        <v>3539.25</v>
      </c>
      <c r="W73" s="169">
        <v>6</v>
      </c>
      <c r="X73" s="177" t="s">
        <v>46</v>
      </c>
      <c r="Y73" s="177" t="s">
        <v>64</v>
      </c>
      <c r="Z73" s="177" t="s">
        <v>55</v>
      </c>
      <c r="AA73" s="177" t="s">
        <v>86</v>
      </c>
      <c r="AB73" s="177" t="s">
        <v>327</v>
      </c>
    </row>
    <row r="74" spans="1:28" x14ac:dyDescent="0.15">
      <c r="A74" s="177" t="s">
        <v>34</v>
      </c>
      <c r="B74" s="169" t="s">
        <v>325</v>
      </c>
      <c r="C74" s="169">
        <v>2018</v>
      </c>
      <c r="D74" s="211" t="s">
        <v>387</v>
      </c>
      <c r="E74" s="198" t="s">
        <v>313</v>
      </c>
      <c r="F74" s="198" t="s">
        <v>314</v>
      </c>
      <c r="G74" s="177" t="s">
        <v>36</v>
      </c>
      <c r="H74" s="169" t="s">
        <v>157</v>
      </c>
      <c r="I74" s="177" t="s">
        <v>155</v>
      </c>
      <c r="J74" s="177" t="s">
        <v>38</v>
      </c>
      <c r="K74" s="177" t="s">
        <v>156</v>
      </c>
      <c r="L74" s="177">
        <v>1</v>
      </c>
      <c r="N74" s="169">
        <v>4</v>
      </c>
      <c r="O74" s="169">
        <v>0.2</v>
      </c>
      <c r="P74" s="169">
        <v>0.2</v>
      </c>
      <c r="Q74" s="206">
        <f t="shared" si="0"/>
        <v>0.2</v>
      </c>
      <c r="R74" s="169">
        <v>14.1</v>
      </c>
      <c r="S74" s="169">
        <v>92</v>
      </c>
      <c r="T74" s="178">
        <f t="shared" si="1"/>
        <v>36</v>
      </c>
      <c r="U74" s="169">
        <v>322</v>
      </c>
      <c r="V74" s="178">
        <f t="shared" si="2"/>
        <v>2898</v>
      </c>
      <c r="W74" s="169">
        <v>1</v>
      </c>
      <c r="X74" s="177" t="s">
        <v>46</v>
      </c>
      <c r="Y74" s="177" t="s">
        <v>55</v>
      </c>
      <c r="Z74" s="177" t="s">
        <v>69</v>
      </c>
      <c r="AA74" s="169" t="s">
        <v>86</v>
      </c>
      <c r="AB74" s="177" t="s">
        <v>327</v>
      </c>
    </row>
    <row r="75" spans="1:28" x14ac:dyDescent="0.15">
      <c r="A75" s="177" t="s">
        <v>34</v>
      </c>
      <c r="B75" s="169" t="s">
        <v>325</v>
      </c>
      <c r="C75" s="169">
        <v>2018</v>
      </c>
      <c r="D75" s="211" t="s">
        <v>387</v>
      </c>
      <c r="E75" s="198" t="s">
        <v>313</v>
      </c>
      <c r="F75" s="198" t="s">
        <v>314</v>
      </c>
      <c r="G75" s="177" t="s">
        <v>36</v>
      </c>
      <c r="H75" s="169" t="s">
        <v>157</v>
      </c>
      <c r="I75" s="177" t="s">
        <v>155</v>
      </c>
      <c r="J75" s="177" t="s">
        <v>38</v>
      </c>
      <c r="K75" s="177" t="s">
        <v>156</v>
      </c>
      <c r="L75" s="169">
        <v>2</v>
      </c>
      <c r="N75" s="169">
        <v>4</v>
      </c>
      <c r="O75" s="169">
        <v>0.2</v>
      </c>
      <c r="P75" s="169">
        <v>0.2</v>
      </c>
      <c r="Q75" s="206">
        <f t="shared" si="0"/>
        <v>0.2</v>
      </c>
      <c r="R75" s="169">
        <v>14.3</v>
      </c>
      <c r="S75" s="169">
        <v>88</v>
      </c>
      <c r="T75" s="178">
        <f t="shared" si="1"/>
        <v>36</v>
      </c>
      <c r="U75" s="169">
        <v>322</v>
      </c>
      <c r="V75" s="178">
        <f t="shared" si="2"/>
        <v>2898</v>
      </c>
      <c r="W75" s="169">
        <v>1</v>
      </c>
      <c r="X75" s="177" t="s">
        <v>46</v>
      </c>
      <c r="Y75" s="177" t="s">
        <v>55</v>
      </c>
      <c r="Z75" s="177" t="s">
        <v>69</v>
      </c>
      <c r="AA75" s="169" t="s">
        <v>86</v>
      </c>
      <c r="AB75" s="177" t="s">
        <v>327</v>
      </c>
    </row>
    <row r="76" spans="1:28" x14ac:dyDescent="0.15">
      <c r="A76" s="177" t="s">
        <v>34</v>
      </c>
      <c r="B76" s="169" t="s">
        <v>325</v>
      </c>
      <c r="C76" s="169">
        <v>2018</v>
      </c>
      <c r="D76" s="211" t="s">
        <v>387</v>
      </c>
      <c r="E76" s="198" t="s">
        <v>313</v>
      </c>
      <c r="F76" s="198" t="s">
        <v>314</v>
      </c>
      <c r="G76" s="177" t="s">
        <v>36</v>
      </c>
      <c r="H76" s="169" t="s">
        <v>157</v>
      </c>
      <c r="I76" s="177" t="s">
        <v>155</v>
      </c>
      <c r="J76" s="177" t="s">
        <v>38</v>
      </c>
      <c r="K76" s="177" t="s">
        <v>156</v>
      </c>
      <c r="L76" s="169">
        <v>3</v>
      </c>
      <c r="N76" s="169">
        <v>4</v>
      </c>
      <c r="O76" s="169">
        <v>0.6</v>
      </c>
      <c r="P76" s="169">
        <v>0.55000000000000004</v>
      </c>
      <c r="Q76" s="206">
        <f t="shared" si="0"/>
        <v>0.57499999999999996</v>
      </c>
      <c r="R76" s="169">
        <v>14.4</v>
      </c>
      <c r="S76" s="169">
        <v>91</v>
      </c>
      <c r="T76" s="178">
        <f t="shared" si="1"/>
        <v>36</v>
      </c>
      <c r="U76" s="169">
        <v>322</v>
      </c>
      <c r="V76" s="178">
        <f t="shared" si="2"/>
        <v>2898</v>
      </c>
      <c r="W76" s="169">
        <v>1</v>
      </c>
      <c r="X76" s="177" t="s">
        <v>46</v>
      </c>
      <c r="Y76" s="177" t="s">
        <v>55</v>
      </c>
      <c r="Z76" s="177" t="s">
        <v>69</v>
      </c>
      <c r="AA76" s="169" t="s">
        <v>86</v>
      </c>
      <c r="AB76" s="177" t="s">
        <v>327</v>
      </c>
    </row>
    <row r="77" spans="1:28" x14ac:dyDescent="0.15">
      <c r="A77" s="177" t="s">
        <v>34</v>
      </c>
      <c r="B77" s="169" t="s">
        <v>325</v>
      </c>
      <c r="C77" s="169">
        <v>2018</v>
      </c>
      <c r="D77" s="211" t="s">
        <v>387</v>
      </c>
      <c r="E77" s="198" t="s">
        <v>313</v>
      </c>
      <c r="F77" s="198" t="s">
        <v>314</v>
      </c>
      <c r="G77" s="177" t="s">
        <v>36</v>
      </c>
      <c r="H77" s="169" t="s">
        <v>221</v>
      </c>
      <c r="I77" s="177" t="s">
        <v>155</v>
      </c>
      <c r="J77" s="177" t="s">
        <v>38</v>
      </c>
      <c r="K77" s="177" t="s">
        <v>156</v>
      </c>
      <c r="L77" s="177">
        <v>1</v>
      </c>
      <c r="N77" s="169">
        <v>1</v>
      </c>
      <c r="O77" s="169">
        <v>0.55000000000000004</v>
      </c>
      <c r="P77" s="169">
        <v>0.6</v>
      </c>
      <c r="Q77" s="206">
        <f t="shared" si="0"/>
        <v>0.57499999999999996</v>
      </c>
      <c r="R77" s="169">
        <v>18.899999999999999</v>
      </c>
      <c r="S77" s="169">
        <v>106</v>
      </c>
      <c r="T77" s="178">
        <f t="shared" si="1"/>
        <v>33</v>
      </c>
      <c r="U77" s="169">
        <v>108</v>
      </c>
      <c r="V77" s="178">
        <f t="shared" si="2"/>
        <v>3564</v>
      </c>
      <c r="W77" s="169">
        <v>2</v>
      </c>
      <c r="X77" s="177" t="s">
        <v>46</v>
      </c>
      <c r="Y77" s="177" t="s">
        <v>55</v>
      </c>
      <c r="Z77" s="177" t="s">
        <v>69</v>
      </c>
      <c r="AA77" s="169" t="s">
        <v>86</v>
      </c>
      <c r="AB77" s="177" t="s">
        <v>327</v>
      </c>
    </row>
    <row r="78" spans="1:28" x14ac:dyDescent="0.15">
      <c r="A78" s="177" t="s">
        <v>34</v>
      </c>
      <c r="B78" s="169" t="s">
        <v>325</v>
      </c>
      <c r="C78" s="169">
        <v>2018</v>
      </c>
      <c r="D78" s="211" t="s">
        <v>387</v>
      </c>
      <c r="E78" s="198" t="s">
        <v>313</v>
      </c>
      <c r="F78" s="198" t="s">
        <v>314</v>
      </c>
      <c r="G78" s="177" t="s">
        <v>36</v>
      </c>
      <c r="H78" s="169" t="s">
        <v>221</v>
      </c>
      <c r="I78" s="177" t="s">
        <v>155</v>
      </c>
      <c r="J78" s="177" t="s">
        <v>38</v>
      </c>
      <c r="K78" s="177" t="s">
        <v>156</v>
      </c>
      <c r="L78" s="169">
        <v>2</v>
      </c>
      <c r="N78" s="169">
        <v>1</v>
      </c>
      <c r="O78" s="169">
        <v>0.5</v>
      </c>
      <c r="P78" s="169">
        <v>0.6</v>
      </c>
      <c r="Q78" s="206">
        <f t="shared" si="0"/>
        <v>0.55000000000000004</v>
      </c>
      <c r="R78" s="169">
        <v>15.2</v>
      </c>
      <c r="S78" s="169">
        <v>119</v>
      </c>
      <c r="T78" s="178">
        <f t="shared" si="1"/>
        <v>30</v>
      </c>
      <c r="U78" s="169">
        <v>108</v>
      </c>
      <c r="V78" s="178">
        <f t="shared" si="2"/>
        <v>3240</v>
      </c>
      <c r="W78" s="169">
        <v>2</v>
      </c>
      <c r="X78" s="177" t="s">
        <v>46</v>
      </c>
      <c r="Y78" s="177" t="s">
        <v>55</v>
      </c>
      <c r="Z78" s="177" t="s">
        <v>69</v>
      </c>
      <c r="AA78" s="169" t="s">
        <v>86</v>
      </c>
      <c r="AB78" s="177" t="s">
        <v>327</v>
      </c>
    </row>
    <row r="79" spans="1:28" x14ac:dyDescent="0.15">
      <c r="A79" s="177" t="s">
        <v>34</v>
      </c>
      <c r="B79" s="169" t="s">
        <v>325</v>
      </c>
      <c r="C79" s="169">
        <v>2018</v>
      </c>
      <c r="D79" s="211" t="s">
        <v>387</v>
      </c>
      <c r="E79" s="198" t="s">
        <v>313</v>
      </c>
      <c r="F79" s="198" t="s">
        <v>314</v>
      </c>
      <c r="G79" s="177" t="s">
        <v>36</v>
      </c>
      <c r="H79" s="169" t="s">
        <v>221</v>
      </c>
      <c r="I79" s="177" t="s">
        <v>155</v>
      </c>
      <c r="J79" s="177" t="s">
        <v>38</v>
      </c>
      <c r="K79" s="177" t="s">
        <v>156</v>
      </c>
      <c r="L79" s="169">
        <v>3</v>
      </c>
      <c r="N79" s="169">
        <v>1</v>
      </c>
      <c r="O79" s="169">
        <v>0.65</v>
      </c>
      <c r="P79" s="169">
        <v>0.7</v>
      </c>
      <c r="Q79" s="206">
        <f t="shared" si="0"/>
        <v>0.67500000000000004</v>
      </c>
      <c r="R79" s="169">
        <v>16.8</v>
      </c>
      <c r="S79" s="169">
        <v>103</v>
      </c>
      <c r="T79" s="178">
        <f t="shared" si="1"/>
        <v>33</v>
      </c>
      <c r="U79" s="169">
        <v>108</v>
      </c>
      <c r="V79" s="178">
        <f t="shared" si="2"/>
        <v>3564</v>
      </c>
      <c r="W79" s="169">
        <v>2</v>
      </c>
      <c r="X79" s="177" t="s">
        <v>46</v>
      </c>
      <c r="Y79" s="177" t="s">
        <v>55</v>
      </c>
      <c r="Z79" s="177" t="s">
        <v>69</v>
      </c>
      <c r="AA79" s="169" t="s">
        <v>86</v>
      </c>
      <c r="AB79" s="177" t="s">
        <v>327</v>
      </c>
    </row>
    <row r="80" spans="1:28" x14ac:dyDescent="0.15">
      <c r="A80" s="177" t="s">
        <v>34</v>
      </c>
      <c r="B80" s="169" t="s">
        <v>325</v>
      </c>
      <c r="C80" s="169">
        <v>2018</v>
      </c>
      <c r="D80" s="211" t="s">
        <v>387</v>
      </c>
      <c r="E80" s="198" t="s">
        <v>313</v>
      </c>
      <c r="F80" s="198" t="s">
        <v>314</v>
      </c>
      <c r="G80" s="177" t="s">
        <v>36</v>
      </c>
      <c r="H80" s="169" t="s">
        <v>167</v>
      </c>
      <c r="I80" s="177" t="s">
        <v>155</v>
      </c>
      <c r="J80" s="177" t="s">
        <v>38</v>
      </c>
      <c r="K80" s="177" t="s">
        <v>156</v>
      </c>
      <c r="L80" s="177">
        <v>1</v>
      </c>
      <c r="N80" s="169">
        <v>1</v>
      </c>
      <c r="O80" s="169">
        <v>0.5</v>
      </c>
      <c r="P80" s="169">
        <v>0.65</v>
      </c>
      <c r="Q80" s="206">
        <f t="shared" si="0"/>
        <v>0.57499999999999996</v>
      </c>
      <c r="R80" s="169">
        <v>14.5</v>
      </c>
      <c r="S80" s="169">
        <v>158</v>
      </c>
      <c r="T80" s="178">
        <f t="shared" si="1"/>
        <v>18</v>
      </c>
      <c r="U80" s="169">
        <v>108</v>
      </c>
      <c r="V80" s="178">
        <f t="shared" si="2"/>
        <v>1944</v>
      </c>
      <c r="W80" s="169">
        <v>7</v>
      </c>
      <c r="X80" s="177" t="s">
        <v>46</v>
      </c>
      <c r="Y80" s="177" t="s">
        <v>55</v>
      </c>
      <c r="Z80" s="177" t="s">
        <v>69</v>
      </c>
      <c r="AA80" s="169" t="s">
        <v>86</v>
      </c>
      <c r="AB80" s="177" t="s">
        <v>327</v>
      </c>
    </row>
    <row r="81" spans="1:28" x14ac:dyDescent="0.15">
      <c r="A81" s="177" t="s">
        <v>34</v>
      </c>
      <c r="B81" s="169" t="s">
        <v>325</v>
      </c>
      <c r="C81" s="169">
        <v>2018</v>
      </c>
      <c r="D81" s="211" t="s">
        <v>387</v>
      </c>
      <c r="E81" s="198" t="s">
        <v>313</v>
      </c>
      <c r="F81" s="198" t="s">
        <v>314</v>
      </c>
      <c r="G81" s="177" t="s">
        <v>36</v>
      </c>
      <c r="H81" s="169" t="s">
        <v>167</v>
      </c>
      <c r="I81" s="177" t="s">
        <v>155</v>
      </c>
      <c r="J81" s="177" t="s">
        <v>38</v>
      </c>
      <c r="K81" s="177" t="s">
        <v>156</v>
      </c>
      <c r="L81" s="169">
        <v>2</v>
      </c>
      <c r="N81" s="169">
        <v>1</v>
      </c>
      <c r="O81" s="169">
        <v>0.45</v>
      </c>
      <c r="P81" s="169">
        <v>0.45</v>
      </c>
      <c r="Q81" s="206">
        <f t="shared" si="0"/>
        <v>0.45</v>
      </c>
      <c r="R81" s="169">
        <v>18.5</v>
      </c>
      <c r="S81" s="169">
        <v>168</v>
      </c>
      <c r="T81" s="178">
        <f t="shared" si="1"/>
        <v>18</v>
      </c>
      <c r="U81" s="169">
        <v>108</v>
      </c>
      <c r="V81" s="178">
        <f t="shared" si="2"/>
        <v>1944</v>
      </c>
      <c r="W81" s="169">
        <v>7</v>
      </c>
      <c r="X81" s="177" t="s">
        <v>46</v>
      </c>
      <c r="Y81" s="177" t="s">
        <v>55</v>
      </c>
      <c r="Z81" s="177" t="s">
        <v>69</v>
      </c>
      <c r="AA81" s="169" t="s">
        <v>86</v>
      </c>
      <c r="AB81" s="177" t="s">
        <v>327</v>
      </c>
    </row>
    <row r="82" spans="1:28" x14ac:dyDescent="0.15">
      <c r="A82" s="177" t="s">
        <v>34</v>
      </c>
      <c r="B82" s="169" t="s">
        <v>325</v>
      </c>
      <c r="C82" s="169">
        <v>2018</v>
      </c>
      <c r="D82" s="211" t="s">
        <v>387</v>
      </c>
      <c r="E82" s="198" t="s">
        <v>313</v>
      </c>
      <c r="F82" s="198" t="s">
        <v>314</v>
      </c>
      <c r="G82" s="177" t="s">
        <v>36</v>
      </c>
      <c r="H82" s="169" t="s">
        <v>167</v>
      </c>
      <c r="I82" s="177" t="s">
        <v>155</v>
      </c>
      <c r="J82" s="177" t="s">
        <v>38</v>
      </c>
      <c r="K82" s="177" t="s">
        <v>156</v>
      </c>
      <c r="L82" s="169">
        <v>3</v>
      </c>
      <c r="N82" s="169">
        <v>1</v>
      </c>
      <c r="O82" s="169">
        <v>0.8</v>
      </c>
      <c r="P82" s="169">
        <v>0.8</v>
      </c>
      <c r="Q82" s="206">
        <f t="shared" si="0"/>
        <v>0.8</v>
      </c>
      <c r="R82" s="169">
        <v>14.6</v>
      </c>
      <c r="S82" s="169">
        <v>160</v>
      </c>
      <c r="T82" s="178">
        <f t="shared" si="1"/>
        <v>18</v>
      </c>
      <c r="U82" s="169">
        <v>108</v>
      </c>
      <c r="V82" s="178">
        <f t="shared" si="2"/>
        <v>1944</v>
      </c>
      <c r="W82" s="169">
        <v>7</v>
      </c>
      <c r="X82" s="177" t="s">
        <v>46</v>
      </c>
      <c r="Y82" s="177" t="s">
        <v>55</v>
      </c>
      <c r="Z82" s="177" t="s">
        <v>69</v>
      </c>
      <c r="AA82" s="169" t="s">
        <v>86</v>
      </c>
      <c r="AB82" s="177" t="s">
        <v>327</v>
      </c>
    </row>
    <row r="83" spans="1:28" x14ac:dyDescent="0.15">
      <c r="A83" s="177" t="s">
        <v>34</v>
      </c>
      <c r="B83" s="169" t="s">
        <v>325</v>
      </c>
      <c r="C83" s="169">
        <v>2018</v>
      </c>
      <c r="D83" s="211" t="s">
        <v>387</v>
      </c>
      <c r="E83" s="198" t="s">
        <v>313</v>
      </c>
      <c r="F83" s="198" t="s">
        <v>314</v>
      </c>
      <c r="G83" s="177" t="s">
        <v>36</v>
      </c>
      <c r="H83" s="169" t="s">
        <v>205</v>
      </c>
      <c r="I83" s="177" t="s">
        <v>155</v>
      </c>
      <c r="J83" s="177" t="s">
        <v>249</v>
      </c>
      <c r="K83" s="177" t="s">
        <v>68</v>
      </c>
      <c r="L83" s="177">
        <v>1</v>
      </c>
      <c r="N83" s="169">
        <v>5</v>
      </c>
      <c r="O83" s="169">
        <v>0.7</v>
      </c>
      <c r="P83" s="169">
        <v>0.55000000000000004</v>
      </c>
      <c r="Q83" s="206">
        <f t="shared" ref="Q83:Q126" si="5">IF(OR(O83="",P83=""),"",AVERAGE(O83,P83))</f>
        <v>0.625</v>
      </c>
      <c r="R83" s="169">
        <v>10.1</v>
      </c>
      <c r="S83" s="169">
        <v>66</v>
      </c>
      <c r="T83" s="178">
        <f t="shared" si="1"/>
        <v>50</v>
      </c>
      <c r="U83" s="169">
        <v>330</v>
      </c>
      <c r="V83" s="178">
        <f t="shared" si="2"/>
        <v>3300</v>
      </c>
      <c r="W83" s="169">
        <v>1</v>
      </c>
      <c r="X83" s="177" t="s">
        <v>46</v>
      </c>
      <c r="Y83" s="177" t="s">
        <v>55</v>
      </c>
      <c r="Z83" s="177" t="s">
        <v>69</v>
      </c>
      <c r="AA83" s="169" t="s">
        <v>86</v>
      </c>
      <c r="AB83" s="177" t="s">
        <v>327</v>
      </c>
    </row>
    <row r="84" spans="1:28" x14ac:dyDescent="0.15">
      <c r="A84" s="177" t="s">
        <v>34</v>
      </c>
      <c r="B84" s="169" t="s">
        <v>325</v>
      </c>
      <c r="C84" s="169">
        <v>2018</v>
      </c>
      <c r="D84" s="211" t="s">
        <v>387</v>
      </c>
      <c r="E84" s="198" t="s">
        <v>313</v>
      </c>
      <c r="F84" s="198" t="s">
        <v>314</v>
      </c>
      <c r="G84" s="177" t="s">
        <v>36</v>
      </c>
      <c r="H84" s="169" t="s">
        <v>205</v>
      </c>
      <c r="I84" s="177" t="s">
        <v>155</v>
      </c>
      <c r="J84" s="177" t="s">
        <v>249</v>
      </c>
      <c r="K84" s="177" t="s">
        <v>68</v>
      </c>
      <c r="L84" s="169">
        <v>2</v>
      </c>
      <c r="N84" s="169">
        <v>5</v>
      </c>
      <c r="O84" s="169">
        <v>0.2</v>
      </c>
      <c r="P84" s="169">
        <v>0.2</v>
      </c>
      <c r="Q84" s="206">
        <f t="shared" si="5"/>
        <v>0.2</v>
      </c>
      <c r="R84" s="169">
        <v>9.6999999999999993</v>
      </c>
      <c r="S84" s="169">
        <v>110</v>
      </c>
      <c r="T84" s="178">
        <f t="shared" ref="T84:T125" si="6">IF(H84="","",IF(OR(H84="GREEN",H84="GK"),IF(S84&gt;=$AX$2,VLOOKUP(S84,$AX$2:$AY$9,2,1),""),IF(S84&gt;=$AZ$2,VLOOKUP(S84,$AZ$2:$BA$9,2,1),"")))</f>
        <v>33</v>
      </c>
      <c r="U84" s="169">
        <v>330</v>
      </c>
      <c r="V84" s="178">
        <f t="shared" ref="V84:V119" si="7">IF(OR(N84="",U84="",T84=""),"",U84/N84*T84)</f>
        <v>2178</v>
      </c>
      <c r="W84" s="169">
        <v>1</v>
      </c>
      <c r="X84" s="177" t="s">
        <v>46</v>
      </c>
      <c r="Y84" s="177" t="s">
        <v>55</v>
      </c>
      <c r="Z84" s="177" t="s">
        <v>69</v>
      </c>
      <c r="AA84" s="169" t="s">
        <v>86</v>
      </c>
      <c r="AB84" s="177" t="s">
        <v>327</v>
      </c>
    </row>
    <row r="85" spans="1:28" x14ac:dyDescent="0.15">
      <c r="A85" s="177" t="s">
        <v>34</v>
      </c>
      <c r="B85" s="169" t="s">
        <v>325</v>
      </c>
      <c r="C85" s="169">
        <v>2018</v>
      </c>
      <c r="D85" s="211" t="s">
        <v>387</v>
      </c>
      <c r="E85" s="198" t="s">
        <v>313</v>
      </c>
      <c r="F85" s="198" t="s">
        <v>314</v>
      </c>
      <c r="G85" s="177" t="s">
        <v>36</v>
      </c>
      <c r="H85" s="169" t="s">
        <v>205</v>
      </c>
      <c r="I85" s="177" t="s">
        <v>155</v>
      </c>
      <c r="J85" s="177" t="s">
        <v>249</v>
      </c>
      <c r="K85" s="177" t="s">
        <v>68</v>
      </c>
      <c r="L85" s="169">
        <v>3</v>
      </c>
      <c r="N85" s="169">
        <v>5</v>
      </c>
      <c r="O85" s="169">
        <v>0.65</v>
      </c>
      <c r="P85" s="169">
        <v>0.5</v>
      </c>
      <c r="Q85" s="206">
        <f t="shared" si="5"/>
        <v>0.57499999999999996</v>
      </c>
      <c r="R85" s="169">
        <v>12.1</v>
      </c>
      <c r="S85" s="169">
        <v>62</v>
      </c>
      <c r="T85" s="178">
        <f t="shared" si="6"/>
        <v>50</v>
      </c>
      <c r="U85" s="169">
        <v>330</v>
      </c>
      <c r="V85" s="178">
        <f t="shared" si="7"/>
        <v>3300</v>
      </c>
      <c r="W85" s="169">
        <v>1</v>
      </c>
      <c r="X85" s="177" t="s">
        <v>46</v>
      </c>
      <c r="Y85" s="177" t="s">
        <v>55</v>
      </c>
      <c r="Z85" s="177" t="s">
        <v>69</v>
      </c>
      <c r="AA85" s="169" t="s">
        <v>86</v>
      </c>
      <c r="AB85" s="177" t="s">
        <v>327</v>
      </c>
    </row>
    <row r="86" spans="1:28" x14ac:dyDescent="0.15">
      <c r="A86" s="177" t="s">
        <v>34</v>
      </c>
      <c r="B86" s="169" t="s">
        <v>325</v>
      </c>
      <c r="C86" s="169">
        <v>2018</v>
      </c>
      <c r="D86" s="211" t="s">
        <v>387</v>
      </c>
      <c r="E86" s="198" t="s">
        <v>315</v>
      </c>
      <c r="F86" s="198" t="s">
        <v>316</v>
      </c>
      <c r="G86" s="177" t="s">
        <v>36</v>
      </c>
      <c r="H86" s="169" t="s">
        <v>157</v>
      </c>
      <c r="I86" s="177" t="s">
        <v>155</v>
      </c>
      <c r="J86" s="177" t="s">
        <v>38</v>
      </c>
      <c r="K86" s="177" t="s">
        <v>156</v>
      </c>
      <c r="L86" s="177">
        <v>1</v>
      </c>
      <c r="N86" s="169">
        <v>1</v>
      </c>
      <c r="O86" s="169">
        <v>0.7</v>
      </c>
      <c r="P86" s="169">
        <v>0.7</v>
      </c>
      <c r="Q86" s="206">
        <f t="shared" si="5"/>
        <v>0.7</v>
      </c>
      <c r="R86" s="169">
        <v>14.7</v>
      </c>
      <c r="S86" s="169">
        <v>172</v>
      </c>
      <c r="T86" s="178">
        <f t="shared" si="6"/>
        <v>18</v>
      </c>
      <c r="U86" s="169">
        <v>149</v>
      </c>
      <c r="V86" s="178">
        <f t="shared" si="7"/>
        <v>2682</v>
      </c>
      <c r="W86" s="169">
        <v>5</v>
      </c>
      <c r="X86" s="177" t="s">
        <v>46</v>
      </c>
      <c r="Y86" s="177" t="s">
        <v>55</v>
      </c>
      <c r="Z86" s="177" t="s">
        <v>69</v>
      </c>
      <c r="AA86" s="169" t="s">
        <v>86</v>
      </c>
      <c r="AB86" s="177" t="s">
        <v>327</v>
      </c>
    </row>
    <row r="87" spans="1:28" x14ac:dyDescent="0.15">
      <c r="A87" s="177" t="s">
        <v>34</v>
      </c>
      <c r="B87" s="169" t="s">
        <v>325</v>
      </c>
      <c r="C87" s="169">
        <v>2018</v>
      </c>
      <c r="D87" s="211" t="s">
        <v>387</v>
      </c>
      <c r="E87" s="198" t="s">
        <v>315</v>
      </c>
      <c r="F87" s="198" t="s">
        <v>316</v>
      </c>
      <c r="G87" s="177" t="s">
        <v>36</v>
      </c>
      <c r="H87" s="169" t="s">
        <v>157</v>
      </c>
      <c r="I87" s="177" t="s">
        <v>155</v>
      </c>
      <c r="J87" s="177" t="s">
        <v>38</v>
      </c>
      <c r="K87" s="177" t="s">
        <v>156</v>
      </c>
      <c r="L87" s="169">
        <v>2</v>
      </c>
      <c r="N87" s="169">
        <v>1</v>
      </c>
      <c r="O87" s="169">
        <v>0.65</v>
      </c>
      <c r="P87" s="169">
        <v>0.75</v>
      </c>
      <c r="Q87" s="206">
        <f t="shared" si="5"/>
        <v>0.7</v>
      </c>
      <c r="R87" s="169">
        <v>14.8</v>
      </c>
      <c r="S87" s="169">
        <v>168</v>
      </c>
      <c r="T87" s="178">
        <f t="shared" si="6"/>
        <v>18</v>
      </c>
      <c r="U87" s="169">
        <v>149</v>
      </c>
      <c r="V87" s="178">
        <f t="shared" si="7"/>
        <v>2682</v>
      </c>
      <c r="W87" s="169">
        <v>5</v>
      </c>
      <c r="X87" s="177" t="s">
        <v>46</v>
      </c>
      <c r="Y87" s="177" t="s">
        <v>55</v>
      </c>
      <c r="Z87" s="177" t="s">
        <v>69</v>
      </c>
      <c r="AA87" s="169" t="s">
        <v>86</v>
      </c>
      <c r="AB87" s="177" t="s">
        <v>327</v>
      </c>
    </row>
    <row r="88" spans="1:28" x14ac:dyDescent="0.15">
      <c r="A88" s="177" t="s">
        <v>34</v>
      </c>
      <c r="B88" s="169" t="s">
        <v>325</v>
      </c>
      <c r="C88" s="169">
        <v>2018</v>
      </c>
      <c r="D88" s="211" t="s">
        <v>387</v>
      </c>
      <c r="E88" s="198" t="s">
        <v>315</v>
      </c>
      <c r="F88" s="198" t="s">
        <v>316</v>
      </c>
      <c r="G88" s="177" t="s">
        <v>36</v>
      </c>
      <c r="H88" s="169" t="s">
        <v>157</v>
      </c>
      <c r="I88" s="177" t="s">
        <v>155</v>
      </c>
      <c r="J88" s="177" t="s">
        <v>38</v>
      </c>
      <c r="K88" s="177" t="s">
        <v>156</v>
      </c>
      <c r="L88" s="169">
        <v>3</v>
      </c>
      <c r="N88" s="169">
        <v>1</v>
      </c>
      <c r="O88" s="169">
        <v>0.55000000000000004</v>
      </c>
      <c r="P88" s="169">
        <v>0.2</v>
      </c>
      <c r="Q88" s="206">
        <f t="shared" si="5"/>
        <v>0.375</v>
      </c>
      <c r="R88" s="169">
        <v>15.1</v>
      </c>
      <c r="S88" s="169">
        <v>169</v>
      </c>
      <c r="T88" s="178">
        <f t="shared" si="6"/>
        <v>18</v>
      </c>
      <c r="U88" s="169">
        <v>149</v>
      </c>
      <c r="V88" s="178">
        <f t="shared" si="7"/>
        <v>2682</v>
      </c>
      <c r="W88" s="169">
        <v>5</v>
      </c>
      <c r="X88" s="177" t="s">
        <v>46</v>
      </c>
      <c r="Y88" s="177" t="s">
        <v>55</v>
      </c>
      <c r="Z88" s="177" t="s">
        <v>69</v>
      </c>
      <c r="AA88" s="169" t="s">
        <v>86</v>
      </c>
      <c r="AB88" s="177" t="s">
        <v>327</v>
      </c>
    </row>
    <row r="89" spans="1:28" x14ac:dyDescent="0.15">
      <c r="A89" s="177" t="s">
        <v>34</v>
      </c>
      <c r="B89" s="169" t="s">
        <v>325</v>
      </c>
      <c r="C89" s="169">
        <v>2018</v>
      </c>
      <c r="D89" s="211" t="s">
        <v>387</v>
      </c>
      <c r="E89" s="198" t="s">
        <v>315</v>
      </c>
      <c r="F89" s="198" t="s">
        <v>316</v>
      </c>
      <c r="G89" s="177" t="s">
        <v>36</v>
      </c>
      <c r="H89" s="169" t="s">
        <v>157</v>
      </c>
      <c r="I89" s="177" t="s">
        <v>155</v>
      </c>
      <c r="J89" s="177" t="s">
        <v>38</v>
      </c>
      <c r="K89" s="177" t="s">
        <v>156</v>
      </c>
      <c r="L89" s="177">
        <v>1</v>
      </c>
      <c r="N89" s="169">
        <v>7</v>
      </c>
      <c r="O89" s="169">
        <v>0.55000000000000004</v>
      </c>
      <c r="P89" s="169">
        <v>0.75</v>
      </c>
      <c r="Q89" s="206">
        <f t="shared" si="5"/>
        <v>0.65</v>
      </c>
      <c r="R89" s="169">
        <v>14.9</v>
      </c>
      <c r="S89" s="169">
        <v>151</v>
      </c>
      <c r="T89" s="178">
        <f t="shared" si="6"/>
        <v>30</v>
      </c>
      <c r="U89" s="169">
        <v>1002</v>
      </c>
      <c r="V89" s="178">
        <f t="shared" si="7"/>
        <v>4294.2857142857138</v>
      </c>
      <c r="W89" s="169">
        <v>5</v>
      </c>
      <c r="X89" s="177" t="s">
        <v>46</v>
      </c>
      <c r="Y89" s="177" t="s">
        <v>55</v>
      </c>
      <c r="Z89" s="177" t="s">
        <v>69</v>
      </c>
      <c r="AA89" s="169" t="s">
        <v>86</v>
      </c>
      <c r="AB89" s="177" t="s">
        <v>327</v>
      </c>
    </row>
    <row r="90" spans="1:28" x14ac:dyDescent="0.15">
      <c r="A90" s="177" t="s">
        <v>34</v>
      </c>
      <c r="B90" s="169" t="s">
        <v>325</v>
      </c>
      <c r="C90" s="169">
        <v>2018</v>
      </c>
      <c r="D90" s="211" t="s">
        <v>387</v>
      </c>
      <c r="E90" s="198" t="s">
        <v>315</v>
      </c>
      <c r="F90" s="198" t="s">
        <v>316</v>
      </c>
      <c r="G90" s="177" t="s">
        <v>36</v>
      </c>
      <c r="H90" s="169" t="s">
        <v>157</v>
      </c>
      <c r="I90" s="177" t="s">
        <v>155</v>
      </c>
      <c r="J90" s="177" t="s">
        <v>38</v>
      </c>
      <c r="K90" s="177" t="s">
        <v>156</v>
      </c>
      <c r="L90" s="169">
        <v>2</v>
      </c>
      <c r="N90" s="169">
        <v>7</v>
      </c>
      <c r="O90" s="169">
        <v>0.55000000000000004</v>
      </c>
      <c r="P90" s="169">
        <v>0.6</v>
      </c>
      <c r="Q90" s="206">
        <f t="shared" si="5"/>
        <v>0.57499999999999996</v>
      </c>
      <c r="R90" s="169">
        <v>13.7</v>
      </c>
      <c r="S90" s="169">
        <v>150</v>
      </c>
      <c r="T90" s="178">
        <f t="shared" si="6"/>
        <v>30</v>
      </c>
      <c r="U90" s="169">
        <v>1002</v>
      </c>
      <c r="V90" s="178">
        <f t="shared" si="7"/>
        <v>4294.2857142857138</v>
      </c>
      <c r="W90" s="169">
        <v>5</v>
      </c>
      <c r="X90" s="177" t="s">
        <v>46</v>
      </c>
      <c r="Y90" s="177" t="s">
        <v>55</v>
      </c>
      <c r="Z90" s="177" t="s">
        <v>69</v>
      </c>
      <c r="AA90" s="169" t="s">
        <v>86</v>
      </c>
      <c r="AB90" s="177" t="s">
        <v>327</v>
      </c>
    </row>
    <row r="91" spans="1:28" x14ac:dyDescent="0.15">
      <c r="A91" s="177" t="s">
        <v>34</v>
      </c>
      <c r="B91" s="169" t="s">
        <v>325</v>
      </c>
      <c r="C91" s="169">
        <v>2018</v>
      </c>
      <c r="D91" s="211" t="s">
        <v>387</v>
      </c>
      <c r="E91" s="198" t="s">
        <v>315</v>
      </c>
      <c r="F91" s="198" t="s">
        <v>316</v>
      </c>
      <c r="G91" s="177" t="s">
        <v>36</v>
      </c>
      <c r="H91" s="169" t="s">
        <v>157</v>
      </c>
      <c r="I91" s="177" t="s">
        <v>155</v>
      </c>
      <c r="J91" s="177" t="s">
        <v>38</v>
      </c>
      <c r="K91" s="177" t="s">
        <v>156</v>
      </c>
      <c r="L91" s="169">
        <v>3</v>
      </c>
      <c r="N91" s="169">
        <v>7</v>
      </c>
      <c r="O91" s="169">
        <v>0.5</v>
      </c>
      <c r="P91" s="169">
        <v>0.7</v>
      </c>
      <c r="Q91" s="206">
        <f t="shared" si="5"/>
        <v>0.6</v>
      </c>
      <c r="R91" s="169">
        <v>15.1</v>
      </c>
      <c r="S91" s="169">
        <v>159</v>
      </c>
      <c r="T91" s="178">
        <f t="shared" si="6"/>
        <v>18</v>
      </c>
      <c r="U91" s="169">
        <v>1002</v>
      </c>
      <c r="V91" s="178">
        <f t="shared" si="7"/>
        <v>2576.5714285714284</v>
      </c>
      <c r="W91" s="169">
        <v>5</v>
      </c>
      <c r="X91" s="177" t="s">
        <v>46</v>
      </c>
      <c r="Y91" s="177" t="s">
        <v>55</v>
      </c>
      <c r="Z91" s="177" t="s">
        <v>69</v>
      </c>
      <c r="AA91" s="169" t="s">
        <v>86</v>
      </c>
      <c r="AB91" s="177" t="s">
        <v>327</v>
      </c>
    </row>
    <row r="92" spans="1:28" x14ac:dyDescent="0.15">
      <c r="A92" s="177" t="s">
        <v>34</v>
      </c>
      <c r="B92" s="169" t="s">
        <v>325</v>
      </c>
      <c r="C92" s="169">
        <v>2018</v>
      </c>
      <c r="D92" s="211" t="s">
        <v>387</v>
      </c>
      <c r="E92" s="198" t="s">
        <v>315</v>
      </c>
      <c r="F92" s="198" t="s">
        <v>316</v>
      </c>
      <c r="G92" s="177" t="s">
        <v>36</v>
      </c>
      <c r="H92" s="169" t="s">
        <v>157</v>
      </c>
      <c r="I92" s="177" t="s">
        <v>155</v>
      </c>
      <c r="J92" s="177" t="s">
        <v>38</v>
      </c>
      <c r="K92" s="177" t="s">
        <v>156</v>
      </c>
      <c r="L92" s="177">
        <v>1</v>
      </c>
      <c r="N92" s="169">
        <v>8</v>
      </c>
      <c r="O92" s="169">
        <v>0.2</v>
      </c>
      <c r="P92" s="169">
        <v>0.45</v>
      </c>
      <c r="Q92" s="206">
        <f t="shared" si="5"/>
        <v>0.32500000000000001</v>
      </c>
      <c r="R92" s="169">
        <v>12.9</v>
      </c>
      <c r="S92" s="169">
        <v>80</v>
      </c>
      <c r="T92" s="178">
        <f t="shared" si="6"/>
        <v>39</v>
      </c>
      <c r="U92" s="169">
        <v>598</v>
      </c>
      <c r="V92" s="178">
        <f t="shared" si="7"/>
        <v>2915.25</v>
      </c>
      <c r="W92" s="169">
        <v>5</v>
      </c>
      <c r="X92" s="177" t="s">
        <v>46</v>
      </c>
      <c r="Y92" s="177" t="s">
        <v>55</v>
      </c>
      <c r="Z92" s="177" t="s">
        <v>69</v>
      </c>
      <c r="AA92" s="169" t="s">
        <v>86</v>
      </c>
      <c r="AB92" s="177" t="s">
        <v>327</v>
      </c>
    </row>
    <row r="93" spans="1:28" x14ac:dyDescent="0.15">
      <c r="A93" s="177" t="s">
        <v>34</v>
      </c>
      <c r="B93" s="169" t="s">
        <v>325</v>
      </c>
      <c r="C93" s="169">
        <v>2018</v>
      </c>
      <c r="D93" s="211" t="s">
        <v>387</v>
      </c>
      <c r="E93" s="198" t="s">
        <v>315</v>
      </c>
      <c r="F93" s="198" t="s">
        <v>316</v>
      </c>
      <c r="G93" s="177" t="s">
        <v>36</v>
      </c>
      <c r="H93" s="169" t="s">
        <v>157</v>
      </c>
      <c r="I93" s="177" t="s">
        <v>155</v>
      </c>
      <c r="J93" s="177" t="s">
        <v>38</v>
      </c>
      <c r="K93" s="177" t="s">
        <v>156</v>
      </c>
      <c r="L93" s="169">
        <v>2</v>
      </c>
      <c r="N93" s="169">
        <v>8</v>
      </c>
      <c r="O93" s="169">
        <v>0.5</v>
      </c>
      <c r="P93" s="169">
        <v>0.55000000000000004</v>
      </c>
      <c r="Q93" s="206">
        <f t="shared" si="5"/>
        <v>0.52500000000000002</v>
      </c>
      <c r="R93" s="169">
        <v>10.1</v>
      </c>
      <c r="S93" s="169">
        <v>84</v>
      </c>
      <c r="T93" s="178">
        <f t="shared" si="6"/>
        <v>36</v>
      </c>
      <c r="U93" s="169">
        <v>598</v>
      </c>
      <c r="V93" s="178">
        <f t="shared" si="7"/>
        <v>2691</v>
      </c>
      <c r="W93" s="169">
        <v>5</v>
      </c>
      <c r="X93" s="177" t="s">
        <v>46</v>
      </c>
      <c r="Y93" s="177" t="s">
        <v>55</v>
      </c>
      <c r="Z93" s="177" t="s">
        <v>69</v>
      </c>
      <c r="AA93" s="169" t="s">
        <v>86</v>
      </c>
      <c r="AB93" s="177" t="s">
        <v>327</v>
      </c>
    </row>
    <row r="94" spans="1:28" x14ac:dyDescent="0.15">
      <c r="A94" s="177" t="s">
        <v>34</v>
      </c>
      <c r="B94" s="169" t="s">
        <v>325</v>
      </c>
      <c r="C94" s="169">
        <v>2018</v>
      </c>
      <c r="D94" s="211" t="s">
        <v>387</v>
      </c>
      <c r="E94" s="198" t="s">
        <v>315</v>
      </c>
      <c r="F94" s="198" t="s">
        <v>316</v>
      </c>
      <c r="G94" s="177" t="s">
        <v>36</v>
      </c>
      <c r="H94" s="169" t="s">
        <v>157</v>
      </c>
      <c r="I94" s="177" t="s">
        <v>155</v>
      </c>
      <c r="J94" s="177" t="s">
        <v>38</v>
      </c>
      <c r="K94" s="177" t="s">
        <v>156</v>
      </c>
      <c r="L94" s="169">
        <v>3</v>
      </c>
      <c r="N94" s="169">
        <v>8</v>
      </c>
      <c r="O94" s="169">
        <v>0.55000000000000004</v>
      </c>
      <c r="P94" s="169">
        <v>0.55000000000000004</v>
      </c>
      <c r="Q94" s="206">
        <f t="shared" si="5"/>
        <v>0.55000000000000004</v>
      </c>
      <c r="R94" s="169">
        <v>12.5</v>
      </c>
      <c r="S94" s="169">
        <v>79</v>
      </c>
      <c r="T94" s="178">
        <f t="shared" si="6"/>
        <v>39</v>
      </c>
      <c r="U94" s="169">
        <v>598</v>
      </c>
      <c r="V94" s="178">
        <f t="shared" si="7"/>
        <v>2915.25</v>
      </c>
      <c r="W94" s="169">
        <v>5</v>
      </c>
      <c r="X94" s="177" t="s">
        <v>46</v>
      </c>
      <c r="Y94" s="177" t="s">
        <v>55</v>
      </c>
      <c r="Z94" s="177" t="s">
        <v>69</v>
      </c>
      <c r="AA94" s="169" t="s">
        <v>86</v>
      </c>
      <c r="AB94" s="177" t="s">
        <v>327</v>
      </c>
    </row>
    <row r="95" spans="1:28" x14ac:dyDescent="0.15">
      <c r="A95" s="177" t="s">
        <v>34</v>
      </c>
      <c r="B95" s="169" t="s">
        <v>325</v>
      </c>
      <c r="C95" s="169">
        <v>2018</v>
      </c>
      <c r="D95" s="211" t="s">
        <v>387</v>
      </c>
      <c r="E95" s="198" t="s">
        <v>315</v>
      </c>
      <c r="F95" s="198" t="s">
        <v>316</v>
      </c>
      <c r="G95" s="177" t="s">
        <v>36</v>
      </c>
      <c r="H95" s="169" t="s">
        <v>167</v>
      </c>
      <c r="I95" s="177" t="s">
        <v>155</v>
      </c>
      <c r="J95" s="177" t="s">
        <v>38</v>
      </c>
      <c r="K95" s="177" t="s">
        <v>156</v>
      </c>
      <c r="L95" s="177">
        <v>1</v>
      </c>
      <c r="N95" s="169">
        <v>1</v>
      </c>
      <c r="O95" s="169">
        <v>0.6</v>
      </c>
      <c r="P95" s="169">
        <v>0.6</v>
      </c>
      <c r="Q95" s="206">
        <f t="shared" si="5"/>
        <v>0.6</v>
      </c>
      <c r="R95" s="169">
        <v>15.2</v>
      </c>
      <c r="S95" s="169">
        <v>157</v>
      </c>
      <c r="T95" s="178">
        <f t="shared" si="6"/>
        <v>18</v>
      </c>
      <c r="U95" s="169">
        <v>170</v>
      </c>
      <c r="V95" s="178">
        <f t="shared" si="7"/>
        <v>3060</v>
      </c>
      <c r="W95" s="169">
        <v>5</v>
      </c>
      <c r="X95" s="177" t="s">
        <v>46</v>
      </c>
      <c r="Y95" s="177" t="s">
        <v>55</v>
      </c>
      <c r="Z95" s="177" t="s">
        <v>69</v>
      </c>
      <c r="AA95" s="169" t="s">
        <v>86</v>
      </c>
      <c r="AB95" s="177" t="s">
        <v>327</v>
      </c>
    </row>
    <row r="96" spans="1:28" x14ac:dyDescent="0.15">
      <c r="A96" s="177" t="s">
        <v>34</v>
      </c>
      <c r="B96" s="169" t="s">
        <v>325</v>
      </c>
      <c r="C96" s="169">
        <v>2018</v>
      </c>
      <c r="D96" s="211" t="s">
        <v>387</v>
      </c>
      <c r="E96" s="198" t="s">
        <v>315</v>
      </c>
      <c r="F96" s="198" t="s">
        <v>316</v>
      </c>
      <c r="G96" s="177" t="s">
        <v>36</v>
      </c>
      <c r="H96" s="169" t="s">
        <v>167</v>
      </c>
      <c r="I96" s="177" t="s">
        <v>155</v>
      </c>
      <c r="J96" s="177" t="s">
        <v>38</v>
      </c>
      <c r="K96" s="177" t="s">
        <v>156</v>
      </c>
      <c r="L96" s="169">
        <v>2</v>
      </c>
      <c r="N96" s="169">
        <v>1</v>
      </c>
      <c r="O96" s="169">
        <v>0.5</v>
      </c>
      <c r="P96" s="169">
        <v>0.55000000000000004</v>
      </c>
      <c r="Q96" s="206">
        <f t="shared" si="5"/>
        <v>0.52500000000000002</v>
      </c>
      <c r="R96" s="169">
        <v>20.2</v>
      </c>
      <c r="S96" s="169">
        <v>154</v>
      </c>
      <c r="T96" s="178">
        <f t="shared" si="6"/>
        <v>18</v>
      </c>
      <c r="U96" s="169">
        <v>170</v>
      </c>
      <c r="V96" s="178">
        <f t="shared" si="7"/>
        <v>3060</v>
      </c>
      <c r="W96" s="169">
        <v>5</v>
      </c>
      <c r="X96" s="177" t="s">
        <v>46</v>
      </c>
      <c r="Y96" s="177" t="s">
        <v>55</v>
      </c>
      <c r="Z96" s="177" t="s">
        <v>69</v>
      </c>
      <c r="AA96" s="169" t="s">
        <v>86</v>
      </c>
      <c r="AB96" s="177" t="s">
        <v>327</v>
      </c>
    </row>
    <row r="97" spans="1:28" x14ac:dyDescent="0.15">
      <c r="A97" s="177" t="s">
        <v>34</v>
      </c>
      <c r="B97" s="169" t="s">
        <v>325</v>
      </c>
      <c r="C97" s="169">
        <v>2018</v>
      </c>
      <c r="D97" s="211" t="s">
        <v>387</v>
      </c>
      <c r="E97" s="198" t="s">
        <v>315</v>
      </c>
      <c r="F97" s="198" t="s">
        <v>316</v>
      </c>
      <c r="G97" s="177" t="s">
        <v>36</v>
      </c>
      <c r="H97" s="169" t="s">
        <v>167</v>
      </c>
      <c r="I97" s="177" t="s">
        <v>155</v>
      </c>
      <c r="J97" s="177" t="s">
        <v>38</v>
      </c>
      <c r="K97" s="177" t="s">
        <v>156</v>
      </c>
      <c r="L97" s="169">
        <v>3</v>
      </c>
      <c r="N97" s="169">
        <v>1</v>
      </c>
      <c r="O97" s="169">
        <v>0.2</v>
      </c>
      <c r="P97" s="169">
        <v>0.2</v>
      </c>
      <c r="Q97" s="206">
        <f t="shared" si="5"/>
        <v>0.2</v>
      </c>
      <c r="R97" s="169">
        <v>17</v>
      </c>
      <c r="S97" s="169">
        <v>151</v>
      </c>
      <c r="T97" s="178">
        <f t="shared" si="6"/>
        <v>30</v>
      </c>
      <c r="U97" s="169">
        <v>170</v>
      </c>
      <c r="V97" s="178">
        <f t="shared" si="7"/>
        <v>5100</v>
      </c>
      <c r="W97" s="169">
        <v>5</v>
      </c>
      <c r="X97" s="177" t="s">
        <v>46</v>
      </c>
      <c r="Y97" s="177" t="s">
        <v>55</v>
      </c>
      <c r="Z97" s="177" t="s">
        <v>69</v>
      </c>
      <c r="AA97" s="169" t="s">
        <v>86</v>
      </c>
      <c r="AB97" s="177" t="s">
        <v>327</v>
      </c>
    </row>
    <row r="98" spans="1:28" x14ac:dyDescent="0.15">
      <c r="A98" s="177" t="s">
        <v>34</v>
      </c>
      <c r="B98" s="169" t="s">
        <v>325</v>
      </c>
      <c r="C98" s="169">
        <v>2018</v>
      </c>
      <c r="D98" s="211" t="s">
        <v>387</v>
      </c>
      <c r="E98" s="198" t="s">
        <v>315</v>
      </c>
      <c r="F98" s="198" t="s">
        <v>316</v>
      </c>
      <c r="G98" s="177" t="s">
        <v>36</v>
      </c>
      <c r="H98" s="169" t="s">
        <v>167</v>
      </c>
      <c r="I98" s="177" t="s">
        <v>155</v>
      </c>
      <c r="J98" s="177" t="s">
        <v>38</v>
      </c>
      <c r="K98" s="177" t="s">
        <v>156</v>
      </c>
      <c r="L98" s="177">
        <v>1</v>
      </c>
      <c r="N98" s="169">
        <v>3</v>
      </c>
      <c r="O98" s="169">
        <v>0.8</v>
      </c>
      <c r="P98" s="169">
        <v>0.8</v>
      </c>
      <c r="Q98" s="206">
        <f t="shared" si="5"/>
        <v>0.8</v>
      </c>
      <c r="R98" s="169">
        <v>14.7</v>
      </c>
      <c r="S98" s="169">
        <v>140</v>
      </c>
      <c r="T98" s="178">
        <f t="shared" si="6"/>
        <v>30</v>
      </c>
      <c r="U98" s="169">
        <v>486</v>
      </c>
      <c r="V98" s="178">
        <f t="shared" si="7"/>
        <v>4860</v>
      </c>
      <c r="W98" s="169">
        <v>5</v>
      </c>
      <c r="X98" s="177" t="s">
        <v>46</v>
      </c>
      <c r="Y98" s="177" t="s">
        <v>55</v>
      </c>
      <c r="Z98" s="177" t="s">
        <v>69</v>
      </c>
      <c r="AA98" s="169" t="s">
        <v>86</v>
      </c>
      <c r="AB98" s="177" t="s">
        <v>327</v>
      </c>
    </row>
    <row r="99" spans="1:28" x14ac:dyDescent="0.15">
      <c r="A99" s="177" t="s">
        <v>34</v>
      </c>
      <c r="B99" s="169" t="s">
        <v>325</v>
      </c>
      <c r="C99" s="169">
        <v>2018</v>
      </c>
      <c r="D99" s="211" t="s">
        <v>387</v>
      </c>
      <c r="E99" s="198" t="s">
        <v>315</v>
      </c>
      <c r="F99" s="198" t="s">
        <v>316</v>
      </c>
      <c r="G99" s="177" t="s">
        <v>36</v>
      </c>
      <c r="H99" s="169" t="s">
        <v>167</v>
      </c>
      <c r="I99" s="177" t="s">
        <v>155</v>
      </c>
      <c r="J99" s="177" t="s">
        <v>38</v>
      </c>
      <c r="K99" s="177" t="s">
        <v>156</v>
      </c>
      <c r="L99" s="169">
        <v>2</v>
      </c>
      <c r="N99" s="169">
        <v>3</v>
      </c>
      <c r="O99" s="169">
        <v>0.45</v>
      </c>
      <c r="P99" s="169">
        <v>0.55000000000000004</v>
      </c>
      <c r="Q99" s="206">
        <f t="shared" si="5"/>
        <v>0.5</v>
      </c>
      <c r="R99" s="169">
        <v>15.4</v>
      </c>
      <c r="S99" s="169">
        <v>156</v>
      </c>
      <c r="T99" s="178">
        <f t="shared" si="6"/>
        <v>18</v>
      </c>
      <c r="U99" s="169">
        <v>486</v>
      </c>
      <c r="V99" s="178">
        <f t="shared" si="7"/>
        <v>2916</v>
      </c>
      <c r="W99" s="169">
        <v>5</v>
      </c>
      <c r="X99" s="177" t="s">
        <v>46</v>
      </c>
      <c r="Y99" s="177" t="s">
        <v>55</v>
      </c>
      <c r="Z99" s="177" t="s">
        <v>69</v>
      </c>
      <c r="AA99" s="169" t="s">
        <v>86</v>
      </c>
      <c r="AB99" s="177" t="s">
        <v>327</v>
      </c>
    </row>
    <row r="100" spans="1:28" x14ac:dyDescent="0.15">
      <c r="A100" s="177" t="s">
        <v>34</v>
      </c>
      <c r="B100" s="169" t="s">
        <v>325</v>
      </c>
      <c r="C100" s="169">
        <v>2018</v>
      </c>
      <c r="D100" s="211" t="s">
        <v>387</v>
      </c>
      <c r="E100" s="198" t="s">
        <v>315</v>
      </c>
      <c r="F100" s="198" t="s">
        <v>316</v>
      </c>
      <c r="G100" s="177" t="s">
        <v>36</v>
      </c>
      <c r="H100" s="169" t="s">
        <v>167</v>
      </c>
      <c r="I100" s="177" t="s">
        <v>155</v>
      </c>
      <c r="J100" s="177" t="s">
        <v>38</v>
      </c>
      <c r="K100" s="177" t="s">
        <v>156</v>
      </c>
      <c r="L100" s="169">
        <v>3</v>
      </c>
      <c r="N100" s="169">
        <v>3</v>
      </c>
      <c r="O100" s="169">
        <v>0.45</v>
      </c>
      <c r="P100" s="169">
        <v>0.5</v>
      </c>
      <c r="Q100" s="206">
        <f t="shared" si="5"/>
        <v>0.47499999999999998</v>
      </c>
      <c r="R100" s="169">
        <v>22</v>
      </c>
      <c r="S100" s="169">
        <v>148</v>
      </c>
      <c r="T100" s="178">
        <f t="shared" si="6"/>
        <v>30</v>
      </c>
      <c r="U100" s="169">
        <v>486</v>
      </c>
      <c r="V100" s="178">
        <f t="shared" si="7"/>
        <v>4860</v>
      </c>
      <c r="W100" s="169">
        <v>5</v>
      </c>
      <c r="X100" s="177" t="s">
        <v>46</v>
      </c>
      <c r="Y100" s="177" t="s">
        <v>55</v>
      </c>
      <c r="Z100" s="177" t="s">
        <v>69</v>
      </c>
      <c r="AA100" s="169" t="s">
        <v>86</v>
      </c>
      <c r="AB100" s="177" t="s">
        <v>327</v>
      </c>
    </row>
    <row r="101" spans="1:28" x14ac:dyDescent="0.15">
      <c r="A101" s="177" t="s">
        <v>34</v>
      </c>
      <c r="B101" s="169" t="s">
        <v>325</v>
      </c>
      <c r="C101" s="169">
        <v>2018</v>
      </c>
      <c r="D101" s="211" t="s">
        <v>387</v>
      </c>
      <c r="E101" s="198" t="s">
        <v>315</v>
      </c>
      <c r="F101" s="198" t="s">
        <v>316</v>
      </c>
      <c r="G101" s="177" t="s">
        <v>36</v>
      </c>
      <c r="H101" s="169" t="s">
        <v>167</v>
      </c>
      <c r="I101" s="177" t="s">
        <v>155</v>
      </c>
      <c r="J101" s="177" t="s">
        <v>38</v>
      </c>
      <c r="K101" s="177" t="s">
        <v>156</v>
      </c>
      <c r="L101" s="177">
        <v>1</v>
      </c>
      <c r="N101" s="169">
        <v>5</v>
      </c>
      <c r="O101" s="169">
        <v>0.45</v>
      </c>
      <c r="P101" s="169">
        <v>0.45</v>
      </c>
      <c r="Q101" s="206">
        <f t="shared" si="5"/>
        <v>0.45</v>
      </c>
      <c r="R101" s="169">
        <v>13.5</v>
      </c>
      <c r="S101" s="169">
        <v>87</v>
      </c>
      <c r="T101" s="178">
        <f t="shared" si="6"/>
        <v>36</v>
      </c>
      <c r="U101" s="169">
        <v>537</v>
      </c>
      <c r="V101" s="178">
        <f t="shared" si="7"/>
        <v>3866.4</v>
      </c>
      <c r="W101" s="169">
        <v>1</v>
      </c>
      <c r="X101" s="177" t="s">
        <v>46</v>
      </c>
      <c r="Y101" s="177" t="s">
        <v>55</v>
      </c>
      <c r="Z101" s="177" t="s">
        <v>69</v>
      </c>
      <c r="AA101" s="169" t="s">
        <v>86</v>
      </c>
      <c r="AB101" s="177" t="s">
        <v>327</v>
      </c>
    </row>
    <row r="102" spans="1:28" x14ac:dyDescent="0.15">
      <c r="A102" s="177" t="s">
        <v>34</v>
      </c>
      <c r="B102" s="169" t="s">
        <v>325</v>
      </c>
      <c r="C102" s="169">
        <v>2018</v>
      </c>
      <c r="D102" s="211" t="s">
        <v>387</v>
      </c>
      <c r="E102" s="198" t="s">
        <v>315</v>
      </c>
      <c r="F102" s="198" t="s">
        <v>316</v>
      </c>
      <c r="G102" s="177" t="s">
        <v>36</v>
      </c>
      <c r="H102" s="169" t="s">
        <v>167</v>
      </c>
      <c r="I102" s="177" t="s">
        <v>155</v>
      </c>
      <c r="J102" s="177" t="s">
        <v>38</v>
      </c>
      <c r="K102" s="177" t="s">
        <v>156</v>
      </c>
      <c r="L102" s="169">
        <v>2</v>
      </c>
      <c r="N102" s="169">
        <v>5</v>
      </c>
      <c r="O102" s="169">
        <v>0.6</v>
      </c>
      <c r="P102" s="169">
        <v>0.7</v>
      </c>
      <c r="Q102" s="206">
        <f t="shared" si="5"/>
        <v>0.64999999999999991</v>
      </c>
      <c r="R102" s="169">
        <v>13.9</v>
      </c>
      <c r="S102" s="169">
        <v>84</v>
      </c>
      <c r="T102" s="178">
        <f t="shared" si="6"/>
        <v>36</v>
      </c>
      <c r="U102" s="169">
        <v>537</v>
      </c>
      <c r="V102" s="178">
        <f t="shared" si="7"/>
        <v>3866.4</v>
      </c>
      <c r="W102" s="169">
        <v>1</v>
      </c>
      <c r="X102" s="177" t="s">
        <v>46</v>
      </c>
      <c r="Y102" s="177" t="s">
        <v>55</v>
      </c>
      <c r="Z102" s="177" t="s">
        <v>69</v>
      </c>
      <c r="AA102" s="169" t="s">
        <v>86</v>
      </c>
      <c r="AB102" s="177" t="s">
        <v>327</v>
      </c>
    </row>
    <row r="103" spans="1:28" x14ac:dyDescent="0.15">
      <c r="A103" s="177" t="s">
        <v>34</v>
      </c>
      <c r="B103" s="169" t="s">
        <v>325</v>
      </c>
      <c r="C103" s="169">
        <v>2018</v>
      </c>
      <c r="D103" s="211" t="s">
        <v>387</v>
      </c>
      <c r="E103" s="198" t="s">
        <v>315</v>
      </c>
      <c r="F103" s="198" t="s">
        <v>316</v>
      </c>
      <c r="G103" s="177" t="s">
        <v>36</v>
      </c>
      <c r="H103" s="169" t="s">
        <v>167</v>
      </c>
      <c r="I103" s="177" t="s">
        <v>155</v>
      </c>
      <c r="J103" s="177" t="s">
        <v>38</v>
      </c>
      <c r="K103" s="177" t="s">
        <v>156</v>
      </c>
      <c r="L103" s="169">
        <v>3</v>
      </c>
      <c r="N103" s="169">
        <v>5</v>
      </c>
      <c r="O103" s="169">
        <v>0.5</v>
      </c>
      <c r="P103" s="169">
        <v>0.5</v>
      </c>
      <c r="Q103" s="206">
        <f t="shared" si="5"/>
        <v>0.5</v>
      </c>
      <c r="R103" s="169">
        <v>11.7</v>
      </c>
      <c r="S103" s="169">
        <v>89</v>
      </c>
      <c r="T103" s="178">
        <f t="shared" si="6"/>
        <v>36</v>
      </c>
      <c r="U103" s="169">
        <v>537</v>
      </c>
      <c r="V103" s="178">
        <f t="shared" si="7"/>
        <v>3866.4</v>
      </c>
      <c r="W103" s="169">
        <v>1</v>
      </c>
      <c r="X103" s="177" t="s">
        <v>46</v>
      </c>
      <c r="Y103" s="177" t="s">
        <v>55</v>
      </c>
      <c r="Z103" s="177" t="s">
        <v>69</v>
      </c>
      <c r="AA103" s="169" t="s">
        <v>86</v>
      </c>
      <c r="AB103" s="177" t="s">
        <v>327</v>
      </c>
    </row>
    <row r="104" spans="1:28" x14ac:dyDescent="0.15">
      <c r="A104" s="177" t="s">
        <v>34</v>
      </c>
      <c r="B104" s="169" t="s">
        <v>325</v>
      </c>
      <c r="C104" s="169">
        <v>2018</v>
      </c>
      <c r="D104" s="211" t="s">
        <v>387</v>
      </c>
      <c r="E104" s="198" t="s">
        <v>215</v>
      </c>
      <c r="F104" s="198" t="s">
        <v>317</v>
      </c>
      <c r="G104" s="177" t="s">
        <v>36</v>
      </c>
      <c r="H104" s="169" t="s">
        <v>157</v>
      </c>
      <c r="I104" s="177" t="s">
        <v>155</v>
      </c>
      <c r="J104" s="177" t="s">
        <v>38</v>
      </c>
      <c r="K104" s="177" t="s">
        <v>156</v>
      </c>
      <c r="L104" s="177">
        <v>1</v>
      </c>
      <c r="N104" s="169">
        <v>5</v>
      </c>
      <c r="O104" s="169">
        <v>0.2</v>
      </c>
      <c r="P104" s="169">
        <v>0.2</v>
      </c>
      <c r="Q104" s="206">
        <f t="shared" si="5"/>
        <v>0.2</v>
      </c>
      <c r="R104" s="169">
        <v>10.4</v>
      </c>
      <c r="S104" s="169">
        <v>83</v>
      </c>
      <c r="T104" s="178">
        <f t="shared" si="6"/>
        <v>39</v>
      </c>
      <c r="U104" s="169">
        <v>429</v>
      </c>
      <c r="V104" s="178">
        <f t="shared" si="7"/>
        <v>3346.2</v>
      </c>
      <c r="W104" s="169">
        <v>2</v>
      </c>
      <c r="X104" s="177" t="s">
        <v>46</v>
      </c>
      <c r="Y104" s="169" t="s">
        <v>55</v>
      </c>
      <c r="Z104" s="169" t="s">
        <v>69</v>
      </c>
      <c r="AA104" s="169" t="s">
        <v>97</v>
      </c>
      <c r="AB104" s="177" t="s">
        <v>327</v>
      </c>
    </row>
    <row r="105" spans="1:28" x14ac:dyDescent="0.15">
      <c r="A105" s="177" t="s">
        <v>34</v>
      </c>
      <c r="B105" s="169" t="s">
        <v>325</v>
      </c>
      <c r="C105" s="169">
        <v>2018</v>
      </c>
      <c r="D105" s="211" t="s">
        <v>387</v>
      </c>
      <c r="E105" s="198" t="s">
        <v>215</v>
      </c>
      <c r="F105" s="198" t="s">
        <v>317</v>
      </c>
      <c r="G105" s="177" t="s">
        <v>36</v>
      </c>
      <c r="H105" s="169" t="s">
        <v>157</v>
      </c>
      <c r="I105" s="177" t="s">
        <v>155</v>
      </c>
      <c r="J105" s="177" t="s">
        <v>38</v>
      </c>
      <c r="K105" s="177" t="s">
        <v>156</v>
      </c>
      <c r="L105" s="169">
        <v>2</v>
      </c>
      <c r="N105" s="169">
        <v>5</v>
      </c>
      <c r="O105" s="169">
        <v>0.2</v>
      </c>
      <c r="P105" s="169">
        <v>0.2</v>
      </c>
      <c r="Q105" s="206">
        <f t="shared" si="5"/>
        <v>0.2</v>
      </c>
      <c r="R105" s="169">
        <v>12.5</v>
      </c>
      <c r="S105" s="169">
        <v>83</v>
      </c>
      <c r="T105" s="178">
        <f t="shared" si="6"/>
        <v>39</v>
      </c>
      <c r="U105" s="169">
        <v>429</v>
      </c>
      <c r="V105" s="178">
        <f t="shared" si="7"/>
        <v>3346.2</v>
      </c>
      <c r="W105" s="169">
        <v>2</v>
      </c>
      <c r="X105" s="177" t="s">
        <v>46</v>
      </c>
      <c r="Y105" s="169" t="s">
        <v>55</v>
      </c>
      <c r="Z105" s="169" t="s">
        <v>69</v>
      </c>
      <c r="AA105" s="169" t="s">
        <v>97</v>
      </c>
      <c r="AB105" s="177" t="s">
        <v>327</v>
      </c>
    </row>
    <row r="106" spans="1:28" x14ac:dyDescent="0.15">
      <c r="A106" s="177" t="s">
        <v>34</v>
      </c>
      <c r="B106" s="169" t="s">
        <v>325</v>
      </c>
      <c r="C106" s="169">
        <v>2018</v>
      </c>
      <c r="D106" s="211" t="s">
        <v>387</v>
      </c>
      <c r="E106" s="198" t="s">
        <v>215</v>
      </c>
      <c r="F106" s="198" t="s">
        <v>317</v>
      </c>
      <c r="G106" s="177" t="s">
        <v>36</v>
      </c>
      <c r="H106" s="169" t="s">
        <v>157</v>
      </c>
      <c r="I106" s="177" t="s">
        <v>155</v>
      </c>
      <c r="J106" s="177" t="s">
        <v>38</v>
      </c>
      <c r="K106" s="177" t="s">
        <v>156</v>
      </c>
      <c r="L106" s="169">
        <v>3</v>
      </c>
      <c r="N106" s="169">
        <v>5</v>
      </c>
      <c r="O106" s="169">
        <v>0.55000000000000004</v>
      </c>
      <c r="P106" s="169">
        <v>0.65</v>
      </c>
      <c r="Q106" s="206">
        <f t="shared" si="5"/>
        <v>0.60000000000000009</v>
      </c>
      <c r="R106" s="169">
        <v>9.9</v>
      </c>
      <c r="S106" s="169">
        <v>84</v>
      </c>
      <c r="T106" s="178">
        <f t="shared" si="6"/>
        <v>36</v>
      </c>
      <c r="U106" s="169">
        <v>429</v>
      </c>
      <c r="V106" s="178">
        <f t="shared" si="7"/>
        <v>3088.7999999999997</v>
      </c>
      <c r="W106" s="169">
        <v>2</v>
      </c>
      <c r="X106" s="177" t="s">
        <v>46</v>
      </c>
      <c r="Y106" s="169" t="s">
        <v>55</v>
      </c>
      <c r="Z106" s="169" t="s">
        <v>69</v>
      </c>
      <c r="AA106" s="169" t="s">
        <v>97</v>
      </c>
      <c r="AB106" s="177" t="s">
        <v>327</v>
      </c>
    </row>
    <row r="107" spans="1:28" x14ac:dyDescent="0.15">
      <c r="A107" s="177" t="s">
        <v>34</v>
      </c>
      <c r="B107" s="169" t="s">
        <v>325</v>
      </c>
      <c r="C107" s="169">
        <v>2018</v>
      </c>
      <c r="D107" s="211" t="s">
        <v>387</v>
      </c>
      <c r="E107" s="198" t="s">
        <v>215</v>
      </c>
      <c r="F107" s="198" t="s">
        <v>317</v>
      </c>
      <c r="G107" s="177" t="s">
        <v>36</v>
      </c>
      <c r="H107" s="169" t="s">
        <v>221</v>
      </c>
      <c r="I107" s="177" t="s">
        <v>155</v>
      </c>
      <c r="J107" s="177" t="s">
        <v>38</v>
      </c>
      <c r="K107" s="177" t="s">
        <v>156</v>
      </c>
      <c r="L107" s="177">
        <v>1</v>
      </c>
      <c r="N107" s="169">
        <v>5</v>
      </c>
      <c r="O107" s="169">
        <v>0.2</v>
      </c>
      <c r="P107" s="169">
        <v>0.2</v>
      </c>
      <c r="Q107" s="206">
        <f t="shared" si="5"/>
        <v>0.2</v>
      </c>
      <c r="R107" s="169">
        <v>14.9</v>
      </c>
      <c r="S107" s="169">
        <v>94</v>
      </c>
      <c r="T107" s="178">
        <f t="shared" si="6"/>
        <v>36</v>
      </c>
      <c r="U107" s="169">
        <v>429</v>
      </c>
      <c r="V107" s="178">
        <f t="shared" si="7"/>
        <v>3088.7999999999997</v>
      </c>
      <c r="W107" s="169">
        <v>2</v>
      </c>
      <c r="X107" s="177" t="s">
        <v>46</v>
      </c>
      <c r="Y107" s="169" t="s">
        <v>55</v>
      </c>
      <c r="Z107" s="169" t="s">
        <v>69</v>
      </c>
      <c r="AA107" s="169" t="s">
        <v>97</v>
      </c>
      <c r="AB107" s="177" t="s">
        <v>327</v>
      </c>
    </row>
    <row r="108" spans="1:28" x14ac:dyDescent="0.15">
      <c r="A108" s="177" t="s">
        <v>34</v>
      </c>
      <c r="B108" s="169" t="s">
        <v>325</v>
      </c>
      <c r="C108" s="169">
        <v>2018</v>
      </c>
      <c r="D108" s="211" t="s">
        <v>387</v>
      </c>
      <c r="E108" s="198" t="s">
        <v>215</v>
      </c>
      <c r="F108" s="198" t="s">
        <v>317</v>
      </c>
      <c r="G108" s="177" t="s">
        <v>36</v>
      </c>
      <c r="H108" s="169" t="s">
        <v>221</v>
      </c>
      <c r="I108" s="177" t="s">
        <v>155</v>
      </c>
      <c r="J108" s="177" t="s">
        <v>38</v>
      </c>
      <c r="K108" s="177" t="s">
        <v>156</v>
      </c>
      <c r="L108" s="169">
        <v>2</v>
      </c>
      <c r="N108" s="169">
        <v>5</v>
      </c>
      <c r="O108" s="169">
        <v>0.5</v>
      </c>
      <c r="P108" s="169">
        <v>0.55000000000000004</v>
      </c>
      <c r="Q108" s="206">
        <f t="shared" si="5"/>
        <v>0.52500000000000002</v>
      </c>
      <c r="R108" s="169">
        <v>17.399999999999999</v>
      </c>
      <c r="S108" s="169">
        <v>95</v>
      </c>
      <c r="T108" s="178">
        <f t="shared" si="6"/>
        <v>36</v>
      </c>
      <c r="U108" s="169">
        <v>429</v>
      </c>
      <c r="V108" s="178">
        <f t="shared" si="7"/>
        <v>3088.7999999999997</v>
      </c>
      <c r="W108" s="169">
        <v>2</v>
      </c>
      <c r="X108" s="177" t="s">
        <v>46</v>
      </c>
      <c r="Y108" s="169" t="s">
        <v>55</v>
      </c>
      <c r="Z108" s="169" t="s">
        <v>69</v>
      </c>
      <c r="AA108" s="169" t="s">
        <v>97</v>
      </c>
      <c r="AB108" s="177" t="s">
        <v>327</v>
      </c>
    </row>
    <row r="109" spans="1:28" x14ac:dyDescent="0.15">
      <c r="A109" s="177" t="s">
        <v>34</v>
      </c>
      <c r="B109" s="169" t="s">
        <v>325</v>
      </c>
      <c r="C109" s="169">
        <v>2018</v>
      </c>
      <c r="D109" s="211" t="s">
        <v>387</v>
      </c>
      <c r="E109" s="198" t="s">
        <v>215</v>
      </c>
      <c r="F109" s="198" t="s">
        <v>317</v>
      </c>
      <c r="G109" s="177" t="s">
        <v>36</v>
      </c>
      <c r="H109" s="169" t="s">
        <v>221</v>
      </c>
      <c r="I109" s="177" t="s">
        <v>155</v>
      </c>
      <c r="J109" s="177" t="s">
        <v>38</v>
      </c>
      <c r="K109" s="177" t="s">
        <v>156</v>
      </c>
      <c r="L109" s="169">
        <v>3</v>
      </c>
      <c r="N109" s="169">
        <v>5</v>
      </c>
      <c r="O109" s="169">
        <v>0.5</v>
      </c>
      <c r="P109" s="169">
        <v>0.55000000000000004</v>
      </c>
      <c r="Q109" s="206">
        <f t="shared" si="5"/>
        <v>0.52500000000000002</v>
      </c>
      <c r="R109" s="169">
        <v>15</v>
      </c>
      <c r="S109" s="169">
        <v>103</v>
      </c>
      <c r="T109" s="178">
        <f t="shared" si="6"/>
        <v>33</v>
      </c>
      <c r="U109" s="169">
        <v>429</v>
      </c>
      <c r="V109" s="178">
        <f t="shared" si="7"/>
        <v>2831.4</v>
      </c>
      <c r="W109" s="169">
        <v>2</v>
      </c>
      <c r="X109" s="177" t="s">
        <v>46</v>
      </c>
      <c r="Y109" s="169" t="s">
        <v>55</v>
      </c>
      <c r="Z109" s="169" t="s">
        <v>69</v>
      </c>
      <c r="AA109" s="169" t="s">
        <v>97</v>
      </c>
      <c r="AB109" s="177" t="s">
        <v>327</v>
      </c>
    </row>
    <row r="110" spans="1:28" x14ac:dyDescent="0.15">
      <c r="A110" s="177" t="s">
        <v>34</v>
      </c>
      <c r="B110" s="169" t="s">
        <v>325</v>
      </c>
      <c r="C110" s="169">
        <v>2018</v>
      </c>
      <c r="D110" s="211" t="s">
        <v>387</v>
      </c>
      <c r="E110" s="198" t="s">
        <v>215</v>
      </c>
      <c r="F110" s="198" t="s">
        <v>317</v>
      </c>
      <c r="G110" s="177" t="s">
        <v>36</v>
      </c>
      <c r="H110" s="169" t="s">
        <v>167</v>
      </c>
      <c r="I110" s="177" t="s">
        <v>155</v>
      </c>
      <c r="J110" s="177" t="s">
        <v>38</v>
      </c>
      <c r="K110" s="177" t="s">
        <v>156</v>
      </c>
      <c r="L110" s="177">
        <v>1</v>
      </c>
      <c r="N110" s="169">
        <v>1</v>
      </c>
      <c r="O110" s="169">
        <v>1.05</v>
      </c>
      <c r="P110" s="169">
        <v>1.35</v>
      </c>
      <c r="Q110" s="206">
        <f t="shared" si="5"/>
        <v>1.2000000000000002</v>
      </c>
      <c r="R110" s="169">
        <v>9.8000000000000007</v>
      </c>
      <c r="S110" s="169">
        <v>151</v>
      </c>
      <c r="T110" s="178">
        <f t="shared" si="6"/>
        <v>30</v>
      </c>
      <c r="U110" s="169">
        <v>170</v>
      </c>
      <c r="V110" s="178">
        <f t="shared" si="7"/>
        <v>5100</v>
      </c>
      <c r="W110" s="169">
        <v>12</v>
      </c>
      <c r="X110" s="177" t="s">
        <v>46</v>
      </c>
      <c r="Y110" s="169" t="s">
        <v>55</v>
      </c>
      <c r="Z110" s="169" t="s">
        <v>69</v>
      </c>
      <c r="AA110" s="169" t="s">
        <v>97</v>
      </c>
      <c r="AB110" s="177" t="s">
        <v>327</v>
      </c>
    </row>
    <row r="111" spans="1:28" x14ac:dyDescent="0.15">
      <c r="A111" s="177" t="s">
        <v>34</v>
      </c>
      <c r="B111" s="169" t="s">
        <v>325</v>
      </c>
      <c r="C111" s="169">
        <v>2018</v>
      </c>
      <c r="D111" s="211" t="s">
        <v>387</v>
      </c>
      <c r="E111" s="198" t="s">
        <v>215</v>
      </c>
      <c r="F111" s="198" t="s">
        <v>317</v>
      </c>
      <c r="G111" s="177" t="s">
        <v>36</v>
      </c>
      <c r="H111" s="169" t="s">
        <v>167</v>
      </c>
      <c r="I111" s="177" t="s">
        <v>155</v>
      </c>
      <c r="J111" s="177" t="s">
        <v>38</v>
      </c>
      <c r="K111" s="177" t="s">
        <v>156</v>
      </c>
      <c r="L111" s="169">
        <v>2</v>
      </c>
      <c r="N111" s="169">
        <v>1</v>
      </c>
      <c r="O111" s="169">
        <v>0.6</v>
      </c>
      <c r="P111" s="169">
        <v>0.6</v>
      </c>
      <c r="Q111" s="206">
        <f t="shared" si="5"/>
        <v>0.6</v>
      </c>
      <c r="R111" s="169">
        <v>16.899999999999999</v>
      </c>
      <c r="S111" s="169">
        <v>155</v>
      </c>
      <c r="T111" s="178">
        <f t="shared" si="6"/>
        <v>18</v>
      </c>
      <c r="U111" s="169">
        <v>170</v>
      </c>
      <c r="V111" s="178">
        <f t="shared" si="7"/>
        <v>3060</v>
      </c>
      <c r="W111" s="169">
        <v>12</v>
      </c>
      <c r="X111" s="177" t="s">
        <v>46</v>
      </c>
      <c r="Y111" s="169" t="s">
        <v>55</v>
      </c>
      <c r="Z111" s="169" t="s">
        <v>69</v>
      </c>
      <c r="AA111" s="169" t="s">
        <v>97</v>
      </c>
      <c r="AB111" s="177" t="s">
        <v>327</v>
      </c>
    </row>
    <row r="112" spans="1:28" x14ac:dyDescent="0.15">
      <c r="A112" s="177" t="s">
        <v>34</v>
      </c>
      <c r="B112" s="169" t="s">
        <v>325</v>
      </c>
      <c r="C112" s="169">
        <v>2018</v>
      </c>
      <c r="D112" s="211" t="s">
        <v>387</v>
      </c>
      <c r="E112" s="198" t="s">
        <v>215</v>
      </c>
      <c r="F112" s="198" t="s">
        <v>317</v>
      </c>
      <c r="G112" s="177" t="s">
        <v>36</v>
      </c>
      <c r="H112" s="169" t="s">
        <v>167</v>
      </c>
      <c r="I112" s="177" t="s">
        <v>155</v>
      </c>
      <c r="J112" s="177" t="s">
        <v>38</v>
      </c>
      <c r="K112" s="177" t="s">
        <v>156</v>
      </c>
      <c r="L112" s="169">
        <v>3</v>
      </c>
      <c r="N112" s="169">
        <v>1</v>
      </c>
      <c r="O112" s="169">
        <v>1.5</v>
      </c>
      <c r="P112" s="169">
        <v>1.35</v>
      </c>
      <c r="Q112" s="206">
        <f t="shared" si="5"/>
        <v>1.425</v>
      </c>
      <c r="R112" s="169">
        <v>14.7</v>
      </c>
      <c r="S112" s="169">
        <v>161</v>
      </c>
      <c r="T112" s="178">
        <f t="shared" si="6"/>
        <v>18</v>
      </c>
      <c r="U112" s="169">
        <v>170</v>
      </c>
      <c r="V112" s="178">
        <f t="shared" si="7"/>
        <v>3060</v>
      </c>
      <c r="W112" s="169">
        <v>12</v>
      </c>
      <c r="X112" s="177" t="s">
        <v>46</v>
      </c>
      <c r="Y112" s="169" t="s">
        <v>55</v>
      </c>
      <c r="Z112" s="169" t="s">
        <v>69</v>
      </c>
      <c r="AA112" s="169" t="s">
        <v>97</v>
      </c>
      <c r="AB112" s="177" t="s">
        <v>327</v>
      </c>
    </row>
    <row r="113" spans="1:28" x14ac:dyDescent="0.15">
      <c r="A113" s="177" t="s">
        <v>34</v>
      </c>
      <c r="B113" s="169" t="s">
        <v>325</v>
      </c>
      <c r="C113" s="169">
        <v>2018</v>
      </c>
      <c r="D113" s="211" t="s">
        <v>387</v>
      </c>
      <c r="E113" s="198" t="s">
        <v>215</v>
      </c>
      <c r="F113" s="198" t="s">
        <v>317</v>
      </c>
      <c r="G113" s="177" t="s">
        <v>36</v>
      </c>
      <c r="H113" s="169" t="s">
        <v>167</v>
      </c>
      <c r="I113" s="177" t="s">
        <v>155</v>
      </c>
      <c r="J113" s="177" t="s">
        <v>38</v>
      </c>
      <c r="K113" s="177" t="s">
        <v>156</v>
      </c>
      <c r="L113" s="177">
        <v>1</v>
      </c>
      <c r="N113" s="169">
        <v>6</v>
      </c>
      <c r="O113" s="169">
        <v>0.55000000000000004</v>
      </c>
      <c r="P113" s="169">
        <v>0.5</v>
      </c>
      <c r="Q113" s="206">
        <f t="shared" si="5"/>
        <v>0.52500000000000002</v>
      </c>
      <c r="R113" s="169">
        <v>15</v>
      </c>
      <c r="S113" s="169">
        <v>118</v>
      </c>
      <c r="T113" s="178">
        <f t="shared" si="6"/>
        <v>30</v>
      </c>
      <c r="U113" s="169">
        <v>753</v>
      </c>
      <c r="V113" s="178">
        <f t="shared" si="7"/>
        <v>3765</v>
      </c>
      <c r="W113" s="169">
        <v>12</v>
      </c>
      <c r="X113" s="177" t="s">
        <v>46</v>
      </c>
      <c r="Y113" s="169" t="s">
        <v>55</v>
      </c>
      <c r="Z113" s="169" t="s">
        <v>69</v>
      </c>
      <c r="AA113" s="169" t="s">
        <v>97</v>
      </c>
      <c r="AB113" s="177" t="s">
        <v>327</v>
      </c>
    </row>
    <row r="114" spans="1:28" x14ac:dyDescent="0.15">
      <c r="A114" s="177" t="s">
        <v>34</v>
      </c>
      <c r="B114" s="169" t="s">
        <v>325</v>
      </c>
      <c r="C114" s="169">
        <v>2018</v>
      </c>
      <c r="D114" s="211" t="s">
        <v>387</v>
      </c>
      <c r="E114" s="198" t="s">
        <v>215</v>
      </c>
      <c r="F114" s="198" t="s">
        <v>317</v>
      </c>
      <c r="G114" s="177" t="s">
        <v>36</v>
      </c>
      <c r="H114" s="169" t="s">
        <v>167</v>
      </c>
      <c r="I114" s="177" t="s">
        <v>155</v>
      </c>
      <c r="J114" s="177" t="s">
        <v>38</v>
      </c>
      <c r="K114" s="177" t="s">
        <v>156</v>
      </c>
      <c r="L114" s="169">
        <v>2</v>
      </c>
      <c r="N114" s="169">
        <v>6</v>
      </c>
      <c r="O114" s="169">
        <v>0.8</v>
      </c>
      <c r="P114" s="169">
        <v>0.6</v>
      </c>
      <c r="Q114" s="206">
        <f t="shared" si="5"/>
        <v>0.7</v>
      </c>
      <c r="R114" s="169">
        <v>15.7</v>
      </c>
      <c r="S114" s="169">
        <v>120</v>
      </c>
      <c r="T114" s="178">
        <f t="shared" si="6"/>
        <v>30</v>
      </c>
      <c r="U114" s="169">
        <v>753</v>
      </c>
      <c r="V114" s="178">
        <f t="shared" si="7"/>
        <v>3765</v>
      </c>
      <c r="W114" s="169">
        <v>12</v>
      </c>
      <c r="X114" s="177" t="s">
        <v>46</v>
      </c>
      <c r="Y114" s="169" t="s">
        <v>55</v>
      </c>
      <c r="Z114" s="169" t="s">
        <v>69</v>
      </c>
      <c r="AA114" s="169" t="s">
        <v>97</v>
      </c>
      <c r="AB114" s="177" t="s">
        <v>327</v>
      </c>
    </row>
    <row r="115" spans="1:28" x14ac:dyDescent="0.15">
      <c r="A115" s="177" t="s">
        <v>34</v>
      </c>
      <c r="B115" s="169" t="s">
        <v>325</v>
      </c>
      <c r="C115" s="169">
        <v>2018</v>
      </c>
      <c r="D115" s="211" t="s">
        <v>387</v>
      </c>
      <c r="E115" s="198" t="s">
        <v>215</v>
      </c>
      <c r="F115" s="198" t="s">
        <v>317</v>
      </c>
      <c r="G115" s="177" t="s">
        <v>36</v>
      </c>
      <c r="H115" s="169" t="s">
        <v>167</v>
      </c>
      <c r="I115" s="177" t="s">
        <v>155</v>
      </c>
      <c r="J115" s="177" t="s">
        <v>38</v>
      </c>
      <c r="K115" s="177" t="s">
        <v>156</v>
      </c>
      <c r="L115" s="169">
        <v>3</v>
      </c>
      <c r="N115" s="169">
        <v>6</v>
      </c>
      <c r="O115" s="169">
        <v>0.65</v>
      </c>
      <c r="P115" s="169">
        <v>0.55000000000000004</v>
      </c>
      <c r="Q115" s="206">
        <f t="shared" si="5"/>
        <v>0.60000000000000009</v>
      </c>
      <c r="R115" s="169">
        <v>15.4</v>
      </c>
      <c r="S115" s="169">
        <v>117</v>
      </c>
      <c r="T115" s="178">
        <f t="shared" si="6"/>
        <v>30</v>
      </c>
      <c r="U115" s="169">
        <v>753</v>
      </c>
      <c r="V115" s="178">
        <f t="shared" si="7"/>
        <v>3765</v>
      </c>
      <c r="W115" s="169">
        <v>12</v>
      </c>
      <c r="X115" s="177" t="s">
        <v>46</v>
      </c>
      <c r="Y115" s="169" t="s">
        <v>55</v>
      </c>
      <c r="Z115" s="169" t="s">
        <v>69</v>
      </c>
      <c r="AA115" s="169" t="s">
        <v>97</v>
      </c>
      <c r="AB115" s="177" t="s">
        <v>327</v>
      </c>
    </row>
    <row r="116" spans="1:28" x14ac:dyDescent="0.15">
      <c r="K116" s="177"/>
      <c r="Q116" s="206" t="str">
        <f t="shared" si="5"/>
        <v/>
      </c>
      <c r="T116" s="178" t="str">
        <f t="shared" si="6"/>
        <v/>
      </c>
      <c r="V116" s="178" t="str">
        <f t="shared" si="7"/>
        <v/>
      </c>
    </row>
    <row r="117" spans="1:28" x14ac:dyDescent="0.15">
      <c r="K117" s="177"/>
      <c r="Q117" s="206" t="str">
        <f t="shared" si="5"/>
        <v/>
      </c>
      <c r="T117" s="178" t="str">
        <f t="shared" si="6"/>
        <v/>
      </c>
      <c r="V117" s="178" t="str">
        <f t="shared" si="7"/>
        <v/>
      </c>
    </row>
    <row r="118" spans="1:28" x14ac:dyDescent="0.15">
      <c r="K118" s="177"/>
      <c r="Q118" s="206" t="str">
        <f t="shared" si="5"/>
        <v/>
      </c>
      <c r="T118" s="178" t="str">
        <f t="shared" si="6"/>
        <v/>
      </c>
      <c r="V118" s="178" t="str">
        <f t="shared" si="7"/>
        <v/>
      </c>
    </row>
    <row r="119" spans="1:28" x14ac:dyDescent="0.15">
      <c r="K119" s="177"/>
      <c r="Q119" s="206" t="str">
        <f t="shared" si="5"/>
        <v/>
      </c>
      <c r="T119" s="178" t="str">
        <f t="shared" si="6"/>
        <v/>
      </c>
      <c r="V119" s="178" t="str">
        <f t="shared" si="7"/>
        <v/>
      </c>
    </row>
    <row r="120" spans="1:28" x14ac:dyDescent="0.15">
      <c r="K120" s="177"/>
      <c r="Q120" s="206" t="str">
        <f t="shared" si="5"/>
        <v/>
      </c>
      <c r="T120" s="178" t="str">
        <f t="shared" si="6"/>
        <v/>
      </c>
    </row>
    <row r="121" spans="1:28" x14ac:dyDescent="0.15">
      <c r="K121" s="177"/>
      <c r="Q121" s="206" t="str">
        <f t="shared" si="5"/>
        <v/>
      </c>
      <c r="T121" s="178" t="str">
        <f t="shared" si="6"/>
        <v/>
      </c>
    </row>
    <row r="122" spans="1:28" x14ac:dyDescent="0.15">
      <c r="K122" s="177"/>
      <c r="Q122" s="206" t="str">
        <f t="shared" si="5"/>
        <v/>
      </c>
      <c r="T122" s="178" t="str">
        <f t="shared" si="6"/>
        <v/>
      </c>
    </row>
    <row r="123" spans="1:28" x14ac:dyDescent="0.15">
      <c r="K123" s="177"/>
      <c r="Q123" s="206" t="str">
        <f t="shared" si="5"/>
        <v/>
      </c>
      <c r="T123" s="178" t="str">
        <f t="shared" si="6"/>
        <v/>
      </c>
    </row>
    <row r="124" spans="1:28" x14ac:dyDescent="0.15">
      <c r="K124" s="177"/>
      <c r="Q124" s="206" t="str">
        <f t="shared" si="5"/>
        <v/>
      </c>
      <c r="T124" s="178" t="str">
        <f t="shared" si="6"/>
        <v/>
      </c>
    </row>
    <row r="125" spans="1:28" x14ac:dyDescent="0.15">
      <c r="K125" s="177"/>
      <c r="Q125" s="206" t="str">
        <f t="shared" si="5"/>
        <v/>
      </c>
      <c r="T125" s="178" t="str">
        <f t="shared" si="6"/>
        <v/>
      </c>
    </row>
    <row r="126" spans="1:28" x14ac:dyDescent="0.15">
      <c r="K126" s="177"/>
      <c r="Q126" s="206" t="str">
        <f t="shared" si="5"/>
        <v/>
      </c>
    </row>
    <row r="127" spans="1:28" x14ac:dyDescent="0.15">
      <c r="K127" s="177"/>
    </row>
    <row r="128" spans="1:28" x14ac:dyDescent="0.15">
      <c r="K128" s="177"/>
    </row>
    <row r="129" spans="11:11" x14ac:dyDescent="0.15">
      <c r="K129" s="177"/>
    </row>
    <row r="130" spans="11:11" x14ac:dyDescent="0.15">
      <c r="K130" s="177"/>
    </row>
    <row r="131" spans="11:11" x14ac:dyDescent="0.15">
      <c r="K131" s="177"/>
    </row>
    <row r="132" spans="11:11" x14ac:dyDescent="0.15">
      <c r="K132" s="177"/>
    </row>
    <row r="133" spans="11:11" x14ac:dyDescent="0.15">
      <c r="K133" s="177"/>
    </row>
    <row r="134" spans="11:11" x14ac:dyDescent="0.15">
      <c r="K134" s="177"/>
    </row>
    <row r="135" spans="11:11" x14ac:dyDescent="0.15">
      <c r="K135" s="177"/>
    </row>
    <row r="136" spans="11:11" x14ac:dyDescent="0.15">
      <c r="K136" s="177"/>
    </row>
    <row r="137" spans="11:11" x14ac:dyDescent="0.15">
      <c r="K137" s="177"/>
    </row>
    <row r="138" spans="11:11" x14ac:dyDescent="0.15">
      <c r="K138" s="177"/>
    </row>
    <row r="139" spans="11:11" x14ac:dyDescent="0.15">
      <c r="K139" s="177"/>
    </row>
    <row r="140" spans="11:11" x14ac:dyDescent="0.15">
      <c r="K140" s="177"/>
    </row>
    <row r="141" spans="11:11" x14ac:dyDescent="0.15">
      <c r="K141" s="177"/>
    </row>
    <row r="142" spans="11:11" x14ac:dyDescent="0.15">
      <c r="K142" s="177"/>
    </row>
    <row r="143" spans="11:11" x14ac:dyDescent="0.15">
      <c r="K143" s="177"/>
    </row>
    <row r="144" spans="11:11" x14ac:dyDescent="0.15">
      <c r="K144" s="177"/>
    </row>
    <row r="145" spans="11:11" x14ac:dyDescent="0.15">
      <c r="K145" s="177"/>
    </row>
    <row r="146" spans="11:11" x14ac:dyDescent="0.15">
      <c r="K146" s="177"/>
    </row>
    <row r="147" spans="11:11" x14ac:dyDescent="0.15">
      <c r="K147" s="177"/>
    </row>
    <row r="148" spans="11:11" x14ac:dyDescent="0.15">
      <c r="K148" s="177"/>
    </row>
    <row r="149" spans="11:11" x14ac:dyDescent="0.15">
      <c r="K149" s="177"/>
    </row>
    <row r="150" spans="11:11" x14ac:dyDescent="0.15">
      <c r="K150" s="177"/>
    </row>
    <row r="151" spans="11:11" x14ac:dyDescent="0.15">
      <c r="K151" s="177"/>
    </row>
    <row r="152" spans="11:11" x14ac:dyDescent="0.15">
      <c r="K152" s="177"/>
    </row>
    <row r="153" spans="11:11" x14ac:dyDescent="0.15">
      <c r="K153" s="177"/>
    </row>
    <row r="154" spans="11:11" x14ac:dyDescent="0.15">
      <c r="K154" s="177"/>
    </row>
    <row r="155" spans="11:11" x14ac:dyDescent="0.15">
      <c r="K155" s="177"/>
    </row>
    <row r="156" spans="11:11" x14ac:dyDescent="0.15">
      <c r="K156" s="177"/>
    </row>
    <row r="157" spans="11:11" x14ac:dyDescent="0.15">
      <c r="K157" s="177"/>
    </row>
    <row r="158" spans="11:11" x14ac:dyDescent="0.15">
      <c r="K158" s="177"/>
    </row>
    <row r="159" spans="11:11" x14ac:dyDescent="0.15">
      <c r="K159" s="177"/>
    </row>
    <row r="160" spans="11:11" x14ac:dyDescent="0.15">
      <c r="K160" s="177"/>
    </row>
    <row r="161" spans="11:11" x14ac:dyDescent="0.15">
      <c r="K161" s="177"/>
    </row>
    <row r="162" spans="11:11" x14ac:dyDescent="0.15">
      <c r="K162" s="177"/>
    </row>
    <row r="163" spans="11:11" x14ac:dyDescent="0.15">
      <c r="K163" s="177"/>
    </row>
    <row r="164" spans="11:11" x14ac:dyDescent="0.15">
      <c r="K164" s="177"/>
    </row>
    <row r="165" spans="11:11" x14ac:dyDescent="0.15">
      <c r="K165" s="177"/>
    </row>
    <row r="166" spans="11:11" x14ac:dyDescent="0.15">
      <c r="K166" s="177"/>
    </row>
    <row r="167" spans="11:11" x14ac:dyDescent="0.15">
      <c r="K167" s="177"/>
    </row>
    <row r="168" spans="11:11" x14ac:dyDescent="0.15">
      <c r="K168" s="177"/>
    </row>
    <row r="169" spans="11:11" x14ac:dyDescent="0.15">
      <c r="K169" s="177"/>
    </row>
    <row r="170" spans="11:11" x14ac:dyDescent="0.15">
      <c r="K170" s="177"/>
    </row>
    <row r="171" spans="11:11" x14ac:dyDescent="0.15">
      <c r="K171" s="177"/>
    </row>
    <row r="172" spans="11:11" x14ac:dyDescent="0.15">
      <c r="K172" s="177"/>
    </row>
    <row r="173" spans="11:11" x14ac:dyDescent="0.15">
      <c r="K173" s="177"/>
    </row>
    <row r="174" spans="11:11" x14ac:dyDescent="0.15">
      <c r="K174" s="177"/>
    </row>
    <row r="175" spans="11:11" x14ac:dyDescent="0.15">
      <c r="K175" s="177"/>
    </row>
    <row r="176" spans="11:11" x14ac:dyDescent="0.15">
      <c r="K176" s="177"/>
    </row>
    <row r="177" spans="11:11" x14ac:dyDescent="0.15">
      <c r="K177" s="177"/>
    </row>
    <row r="178" spans="11:11" x14ac:dyDescent="0.15">
      <c r="K178" s="177"/>
    </row>
    <row r="179" spans="11:11" x14ac:dyDescent="0.15">
      <c r="K179" s="177"/>
    </row>
    <row r="180" spans="11:11" x14ac:dyDescent="0.15">
      <c r="K180" s="177"/>
    </row>
    <row r="181" spans="11:11" x14ac:dyDescent="0.15">
      <c r="K181" s="177"/>
    </row>
    <row r="182" spans="11:11" x14ac:dyDescent="0.15">
      <c r="K182" s="177"/>
    </row>
    <row r="183" spans="11:11" x14ac:dyDescent="0.15">
      <c r="K183" s="177"/>
    </row>
    <row r="184" spans="11:11" x14ac:dyDescent="0.15">
      <c r="K184" s="177"/>
    </row>
    <row r="185" spans="11:11" x14ac:dyDescent="0.15">
      <c r="K185" s="177"/>
    </row>
    <row r="186" spans="11:11" x14ac:dyDescent="0.15">
      <c r="K186" s="177"/>
    </row>
    <row r="187" spans="11:11" x14ac:dyDescent="0.15">
      <c r="K187" s="177"/>
    </row>
    <row r="188" spans="11:11" x14ac:dyDescent="0.15">
      <c r="K188" s="177"/>
    </row>
    <row r="189" spans="11:11" x14ac:dyDescent="0.15">
      <c r="K189" s="177"/>
    </row>
    <row r="190" spans="11:11" x14ac:dyDescent="0.15">
      <c r="K190" s="177"/>
    </row>
    <row r="191" spans="11:11" x14ac:dyDescent="0.15">
      <c r="K191" s="177"/>
    </row>
    <row r="192" spans="11:11" x14ac:dyDescent="0.15">
      <c r="K192" s="177"/>
    </row>
    <row r="193" spans="11:11" x14ac:dyDescent="0.15">
      <c r="K193" s="177"/>
    </row>
    <row r="194" spans="11:11" x14ac:dyDescent="0.15">
      <c r="K194" s="177"/>
    </row>
    <row r="195" spans="11:11" x14ac:dyDescent="0.15">
      <c r="K195" s="177"/>
    </row>
    <row r="196" spans="11:11" x14ac:dyDescent="0.15">
      <c r="K196" s="177"/>
    </row>
    <row r="197" spans="11:11" x14ac:dyDescent="0.15">
      <c r="K197" s="177"/>
    </row>
    <row r="198" spans="11:11" x14ac:dyDescent="0.15">
      <c r="K198" s="177"/>
    </row>
    <row r="199" spans="11:11" x14ac:dyDescent="0.15">
      <c r="K199" s="177"/>
    </row>
    <row r="200" spans="11:11" x14ac:dyDescent="0.15">
      <c r="K200" s="177"/>
    </row>
    <row r="201" spans="11:11" x14ac:dyDescent="0.15">
      <c r="K201" s="177"/>
    </row>
    <row r="202" spans="11:11" x14ac:dyDescent="0.15">
      <c r="K202" s="177"/>
    </row>
    <row r="203" spans="11:11" x14ac:dyDescent="0.15">
      <c r="K203" s="177"/>
    </row>
    <row r="204" spans="11:11" x14ac:dyDescent="0.15">
      <c r="K204" s="177"/>
    </row>
    <row r="205" spans="11:11" x14ac:dyDescent="0.15">
      <c r="K205" s="177"/>
    </row>
    <row r="206" spans="11:11" x14ac:dyDescent="0.15">
      <c r="K206" s="177"/>
    </row>
    <row r="207" spans="11:11" x14ac:dyDescent="0.15">
      <c r="K207" s="177"/>
    </row>
    <row r="208" spans="11:11" x14ac:dyDescent="0.15">
      <c r="K208" s="177"/>
    </row>
    <row r="209" spans="11:11" x14ac:dyDescent="0.15">
      <c r="K209" s="177"/>
    </row>
    <row r="210" spans="11:11" x14ac:dyDescent="0.15">
      <c r="K210" s="177"/>
    </row>
    <row r="211" spans="11:11" x14ac:dyDescent="0.15">
      <c r="K211" s="177"/>
    </row>
    <row r="212" spans="11:11" x14ac:dyDescent="0.15">
      <c r="K212" s="177"/>
    </row>
    <row r="213" spans="11:11" x14ac:dyDescent="0.15">
      <c r="K213" s="177"/>
    </row>
    <row r="214" spans="11:11" x14ac:dyDescent="0.15">
      <c r="K214" s="177"/>
    </row>
    <row r="215" spans="11:11" x14ac:dyDescent="0.15">
      <c r="K215" s="177"/>
    </row>
    <row r="216" spans="11:11" x14ac:dyDescent="0.15">
      <c r="K216" s="177"/>
    </row>
    <row r="217" spans="11:11" x14ac:dyDescent="0.15">
      <c r="K217" s="177"/>
    </row>
    <row r="218" spans="11:11" x14ac:dyDescent="0.15">
      <c r="K218" s="177"/>
    </row>
    <row r="219" spans="11:11" x14ac:dyDescent="0.15">
      <c r="K219" s="177"/>
    </row>
    <row r="220" spans="11:11" x14ac:dyDescent="0.15">
      <c r="K220" s="177"/>
    </row>
    <row r="221" spans="11:11" x14ac:dyDescent="0.15">
      <c r="K221" s="177"/>
    </row>
    <row r="222" spans="11:11" x14ac:dyDescent="0.15">
      <c r="K222" s="177"/>
    </row>
    <row r="223" spans="11:11" x14ac:dyDescent="0.15">
      <c r="K223" s="177"/>
    </row>
    <row r="224" spans="11:11" x14ac:dyDescent="0.15">
      <c r="K224" s="177"/>
    </row>
    <row r="225" spans="11:11" x14ac:dyDescent="0.15">
      <c r="K225" s="177"/>
    </row>
    <row r="226" spans="11:11" x14ac:dyDescent="0.15">
      <c r="K226" s="177"/>
    </row>
    <row r="227" spans="11:11" x14ac:dyDescent="0.15">
      <c r="K227" s="177"/>
    </row>
    <row r="228" spans="11:11" x14ac:dyDescent="0.15">
      <c r="K228" s="177"/>
    </row>
    <row r="229" spans="11:11" x14ac:dyDescent="0.15">
      <c r="K229" s="177"/>
    </row>
    <row r="230" spans="11:11" x14ac:dyDescent="0.15">
      <c r="K230" s="177"/>
    </row>
    <row r="231" spans="11:11" x14ac:dyDescent="0.15">
      <c r="K231" s="177"/>
    </row>
    <row r="232" spans="11:11" x14ac:dyDescent="0.15">
      <c r="K232" s="177"/>
    </row>
    <row r="233" spans="11:11" x14ac:dyDescent="0.15">
      <c r="K233" s="177"/>
    </row>
    <row r="234" spans="11:11" x14ac:dyDescent="0.15">
      <c r="K234" s="177"/>
    </row>
    <row r="235" spans="11:11" x14ac:dyDescent="0.15">
      <c r="K235" s="177"/>
    </row>
    <row r="236" spans="11:11" x14ac:dyDescent="0.15">
      <c r="K236" s="177"/>
    </row>
    <row r="237" spans="11:11" x14ac:dyDescent="0.15">
      <c r="K237" s="177"/>
    </row>
    <row r="238" spans="11:11" x14ac:dyDescent="0.15">
      <c r="K238" s="177"/>
    </row>
    <row r="239" spans="11:11" x14ac:dyDescent="0.15">
      <c r="K239" s="177"/>
    </row>
    <row r="240" spans="11:11" x14ac:dyDescent="0.15">
      <c r="K240" s="177"/>
    </row>
    <row r="241" spans="11:11" x14ac:dyDescent="0.15">
      <c r="K241" s="177"/>
    </row>
    <row r="242" spans="11:11" x14ac:dyDescent="0.15">
      <c r="K242" s="177"/>
    </row>
    <row r="243" spans="11:11" x14ac:dyDescent="0.15">
      <c r="K243" s="177"/>
    </row>
    <row r="244" spans="11:11" x14ac:dyDescent="0.15">
      <c r="K244" s="177"/>
    </row>
    <row r="245" spans="11:11" x14ac:dyDescent="0.15">
      <c r="K245" s="177"/>
    </row>
    <row r="246" spans="11:11" x14ac:dyDescent="0.15">
      <c r="K246" s="177"/>
    </row>
    <row r="247" spans="11:11" x14ac:dyDescent="0.15">
      <c r="K247" s="177"/>
    </row>
    <row r="248" spans="11:11" x14ac:dyDescent="0.15">
      <c r="K248" s="177"/>
    </row>
    <row r="249" spans="11:11" x14ac:dyDescent="0.15">
      <c r="K249" s="177"/>
    </row>
    <row r="250" spans="11:11" x14ac:dyDescent="0.15">
      <c r="K250" s="177"/>
    </row>
    <row r="251" spans="11:11" x14ac:dyDescent="0.15">
      <c r="K251" s="177"/>
    </row>
    <row r="252" spans="11:11" x14ac:dyDescent="0.15">
      <c r="K252" s="177"/>
    </row>
    <row r="253" spans="11:11" x14ac:dyDescent="0.15">
      <c r="K253" s="177"/>
    </row>
    <row r="254" spans="11:11" x14ac:dyDescent="0.15">
      <c r="K254" s="177"/>
    </row>
    <row r="255" spans="11:11" x14ac:dyDescent="0.15">
      <c r="K255" s="177"/>
    </row>
    <row r="256" spans="11:11" x14ac:dyDescent="0.15">
      <c r="K256" s="177"/>
    </row>
    <row r="257" spans="11:11" x14ac:dyDescent="0.15">
      <c r="K257" s="177"/>
    </row>
    <row r="258" spans="11:11" x14ac:dyDescent="0.15">
      <c r="K258" s="177"/>
    </row>
    <row r="259" spans="11:11" x14ac:dyDescent="0.15">
      <c r="K259" s="177"/>
    </row>
    <row r="260" spans="11:11" x14ac:dyDescent="0.15">
      <c r="K260" s="177"/>
    </row>
    <row r="261" spans="11:11" x14ac:dyDescent="0.15">
      <c r="K261" s="177"/>
    </row>
    <row r="262" spans="11:11" x14ac:dyDescent="0.15">
      <c r="K262" s="177"/>
    </row>
    <row r="263" spans="11:11" x14ac:dyDescent="0.15">
      <c r="K263" s="177"/>
    </row>
    <row r="264" spans="11:11" x14ac:dyDescent="0.15">
      <c r="K264" s="177"/>
    </row>
    <row r="265" spans="11:11" x14ac:dyDescent="0.15">
      <c r="K265" s="177"/>
    </row>
    <row r="266" spans="11:11" x14ac:dyDescent="0.15">
      <c r="K266" s="177"/>
    </row>
    <row r="267" spans="11:11" x14ac:dyDescent="0.15">
      <c r="K267" s="177"/>
    </row>
    <row r="268" spans="11:11" x14ac:dyDescent="0.15">
      <c r="K268" s="177"/>
    </row>
    <row r="269" spans="11:11" x14ac:dyDescent="0.15">
      <c r="K269" s="177"/>
    </row>
    <row r="270" spans="11:11" x14ac:dyDescent="0.15">
      <c r="K270" s="177"/>
    </row>
    <row r="271" spans="11:11" x14ac:dyDescent="0.15">
      <c r="K271" s="177"/>
    </row>
    <row r="272" spans="11:11" x14ac:dyDescent="0.15">
      <c r="K272" s="177"/>
    </row>
    <row r="273" spans="11:11" x14ac:dyDescent="0.15">
      <c r="K273" s="177"/>
    </row>
    <row r="274" spans="11:11" x14ac:dyDescent="0.15">
      <c r="K274" s="177"/>
    </row>
    <row r="275" spans="11:11" x14ac:dyDescent="0.15">
      <c r="K275" s="177"/>
    </row>
    <row r="276" spans="11:11" x14ac:dyDescent="0.15">
      <c r="K276" s="177"/>
    </row>
    <row r="277" spans="11:11" x14ac:dyDescent="0.15">
      <c r="K277" s="177"/>
    </row>
    <row r="278" spans="11:11" x14ac:dyDescent="0.15">
      <c r="K278" s="177"/>
    </row>
    <row r="279" spans="11:11" x14ac:dyDescent="0.15">
      <c r="K279" s="177"/>
    </row>
    <row r="280" spans="11:11" x14ac:dyDescent="0.15">
      <c r="K280" s="177"/>
    </row>
    <row r="281" spans="11:11" x14ac:dyDescent="0.15">
      <c r="K281" s="177"/>
    </row>
    <row r="282" spans="11:11" x14ac:dyDescent="0.15">
      <c r="K282" s="177"/>
    </row>
    <row r="283" spans="11:11" x14ac:dyDescent="0.15">
      <c r="K283" s="177"/>
    </row>
    <row r="284" spans="11:11" x14ac:dyDescent="0.15">
      <c r="K284" s="177"/>
    </row>
    <row r="285" spans="11:11" x14ac:dyDescent="0.15">
      <c r="K285" s="177"/>
    </row>
    <row r="286" spans="11:11" x14ac:dyDescent="0.15">
      <c r="K286" s="177"/>
    </row>
    <row r="287" spans="11:11" x14ac:dyDescent="0.15">
      <c r="K287" s="177"/>
    </row>
    <row r="288" spans="11:11" x14ac:dyDescent="0.15">
      <c r="K288" s="177"/>
    </row>
    <row r="289" spans="11:11" x14ac:dyDescent="0.15">
      <c r="K289" s="177"/>
    </row>
    <row r="290" spans="11:11" x14ac:dyDescent="0.15">
      <c r="K290" s="177"/>
    </row>
    <row r="291" spans="11:11" x14ac:dyDescent="0.15">
      <c r="K291" s="177"/>
    </row>
    <row r="292" spans="11:11" x14ac:dyDescent="0.15">
      <c r="K292" s="177"/>
    </row>
    <row r="293" spans="11:11" x14ac:dyDescent="0.15">
      <c r="K293" s="177"/>
    </row>
    <row r="294" spans="11:11" x14ac:dyDescent="0.15">
      <c r="K294" s="177"/>
    </row>
    <row r="295" spans="11:11" x14ac:dyDescent="0.15">
      <c r="K295" s="177"/>
    </row>
    <row r="296" spans="11:11" x14ac:dyDescent="0.15">
      <c r="K296" s="177"/>
    </row>
    <row r="297" spans="11:11" x14ac:dyDescent="0.15">
      <c r="K297" s="177"/>
    </row>
    <row r="298" spans="11:11" x14ac:dyDescent="0.15">
      <c r="K298" s="177"/>
    </row>
    <row r="299" spans="11:11" x14ac:dyDescent="0.15">
      <c r="K299" s="177"/>
    </row>
    <row r="300" spans="11:11" x14ac:dyDescent="0.15">
      <c r="K300" s="177"/>
    </row>
    <row r="301" spans="11:11" x14ac:dyDescent="0.15">
      <c r="K301" s="177"/>
    </row>
    <row r="302" spans="11:11" x14ac:dyDescent="0.15">
      <c r="K302" s="177"/>
    </row>
    <row r="303" spans="11:11" x14ac:dyDescent="0.15">
      <c r="K303" s="177"/>
    </row>
    <row r="304" spans="11:11" x14ac:dyDescent="0.15">
      <c r="K304" s="177"/>
    </row>
    <row r="305" spans="11:11" x14ac:dyDescent="0.15">
      <c r="K305" s="177"/>
    </row>
    <row r="306" spans="11:11" x14ac:dyDescent="0.15">
      <c r="K306" s="177"/>
    </row>
    <row r="307" spans="11:11" x14ac:dyDescent="0.15">
      <c r="K307" s="177"/>
    </row>
    <row r="308" spans="11:11" x14ac:dyDescent="0.15">
      <c r="K308" s="177"/>
    </row>
    <row r="309" spans="11:11" x14ac:dyDescent="0.15">
      <c r="K309" s="177"/>
    </row>
    <row r="310" spans="11:11" x14ac:dyDescent="0.15">
      <c r="K310" s="177"/>
    </row>
    <row r="311" spans="11:11" x14ac:dyDescent="0.15">
      <c r="K311" s="177"/>
    </row>
    <row r="312" spans="11:11" x14ac:dyDescent="0.15">
      <c r="K312" s="177"/>
    </row>
    <row r="313" spans="11:11" x14ac:dyDescent="0.15">
      <c r="K313" s="177"/>
    </row>
    <row r="314" spans="11:11" x14ac:dyDescent="0.15">
      <c r="K314" s="177"/>
    </row>
    <row r="315" spans="11:11" x14ac:dyDescent="0.15">
      <c r="K315" s="177"/>
    </row>
    <row r="316" spans="11:11" x14ac:dyDescent="0.15">
      <c r="K316" s="177"/>
    </row>
    <row r="317" spans="11:11" x14ac:dyDescent="0.15">
      <c r="K317" s="177"/>
    </row>
    <row r="318" spans="11:11" x14ac:dyDescent="0.15">
      <c r="K318" s="177"/>
    </row>
    <row r="319" spans="11:11" x14ac:dyDescent="0.15">
      <c r="K319" s="177"/>
    </row>
    <row r="320" spans="11:11" x14ac:dyDescent="0.15">
      <c r="K320" s="177"/>
    </row>
    <row r="321" spans="11:11" x14ac:dyDescent="0.15">
      <c r="K321" s="177"/>
    </row>
    <row r="322" spans="11:11" x14ac:dyDescent="0.15">
      <c r="K322" s="177"/>
    </row>
    <row r="323" spans="11:11" x14ac:dyDescent="0.15">
      <c r="K323" s="177"/>
    </row>
    <row r="324" spans="11:11" x14ac:dyDescent="0.15">
      <c r="K324" s="177"/>
    </row>
    <row r="325" spans="11:11" x14ac:dyDescent="0.15">
      <c r="K325" s="177"/>
    </row>
    <row r="326" spans="11:11" x14ac:dyDescent="0.15">
      <c r="K326" s="177"/>
    </row>
    <row r="327" spans="11:11" x14ac:dyDescent="0.15">
      <c r="K327" s="177"/>
    </row>
    <row r="328" spans="11:11" x14ac:dyDescent="0.15">
      <c r="K328" s="177"/>
    </row>
    <row r="329" spans="11:11" x14ac:dyDescent="0.15">
      <c r="K329" s="177"/>
    </row>
    <row r="330" spans="11:11" x14ac:dyDescent="0.15">
      <c r="K330" s="177"/>
    </row>
    <row r="331" spans="11:11" x14ac:dyDescent="0.15">
      <c r="K331" s="177"/>
    </row>
    <row r="332" spans="11:11" x14ac:dyDescent="0.15">
      <c r="K332" s="177"/>
    </row>
    <row r="333" spans="11:11" x14ac:dyDescent="0.15">
      <c r="K333" s="177"/>
    </row>
    <row r="334" spans="11:11" x14ac:dyDescent="0.15">
      <c r="K334" s="177"/>
    </row>
    <row r="335" spans="11:11" x14ac:dyDescent="0.15">
      <c r="K335" s="177"/>
    </row>
    <row r="336" spans="11:11" x14ac:dyDescent="0.15">
      <c r="K336" s="177"/>
    </row>
    <row r="337" spans="11:11" x14ac:dyDescent="0.15">
      <c r="K337" s="177"/>
    </row>
    <row r="338" spans="11:11" x14ac:dyDescent="0.15">
      <c r="K338" s="177"/>
    </row>
    <row r="339" spans="11:11" x14ac:dyDescent="0.15">
      <c r="K339" s="177"/>
    </row>
    <row r="340" spans="11:11" x14ac:dyDescent="0.15">
      <c r="K340" s="177"/>
    </row>
    <row r="341" spans="11:11" x14ac:dyDescent="0.15">
      <c r="K341" s="177"/>
    </row>
    <row r="342" spans="11:11" x14ac:dyDescent="0.15">
      <c r="K342" s="177"/>
    </row>
    <row r="343" spans="11:11" x14ac:dyDescent="0.15">
      <c r="K343" s="177"/>
    </row>
    <row r="344" spans="11:11" x14ac:dyDescent="0.15">
      <c r="K344" s="177"/>
    </row>
    <row r="345" spans="11:11" x14ac:dyDescent="0.15">
      <c r="K345" s="177"/>
    </row>
    <row r="346" spans="11:11" x14ac:dyDescent="0.15">
      <c r="K346" s="177"/>
    </row>
    <row r="347" spans="11:11" x14ac:dyDescent="0.15">
      <c r="K347" s="177"/>
    </row>
    <row r="348" spans="11:11" x14ac:dyDescent="0.15">
      <c r="K348" s="177"/>
    </row>
    <row r="349" spans="11:11" x14ac:dyDescent="0.15">
      <c r="K349" s="177"/>
    </row>
    <row r="350" spans="11:11" x14ac:dyDescent="0.15">
      <c r="K350" s="177"/>
    </row>
    <row r="351" spans="11:11" x14ac:dyDescent="0.15">
      <c r="K351" s="177"/>
    </row>
    <row r="352" spans="11:11" x14ac:dyDescent="0.15">
      <c r="K352" s="177"/>
    </row>
    <row r="353" spans="11:11" x14ac:dyDescent="0.15">
      <c r="K353" s="177"/>
    </row>
    <row r="354" spans="11:11" x14ac:dyDescent="0.15">
      <c r="K354" s="177"/>
    </row>
    <row r="355" spans="11:11" x14ac:dyDescent="0.15">
      <c r="K355" s="177"/>
    </row>
    <row r="356" spans="11:11" x14ac:dyDescent="0.15">
      <c r="K356" s="177"/>
    </row>
    <row r="357" spans="11:11" x14ac:dyDescent="0.15">
      <c r="K357" s="177"/>
    </row>
    <row r="358" spans="11:11" x14ac:dyDescent="0.15">
      <c r="K358" s="177"/>
    </row>
    <row r="359" spans="11:11" x14ac:dyDescent="0.15">
      <c r="K359" s="177"/>
    </row>
    <row r="360" spans="11:11" x14ac:dyDescent="0.15">
      <c r="K360" s="177"/>
    </row>
    <row r="361" spans="11:11" x14ac:dyDescent="0.15">
      <c r="K361" s="177"/>
    </row>
    <row r="362" spans="11:11" x14ac:dyDescent="0.15">
      <c r="K362" s="177"/>
    </row>
    <row r="363" spans="11:11" x14ac:dyDescent="0.15">
      <c r="K363" s="177"/>
    </row>
    <row r="364" spans="11:11" x14ac:dyDescent="0.15">
      <c r="K364" s="177"/>
    </row>
    <row r="365" spans="11:11" x14ac:dyDescent="0.15">
      <c r="K365" s="177"/>
    </row>
    <row r="366" spans="11:11" x14ac:dyDescent="0.15">
      <c r="K366" s="177"/>
    </row>
    <row r="367" spans="11:11" x14ac:dyDescent="0.15">
      <c r="K367" s="177"/>
    </row>
    <row r="368" spans="11:11" x14ac:dyDescent="0.15">
      <c r="K368" s="177"/>
    </row>
    <row r="369" spans="11:11" x14ac:dyDescent="0.15">
      <c r="K369" s="177"/>
    </row>
    <row r="370" spans="11:11" x14ac:dyDescent="0.15">
      <c r="K370" s="177"/>
    </row>
    <row r="371" spans="11:11" x14ac:dyDescent="0.15">
      <c r="K371" s="177"/>
    </row>
    <row r="372" spans="11:11" x14ac:dyDescent="0.15">
      <c r="K372" s="177"/>
    </row>
    <row r="373" spans="11:11" x14ac:dyDescent="0.15">
      <c r="K373" s="177"/>
    </row>
    <row r="374" spans="11:11" x14ac:dyDescent="0.15">
      <c r="K374" s="177"/>
    </row>
    <row r="375" spans="11:11" x14ac:dyDescent="0.15">
      <c r="K375" s="177"/>
    </row>
    <row r="376" spans="11:11" x14ac:dyDescent="0.15">
      <c r="K376" s="177"/>
    </row>
    <row r="377" spans="11:11" x14ac:dyDescent="0.15">
      <c r="K377" s="177"/>
    </row>
    <row r="378" spans="11:11" x14ac:dyDescent="0.15">
      <c r="K378" s="177"/>
    </row>
    <row r="379" spans="11:11" x14ac:dyDescent="0.15">
      <c r="K379" s="177"/>
    </row>
    <row r="380" spans="11:11" x14ac:dyDescent="0.15">
      <c r="K380" s="177"/>
    </row>
    <row r="381" spans="11:11" x14ac:dyDescent="0.15">
      <c r="K381" s="177"/>
    </row>
    <row r="382" spans="11:11" x14ac:dyDescent="0.15">
      <c r="K382" s="177"/>
    </row>
    <row r="383" spans="11:11" x14ac:dyDescent="0.15">
      <c r="K383" s="177"/>
    </row>
    <row r="384" spans="11:11" x14ac:dyDescent="0.15">
      <c r="K384" s="177"/>
    </row>
    <row r="385" spans="11:11" x14ac:dyDescent="0.15">
      <c r="K385" s="177"/>
    </row>
    <row r="386" spans="11:11" x14ac:dyDescent="0.15">
      <c r="K386" s="177"/>
    </row>
    <row r="387" spans="11:11" x14ac:dyDescent="0.15">
      <c r="K387" s="177"/>
    </row>
    <row r="388" spans="11:11" x14ac:dyDescent="0.15">
      <c r="K388" s="177"/>
    </row>
    <row r="389" spans="11:11" x14ac:dyDescent="0.15">
      <c r="K389" s="177"/>
    </row>
    <row r="390" spans="11:11" x14ac:dyDescent="0.15">
      <c r="K390" s="177"/>
    </row>
    <row r="391" spans="11:11" x14ac:dyDescent="0.15">
      <c r="K391" s="177"/>
    </row>
    <row r="392" spans="11:11" x14ac:dyDescent="0.15">
      <c r="K392" s="177"/>
    </row>
    <row r="393" spans="11:11" x14ac:dyDescent="0.15">
      <c r="K393" s="177"/>
    </row>
    <row r="394" spans="11:11" x14ac:dyDescent="0.15">
      <c r="K394" s="177"/>
    </row>
    <row r="395" spans="11:11" x14ac:dyDescent="0.15">
      <c r="K395" s="177"/>
    </row>
    <row r="396" spans="11:11" x14ac:dyDescent="0.15">
      <c r="K396" s="177"/>
    </row>
    <row r="397" spans="11:11" x14ac:dyDescent="0.15">
      <c r="K397" s="177"/>
    </row>
    <row r="398" spans="11:11" x14ac:dyDescent="0.15">
      <c r="K398" s="177"/>
    </row>
    <row r="399" spans="11:11" x14ac:dyDescent="0.15">
      <c r="K399" s="177"/>
    </row>
    <row r="400" spans="11:11" x14ac:dyDescent="0.15">
      <c r="K400" s="177"/>
    </row>
    <row r="401" spans="11:11" x14ac:dyDescent="0.15">
      <c r="K401" s="177"/>
    </row>
    <row r="402" spans="11:11" x14ac:dyDescent="0.15">
      <c r="K402" s="177"/>
    </row>
    <row r="403" spans="11:11" x14ac:dyDescent="0.15">
      <c r="K403" s="177"/>
    </row>
    <row r="404" spans="11:11" x14ac:dyDescent="0.15">
      <c r="K404" s="177"/>
    </row>
    <row r="405" spans="11:11" x14ac:dyDescent="0.15">
      <c r="K405" s="177"/>
    </row>
    <row r="406" spans="11:11" x14ac:dyDescent="0.15">
      <c r="K406" s="177"/>
    </row>
    <row r="407" spans="11:11" x14ac:dyDescent="0.15">
      <c r="K407" s="177"/>
    </row>
    <row r="408" spans="11:11" x14ac:dyDescent="0.15">
      <c r="K408" s="177"/>
    </row>
    <row r="409" spans="11:11" x14ac:dyDescent="0.15">
      <c r="K409" s="177"/>
    </row>
    <row r="410" spans="11:11" x14ac:dyDescent="0.15">
      <c r="K410" s="177"/>
    </row>
    <row r="411" spans="11:11" x14ac:dyDescent="0.15">
      <c r="K411" s="177"/>
    </row>
    <row r="412" spans="11:11" x14ac:dyDescent="0.15">
      <c r="K412" s="177"/>
    </row>
    <row r="413" spans="11:11" x14ac:dyDescent="0.15">
      <c r="K413" s="177"/>
    </row>
    <row r="414" spans="11:11" x14ac:dyDescent="0.15">
      <c r="K414" s="177"/>
    </row>
    <row r="415" spans="11:11" x14ac:dyDescent="0.15">
      <c r="K415" s="177"/>
    </row>
    <row r="416" spans="11:11" x14ac:dyDescent="0.15">
      <c r="K416" s="177"/>
    </row>
    <row r="417" spans="11:11" x14ac:dyDescent="0.15">
      <c r="K417" s="177"/>
    </row>
    <row r="418" spans="11:11" x14ac:dyDescent="0.15">
      <c r="K418" s="177"/>
    </row>
    <row r="419" spans="11:11" x14ac:dyDescent="0.15">
      <c r="K419" s="177"/>
    </row>
    <row r="420" spans="11:11" x14ac:dyDescent="0.15">
      <c r="K420" s="177"/>
    </row>
    <row r="421" spans="11:11" x14ac:dyDescent="0.15">
      <c r="K421" s="177"/>
    </row>
    <row r="422" spans="11:11" x14ac:dyDescent="0.15">
      <c r="K422" s="177"/>
    </row>
    <row r="423" spans="11:11" x14ac:dyDescent="0.15">
      <c r="K423" s="177"/>
    </row>
    <row r="424" spans="11:11" x14ac:dyDescent="0.15">
      <c r="K424" s="177"/>
    </row>
    <row r="425" spans="11:11" x14ac:dyDescent="0.15">
      <c r="K425" s="177"/>
    </row>
    <row r="426" spans="11:11" x14ac:dyDescent="0.15">
      <c r="K426" s="177"/>
    </row>
    <row r="427" spans="11:11" x14ac:dyDescent="0.15">
      <c r="K427" s="177"/>
    </row>
    <row r="428" spans="11:11" x14ac:dyDescent="0.15">
      <c r="K428" s="177"/>
    </row>
    <row r="429" spans="11:11" x14ac:dyDescent="0.15">
      <c r="K429" s="177"/>
    </row>
    <row r="430" spans="11:11" x14ac:dyDescent="0.15">
      <c r="K430" s="177"/>
    </row>
    <row r="431" spans="11:11" x14ac:dyDescent="0.15">
      <c r="K431" s="177"/>
    </row>
    <row r="432" spans="11:11" x14ac:dyDescent="0.15">
      <c r="K432" s="177"/>
    </row>
    <row r="433" spans="11:11" x14ac:dyDescent="0.15">
      <c r="K433" s="177"/>
    </row>
    <row r="434" spans="11:11" x14ac:dyDescent="0.15">
      <c r="K434" s="177"/>
    </row>
    <row r="435" spans="11:11" x14ac:dyDescent="0.15">
      <c r="K435" s="177"/>
    </row>
    <row r="436" spans="11:11" x14ac:dyDescent="0.15">
      <c r="K436" s="177"/>
    </row>
    <row r="437" spans="11:11" x14ac:dyDescent="0.15">
      <c r="K437" s="177"/>
    </row>
    <row r="438" spans="11:11" x14ac:dyDescent="0.15">
      <c r="K438" s="177"/>
    </row>
    <row r="439" spans="11:11" x14ac:dyDescent="0.15">
      <c r="K439" s="177"/>
    </row>
    <row r="440" spans="11:11" x14ac:dyDescent="0.15">
      <c r="K440" s="177"/>
    </row>
    <row r="441" spans="11:11" x14ac:dyDescent="0.15">
      <c r="K441" s="177"/>
    </row>
    <row r="442" spans="11:11" x14ac:dyDescent="0.15">
      <c r="K442" s="177"/>
    </row>
    <row r="443" spans="11:11" x14ac:dyDescent="0.15">
      <c r="K443" s="177"/>
    </row>
    <row r="444" spans="11:11" x14ac:dyDescent="0.15">
      <c r="K444" s="177"/>
    </row>
    <row r="445" spans="11:11" x14ac:dyDescent="0.15">
      <c r="K445" s="177"/>
    </row>
    <row r="446" spans="11:11" x14ac:dyDescent="0.15">
      <c r="K446" s="177"/>
    </row>
    <row r="447" spans="11:11" x14ac:dyDescent="0.15">
      <c r="K447" s="177"/>
    </row>
    <row r="448" spans="11:11" x14ac:dyDescent="0.15">
      <c r="K448" s="177"/>
    </row>
    <row r="449" spans="11:11" x14ac:dyDescent="0.15">
      <c r="K449" s="177"/>
    </row>
    <row r="450" spans="11:11" x14ac:dyDescent="0.15">
      <c r="K450" s="177"/>
    </row>
    <row r="451" spans="11:11" x14ac:dyDescent="0.15">
      <c r="K451" s="177"/>
    </row>
    <row r="452" spans="11:11" x14ac:dyDescent="0.15">
      <c r="K452" s="177"/>
    </row>
    <row r="453" spans="11:11" x14ac:dyDescent="0.15">
      <c r="K453" s="177"/>
    </row>
    <row r="454" spans="11:11" x14ac:dyDescent="0.15">
      <c r="K454" s="177"/>
    </row>
    <row r="455" spans="11:11" x14ac:dyDescent="0.15">
      <c r="K455" s="177"/>
    </row>
    <row r="456" spans="11:11" x14ac:dyDescent="0.15">
      <c r="K456" s="177"/>
    </row>
    <row r="457" spans="11:11" x14ac:dyDescent="0.15">
      <c r="K457" s="177"/>
    </row>
    <row r="458" spans="11:11" x14ac:dyDescent="0.15">
      <c r="K458" s="177"/>
    </row>
    <row r="459" spans="11:11" x14ac:dyDescent="0.15">
      <c r="K459" s="177"/>
    </row>
    <row r="460" spans="11:11" x14ac:dyDescent="0.15">
      <c r="K460" s="177"/>
    </row>
    <row r="461" spans="11:11" x14ac:dyDescent="0.15">
      <c r="K461" s="177"/>
    </row>
    <row r="462" spans="11:11" x14ac:dyDescent="0.15">
      <c r="K462" s="177"/>
    </row>
    <row r="463" spans="11:11" x14ac:dyDescent="0.15">
      <c r="K463" s="177"/>
    </row>
    <row r="464" spans="11:11" x14ac:dyDescent="0.15">
      <c r="K464" s="177"/>
    </row>
    <row r="465" spans="11:11" x14ac:dyDescent="0.15">
      <c r="K465" s="177"/>
    </row>
    <row r="466" spans="11:11" x14ac:dyDescent="0.15">
      <c r="K466" s="177"/>
    </row>
    <row r="467" spans="11:11" x14ac:dyDescent="0.15">
      <c r="K467" s="177"/>
    </row>
    <row r="468" spans="11:11" x14ac:dyDescent="0.15">
      <c r="K468" s="177"/>
    </row>
    <row r="469" spans="11:11" x14ac:dyDescent="0.15">
      <c r="K469" s="177"/>
    </row>
    <row r="470" spans="11:11" x14ac:dyDescent="0.15">
      <c r="K470" s="177"/>
    </row>
    <row r="471" spans="11:11" x14ac:dyDescent="0.15">
      <c r="K471" s="177"/>
    </row>
    <row r="472" spans="11:11" x14ac:dyDescent="0.15">
      <c r="K472" s="177"/>
    </row>
    <row r="473" spans="11:11" x14ac:dyDescent="0.15">
      <c r="K473" s="177"/>
    </row>
    <row r="474" spans="11:11" x14ac:dyDescent="0.15">
      <c r="K474" s="177"/>
    </row>
    <row r="475" spans="11:11" x14ac:dyDescent="0.15">
      <c r="K475" s="177"/>
    </row>
    <row r="476" spans="11:11" x14ac:dyDescent="0.15">
      <c r="K476" s="177"/>
    </row>
    <row r="477" spans="11:11" x14ac:dyDescent="0.15">
      <c r="K477" s="177"/>
    </row>
    <row r="478" spans="11:11" x14ac:dyDescent="0.15">
      <c r="K478" s="177"/>
    </row>
    <row r="479" spans="11:11" x14ac:dyDescent="0.15">
      <c r="K479" s="177"/>
    </row>
    <row r="480" spans="11:11" x14ac:dyDescent="0.15">
      <c r="K480" s="177"/>
    </row>
    <row r="481" spans="11:11" x14ac:dyDescent="0.15">
      <c r="K481" s="177"/>
    </row>
    <row r="482" spans="11:11" x14ac:dyDescent="0.15">
      <c r="K482" s="177"/>
    </row>
    <row r="483" spans="11:11" x14ac:dyDescent="0.15">
      <c r="K483" s="177"/>
    </row>
    <row r="484" spans="11:11" x14ac:dyDescent="0.15">
      <c r="K484" s="177"/>
    </row>
    <row r="485" spans="11:11" x14ac:dyDescent="0.15">
      <c r="K485" s="177"/>
    </row>
    <row r="486" spans="11:11" x14ac:dyDescent="0.15">
      <c r="K486" s="177"/>
    </row>
    <row r="487" spans="11:11" x14ac:dyDescent="0.15">
      <c r="K487" s="177"/>
    </row>
    <row r="488" spans="11:11" x14ac:dyDescent="0.15">
      <c r="K488" s="177"/>
    </row>
    <row r="489" spans="11:11" x14ac:dyDescent="0.15">
      <c r="K489" s="177"/>
    </row>
    <row r="490" spans="11:11" x14ac:dyDescent="0.15">
      <c r="K490" s="177"/>
    </row>
    <row r="491" spans="11:11" x14ac:dyDescent="0.15">
      <c r="K491" s="177"/>
    </row>
    <row r="492" spans="11:11" x14ac:dyDescent="0.15">
      <c r="K492" s="177"/>
    </row>
    <row r="493" spans="11:11" x14ac:dyDescent="0.15">
      <c r="K493" s="177"/>
    </row>
    <row r="494" spans="11:11" x14ac:dyDescent="0.15">
      <c r="K494" s="177"/>
    </row>
    <row r="495" spans="11:11" x14ac:dyDescent="0.15">
      <c r="K495" s="177"/>
    </row>
    <row r="496" spans="11:11" x14ac:dyDescent="0.15">
      <c r="K496" s="177"/>
    </row>
    <row r="497" spans="11:11" x14ac:dyDescent="0.15">
      <c r="K497" s="177"/>
    </row>
    <row r="498" spans="11:11" x14ac:dyDescent="0.15">
      <c r="K498" s="177"/>
    </row>
    <row r="499" spans="11:11" x14ac:dyDescent="0.15">
      <c r="K499" s="177"/>
    </row>
    <row r="500" spans="11:11" x14ac:dyDescent="0.15">
      <c r="K500" s="177"/>
    </row>
    <row r="501" spans="11:11" x14ac:dyDescent="0.15">
      <c r="K501" s="177"/>
    </row>
    <row r="502" spans="11:11" x14ac:dyDescent="0.15">
      <c r="K502" s="177"/>
    </row>
    <row r="503" spans="11:11" x14ac:dyDescent="0.15">
      <c r="K503" s="177"/>
    </row>
    <row r="504" spans="11:11" x14ac:dyDescent="0.15">
      <c r="K504" s="177"/>
    </row>
    <row r="505" spans="11:11" x14ac:dyDescent="0.15">
      <c r="K505" s="177"/>
    </row>
    <row r="506" spans="11:11" x14ac:dyDescent="0.15">
      <c r="K506" s="177"/>
    </row>
    <row r="507" spans="11:11" x14ac:dyDescent="0.15">
      <c r="K507" s="177"/>
    </row>
    <row r="508" spans="11:11" x14ac:dyDescent="0.15">
      <c r="K508" s="177"/>
    </row>
    <row r="509" spans="11:11" x14ac:dyDescent="0.15">
      <c r="K509" s="177"/>
    </row>
    <row r="510" spans="11:11" x14ac:dyDescent="0.15">
      <c r="K510" s="177"/>
    </row>
    <row r="511" spans="11:11" x14ac:dyDescent="0.15">
      <c r="K511" s="177"/>
    </row>
    <row r="512" spans="11:11" x14ac:dyDescent="0.15">
      <c r="K512" s="177"/>
    </row>
    <row r="513" spans="11:11" x14ac:dyDescent="0.15">
      <c r="K513" s="177"/>
    </row>
    <row r="514" spans="11:11" x14ac:dyDescent="0.15">
      <c r="K514" s="177"/>
    </row>
    <row r="515" spans="11:11" x14ac:dyDescent="0.15">
      <c r="K515" s="177"/>
    </row>
    <row r="516" spans="11:11" x14ac:dyDescent="0.15">
      <c r="K516" s="177"/>
    </row>
    <row r="517" spans="11:11" x14ac:dyDescent="0.15">
      <c r="K517" s="177"/>
    </row>
    <row r="518" spans="11:11" x14ac:dyDescent="0.15">
      <c r="K518" s="177"/>
    </row>
    <row r="519" spans="11:11" x14ac:dyDescent="0.15">
      <c r="K519" s="177"/>
    </row>
    <row r="520" spans="11:11" x14ac:dyDescent="0.15">
      <c r="K520" s="177"/>
    </row>
    <row r="521" spans="11:11" x14ac:dyDescent="0.15">
      <c r="K521" s="177"/>
    </row>
    <row r="522" spans="11:11" x14ac:dyDescent="0.15">
      <c r="K522" s="177"/>
    </row>
    <row r="523" spans="11:11" x14ac:dyDescent="0.15">
      <c r="K523" s="177"/>
    </row>
    <row r="524" spans="11:11" x14ac:dyDescent="0.15">
      <c r="K524" s="177"/>
    </row>
    <row r="525" spans="11:11" x14ac:dyDescent="0.15">
      <c r="K525" s="177"/>
    </row>
    <row r="526" spans="11:11" x14ac:dyDescent="0.15">
      <c r="K526" s="177"/>
    </row>
    <row r="527" spans="11:11" x14ac:dyDescent="0.15">
      <c r="K527" s="177"/>
    </row>
    <row r="528" spans="11:11" x14ac:dyDescent="0.15">
      <c r="K528" s="177"/>
    </row>
    <row r="529" spans="11:11" x14ac:dyDescent="0.15">
      <c r="K529" s="177"/>
    </row>
    <row r="530" spans="11:11" x14ac:dyDescent="0.15">
      <c r="K530" s="177"/>
    </row>
    <row r="531" spans="11:11" x14ac:dyDescent="0.15">
      <c r="K531" s="177"/>
    </row>
    <row r="532" spans="11:11" x14ac:dyDescent="0.15">
      <c r="K532" s="177"/>
    </row>
    <row r="533" spans="11:11" x14ac:dyDescent="0.15">
      <c r="K533" s="177"/>
    </row>
    <row r="534" spans="11:11" x14ac:dyDescent="0.15">
      <c r="K534" s="177"/>
    </row>
    <row r="535" spans="11:11" x14ac:dyDescent="0.15">
      <c r="K535" s="177"/>
    </row>
    <row r="536" spans="11:11" x14ac:dyDescent="0.15">
      <c r="K536" s="177"/>
    </row>
    <row r="537" spans="11:11" x14ac:dyDescent="0.15">
      <c r="K537" s="177"/>
    </row>
    <row r="538" spans="11:11" x14ac:dyDescent="0.15">
      <c r="K538" s="177"/>
    </row>
    <row r="539" spans="11:11" x14ac:dyDescent="0.15">
      <c r="K539" s="177"/>
    </row>
    <row r="540" spans="11:11" x14ac:dyDescent="0.15">
      <c r="K540" s="177"/>
    </row>
    <row r="541" spans="11:11" x14ac:dyDescent="0.15">
      <c r="K541" s="177"/>
    </row>
    <row r="542" spans="11:11" x14ac:dyDescent="0.15">
      <c r="K542" s="177"/>
    </row>
    <row r="543" spans="11:11" x14ac:dyDescent="0.15">
      <c r="K543" s="177"/>
    </row>
    <row r="544" spans="11:11" x14ac:dyDescent="0.15">
      <c r="K544" s="177"/>
    </row>
    <row r="545" spans="11:11" x14ac:dyDescent="0.15">
      <c r="K545" s="177"/>
    </row>
    <row r="546" spans="11:11" x14ac:dyDescent="0.15">
      <c r="K546" s="177"/>
    </row>
    <row r="547" spans="11:11" x14ac:dyDescent="0.15">
      <c r="K547" s="177"/>
    </row>
    <row r="548" spans="11:11" x14ac:dyDescent="0.15">
      <c r="K548" s="177"/>
    </row>
    <row r="549" spans="11:11" x14ac:dyDescent="0.15">
      <c r="K549" s="177"/>
    </row>
    <row r="550" spans="11:11" x14ac:dyDescent="0.15">
      <c r="K550" s="177"/>
    </row>
    <row r="551" spans="11:11" x14ac:dyDescent="0.15">
      <c r="K551" s="177"/>
    </row>
    <row r="552" spans="11:11" x14ac:dyDescent="0.15">
      <c r="K552" s="177"/>
    </row>
    <row r="553" spans="11:11" x14ac:dyDescent="0.15">
      <c r="K553" s="177"/>
    </row>
    <row r="554" spans="11:11" x14ac:dyDescent="0.15">
      <c r="K554" s="177"/>
    </row>
    <row r="555" spans="11:11" x14ac:dyDescent="0.15">
      <c r="K555" s="177"/>
    </row>
    <row r="556" spans="11:11" x14ac:dyDescent="0.15">
      <c r="K556" s="177"/>
    </row>
    <row r="557" spans="11:11" x14ac:dyDescent="0.15">
      <c r="K557" s="177"/>
    </row>
    <row r="558" spans="11:11" x14ac:dyDescent="0.15">
      <c r="K558" s="177"/>
    </row>
    <row r="559" spans="11:11" x14ac:dyDescent="0.15">
      <c r="K559" s="177"/>
    </row>
    <row r="560" spans="11:11" x14ac:dyDescent="0.15">
      <c r="K560" s="177"/>
    </row>
    <row r="561" spans="11:11" x14ac:dyDescent="0.15">
      <c r="K561" s="177"/>
    </row>
    <row r="562" spans="11:11" x14ac:dyDescent="0.15">
      <c r="K562" s="177"/>
    </row>
    <row r="563" spans="11:11" x14ac:dyDescent="0.15">
      <c r="K563" s="177"/>
    </row>
    <row r="564" spans="11:11" x14ac:dyDescent="0.15">
      <c r="K564" s="177"/>
    </row>
    <row r="565" spans="11:11" x14ac:dyDescent="0.15">
      <c r="K565" s="177"/>
    </row>
    <row r="566" spans="11:11" x14ac:dyDescent="0.15">
      <c r="K566" s="177"/>
    </row>
    <row r="567" spans="11:11" x14ac:dyDescent="0.15">
      <c r="K567" s="177"/>
    </row>
    <row r="568" spans="11:11" x14ac:dyDescent="0.15">
      <c r="K568" s="177"/>
    </row>
    <row r="569" spans="11:11" x14ac:dyDescent="0.15">
      <c r="K569" s="177"/>
    </row>
    <row r="570" spans="11:11" x14ac:dyDescent="0.15">
      <c r="K570" s="177"/>
    </row>
    <row r="571" spans="11:11" x14ac:dyDescent="0.15">
      <c r="K571" s="177"/>
    </row>
    <row r="572" spans="11:11" x14ac:dyDescent="0.15">
      <c r="K572" s="177"/>
    </row>
    <row r="573" spans="11:11" x14ac:dyDescent="0.15">
      <c r="K573" s="177"/>
    </row>
    <row r="574" spans="11:11" x14ac:dyDescent="0.15">
      <c r="K574" s="177"/>
    </row>
    <row r="575" spans="11:11" x14ac:dyDescent="0.15">
      <c r="K575" s="177"/>
    </row>
    <row r="576" spans="11:11" x14ac:dyDescent="0.15">
      <c r="K576" s="177"/>
    </row>
    <row r="577" spans="11:11" x14ac:dyDescent="0.15">
      <c r="K577" s="177"/>
    </row>
    <row r="578" spans="11:11" x14ac:dyDescent="0.15">
      <c r="K578" s="177"/>
    </row>
    <row r="579" spans="11:11" x14ac:dyDescent="0.15">
      <c r="K579" s="177"/>
    </row>
    <row r="580" spans="11:11" x14ac:dyDescent="0.15">
      <c r="K580" s="177"/>
    </row>
    <row r="581" spans="11:11" x14ac:dyDescent="0.15">
      <c r="K581" s="177"/>
    </row>
    <row r="582" spans="11:11" x14ac:dyDescent="0.15">
      <c r="K582" s="177"/>
    </row>
    <row r="583" spans="11:11" x14ac:dyDescent="0.15">
      <c r="K583" s="177"/>
    </row>
    <row r="584" spans="11:11" x14ac:dyDescent="0.15">
      <c r="K584" s="177"/>
    </row>
    <row r="585" spans="11:11" x14ac:dyDescent="0.15">
      <c r="K585" s="177"/>
    </row>
    <row r="586" spans="11:11" x14ac:dyDescent="0.15">
      <c r="K586" s="177"/>
    </row>
    <row r="587" spans="11:11" x14ac:dyDescent="0.15">
      <c r="K587" s="177"/>
    </row>
    <row r="588" spans="11:11" x14ac:dyDescent="0.15">
      <c r="K588" s="177"/>
    </row>
    <row r="589" spans="11:11" x14ac:dyDescent="0.15">
      <c r="K589" s="177"/>
    </row>
    <row r="590" spans="11:11" x14ac:dyDescent="0.15">
      <c r="K590" s="177"/>
    </row>
    <row r="591" spans="11:11" x14ac:dyDescent="0.15">
      <c r="K591" s="177"/>
    </row>
    <row r="592" spans="11:11" x14ac:dyDescent="0.15">
      <c r="K592" s="177"/>
    </row>
    <row r="593" spans="11:11" x14ac:dyDescent="0.15">
      <c r="K593" s="177"/>
    </row>
    <row r="594" spans="11:11" x14ac:dyDescent="0.15">
      <c r="K594" s="177"/>
    </row>
    <row r="595" spans="11:11" x14ac:dyDescent="0.15">
      <c r="K595" s="177"/>
    </row>
    <row r="596" spans="11:11" x14ac:dyDescent="0.15">
      <c r="K596" s="177"/>
    </row>
    <row r="597" spans="11:11" x14ac:dyDescent="0.15">
      <c r="K597" s="177"/>
    </row>
    <row r="598" spans="11:11" x14ac:dyDescent="0.15">
      <c r="K598" s="177"/>
    </row>
    <row r="599" spans="11:11" x14ac:dyDescent="0.15">
      <c r="K599" s="177"/>
    </row>
    <row r="600" spans="11:11" x14ac:dyDescent="0.15">
      <c r="K600" s="177"/>
    </row>
    <row r="601" spans="11:11" x14ac:dyDescent="0.15">
      <c r="K601" s="177"/>
    </row>
    <row r="602" spans="11:11" x14ac:dyDescent="0.15">
      <c r="K602" s="177"/>
    </row>
    <row r="603" spans="11:11" x14ac:dyDescent="0.15">
      <c r="K603" s="177"/>
    </row>
    <row r="604" spans="11:11" x14ac:dyDescent="0.15">
      <c r="K604" s="177"/>
    </row>
    <row r="605" spans="11:11" x14ac:dyDescent="0.15">
      <c r="K605" s="177"/>
    </row>
    <row r="606" spans="11:11" x14ac:dyDescent="0.15">
      <c r="K606" s="177"/>
    </row>
    <row r="607" spans="11:11" x14ac:dyDescent="0.15">
      <c r="K607" s="177"/>
    </row>
    <row r="608" spans="11:11" x14ac:dyDescent="0.15">
      <c r="K608" s="177"/>
    </row>
    <row r="609" spans="11:11" x14ac:dyDescent="0.15">
      <c r="K609" s="177"/>
    </row>
    <row r="610" spans="11:11" x14ac:dyDescent="0.15">
      <c r="K610" s="177"/>
    </row>
    <row r="611" spans="11:11" x14ac:dyDescent="0.15">
      <c r="K611" s="177"/>
    </row>
    <row r="612" spans="11:11" x14ac:dyDescent="0.15">
      <c r="K612" s="177"/>
    </row>
    <row r="613" spans="11:11" x14ac:dyDescent="0.15">
      <c r="K613" s="177"/>
    </row>
    <row r="614" spans="11:11" x14ac:dyDescent="0.15">
      <c r="K614" s="177"/>
    </row>
    <row r="615" spans="11:11" x14ac:dyDescent="0.15">
      <c r="K615" s="177"/>
    </row>
    <row r="616" spans="11:11" x14ac:dyDescent="0.15">
      <c r="K616" s="177"/>
    </row>
    <row r="617" spans="11:11" x14ac:dyDescent="0.15">
      <c r="K617" s="177"/>
    </row>
    <row r="618" spans="11:11" x14ac:dyDescent="0.15">
      <c r="K618" s="177"/>
    </row>
    <row r="619" spans="11:11" x14ac:dyDescent="0.15">
      <c r="K619" s="177"/>
    </row>
    <row r="620" spans="11:11" x14ac:dyDescent="0.15">
      <c r="K620" s="177"/>
    </row>
    <row r="621" spans="11:11" x14ac:dyDescent="0.15">
      <c r="K621" s="177"/>
    </row>
    <row r="622" spans="11:11" x14ac:dyDescent="0.15">
      <c r="K622" s="177"/>
    </row>
    <row r="623" spans="11:11" x14ac:dyDescent="0.15">
      <c r="K623" s="177"/>
    </row>
    <row r="624" spans="11:11" x14ac:dyDescent="0.15">
      <c r="K624" s="177"/>
    </row>
    <row r="625" spans="11:11" x14ac:dyDescent="0.15">
      <c r="K625" s="177"/>
    </row>
    <row r="626" spans="11:11" x14ac:dyDescent="0.15">
      <c r="K626" s="177"/>
    </row>
    <row r="627" spans="11:11" x14ac:dyDescent="0.15">
      <c r="K627" s="177"/>
    </row>
    <row r="628" spans="11:11" x14ac:dyDescent="0.15">
      <c r="K628" s="177"/>
    </row>
    <row r="629" spans="11:11" x14ac:dyDescent="0.15">
      <c r="K629" s="177"/>
    </row>
    <row r="630" spans="11:11" x14ac:dyDescent="0.15">
      <c r="K630" s="177"/>
    </row>
    <row r="631" spans="11:11" x14ac:dyDescent="0.15">
      <c r="K631" s="177"/>
    </row>
    <row r="632" spans="11:11" x14ac:dyDescent="0.15">
      <c r="K632" s="177"/>
    </row>
    <row r="633" spans="11:11" x14ac:dyDescent="0.15">
      <c r="K633" s="177"/>
    </row>
    <row r="634" spans="11:11" x14ac:dyDescent="0.15">
      <c r="K634" s="177"/>
    </row>
    <row r="635" spans="11:11" x14ac:dyDescent="0.15">
      <c r="K635" s="177"/>
    </row>
    <row r="636" spans="11:11" x14ac:dyDescent="0.15">
      <c r="K636" s="177"/>
    </row>
    <row r="637" spans="11:11" x14ac:dyDescent="0.15">
      <c r="K637" s="177"/>
    </row>
    <row r="638" spans="11:11" x14ac:dyDescent="0.15">
      <c r="K638" s="177"/>
    </row>
    <row r="639" spans="11:11" x14ac:dyDescent="0.15">
      <c r="K639" s="177"/>
    </row>
    <row r="640" spans="11:11" x14ac:dyDescent="0.15">
      <c r="K640" s="177"/>
    </row>
    <row r="641" spans="11:11" x14ac:dyDescent="0.15">
      <c r="K641" s="177"/>
    </row>
    <row r="642" spans="11:11" x14ac:dyDescent="0.15">
      <c r="K642" s="177"/>
    </row>
    <row r="643" spans="11:11" x14ac:dyDescent="0.15">
      <c r="K643" s="177"/>
    </row>
    <row r="644" spans="11:11" x14ac:dyDescent="0.15">
      <c r="K644" s="177"/>
    </row>
    <row r="645" spans="11:11" x14ac:dyDescent="0.15">
      <c r="K645" s="177"/>
    </row>
    <row r="646" spans="11:11" x14ac:dyDescent="0.15">
      <c r="K646" s="177"/>
    </row>
    <row r="647" spans="11:11" x14ac:dyDescent="0.15">
      <c r="K647" s="177"/>
    </row>
    <row r="648" spans="11:11" x14ac:dyDescent="0.15">
      <c r="K648" s="177"/>
    </row>
    <row r="649" spans="11:11" x14ac:dyDescent="0.15">
      <c r="K649" s="177"/>
    </row>
    <row r="650" spans="11:11" x14ac:dyDescent="0.15">
      <c r="K650" s="177"/>
    </row>
    <row r="651" spans="11:11" x14ac:dyDescent="0.15">
      <c r="K651" s="177"/>
    </row>
    <row r="652" spans="11:11" x14ac:dyDescent="0.15">
      <c r="K652" s="177"/>
    </row>
    <row r="653" spans="11:11" x14ac:dyDescent="0.15">
      <c r="K653" s="177"/>
    </row>
    <row r="654" spans="11:11" x14ac:dyDescent="0.15">
      <c r="K654" s="177"/>
    </row>
    <row r="655" spans="11:11" x14ac:dyDescent="0.15">
      <c r="K655" s="177"/>
    </row>
    <row r="656" spans="11:11" x14ac:dyDescent="0.15">
      <c r="K656" s="177"/>
    </row>
    <row r="657" spans="11:11" x14ac:dyDescent="0.15">
      <c r="K657" s="177"/>
    </row>
    <row r="658" spans="11:11" x14ac:dyDescent="0.15">
      <c r="K658" s="177"/>
    </row>
    <row r="659" spans="11:11" x14ac:dyDescent="0.15">
      <c r="K659" s="177"/>
    </row>
    <row r="660" spans="11:11" x14ac:dyDescent="0.15">
      <c r="K660" s="177"/>
    </row>
    <row r="661" spans="11:11" x14ac:dyDescent="0.15">
      <c r="K661" s="177"/>
    </row>
    <row r="662" spans="11:11" x14ac:dyDescent="0.15">
      <c r="K662" s="177"/>
    </row>
    <row r="663" spans="11:11" x14ac:dyDescent="0.15">
      <c r="K663" s="177"/>
    </row>
    <row r="664" spans="11:11" x14ac:dyDescent="0.15">
      <c r="K664" s="177"/>
    </row>
    <row r="665" spans="11:11" x14ac:dyDescent="0.15">
      <c r="K665" s="177"/>
    </row>
    <row r="666" spans="11:11" x14ac:dyDescent="0.15">
      <c r="K666" s="177"/>
    </row>
    <row r="667" spans="11:11" x14ac:dyDescent="0.15">
      <c r="K667" s="177"/>
    </row>
    <row r="668" spans="11:11" x14ac:dyDescent="0.15">
      <c r="K668" s="177"/>
    </row>
    <row r="669" spans="11:11" x14ac:dyDescent="0.15">
      <c r="K669" s="177"/>
    </row>
    <row r="670" spans="11:11" x14ac:dyDescent="0.15">
      <c r="K670" s="177"/>
    </row>
    <row r="671" spans="11:11" x14ac:dyDescent="0.15">
      <c r="K671" s="177"/>
    </row>
    <row r="672" spans="11:11" x14ac:dyDescent="0.15">
      <c r="K672" s="177"/>
    </row>
    <row r="673" spans="11:11" x14ac:dyDescent="0.15">
      <c r="K673" s="177"/>
    </row>
    <row r="674" spans="11:11" x14ac:dyDescent="0.15">
      <c r="K674" s="177"/>
    </row>
    <row r="675" spans="11:11" x14ac:dyDescent="0.15">
      <c r="K675" s="177"/>
    </row>
    <row r="676" spans="11:11" x14ac:dyDescent="0.15">
      <c r="K676" s="177"/>
    </row>
    <row r="677" spans="11:11" x14ac:dyDescent="0.15">
      <c r="K677" s="177"/>
    </row>
    <row r="678" spans="11:11" x14ac:dyDescent="0.15">
      <c r="K678" s="177"/>
    </row>
    <row r="679" spans="11:11" x14ac:dyDescent="0.15">
      <c r="K679" s="177"/>
    </row>
    <row r="680" spans="11:11" x14ac:dyDescent="0.15">
      <c r="K680" s="177"/>
    </row>
    <row r="681" spans="11:11" x14ac:dyDescent="0.15">
      <c r="K681" s="177"/>
    </row>
    <row r="682" spans="11:11" x14ac:dyDescent="0.15">
      <c r="K682" s="177"/>
    </row>
    <row r="683" spans="11:11" x14ac:dyDescent="0.15">
      <c r="K683" s="177"/>
    </row>
    <row r="684" spans="11:11" x14ac:dyDescent="0.15">
      <c r="K684" s="177"/>
    </row>
    <row r="685" spans="11:11" x14ac:dyDescent="0.15">
      <c r="K685" s="177"/>
    </row>
    <row r="686" spans="11:11" x14ac:dyDescent="0.15">
      <c r="K686" s="177"/>
    </row>
    <row r="687" spans="11:11" x14ac:dyDescent="0.15">
      <c r="K687" s="177"/>
    </row>
    <row r="688" spans="11:11" x14ac:dyDescent="0.15">
      <c r="K688" s="177"/>
    </row>
    <row r="689" spans="11:11" x14ac:dyDescent="0.15">
      <c r="K689" s="177"/>
    </row>
    <row r="690" spans="11:11" x14ac:dyDescent="0.15">
      <c r="K690" s="177"/>
    </row>
    <row r="691" spans="11:11" x14ac:dyDescent="0.15">
      <c r="K691" s="177"/>
    </row>
    <row r="692" spans="11:11" x14ac:dyDescent="0.15">
      <c r="K692" s="177"/>
    </row>
    <row r="693" spans="11:11" x14ac:dyDescent="0.15">
      <c r="K693" s="177"/>
    </row>
    <row r="694" spans="11:11" x14ac:dyDescent="0.15">
      <c r="K694" s="177"/>
    </row>
    <row r="695" spans="11:11" x14ac:dyDescent="0.15">
      <c r="K695" s="177"/>
    </row>
    <row r="696" spans="11:11" x14ac:dyDescent="0.15">
      <c r="K696" s="177"/>
    </row>
    <row r="697" spans="11:11" x14ac:dyDescent="0.15">
      <c r="K697" s="177"/>
    </row>
    <row r="698" spans="11:11" x14ac:dyDescent="0.15">
      <c r="K698" s="177"/>
    </row>
    <row r="699" spans="11:11" x14ac:dyDescent="0.15">
      <c r="K699" s="177"/>
    </row>
    <row r="700" spans="11:11" x14ac:dyDescent="0.15">
      <c r="K700" s="177"/>
    </row>
    <row r="701" spans="11:11" x14ac:dyDescent="0.15">
      <c r="K701" s="177"/>
    </row>
    <row r="702" spans="11:11" x14ac:dyDescent="0.15">
      <c r="K702" s="177"/>
    </row>
    <row r="703" spans="11:11" x14ac:dyDescent="0.15">
      <c r="K703" s="177"/>
    </row>
    <row r="704" spans="11:11" x14ac:dyDescent="0.15">
      <c r="K704" s="177"/>
    </row>
    <row r="705" spans="11:11" x14ac:dyDescent="0.15">
      <c r="K705" s="177"/>
    </row>
    <row r="706" spans="11:11" x14ac:dyDescent="0.15">
      <c r="K706" s="177"/>
    </row>
    <row r="707" spans="11:11" x14ac:dyDescent="0.15">
      <c r="K707" s="177"/>
    </row>
    <row r="708" spans="11:11" x14ac:dyDescent="0.15">
      <c r="K708" s="177"/>
    </row>
    <row r="709" spans="11:11" x14ac:dyDescent="0.15">
      <c r="K709" s="177"/>
    </row>
    <row r="710" spans="11:11" x14ac:dyDescent="0.15">
      <c r="K710" s="177"/>
    </row>
    <row r="711" spans="11:11" x14ac:dyDescent="0.15">
      <c r="K711" s="177"/>
    </row>
    <row r="712" spans="11:11" x14ac:dyDescent="0.15">
      <c r="K712" s="177"/>
    </row>
    <row r="713" spans="11:11" x14ac:dyDescent="0.15">
      <c r="K713" s="177"/>
    </row>
    <row r="714" spans="11:11" x14ac:dyDescent="0.15">
      <c r="K714" s="177"/>
    </row>
    <row r="715" spans="11:11" x14ac:dyDescent="0.15">
      <c r="K715" s="177"/>
    </row>
    <row r="716" spans="11:11" x14ac:dyDescent="0.15">
      <c r="K716" s="177"/>
    </row>
    <row r="717" spans="11:11" x14ac:dyDescent="0.15">
      <c r="K717" s="177"/>
    </row>
    <row r="718" spans="11:11" x14ac:dyDescent="0.15">
      <c r="K718" s="177"/>
    </row>
    <row r="719" spans="11:11" x14ac:dyDescent="0.15">
      <c r="K719" s="177"/>
    </row>
    <row r="720" spans="11:11" x14ac:dyDescent="0.15">
      <c r="K720" s="177"/>
    </row>
    <row r="721" spans="11:11" x14ac:dyDescent="0.15">
      <c r="K721" s="177"/>
    </row>
    <row r="722" spans="11:11" x14ac:dyDescent="0.15">
      <c r="K722" s="177"/>
    </row>
    <row r="723" spans="11:11" x14ac:dyDescent="0.15">
      <c r="K723" s="177"/>
    </row>
    <row r="724" spans="11:11" x14ac:dyDescent="0.15">
      <c r="K724" s="177"/>
    </row>
    <row r="725" spans="11:11" x14ac:dyDescent="0.15">
      <c r="K725" s="177"/>
    </row>
    <row r="726" spans="11:11" x14ac:dyDescent="0.15">
      <c r="K726" s="177"/>
    </row>
    <row r="727" spans="11:11" x14ac:dyDescent="0.15">
      <c r="K727" s="177"/>
    </row>
    <row r="728" spans="11:11" x14ac:dyDescent="0.15">
      <c r="K728" s="177"/>
    </row>
    <row r="729" spans="11:11" x14ac:dyDescent="0.15">
      <c r="K729" s="177"/>
    </row>
    <row r="730" spans="11:11" x14ac:dyDescent="0.15">
      <c r="K730" s="177"/>
    </row>
    <row r="731" spans="11:11" x14ac:dyDescent="0.15">
      <c r="K731" s="177"/>
    </row>
    <row r="732" spans="11:11" x14ac:dyDescent="0.15">
      <c r="K732" s="177"/>
    </row>
    <row r="733" spans="11:11" x14ac:dyDescent="0.15">
      <c r="K733" s="177"/>
    </row>
    <row r="734" spans="11:11" x14ac:dyDescent="0.15">
      <c r="K734" s="177"/>
    </row>
    <row r="735" spans="11:11" x14ac:dyDescent="0.15">
      <c r="K735" s="177"/>
    </row>
    <row r="736" spans="11:11" x14ac:dyDescent="0.15">
      <c r="K736" s="177"/>
    </row>
    <row r="737" spans="11:11" x14ac:dyDescent="0.15">
      <c r="K737" s="177"/>
    </row>
    <row r="738" spans="11:11" x14ac:dyDescent="0.15">
      <c r="K738" s="177"/>
    </row>
    <row r="739" spans="11:11" x14ac:dyDescent="0.15">
      <c r="K739" s="177"/>
    </row>
    <row r="740" spans="11:11" x14ac:dyDescent="0.15">
      <c r="K740" s="177"/>
    </row>
    <row r="741" spans="11:11" x14ac:dyDescent="0.15">
      <c r="K741" s="177"/>
    </row>
    <row r="742" spans="11:11" x14ac:dyDescent="0.15">
      <c r="K742" s="177"/>
    </row>
    <row r="743" spans="11:11" x14ac:dyDescent="0.15">
      <c r="K743" s="177"/>
    </row>
    <row r="744" spans="11:11" x14ac:dyDescent="0.15">
      <c r="K744" s="177"/>
    </row>
    <row r="745" spans="11:11" x14ac:dyDescent="0.15">
      <c r="K745" s="177"/>
    </row>
    <row r="746" spans="11:11" x14ac:dyDescent="0.15">
      <c r="K746" s="177"/>
    </row>
  </sheetData>
  <autoFilter ref="A1:BA84"/>
  <phoneticPr fontId="3"/>
  <dataValidations count="12">
    <dataValidation type="list" allowBlank="1" showInputMessage="1" showErrorMessage="1" sqref="K2:K746">
      <formula1>$AR$2:$AR$23</formula1>
    </dataValidation>
    <dataValidation type="list" allowBlank="1" showInputMessage="1" showErrorMessage="1" sqref="A2:A433">
      <formula1>$AE$2:$AE$19</formula1>
    </dataValidation>
    <dataValidation type="list" allowBlank="1" showInputMessage="1" showErrorMessage="1" sqref="Y2:AA434">
      <formula1>$AV$2:$AV$21</formula1>
    </dataValidation>
    <dataValidation type="list" allowBlank="1" showInputMessage="1" showErrorMessage="1" sqref="H2:H434">
      <formula1>$AL$2:$AL$8</formula1>
    </dataValidation>
    <dataValidation type="list" allowBlank="1" showInputMessage="1" showErrorMessage="1" sqref="X2:X434">
      <formula1>$AT$2:$AT$3</formula1>
    </dataValidation>
    <dataValidation type="list" allowBlank="1" showInputMessage="1" showErrorMessage="1" sqref="G2:G434">
      <formula1>$AJ$2:$AJ$4</formula1>
    </dataValidation>
    <dataValidation type="list" allowBlank="1" showInputMessage="1" showErrorMessage="1" sqref="I2:I434">
      <formula1>$AN$5:$AN$6</formula1>
    </dataValidation>
    <dataValidation type="list" allowBlank="1" showInputMessage="1" showErrorMessage="1" sqref="J2:J434">
      <formula1>$AP$2:$AP$24</formula1>
    </dataValidation>
    <dataValidation type="list" allowBlank="1" showInputMessage="1" showErrorMessage="1" sqref="F2:F434">
      <formula1>$AH$2:$AH$11</formula1>
    </dataValidation>
    <dataValidation type="list" allowBlank="1" showInputMessage="1" showErrorMessage="1" sqref="E2:E434">
      <formula1>$AG$2:$AG$11</formula1>
    </dataValidation>
    <dataValidation type="decimal" allowBlank="1" showInputMessage="1" showErrorMessage="1" error="硬度を正しく入力して下さい。" sqref="O2:P49 O59:P434">
      <formula1>0</formula1>
      <formula2>7</formula2>
    </dataValidation>
    <dataValidation operator="equal" allowBlank="1" showInputMessage="1" showErrorMessage="1" sqref="B2:B115"/>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4FAFE01-5458-48BB-BF01-1B9EF39A70A3}"/>
</file>

<file path=customXml/itemProps2.xml><?xml version="1.0" encoding="utf-8"?>
<ds:datastoreItem xmlns:ds="http://schemas.openxmlformats.org/officeDocument/2006/customXml" ds:itemID="{09089DAE-161B-4D5A-A85F-CC52B8FD8DEF}"/>
</file>

<file path=customXml/itemProps3.xml><?xml version="1.0" encoding="utf-8"?>
<ds:datastoreItem xmlns:ds="http://schemas.openxmlformats.org/officeDocument/2006/customXml" ds:itemID="{26208798-13DF-41D6-BF6A-BFF5991D06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2018-06-19T02:09:58Z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