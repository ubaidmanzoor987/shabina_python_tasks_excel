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8.xml" ContentType="application/vnd.openxmlformats-officedocument.spreadsheetml.worksheet+xml"/>
  <Override PartName="/xl/sharedStrings.xml" ContentType="application/vnd.openxmlformats-officedocument.spreadsheetml.sharedStrings+xml"/>
  <Override PartName="/xl/worksheets/sheet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bookViews>
  <sheets>
    <sheet name="sapporo" sheetId="17" r:id="rId1"/>
    <sheet name="miyagi" sheetId="26" r:id="rId2"/>
    <sheet name="nagoya" sheetId="27" r:id="rId3"/>
    <sheet name="osaka" sheetId="28" r:id="rId4"/>
    <sheet name="hiroshima" sheetId="29" r:id="rId5"/>
    <sheet name="fukuoka" sheetId="30" r:id="rId6"/>
    <sheet name="tokyo-east(ota)" sheetId="31" r:id="rId7"/>
    <sheet name="tokyo-west(kato)" sheetId="32" r:id="rId8"/>
  </sheets>
  <externalReferences>
    <externalReference r:id="rId9"/>
  </externalReferences>
  <definedNames>
    <definedName name="_xlnm._FilterDatabase" localSheetId="5" hidden="1">fukuoka!$A$1:$BA$146</definedName>
    <definedName name="_xlnm._FilterDatabase" localSheetId="4" hidden="1">hiroshima!$A$1:$BA$1</definedName>
    <definedName name="_xlnm._FilterDatabase" localSheetId="1" hidden="1">miyagi!$A$1:$BA$115</definedName>
    <definedName name="_xlnm._FilterDatabase" localSheetId="2" hidden="1">nagoya!$A$1:$BA$52</definedName>
    <definedName name="_xlnm._FilterDatabase" localSheetId="3" hidden="1">osaka!$A$1:$BA$82</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hiroshima!$E$1:$S$69</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T103" i="32" l="1"/>
  <c r="V103" i="32" s="1"/>
  <c r="Q103" i="32"/>
  <c r="V102" i="32"/>
  <c r="T102" i="32"/>
  <c r="Q102" i="32"/>
  <c r="T101" i="32"/>
  <c r="V101" i="32" s="1"/>
  <c r="Q101" i="32"/>
  <c r="V100" i="32"/>
  <c r="T100" i="32"/>
  <c r="Q100" i="32"/>
  <c r="T99" i="32"/>
  <c r="V99" i="32" s="1"/>
  <c r="Q99" i="32"/>
  <c r="V98" i="32"/>
  <c r="T98" i="32"/>
  <c r="Q98" i="32"/>
  <c r="T97" i="32"/>
  <c r="V97" i="32" s="1"/>
  <c r="Q97" i="32"/>
  <c r="V96" i="32"/>
  <c r="T96" i="32"/>
  <c r="Q96" i="32"/>
  <c r="T95" i="32"/>
  <c r="V95" i="32" s="1"/>
  <c r="Q95" i="32"/>
  <c r="V94" i="32"/>
  <c r="T94" i="32"/>
  <c r="Q94" i="32"/>
  <c r="T93" i="32"/>
  <c r="V93" i="32" s="1"/>
  <c r="Q93" i="32"/>
  <c r="V92" i="32"/>
  <c r="T92" i="32"/>
  <c r="Q92" i="32"/>
  <c r="T91" i="32"/>
  <c r="V91" i="32" s="1"/>
  <c r="Q91" i="32"/>
  <c r="V90" i="32"/>
  <c r="T90" i="32"/>
  <c r="Q90" i="32"/>
  <c r="T89" i="32"/>
  <c r="V89" i="32" s="1"/>
  <c r="Q89" i="32"/>
  <c r="V88" i="32"/>
  <c r="T88" i="32"/>
  <c r="Q88" i="32"/>
  <c r="T87" i="32"/>
  <c r="V87" i="32" s="1"/>
  <c r="Q87" i="32"/>
  <c r="V86" i="32"/>
  <c r="T86" i="32"/>
  <c r="Q86" i="32"/>
  <c r="T85" i="32"/>
  <c r="V85" i="32" s="1"/>
  <c r="Q85" i="32"/>
  <c r="V84" i="32"/>
  <c r="T84" i="32"/>
  <c r="Q84" i="32"/>
  <c r="T83" i="32"/>
  <c r="V83" i="32" s="1"/>
  <c r="Q83" i="32"/>
  <c r="V82" i="32"/>
  <c r="T82" i="32"/>
  <c r="Q82" i="32"/>
  <c r="T81" i="32"/>
  <c r="V81" i="32" s="1"/>
  <c r="Q81" i="32"/>
  <c r="V80" i="32"/>
  <c r="T80" i="32"/>
  <c r="Q80" i="32"/>
  <c r="T79" i="32"/>
  <c r="V79" i="32" s="1"/>
  <c r="Q79" i="32"/>
  <c r="V78" i="32"/>
  <c r="T78" i="32"/>
  <c r="Q78" i="32"/>
  <c r="T77" i="32"/>
  <c r="V77" i="32" s="1"/>
  <c r="Q77" i="32"/>
  <c r="V76" i="32"/>
  <c r="T76" i="32"/>
  <c r="Q76" i="32"/>
  <c r="T75" i="32"/>
  <c r="V75" i="32" s="1"/>
  <c r="Q75" i="32"/>
  <c r="V74" i="32"/>
  <c r="T74" i="32"/>
  <c r="Q74" i="32"/>
  <c r="T73" i="32"/>
  <c r="V73" i="32" s="1"/>
  <c r="Q73" i="32"/>
  <c r="V72" i="32"/>
  <c r="T72" i="32"/>
  <c r="Q72" i="32"/>
  <c r="T71" i="32"/>
  <c r="V71" i="32" s="1"/>
  <c r="Q71" i="32"/>
  <c r="V70" i="32"/>
  <c r="T70" i="32"/>
  <c r="Q70" i="32"/>
  <c r="T69" i="32"/>
  <c r="V69" i="32" s="1"/>
  <c r="Q69" i="32"/>
  <c r="V68" i="32"/>
  <c r="T68" i="32"/>
  <c r="Q68" i="32"/>
  <c r="T67" i="32"/>
  <c r="V67" i="32" s="1"/>
  <c r="Q67" i="32"/>
  <c r="V66" i="32"/>
  <c r="T66" i="32"/>
  <c r="Q66" i="32"/>
  <c r="T65" i="32"/>
  <c r="V65" i="32" s="1"/>
  <c r="Q65" i="32"/>
  <c r="V64" i="32"/>
  <c r="T64" i="32"/>
  <c r="Q64" i="32"/>
  <c r="T63" i="32"/>
  <c r="V63" i="32" s="1"/>
  <c r="Q63" i="32"/>
  <c r="V62" i="32"/>
  <c r="T62" i="32"/>
  <c r="Q62" i="32"/>
  <c r="T61" i="32"/>
  <c r="V61" i="32" s="1"/>
  <c r="Q61" i="32"/>
  <c r="V60" i="32"/>
  <c r="T60" i="32"/>
  <c r="Q60" i="32"/>
  <c r="T59" i="32"/>
  <c r="V59" i="32" s="1"/>
  <c r="Q59" i="32"/>
  <c r="V58" i="32"/>
  <c r="T58" i="32"/>
  <c r="Q58" i="32"/>
  <c r="T57" i="32"/>
  <c r="V57" i="32" s="1"/>
  <c r="Q57" i="32"/>
  <c r="V56" i="32"/>
  <c r="T56" i="32"/>
  <c r="Q56" i="32"/>
  <c r="T55" i="32"/>
  <c r="V55" i="32" s="1"/>
  <c r="Q55" i="32"/>
  <c r="V54" i="32"/>
  <c r="T54" i="32"/>
  <c r="Q54" i="32"/>
  <c r="T53" i="32"/>
  <c r="V53" i="32" s="1"/>
  <c r="Q53" i="32"/>
  <c r="V52" i="32"/>
  <c r="T52" i="32"/>
  <c r="Q52" i="32"/>
  <c r="T51" i="32"/>
  <c r="V51" i="32" s="1"/>
  <c r="Q51" i="32"/>
  <c r="V50" i="32"/>
  <c r="T50" i="32"/>
  <c r="Q50" i="32"/>
  <c r="T49" i="32"/>
  <c r="V49" i="32" s="1"/>
  <c r="Q49" i="32"/>
  <c r="V48" i="32"/>
  <c r="T48" i="32"/>
  <c r="Q48" i="32"/>
  <c r="T47" i="32"/>
  <c r="V47" i="32" s="1"/>
  <c r="Q47" i="32"/>
  <c r="V46" i="32"/>
  <c r="T46" i="32"/>
  <c r="Q46" i="32"/>
  <c r="T45" i="32"/>
  <c r="V45" i="32" s="1"/>
  <c r="Q45" i="32"/>
  <c r="V44" i="32"/>
  <c r="T44" i="32"/>
  <c r="Q44" i="32"/>
  <c r="T43" i="32"/>
  <c r="V43" i="32" s="1"/>
  <c r="Q43" i="32"/>
  <c r="V42" i="32"/>
  <c r="T42" i="32"/>
  <c r="Q42" i="32"/>
  <c r="T41" i="32"/>
  <c r="V41" i="32" s="1"/>
  <c r="Q41" i="32"/>
  <c r="V40" i="32"/>
  <c r="T40" i="32"/>
  <c r="Q40" i="32"/>
  <c r="T39" i="32"/>
  <c r="V39" i="32" s="1"/>
  <c r="Q39" i="32"/>
  <c r="V38" i="32"/>
  <c r="T38" i="32"/>
  <c r="Q38" i="32"/>
  <c r="T37" i="32"/>
  <c r="V37" i="32" s="1"/>
  <c r="Q37" i="32"/>
  <c r="V36" i="32"/>
  <c r="T36" i="32"/>
  <c r="Q36" i="32"/>
  <c r="T35" i="32"/>
  <c r="V35" i="32" s="1"/>
  <c r="Q35" i="32"/>
  <c r="V34" i="32"/>
  <c r="T34" i="32"/>
  <c r="Q34" i="32"/>
  <c r="T33" i="32"/>
  <c r="V33" i="32" s="1"/>
  <c r="Q33" i="32"/>
  <c r="V32" i="32"/>
  <c r="T32" i="32"/>
  <c r="Q32" i="32"/>
  <c r="T31" i="32"/>
  <c r="V31" i="32" s="1"/>
  <c r="Q31" i="32"/>
  <c r="V30" i="32"/>
  <c r="T30" i="32"/>
  <c r="Q30" i="32"/>
  <c r="T29" i="32"/>
  <c r="V29" i="32" s="1"/>
  <c r="Q29" i="32"/>
  <c r="V28" i="32"/>
  <c r="T28" i="32"/>
  <c r="Q28" i="32"/>
  <c r="T27" i="32"/>
  <c r="V27" i="32" s="1"/>
  <c r="Q27" i="32"/>
  <c r="V26" i="32"/>
  <c r="T26" i="32"/>
  <c r="Q26" i="32"/>
  <c r="T25" i="32"/>
  <c r="V25" i="32" s="1"/>
  <c r="Q25" i="32"/>
  <c r="V24" i="32"/>
  <c r="T24" i="32"/>
  <c r="Q24" i="32"/>
  <c r="T23" i="32"/>
  <c r="V23" i="32" s="1"/>
  <c r="Q23" i="32"/>
  <c r="V22" i="32"/>
  <c r="T22" i="32"/>
  <c r="Q22" i="32"/>
  <c r="T21" i="32"/>
  <c r="V21" i="32" s="1"/>
  <c r="Q21" i="32"/>
  <c r="V20" i="32"/>
  <c r="T20" i="32"/>
  <c r="Q20" i="32"/>
  <c r="T19" i="32"/>
  <c r="V19" i="32" s="1"/>
  <c r="Q19" i="32"/>
  <c r="V18" i="32"/>
  <c r="T18" i="32"/>
  <c r="Q18" i="32"/>
  <c r="T17" i="32"/>
  <c r="V17" i="32" s="1"/>
  <c r="Q17" i="32"/>
  <c r="V16" i="32"/>
  <c r="T16" i="32"/>
  <c r="Q16" i="32"/>
  <c r="T15" i="32"/>
  <c r="V15" i="32" s="1"/>
  <c r="Q15" i="32"/>
  <c r="V14" i="32"/>
  <c r="T14" i="32"/>
  <c r="Q14" i="32"/>
  <c r="T13" i="32"/>
  <c r="V13" i="32" s="1"/>
  <c r="Q13" i="32"/>
  <c r="V12" i="32"/>
  <c r="T12" i="32"/>
  <c r="Q12" i="32"/>
  <c r="T11" i="32"/>
  <c r="V11" i="32" s="1"/>
  <c r="Q11" i="32"/>
  <c r="V10" i="32"/>
  <c r="T10" i="32"/>
  <c r="Q10" i="32"/>
  <c r="T9" i="32"/>
  <c r="V9" i="32" s="1"/>
  <c r="Q9" i="32"/>
  <c r="V8" i="32"/>
  <c r="T8" i="32"/>
  <c r="Q8" i="32"/>
  <c r="T7" i="32"/>
  <c r="V7" i="32" s="1"/>
  <c r="Q7" i="32"/>
  <c r="V6" i="32"/>
  <c r="T6" i="32"/>
  <c r="Q6" i="32"/>
  <c r="T5" i="32"/>
  <c r="V5" i="32" s="1"/>
  <c r="Q5" i="32"/>
  <c r="V4" i="32"/>
  <c r="T4" i="32"/>
  <c r="Q4" i="32"/>
  <c r="T3" i="32"/>
  <c r="V3" i="32" s="1"/>
  <c r="Q3" i="32"/>
  <c r="V2" i="32"/>
  <c r="T2" i="32"/>
  <c r="Q2" i="32"/>
  <c r="V91" i="31" l="1"/>
  <c r="T91" i="31"/>
  <c r="Q91" i="31"/>
  <c r="T90" i="31"/>
  <c r="V90" i="31" s="1"/>
  <c r="Q90" i="31"/>
  <c r="V89" i="31"/>
  <c r="T89" i="31"/>
  <c r="Q89" i="31"/>
  <c r="T88" i="31"/>
  <c r="V88" i="31" s="1"/>
  <c r="Q88" i="31"/>
  <c r="V87" i="31"/>
  <c r="T87" i="31"/>
  <c r="Q87" i="31"/>
  <c r="T86" i="31"/>
  <c r="V86" i="31" s="1"/>
  <c r="Q86" i="31"/>
  <c r="V85" i="31"/>
  <c r="T85" i="31"/>
  <c r="Q85" i="31"/>
  <c r="T84" i="31"/>
  <c r="V84" i="31" s="1"/>
  <c r="Q84" i="31"/>
  <c r="V83" i="31"/>
  <c r="T83" i="31"/>
  <c r="Q83" i="31"/>
  <c r="T82" i="31"/>
  <c r="V82" i="31" s="1"/>
  <c r="Q82" i="31"/>
  <c r="V81" i="31"/>
  <c r="T81" i="31"/>
  <c r="Q81" i="31"/>
  <c r="T80" i="31"/>
  <c r="V80" i="31" s="1"/>
  <c r="Q80" i="31"/>
  <c r="V79" i="31"/>
  <c r="T79" i="31"/>
  <c r="Q79" i="31"/>
  <c r="T78" i="31"/>
  <c r="V78" i="31" s="1"/>
  <c r="Q78" i="31"/>
  <c r="V77" i="31"/>
  <c r="T77" i="31"/>
  <c r="Q77" i="31"/>
  <c r="T76" i="31"/>
  <c r="V76" i="31" s="1"/>
  <c r="Q76" i="31"/>
  <c r="V75" i="31"/>
  <c r="T75" i="31"/>
  <c r="Q75" i="31"/>
  <c r="T74" i="31"/>
  <c r="V74" i="31" s="1"/>
  <c r="Q74" i="31"/>
  <c r="V73" i="31"/>
  <c r="T73" i="31"/>
  <c r="Q73" i="31"/>
  <c r="T72" i="31"/>
  <c r="V72" i="31" s="1"/>
  <c r="Q72" i="31"/>
  <c r="V71" i="31"/>
  <c r="T71" i="31"/>
  <c r="Q71" i="31"/>
  <c r="T70" i="31"/>
  <c r="V70" i="31" s="1"/>
  <c r="Q70" i="31"/>
  <c r="V69" i="31"/>
  <c r="T69" i="31"/>
  <c r="Q69" i="31"/>
  <c r="T68" i="31"/>
  <c r="V68" i="31" s="1"/>
  <c r="Q68" i="31"/>
  <c r="V67" i="31"/>
  <c r="T67" i="31"/>
  <c r="Q67" i="31"/>
  <c r="T66" i="31"/>
  <c r="V66" i="31" s="1"/>
  <c r="Q66" i="31"/>
  <c r="V65" i="31"/>
  <c r="T65" i="31"/>
  <c r="Q65" i="31"/>
  <c r="T64" i="31"/>
  <c r="V64" i="31" s="1"/>
  <c r="Q64" i="31"/>
  <c r="V63" i="31"/>
  <c r="T63" i="31"/>
  <c r="Q63" i="31"/>
  <c r="T62" i="31"/>
  <c r="V62" i="31" s="1"/>
  <c r="Q62" i="31"/>
  <c r="V55" i="31"/>
  <c r="T55" i="31"/>
  <c r="Q55" i="31"/>
  <c r="T54" i="31"/>
  <c r="V54" i="31" s="1"/>
  <c r="Q54" i="31"/>
  <c r="V53" i="31"/>
  <c r="T53" i="31"/>
  <c r="Q53" i="31"/>
  <c r="T52" i="31"/>
  <c r="V52" i="31" s="1"/>
  <c r="Q52" i="31"/>
  <c r="V51" i="31"/>
  <c r="T51" i="31"/>
  <c r="Q51" i="31"/>
  <c r="T50" i="31"/>
  <c r="V50" i="31" s="1"/>
  <c r="Q50" i="31"/>
  <c r="V49" i="31"/>
  <c r="T49" i="31"/>
  <c r="Q49" i="31"/>
  <c r="T48" i="31"/>
  <c r="V48" i="31" s="1"/>
  <c r="Q48" i="31"/>
  <c r="V47" i="31"/>
  <c r="T47" i="31"/>
  <c r="Q47" i="31"/>
  <c r="T46" i="31"/>
  <c r="V46" i="31" s="1"/>
  <c r="Q46" i="31"/>
  <c r="V45" i="31"/>
  <c r="T45" i="31"/>
  <c r="Q45" i="31"/>
  <c r="T44" i="31"/>
  <c r="V44" i="31" s="1"/>
  <c r="Q44" i="31"/>
  <c r="V43" i="31"/>
  <c r="T43" i="31"/>
  <c r="Q43" i="31"/>
  <c r="T42" i="31"/>
  <c r="V42" i="31" s="1"/>
  <c r="Q42" i="31"/>
  <c r="V41" i="31"/>
  <c r="T41" i="31"/>
  <c r="Q41" i="31"/>
  <c r="T40" i="31"/>
  <c r="V40" i="31" s="1"/>
  <c r="Q40" i="31"/>
  <c r="V39" i="31"/>
  <c r="T39" i="31"/>
  <c r="Q39" i="31"/>
  <c r="T38" i="31"/>
  <c r="V38" i="31" s="1"/>
  <c r="Q38" i="31"/>
  <c r="V37" i="31"/>
  <c r="T37" i="31"/>
  <c r="Q37" i="31"/>
  <c r="T36" i="31"/>
  <c r="V36" i="31" s="1"/>
  <c r="Q36" i="31"/>
  <c r="V35" i="31"/>
  <c r="T35" i="31"/>
  <c r="Q35" i="31"/>
  <c r="T34" i="31"/>
  <c r="V34" i="31" s="1"/>
  <c r="Q34" i="31"/>
  <c r="V33" i="31"/>
  <c r="T33" i="31"/>
  <c r="Q33" i="31"/>
  <c r="T32" i="31"/>
  <c r="V32" i="31" s="1"/>
  <c r="Q32" i="31"/>
  <c r="V31" i="31"/>
  <c r="T31" i="31"/>
  <c r="Q31" i="31"/>
  <c r="T30" i="31"/>
  <c r="V30" i="31" s="1"/>
  <c r="Q30" i="31"/>
  <c r="V29" i="31"/>
  <c r="T29" i="31"/>
  <c r="Q29" i="31"/>
  <c r="T28" i="31"/>
  <c r="V28" i="31" s="1"/>
  <c r="Q28" i="31"/>
  <c r="V27" i="31"/>
  <c r="T27" i="31"/>
  <c r="Q27" i="31"/>
  <c r="T26" i="31"/>
  <c r="V26" i="31" s="1"/>
  <c r="Q26" i="31"/>
  <c r="V25" i="31"/>
  <c r="T25" i="31"/>
  <c r="Q25" i="31"/>
  <c r="T24" i="31"/>
  <c r="V24" i="31" s="1"/>
  <c r="Q24" i="31"/>
  <c r="V23" i="31"/>
  <c r="T23" i="31"/>
  <c r="Q23" i="31"/>
  <c r="T22" i="31"/>
  <c r="V22" i="31" s="1"/>
  <c r="Q22" i="31"/>
  <c r="V21" i="31"/>
  <c r="T21" i="31"/>
  <c r="Q21" i="31"/>
  <c r="T20" i="31"/>
  <c r="V20" i="31" s="1"/>
  <c r="Q20" i="31"/>
  <c r="V19" i="31"/>
  <c r="T19" i="31"/>
  <c r="Q19" i="31"/>
  <c r="T18" i="31"/>
  <c r="V18" i="31" s="1"/>
  <c r="Q18" i="31"/>
  <c r="V17" i="31"/>
  <c r="T17" i="31"/>
  <c r="Q17" i="31"/>
  <c r="T16" i="31"/>
  <c r="V16" i="31" s="1"/>
  <c r="Q16" i="31"/>
  <c r="V15" i="31"/>
  <c r="T15" i="31"/>
  <c r="Q15" i="31"/>
  <c r="T14" i="31"/>
  <c r="Q14" i="31"/>
  <c r="T13" i="31"/>
  <c r="V13" i="31" s="1"/>
  <c r="Q13" i="31"/>
  <c r="V12" i="31"/>
  <c r="T12" i="31"/>
  <c r="Q12" i="31"/>
  <c r="T11" i="31"/>
  <c r="V11" i="31" s="1"/>
  <c r="Q11" i="31"/>
  <c r="V10" i="31"/>
  <c r="T10" i="31"/>
  <c r="Q10" i="31"/>
  <c r="T9" i="31"/>
  <c r="V9" i="31" s="1"/>
  <c r="Q9" i="31"/>
  <c r="V8" i="31"/>
  <c r="T8" i="31"/>
  <c r="Q8" i="31"/>
  <c r="T7" i="31"/>
  <c r="V7" i="31" s="1"/>
  <c r="Q7" i="31"/>
  <c r="V6" i="31"/>
  <c r="T6" i="31"/>
  <c r="Q6" i="31"/>
  <c r="T5" i="31"/>
  <c r="V5" i="31" s="1"/>
  <c r="Q5" i="31"/>
  <c r="V4" i="31"/>
  <c r="T4" i="31"/>
  <c r="Q4" i="31"/>
  <c r="T3" i="31"/>
  <c r="V3" i="31" s="1"/>
  <c r="Q3" i="31"/>
  <c r="V2" i="31"/>
  <c r="T2" i="31"/>
  <c r="Q2" i="31"/>
  <c r="V146" i="30" l="1"/>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V100" i="30"/>
  <c r="T100" i="30"/>
  <c r="Q100" i="30"/>
  <c r="V99" i="30"/>
  <c r="T99" i="30"/>
  <c r="Q99" i="30"/>
  <c r="V98" i="30"/>
  <c r="T98" i="30"/>
  <c r="Q98" i="30"/>
  <c r="V97" i="30"/>
  <c r="T97" i="30"/>
  <c r="Q97" i="30"/>
  <c r="V96" i="30"/>
  <c r="T96" i="30"/>
  <c r="Q96" i="30"/>
  <c r="V95" i="30"/>
  <c r="T95" i="30"/>
  <c r="Q95" i="30"/>
  <c r="T67" i="30"/>
  <c r="Q67" i="30"/>
  <c r="T66" i="30"/>
  <c r="Q66" i="30"/>
  <c r="T65" i="30"/>
  <c r="Q65" i="30"/>
  <c r="V64" i="30"/>
  <c r="T64" i="30"/>
  <c r="Q64" i="30"/>
  <c r="V63" i="30"/>
  <c r="T63" i="30"/>
  <c r="Q63" i="30"/>
  <c r="V62" i="30"/>
  <c r="T62" i="30"/>
  <c r="Q62" i="30"/>
  <c r="V61" i="30"/>
  <c r="T61" i="30"/>
  <c r="Q61" i="30"/>
  <c r="V60" i="30"/>
  <c r="T60" i="30"/>
  <c r="Q60" i="30"/>
  <c r="V59" i="30"/>
  <c r="T59" i="30"/>
  <c r="Q59"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T82" i="29"/>
  <c r="V82" i="29" s="1"/>
  <c r="Q82" i="29"/>
  <c r="V81" i="29"/>
  <c r="T81" i="29"/>
  <c r="Q81" i="29"/>
  <c r="T80" i="29"/>
  <c r="V80" i="29" s="1"/>
  <c r="Q80" i="29"/>
  <c r="T79" i="29"/>
  <c r="V79" i="29" s="1"/>
  <c r="Q79" i="29"/>
  <c r="T78" i="29"/>
  <c r="V78" i="29" s="1"/>
  <c r="Q78" i="29"/>
  <c r="V77" i="29"/>
  <c r="T77" i="29"/>
  <c r="Q77" i="29"/>
  <c r="T76" i="29"/>
  <c r="V76" i="29" s="1"/>
  <c r="Q76" i="29"/>
  <c r="T75" i="29"/>
  <c r="V75" i="29" s="1"/>
  <c r="Q75" i="29"/>
  <c r="T74" i="29"/>
  <c r="V74" i="29" s="1"/>
  <c r="Q74" i="29"/>
  <c r="V73" i="29"/>
  <c r="T73" i="29"/>
  <c r="Q73" i="29"/>
  <c r="T72" i="29"/>
  <c r="V72" i="29" s="1"/>
  <c r="Q72" i="29"/>
  <c r="T71" i="29"/>
  <c r="V71" i="29" s="1"/>
  <c r="Q71" i="29"/>
  <c r="T70" i="29"/>
  <c r="V70" i="29" s="1"/>
  <c r="Q70" i="29"/>
  <c r="V69" i="29"/>
  <c r="T69" i="29"/>
  <c r="Q69" i="29"/>
  <c r="T68" i="29"/>
  <c r="V68" i="29" s="1"/>
  <c r="Q68" i="29"/>
  <c r="T67" i="29"/>
  <c r="V67" i="29" s="1"/>
  <c r="Q67" i="29"/>
  <c r="T66" i="29"/>
  <c r="V66" i="29" s="1"/>
  <c r="Q66" i="29"/>
  <c r="V65" i="29"/>
  <c r="T65" i="29"/>
  <c r="Q65" i="29"/>
  <c r="T64" i="29"/>
  <c r="V64" i="29" s="1"/>
  <c r="Q64" i="29"/>
  <c r="T63" i="29"/>
  <c r="V63" i="29" s="1"/>
  <c r="Q63" i="29"/>
  <c r="T62" i="29"/>
  <c r="V62" i="29" s="1"/>
  <c r="Q62" i="29"/>
  <c r="V61" i="29"/>
  <c r="T61" i="29"/>
  <c r="Q61" i="29"/>
  <c r="T60" i="29"/>
  <c r="V60" i="29" s="1"/>
  <c r="Q60" i="29"/>
  <c r="T59" i="29"/>
  <c r="V59" i="29" s="1"/>
  <c r="Q59" i="29"/>
  <c r="T58" i="29"/>
  <c r="V58" i="29" s="1"/>
  <c r="Q58" i="29"/>
  <c r="V57" i="29"/>
  <c r="T57" i="29"/>
  <c r="Q57" i="29"/>
  <c r="T56" i="29"/>
  <c r="V56" i="29" s="1"/>
  <c r="Q56" i="29"/>
  <c r="T55" i="29"/>
  <c r="V55" i="29" s="1"/>
  <c r="Q55" i="29"/>
  <c r="T54" i="29"/>
  <c r="V54" i="29" s="1"/>
  <c r="Q54" i="29"/>
  <c r="V53" i="29"/>
  <c r="T53" i="29"/>
  <c r="Q53" i="29"/>
  <c r="T52" i="29"/>
  <c r="V52" i="29" s="1"/>
  <c r="Q52" i="29"/>
  <c r="T51" i="29"/>
  <c r="V51" i="29" s="1"/>
  <c r="Q51" i="29"/>
  <c r="T50" i="29"/>
  <c r="V50" i="29" s="1"/>
  <c r="Q50" i="29"/>
  <c r="V49" i="29"/>
  <c r="T49" i="29"/>
  <c r="Q49" i="29"/>
  <c r="T48" i="29"/>
  <c r="V48" i="29" s="1"/>
  <c r="Q48" i="29"/>
  <c r="T47" i="29"/>
  <c r="V47" i="29" s="1"/>
  <c r="Q47" i="29"/>
  <c r="T46" i="29"/>
  <c r="V46" i="29" s="1"/>
  <c r="Q46" i="29"/>
  <c r="V45" i="29"/>
  <c r="T45" i="29"/>
  <c r="Q45" i="29"/>
  <c r="T44" i="29"/>
  <c r="V44" i="29" s="1"/>
  <c r="Q44" i="29"/>
  <c r="T43" i="29"/>
  <c r="V43" i="29" s="1"/>
  <c r="Q43" i="29"/>
  <c r="T42" i="29"/>
  <c r="V42" i="29" s="1"/>
  <c r="Q42" i="29"/>
  <c r="V41" i="29"/>
  <c r="T41" i="29"/>
  <c r="Q41" i="29"/>
  <c r="T40" i="29"/>
  <c r="V40" i="29" s="1"/>
  <c r="Q40" i="29"/>
  <c r="T39" i="29"/>
  <c r="V39" i="29" s="1"/>
  <c r="Q39" i="29"/>
  <c r="T38" i="29"/>
  <c r="V38" i="29" s="1"/>
  <c r="Q38" i="29"/>
  <c r="V37" i="29"/>
  <c r="T37" i="29"/>
  <c r="Q37" i="29"/>
  <c r="T36" i="29"/>
  <c r="V36" i="29" s="1"/>
  <c r="Q36" i="29"/>
  <c r="T35" i="29"/>
  <c r="V35" i="29" s="1"/>
  <c r="Q35" i="29"/>
  <c r="T34" i="29"/>
  <c r="V34" i="29" s="1"/>
  <c r="Q34" i="29"/>
  <c r="V33" i="29"/>
  <c r="T33" i="29"/>
  <c r="Q33" i="29"/>
  <c r="T32" i="29"/>
  <c r="V32" i="29" s="1"/>
  <c r="Q32" i="29"/>
  <c r="T31" i="29"/>
  <c r="V31" i="29" s="1"/>
  <c r="Q31" i="29"/>
  <c r="T30" i="29"/>
  <c r="V30" i="29" s="1"/>
  <c r="Q30" i="29"/>
  <c r="V29" i="29"/>
  <c r="T29" i="29"/>
  <c r="Q29" i="29"/>
  <c r="T28" i="29"/>
  <c r="V28" i="29" s="1"/>
  <c r="Q28" i="29"/>
  <c r="T27" i="29"/>
  <c r="V27" i="29" s="1"/>
  <c r="Q27" i="29"/>
  <c r="T26" i="29"/>
  <c r="V26" i="29" s="1"/>
  <c r="Q26" i="29"/>
  <c r="V25" i="29"/>
  <c r="T25" i="29"/>
  <c r="Q25" i="29"/>
  <c r="T24" i="29"/>
  <c r="V24" i="29" s="1"/>
  <c r="Q24" i="29"/>
  <c r="T23" i="29"/>
  <c r="V23" i="29" s="1"/>
  <c r="Q23" i="29"/>
  <c r="T22" i="29"/>
  <c r="V22" i="29" s="1"/>
  <c r="Q22" i="29"/>
  <c r="V21" i="29"/>
  <c r="T21" i="29"/>
  <c r="Q21" i="29"/>
  <c r="T20" i="29"/>
  <c r="V20" i="29" s="1"/>
  <c r="Q20" i="29"/>
  <c r="T19" i="29"/>
  <c r="V19" i="29" s="1"/>
  <c r="Q19" i="29"/>
  <c r="T18" i="29"/>
  <c r="V18" i="29" s="1"/>
  <c r="Q18" i="29"/>
  <c r="V17" i="29"/>
  <c r="T17" i="29"/>
  <c r="Q17" i="29"/>
  <c r="T16" i="29"/>
  <c r="V16" i="29" s="1"/>
  <c r="Q16" i="29"/>
  <c r="T15" i="29"/>
  <c r="V15" i="29" s="1"/>
  <c r="Q15" i="29"/>
  <c r="T14" i="29"/>
  <c r="V14" i="29" s="1"/>
  <c r="Q14" i="29"/>
  <c r="V13" i="29"/>
  <c r="T13" i="29"/>
  <c r="Q13" i="29"/>
  <c r="T12" i="29"/>
  <c r="V12" i="29" s="1"/>
  <c r="Q12" i="29"/>
  <c r="T11" i="29"/>
  <c r="V11" i="29" s="1"/>
  <c r="Q11" i="29"/>
  <c r="T10" i="29"/>
  <c r="V10" i="29" s="1"/>
  <c r="Q10" i="29"/>
  <c r="V9" i="29"/>
  <c r="T9" i="29"/>
  <c r="Q9" i="29"/>
  <c r="T8" i="29"/>
  <c r="V8" i="29" s="1"/>
  <c r="Q8" i="29"/>
  <c r="T7" i="29"/>
  <c r="V7" i="29" s="1"/>
  <c r="Q7" i="29"/>
  <c r="T6" i="29"/>
  <c r="V6" i="29" s="1"/>
  <c r="Q6" i="29"/>
  <c r="V5" i="29"/>
  <c r="T5" i="29"/>
  <c r="Q5" i="29"/>
  <c r="T4" i="29"/>
  <c r="V4" i="29" s="1"/>
  <c r="Q4" i="29"/>
  <c r="T3" i="29"/>
  <c r="V3" i="29" s="1"/>
  <c r="Q3" i="29"/>
  <c r="T2" i="29"/>
  <c r="V2" i="29" s="1"/>
  <c r="Q2" i="29"/>
  <c r="V82" i="28" l="1"/>
  <c r="T82" i="28"/>
  <c r="Q82" i="28"/>
  <c r="T81" i="28"/>
  <c r="V81" i="28" s="1"/>
  <c r="Q81" i="28"/>
  <c r="V80" i="28"/>
  <c r="T80" i="28"/>
  <c r="Q80" i="28"/>
  <c r="T79" i="28"/>
  <c r="V79" i="28" s="1"/>
  <c r="Q79" i="28"/>
  <c r="V78" i="28"/>
  <c r="T78" i="28"/>
  <c r="Q78" i="28"/>
  <c r="T77" i="28"/>
  <c r="V77" i="28" s="1"/>
  <c r="Q77" i="28"/>
  <c r="V76" i="28"/>
  <c r="T76" i="28"/>
  <c r="Q76" i="28"/>
  <c r="T75" i="28"/>
  <c r="V75" i="28" s="1"/>
  <c r="Q75" i="28"/>
  <c r="V74" i="28"/>
  <c r="T74" i="28"/>
  <c r="Q74" i="28"/>
  <c r="T73" i="28"/>
  <c r="V73" i="28" s="1"/>
  <c r="Q73" i="28"/>
  <c r="V72" i="28"/>
  <c r="T72" i="28"/>
  <c r="Q72" i="28"/>
  <c r="T71" i="28"/>
  <c r="V71" i="28" s="1"/>
  <c r="Q71" i="28"/>
  <c r="V70" i="28"/>
  <c r="T70" i="28"/>
  <c r="Q70" i="28"/>
  <c r="T69" i="28"/>
  <c r="V69" i="28" s="1"/>
  <c r="Q69" i="28"/>
  <c r="V68" i="28"/>
  <c r="T68" i="28"/>
  <c r="Q68" i="28"/>
  <c r="T67" i="28"/>
  <c r="V67" i="28" s="1"/>
  <c r="Q67" i="28"/>
  <c r="V66" i="28"/>
  <c r="T66" i="28"/>
  <c r="Q66" i="28"/>
  <c r="T65" i="28"/>
  <c r="V65" i="28" s="1"/>
  <c r="Q65" i="28"/>
  <c r="V64" i="28"/>
  <c r="T64" i="28"/>
  <c r="Q64" i="28"/>
  <c r="T63" i="28"/>
  <c r="V63" i="28" s="1"/>
  <c r="Q63" i="28"/>
  <c r="V62" i="28"/>
  <c r="T62" i="28"/>
  <c r="Q62" i="28"/>
  <c r="T61" i="28"/>
  <c r="V61" i="28" s="1"/>
  <c r="Q61" i="28"/>
  <c r="V60" i="28"/>
  <c r="T60" i="28"/>
  <c r="Q60" i="28"/>
  <c r="T59" i="28"/>
  <c r="V59" i="28" s="1"/>
  <c r="Q59" i="28"/>
  <c r="V58" i="28"/>
  <c r="T58" i="28"/>
  <c r="Q58" i="28"/>
  <c r="T57" i="28"/>
  <c r="V57" i="28" s="1"/>
  <c r="Q57" i="28"/>
  <c r="V56" i="28"/>
  <c r="T56" i="28"/>
  <c r="Q56" i="28"/>
  <c r="T55" i="28"/>
  <c r="V55" i="28" s="1"/>
  <c r="Q55" i="28"/>
  <c r="V54" i="28"/>
  <c r="T54" i="28"/>
  <c r="Q54" i="28"/>
  <c r="T53" i="28"/>
  <c r="V53" i="28" s="1"/>
  <c r="Q53" i="28"/>
  <c r="V52" i="28"/>
  <c r="T52" i="28"/>
  <c r="Q52" i="28"/>
  <c r="T51" i="28"/>
  <c r="V51" i="28" s="1"/>
  <c r="Q51" i="28"/>
  <c r="V50" i="28"/>
  <c r="T50" i="28"/>
  <c r="Q50" i="28"/>
  <c r="T49" i="28"/>
  <c r="V49" i="28" s="1"/>
  <c r="Q49" i="28"/>
  <c r="V48" i="28"/>
  <c r="T48" i="28"/>
  <c r="Q48" i="28"/>
  <c r="T47" i="28"/>
  <c r="V47" i="28" s="1"/>
  <c r="Q47" i="28"/>
  <c r="V46" i="28"/>
  <c r="T46" i="28"/>
  <c r="Q46" i="28"/>
  <c r="T45" i="28"/>
  <c r="V45" i="28" s="1"/>
  <c r="Q45" i="28"/>
  <c r="V44" i="28"/>
  <c r="T44" i="28"/>
  <c r="Q44" i="28"/>
  <c r="T43" i="28"/>
  <c r="V43" i="28" s="1"/>
  <c r="Q43" i="28"/>
  <c r="V42" i="28"/>
  <c r="T42" i="28"/>
  <c r="Q42" i="28"/>
  <c r="T41" i="28"/>
  <c r="V41" i="28" s="1"/>
  <c r="Q41" i="28"/>
  <c r="V40" i="28"/>
  <c r="T40" i="28"/>
  <c r="Q40" i="28"/>
  <c r="T39" i="28"/>
  <c r="V39" i="28" s="1"/>
  <c r="Q39" i="28"/>
  <c r="V38" i="28"/>
  <c r="T38" i="28"/>
  <c r="Q38" i="28"/>
  <c r="T37" i="28"/>
  <c r="V37" i="28" s="1"/>
  <c r="Q37" i="28"/>
  <c r="V36" i="28"/>
  <c r="T36" i="28"/>
  <c r="Q36" i="28"/>
  <c r="T35" i="28"/>
  <c r="V35" i="28" s="1"/>
  <c r="Q35" i="28"/>
  <c r="V34" i="28"/>
  <c r="T34" i="28"/>
  <c r="Q34" i="28"/>
  <c r="T33" i="28"/>
  <c r="V33" i="28" s="1"/>
  <c r="Q33" i="28"/>
  <c r="V32" i="28"/>
  <c r="T32" i="28"/>
  <c r="Q32" i="28"/>
  <c r="T31" i="28"/>
  <c r="V31" i="28" s="1"/>
  <c r="Q31" i="28"/>
  <c r="V30" i="28"/>
  <c r="T30" i="28"/>
  <c r="Q30" i="28"/>
  <c r="T29" i="28"/>
  <c r="V29" i="28" s="1"/>
  <c r="Q29" i="28"/>
  <c r="V28" i="28"/>
  <c r="T28" i="28"/>
  <c r="Q28" i="28"/>
  <c r="T27" i="28"/>
  <c r="V27" i="28" s="1"/>
  <c r="Q27" i="28"/>
  <c r="V26" i="28"/>
  <c r="T26" i="28"/>
  <c r="Q26" i="28"/>
  <c r="T25" i="28"/>
  <c r="V25" i="28" s="1"/>
  <c r="Q25" i="28"/>
  <c r="V24" i="28"/>
  <c r="T24" i="28"/>
  <c r="Q24" i="28"/>
  <c r="T23" i="28"/>
  <c r="V23" i="28" s="1"/>
  <c r="Q23" i="28"/>
  <c r="V22" i="28"/>
  <c r="T22" i="28"/>
  <c r="Q22" i="28"/>
  <c r="T21" i="28"/>
  <c r="V21" i="28" s="1"/>
  <c r="Q21" i="28"/>
  <c r="V20" i="28"/>
  <c r="T20" i="28"/>
  <c r="Q20" i="28"/>
  <c r="T19" i="28"/>
  <c r="V19" i="28" s="1"/>
  <c r="Q19" i="28"/>
  <c r="V18" i="28"/>
  <c r="T18" i="28"/>
  <c r="Q18" i="28"/>
  <c r="T17" i="28"/>
  <c r="V17" i="28" s="1"/>
  <c r="Q17" i="28"/>
  <c r="V16" i="28"/>
  <c r="T16" i="28"/>
  <c r="Q16" i="28"/>
  <c r="T15" i="28"/>
  <c r="V15" i="28" s="1"/>
  <c r="Q15" i="28"/>
  <c r="V14" i="28"/>
  <c r="T14" i="28"/>
  <c r="Q14" i="28"/>
  <c r="T13" i="28"/>
  <c r="V13" i="28" s="1"/>
  <c r="Q13" i="28"/>
  <c r="V12" i="28"/>
  <c r="T12" i="28"/>
  <c r="Q12" i="28"/>
  <c r="T11" i="28"/>
  <c r="V11" i="28" s="1"/>
  <c r="Q11" i="28"/>
  <c r="V10" i="28"/>
  <c r="T10" i="28"/>
  <c r="Q10" i="28"/>
  <c r="T9" i="28"/>
  <c r="V9" i="28" s="1"/>
  <c r="Q9" i="28"/>
  <c r="V8" i="28"/>
  <c r="T8" i="28"/>
  <c r="Q8" i="28"/>
  <c r="T7" i="28"/>
  <c r="V7" i="28" s="1"/>
  <c r="Q7" i="28"/>
  <c r="V6" i="28"/>
  <c r="T6" i="28"/>
  <c r="Q6" i="28"/>
  <c r="T5" i="28"/>
  <c r="V5" i="28" s="1"/>
  <c r="Q5" i="28"/>
  <c r="V4" i="28"/>
  <c r="T4" i="28"/>
  <c r="Q4" i="28"/>
  <c r="T3" i="28"/>
  <c r="V3" i="28" s="1"/>
  <c r="Q3" i="28"/>
  <c r="V2" i="28"/>
  <c r="T2" i="28"/>
  <c r="Q2" i="28"/>
  <c r="V52" i="27"/>
  <c r="T52" i="27"/>
  <c r="Q52" i="27"/>
  <c r="V51" i="27"/>
  <c r="T51" i="27"/>
  <c r="Q51" i="27"/>
  <c r="V50" i="27"/>
  <c r="T50" i="27"/>
  <c r="Q50" i="27"/>
  <c r="V49" i="27"/>
  <c r="T49" i="27"/>
  <c r="Q49" i="27"/>
  <c r="V48" i="27"/>
  <c r="T48" i="27"/>
  <c r="Q48" i="27"/>
  <c r="V47" i="27"/>
  <c r="T47" i="27"/>
  <c r="Q47" i="27"/>
  <c r="V46" i="27"/>
  <c r="T46" i="27"/>
  <c r="Q46" i="27"/>
  <c r="V45" i="27"/>
  <c r="T45" i="27"/>
  <c r="Q45" i="27"/>
  <c r="V44" i="27"/>
  <c r="T44" i="27"/>
  <c r="Q44" i="27"/>
  <c r="V43" i="27"/>
  <c r="T43" i="27"/>
  <c r="Q43" i="27"/>
  <c r="V42" i="27"/>
  <c r="T42" i="27"/>
  <c r="Q42" i="27"/>
  <c r="V41" i="27"/>
  <c r="T41" i="27"/>
  <c r="Q41" i="27"/>
  <c r="V40" i="27"/>
  <c r="T40" i="27"/>
  <c r="Q40" i="27"/>
  <c r="V39" i="27"/>
  <c r="T39" i="27"/>
  <c r="Q39" i="27"/>
  <c r="V38" i="27"/>
  <c r="T38" i="27"/>
  <c r="Q38" i="27"/>
  <c r="V37" i="27"/>
  <c r="T37" i="27"/>
  <c r="Q37" i="27"/>
  <c r="V36" i="27"/>
  <c r="T36" i="27"/>
  <c r="Q36" i="27"/>
  <c r="V35" i="27"/>
  <c r="T35" i="27"/>
  <c r="Q35" i="27"/>
  <c r="V34" i="27"/>
  <c r="T34" i="27"/>
  <c r="Q34" i="27"/>
  <c r="V33" i="27"/>
  <c r="T33" i="27"/>
  <c r="Q33" i="27"/>
  <c r="V32" i="27"/>
  <c r="T32" i="27"/>
  <c r="Q32" i="27"/>
  <c r="V31" i="27"/>
  <c r="T31" i="27"/>
  <c r="Q31" i="27"/>
  <c r="V30" i="27"/>
  <c r="T30" i="27"/>
  <c r="Q30" i="27"/>
  <c r="V29" i="27"/>
  <c r="T29" i="27"/>
  <c r="Q29" i="27"/>
  <c r="V28" i="27"/>
  <c r="T28" i="27"/>
  <c r="Q28" i="27"/>
  <c r="V27" i="27"/>
  <c r="T27" i="27"/>
  <c r="Q27" i="27"/>
  <c r="V26" i="27"/>
  <c r="T26" i="27"/>
  <c r="Q26" i="27"/>
  <c r="V25" i="27"/>
  <c r="T25" i="27"/>
  <c r="Q25" i="27"/>
  <c r="V24" i="27"/>
  <c r="T24" i="27"/>
  <c r="Q24" i="27"/>
  <c r="V23" i="27"/>
  <c r="T23" i="27"/>
  <c r="Q23" i="27"/>
  <c r="V22" i="27"/>
  <c r="T22" i="27"/>
  <c r="Q22" i="27"/>
  <c r="V21" i="27"/>
  <c r="T21" i="27"/>
  <c r="Q21" i="27"/>
  <c r="V20" i="27"/>
  <c r="T20" i="27"/>
  <c r="Q20" i="27"/>
  <c r="V19" i="27"/>
  <c r="T19" i="27"/>
  <c r="Q19" i="27"/>
  <c r="V18" i="27"/>
  <c r="T18" i="27"/>
  <c r="Q18" i="27"/>
  <c r="V17" i="27"/>
  <c r="T17" i="27"/>
  <c r="Q17" i="27"/>
  <c r="V16" i="27"/>
  <c r="T16" i="27"/>
  <c r="Q16" i="27"/>
  <c r="V15" i="27"/>
  <c r="T15" i="27"/>
  <c r="Q15" i="27"/>
  <c r="V14" i="27"/>
  <c r="T14" i="27"/>
  <c r="Q14" i="27"/>
  <c r="V13" i="27"/>
  <c r="T13" i="27"/>
  <c r="Q13" i="27"/>
  <c r="V12" i="27"/>
  <c r="T12" i="27"/>
  <c r="Q12" i="27"/>
  <c r="V11" i="27"/>
  <c r="T11" i="27"/>
  <c r="Q11" i="27"/>
  <c r="V10" i="27"/>
  <c r="T10" i="27"/>
  <c r="Q10" i="27"/>
  <c r="V9" i="27"/>
  <c r="T9" i="27"/>
  <c r="Q9" i="27"/>
  <c r="V8" i="27"/>
  <c r="T8" i="27"/>
  <c r="Q8" i="27"/>
  <c r="V7" i="27"/>
  <c r="T7" i="27"/>
  <c r="Q7" i="27"/>
  <c r="V6" i="27"/>
  <c r="T6" i="27"/>
  <c r="Q6" i="27"/>
  <c r="V5" i="27"/>
  <c r="T5" i="27"/>
  <c r="Q5" i="27"/>
  <c r="V4" i="27"/>
  <c r="T4" i="27"/>
  <c r="Q4" i="27"/>
  <c r="V3" i="27"/>
  <c r="T3" i="27"/>
  <c r="Q3" i="27"/>
  <c r="V2" i="27"/>
  <c r="T2" i="27"/>
  <c r="Q2" i="27"/>
  <c r="V115" i="26" l="1"/>
  <c r="T115" i="26"/>
  <c r="Q115" i="26"/>
  <c r="T114" i="26"/>
  <c r="V114" i="26" s="1"/>
  <c r="Q114" i="26"/>
  <c r="T113" i="26"/>
  <c r="V113" i="26" s="1"/>
  <c r="Q113" i="26"/>
  <c r="T112" i="26"/>
  <c r="V112" i="26" s="1"/>
  <c r="Q112" i="26"/>
  <c r="V111" i="26"/>
  <c r="T111" i="26"/>
  <c r="Q111" i="26"/>
  <c r="T110" i="26"/>
  <c r="V110" i="26" s="1"/>
  <c r="Q110" i="26"/>
  <c r="T109" i="26"/>
  <c r="V109" i="26" s="1"/>
  <c r="Q109" i="26"/>
  <c r="T108" i="26"/>
  <c r="V108" i="26" s="1"/>
  <c r="Q108" i="26"/>
  <c r="V107" i="26"/>
  <c r="T107" i="26"/>
  <c r="Q107" i="26"/>
  <c r="T106" i="26"/>
  <c r="V106" i="26" s="1"/>
  <c r="Q106" i="26"/>
  <c r="T105" i="26"/>
  <c r="V105" i="26" s="1"/>
  <c r="Q105" i="26"/>
  <c r="T104" i="26"/>
  <c r="V104" i="26" s="1"/>
  <c r="Q104" i="26"/>
  <c r="V103" i="26"/>
  <c r="T103" i="26"/>
  <c r="Q103" i="26"/>
  <c r="T102" i="26"/>
  <c r="V102" i="26" s="1"/>
  <c r="Q102" i="26"/>
  <c r="T101" i="26"/>
  <c r="V101" i="26" s="1"/>
  <c r="Q101" i="26"/>
  <c r="T100" i="26"/>
  <c r="V100" i="26" s="1"/>
  <c r="Q100" i="26"/>
  <c r="V99" i="26"/>
  <c r="T99" i="26"/>
  <c r="Q99" i="26"/>
  <c r="T98" i="26"/>
  <c r="V98" i="26" s="1"/>
  <c r="Q98" i="26"/>
  <c r="T97" i="26"/>
  <c r="V97" i="26" s="1"/>
  <c r="Q97" i="26"/>
  <c r="T96" i="26"/>
  <c r="V96" i="26" s="1"/>
  <c r="Q96" i="26"/>
  <c r="V95" i="26"/>
  <c r="T95" i="26"/>
  <c r="Q95" i="26"/>
  <c r="T94" i="26"/>
  <c r="V94" i="26" s="1"/>
  <c r="Q94" i="26"/>
  <c r="T93" i="26"/>
  <c r="V93" i="26" s="1"/>
  <c r="Q93" i="26"/>
  <c r="T92" i="26"/>
  <c r="V92" i="26" s="1"/>
  <c r="Q92" i="26"/>
  <c r="V91" i="26"/>
  <c r="T91" i="26"/>
  <c r="Q91" i="26"/>
  <c r="T90" i="26"/>
  <c r="V90" i="26" s="1"/>
  <c r="Q90" i="26"/>
  <c r="T89" i="26"/>
  <c r="V89" i="26" s="1"/>
  <c r="Q89" i="26"/>
  <c r="T88" i="26"/>
  <c r="V88" i="26" s="1"/>
  <c r="Q88" i="26"/>
  <c r="V87" i="26"/>
  <c r="T87" i="26"/>
  <c r="Q87" i="26"/>
  <c r="T86" i="26"/>
  <c r="V86" i="26" s="1"/>
  <c r="Q86" i="26"/>
  <c r="T85" i="26"/>
  <c r="V85" i="26" s="1"/>
  <c r="Q85" i="26"/>
  <c r="T84" i="26"/>
  <c r="V84" i="26" s="1"/>
  <c r="Q84" i="26"/>
  <c r="V83" i="26"/>
  <c r="T83" i="26"/>
  <c r="Q83" i="26"/>
  <c r="T82" i="26"/>
  <c r="V82" i="26" s="1"/>
  <c r="Q82" i="26"/>
  <c r="T81" i="26"/>
  <c r="V81" i="26" s="1"/>
  <c r="Q81" i="26"/>
  <c r="T80" i="26"/>
  <c r="V80" i="26" s="1"/>
  <c r="Q80" i="26"/>
  <c r="V79" i="26"/>
  <c r="T79" i="26"/>
  <c r="Q79" i="26"/>
  <c r="T78" i="26"/>
  <c r="V78" i="26" s="1"/>
  <c r="Q78" i="26"/>
  <c r="T77" i="26"/>
  <c r="V77" i="26" s="1"/>
  <c r="Q77" i="26"/>
  <c r="T76" i="26"/>
  <c r="V76" i="26" s="1"/>
  <c r="Q76" i="26"/>
  <c r="V75" i="26"/>
  <c r="T75" i="26"/>
  <c r="Q75" i="26"/>
  <c r="T74" i="26"/>
  <c r="V74" i="26" s="1"/>
  <c r="Q74" i="26"/>
  <c r="T73" i="26"/>
  <c r="V73" i="26" s="1"/>
  <c r="Q73" i="26"/>
  <c r="T72" i="26"/>
  <c r="V72" i="26" s="1"/>
  <c r="Q72" i="26"/>
  <c r="V71" i="26"/>
  <c r="T71" i="26"/>
  <c r="Q71" i="26"/>
  <c r="T70" i="26"/>
  <c r="V70" i="26" s="1"/>
  <c r="Q70" i="26"/>
  <c r="T69" i="26"/>
  <c r="V69" i="26" s="1"/>
  <c r="Q69" i="26"/>
  <c r="T68" i="26"/>
  <c r="V68" i="26" s="1"/>
  <c r="Q68" i="26"/>
  <c r="V67" i="26"/>
  <c r="T67" i="26"/>
  <c r="Q67" i="26"/>
  <c r="T66" i="26"/>
  <c r="V66" i="26" s="1"/>
  <c r="Q66" i="26"/>
  <c r="V65" i="26"/>
  <c r="T65" i="26"/>
  <c r="Q65" i="26"/>
  <c r="T64" i="26"/>
  <c r="V64" i="26" s="1"/>
  <c r="Q64" i="26"/>
  <c r="V63" i="26"/>
  <c r="T63" i="26"/>
  <c r="Q63" i="26"/>
  <c r="T62" i="26"/>
  <c r="V62" i="26" s="1"/>
  <c r="Q62" i="26"/>
  <c r="V61" i="26"/>
  <c r="T61" i="26"/>
  <c r="Q61" i="26"/>
  <c r="T60" i="26"/>
  <c r="V60" i="26" s="1"/>
  <c r="Q60" i="26"/>
  <c r="V59" i="26"/>
  <c r="T59" i="26"/>
  <c r="Q59" i="26"/>
  <c r="T58" i="26"/>
  <c r="V58" i="26" s="1"/>
  <c r="Q58" i="26"/>
  <c r="V57" i="26"/>
  <c r="T57" i="26"/>
  <c r="Q57" i="26"/>
  <c r="T56" i="26"/>
  <c r="V56" i="26" s="1"/>
  <c r="Q56" i="26"/>
  <c r="V55" i="26"/>
  <c r="T55" i="26"/>
  <c r="Q55" i="26"/>
  <c r="T54" i="26"/>
  <c r="V54" i="26" s="1"/>
  <c r="Q54" i="26"/>
  <c r="V53" i="26"/>
  <c r="T53" i="26"/>
  <c r="Q53" i="26"/>
  <c r="T52" i="26"/>
  <c r="V52" i="26" s="1"/>
  <c r="Q52" i="26"/>
  <c r="V51" i="26"/>
  <c r="T51" i="26"/>
  <c r="Q51" i="26"/>
  <c r="T50" i="26"/>
  <c r="V50" i="26" s="1"/>
  <c r="Q50" i="26"/>
  <c r="V49" i="26"/>
  <c r="T49" i="26"/>
  <c r="Q49" i="26"/>
  <c r="T48" i="26"/>
  <c r="V48" i="26" s="1"/>
  <c r="Q48" i="26"/>
  <c r="V47" i="26"/>
  <c r="T47" i="26"/>
  <c r="Q47" i="26"/>
  <c r="T46" i="26"/>
  <c r="V46" i="26" s="1"/>
  <c r="Q46" i="26"/>
  <c r="V45" i="26"/>
  <c r="T45" i="26"/>
  <c r="Q45" i="26"/>
  <c r="T44" i="26"/>
  <c r="V44" i="26" s="1"/>
  <c r="Q44" i="26"/>
  <c r="V43" i="26"/>
  <c r="T43" i="26"/>
  <c r="Q43" i="26"/>
  <c r="T42" i="26"/>
  <c r="V42" i="26" s="1"/>
  <c r="Q42" i="26"/>
  <c r="V41" i="26"/>
  <c r="T41" i="26"/>
  <c r="Q41" i="26"/>
  <c r="T40" i="26"/>
  <c r="V40" i="26" s="1"/>
  <c r="Q40" i="26"/>
  <c r="V39" i="26"/>
  <c r="T39" i="26"/>
  <c r="Q39" i="26"/>
  <c r="T38" i="26"/>
  <c r="V38" i="26" s="1"/>
  <c r="Q38" i="26"/>
  <c r="V37" i="26"/>
  <c r="T37" i="26"/>
  <c r="Q37" i="26"/>
  <c r="T36" i="26"/>
  <c r="V36" i="26" s="1"/>
  <c r="Q36" i="26"/>
  <c r="V35" i="26"/>
  <c r="T35" i="26"/>
  <c r="Q35" i="26"/>
  <c r="T34" i="26"/>
  <c r="V34" i="26" s="1"/>
  <c r="Q34" i="26"/>
  <c r="V33" i="26"/>
  <c r="T33" i="26"/>
  <c r="Q33" i="26"/>
  <c r="T32" i="26"/>
  <c r="V32" i="26" s="1"/>
  <c r="Q32" i="26"/>
  <c r="V31" i="26"/>
  <c r="T31" i="26"/>
  <c r="Q31" i="26"/>
  <c r="T30" i="26"/>
  <c r="V30" i="26" s="1"/>
  <c r="Q30" i="26"/>
  <c r="V29" i="26"/>
  <c r="T29" i="26"/>
  <c r="Q29" i="26"/>
  <c r="T28" i="26"/>
  <c r="V28" i="26" s="1"/>
  <c r="Q28" i="26"/>
  <c r="V27" i="26"/>
  <c r="T27" i="26"/>
  <c r="Q27" i="26"/>
  <c r="T26" i="26"/>
  <c r="V26" i="26" s="1"/>
  <c r="Q26" i="26"/>
  <c r="V25" i="26"/>
  <c r="T25" i="26"/>
  <c r="Q25" i="26"/>
  <c r="T24" i="26"/>
  <c r="V24" i="26" s="1"/>
  <c r="Q24" i="26"/>
  <c r="V23" i="26"/>
  <c r="T23" i="26"/>
  <c r="Q23" i="26"/>
  <c r="T22" i="26"/>
  <c r="V22" i="26" s="1"/>
  <c r="Q22" i="26"/>
  <c r="V21" i="26"/>
  <c r="T21" i="26"/>
  <c r="Q21" i="26"/>
  <c r="T20" i="26"/>
  <c r="V20" i="26" s="1"/>
  <c r="Q20" i="26"/>
  <c r="V19" i="26"/>
  <c r="T19" i="26"/>
  <c r="Q19" i="26"/>
  <c r="T18" i="26"/>
  <c r="V18" i="26" s="1"/>
  <c r="Q18" i="26"/>
  <c r="V17" i="26"/>
  <c r="T17" i="26"/>
  <c r="Q17" i="26"/>
  <c r="T16" i="26"/>
  <c r="V16" i="26" s="1"/>
  <c r="Q16" i="26"/>
  <c r="V15" i="26"/>
  <c r="T15" i="26"/>
  <c r="Q15" i="26"/>
  <c r="T14" i="26"/>
  <c r="V14" i="26" s="1"/>
  <c r="Q14" i="26"/>
  <c r="V13" i="26"/>
  <c r="T13" i="26"/>
  <c r="Q13" i="26"/>
  <c r="T12" i="26"/>
  <c r="V12" i="26" s="1"/>
  <c r="Q12" i="26"/>
  <c r="V11" i="26"/>
  <c r="T11" i="26"/>
  <c r="Q11" i="26"/>
  <c r="T10" i="26"/>
  <c r="V10" i="26" s="1"/>
  <c r="Q10" i="26"/>
  <c r="V9" i="26"/>
  <c r="T9" i="26"/>
  <c r="Q9" i="26"/>
  <c r="T8" i="26"/>
  <c r="V8" i="26" s="1"/>
  <c r="Q8" i="26"/>
  <c r="V7" i="26"/>
  <c r="T7" i="26"/>
  <c r="Q7" i="26"/>
  <c r="T6" i="26"/>
  <c r="V6" i="26" s="1"/>
  <c r="Q6" i="26"/>
  <c r="V5" i="26"/>
  <c r="T5" i="26"/>
  <c r="Q5" i="26"/>
  <c r="T4" i="26"/>
  <c r="V4" i="26" s="1"/>
  <c r="Q4" i="26"/>
  <c r="V3" i="26"/>
  <c r="T3" i="26"/>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<sst xmlns="http://schemas.openxmlformats.org/spreadsheetml/2006/main" count="9994" uniqueCount="540">
  <si>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</si>
  <si>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</si>
  <si>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</si>
  <si>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</si>
  <si>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</si>
  <si>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</si>
  <si>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</si>
  <si>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</si>
  <si>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</si>
  <si>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</si>
  <si>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</si>
  <si>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</si>
  <si>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</si>
  <si>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</si>
  <si>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</si>
  <si>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</si>
  <si>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</si>
  <si>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</si>
  <si>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</si>
  <si>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</si>
  <si>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</si>
  <si>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</si>
  <si>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</si>
  <si>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</si>
  <si>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</si>
  <si>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</si>
  <si>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</si>
  <si>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</si>
  <si>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</si>
  <si>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</si>
  <si>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</si>
  <si>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</si>
  <si>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</si>
  <si>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</si>
  <si>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</si>
  <si>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</si>
  <si>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</si>
  <si>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</si>
  <si>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</si>
  <si>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</si>
  <si>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</si>
  <si>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</si>
  <si>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</si>
  <si>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</si>
  <si>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</si>
  <si>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</si>
  <si>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</si>
  <si>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</si>
  <si>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</si>
  <si>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</si>
  <si>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</si>
  <si>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</si>
  <si>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</si>
  <si>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</si>
  <si>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</si>
  <si>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</si>
  <si>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</si>
  <si>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</si>
  <si>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</si>
  <si>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</si>
  <si>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</si>
  <si>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</si>
  <si>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</si>
  <si>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</si>
  <si>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</si>
  <si>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</si>
  <si>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</si>
  <si>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</si>
  <si>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</si>
  <si>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</si>
  <si>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</si>
  <si>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</si>
  <si>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</si>
  <si>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</si>
  <si>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</si>
  <si>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</si>
  <si>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</si>
  <si>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</si>
  <si>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</si>
  <si>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</si>
  <si>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</si>
  <si>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</si>
  <si>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</si>
  <si>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</si>
  <si>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</si>
  <si>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</si>
  <si>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</si>
  <si>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</si>
  <si>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</si>
  <si>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</si>
  <si>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</si>
  <si>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</si>
  <si>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</si>
  <si>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</si>
  <si>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</si>
  <si>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</si>
  <si>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</si>
  <si>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</si>
  <si>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</si>
  <si>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</si>
  <si>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</si>
  <si>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</si>
  <si>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</si>
  <si>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</si>
  <si>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</si>
  <si>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</si>
  <si>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</si>
  <si>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</si>
  <si>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</si>
  <si>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</si>
  <si>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</si>
  <si>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</si>
  <si>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</si>
  <si>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</si>
  <si>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</si>
  <si>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</si>
  <si>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</si>
  <si>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</si>
  <si>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</si>
  <si>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</si>
  <si>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</si>
  <si>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</si>
  <si>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</si>
  <si>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</si>
  <si>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</si>
  <si>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</si>
  <si>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</si>
  <si>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</si>
  <si>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</si>
  <si>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</si>
  <si>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</si>
  <si>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</si>
  <si>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</si>
  <si>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</si>
  <si>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</si>
  <si>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</si>
  <si>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</si>
  <si>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</si>
  <si>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</si>
  <si>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</si>
  <si>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</si>
  <si>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</si>
  <si>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</si>
  <si>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</si>
  <si>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</si>
  <si>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</si>
  <si>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</si>
  <si>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</si>
  <si>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</si>
  <si>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</si>
  <si>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</si>
  <si>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</si>
  <si>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</si>
  <si>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</si>
  <si>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</si>
  <si>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</si>
  <si>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</si>
  <si>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GA</t>
  </si>
  <si>
    <t>佐賀</t>
    <rPh sb="0" eb="2">
      <t>サガ</t>
    </rPh>
    <phoneticPr fontId="3"/>
  </si>
  <si>
    <t>ラフランス</t>
  </si>
  <si>
    <t>西友</t>
  </si>
  <si>
    <t>日進岩藤店</t>
    <rPh sb="0" eb="2">
      <t>ニッシン</t>
    </rPh>
    <phoneticPr fontId="4"/>
  </si>
  <si>
    <t>日進店</t>
    <rPh sb="0" eb="2">
      <t>ニッシン</t>
    </rPh>
    <rPh sb="2" eb="3">
      <t>ミセ</t>
    </rPh>
    <phoneticPr fontId="4"/>
  </si>
  <si>
    <t>その他レッド</t>
    <rPh sb="2" eb="3">
      <t>タ</t>
    </rPh>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</si>
  <si>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</si>
  <si>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</si>
  <si>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</si>
  <si>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</si>
  <si>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</si>
  <si>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</si>
  <si>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</si>
  <si>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</si>
  <si>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</si>
  <si>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</si>
  <si>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</si>
  <si>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</si>
  <si>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</si>
  <si>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</si>
  <si>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</si>
  <si>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</si>
  <si>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</si>
  <si>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</si>
  <si>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</si>
  <si>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</si>
  <si>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</si>
  <si>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</si>
  <si>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</si>
  <si>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</si>
  <si>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</si>
  <si>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</si>
  <si>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</si>
  <si>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</si>
  <si>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</si>
  <si>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</si>
  <si>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</si>
  <si>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</si>
  <si>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キンショー</t>
  </si>
  <si>
    <t>東湊店</t>
  </si>
  <si>
    <t>万代</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</si>
  <si>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</si>
  <si>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</si>
  <si>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</si>
  <si>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</si>
  <si>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</si>
  <si>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</si>
  <si>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</si>
  <si>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</si>
  <si>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</si>
  <si>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</si>
  <si>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</si>
  <si>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</si>
  <si>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</si>
  <si>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</si>
  <si>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</si>
  <si>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</si>
  <si>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</si>
  <si>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</si>
  <si>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</si>
  <si>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</si>
  <si>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</si>
  <si>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</si>
  <si>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</si>
  <si>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</si>
  <si>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ＪＡ神奈川</t>
  </si>
  <si>
    <t>ＪＡ石川</t>
  </si>
  <si>
    <t>チェーン名</t>
    <phoneticPr fontId="3"/>
  </si>
  <si>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</si>
  <si>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</si>
  <si>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</si>
  <si>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</si>
  <si>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</si>
  <si>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</si>
  <si>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</si>
  <si>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</si>
  <si>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HW</t>
    <phoneticPr fontId="4"/>
  </si>
  <si>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</si>
  <si>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</si>
  <si>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</si>
  <si>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</si>
  <si>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</si>
  <si>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</si>
  <si>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</si>
  <si>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</si>
  <si>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</si>
  <si>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</si>
  <si>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糖度</t>
    <phoneticPr fontId="4"/>
  </si>
  <si>
    <t>U/P JPY</t>
    <phoneticPr fontId="4"/>
  </si>
  <si>
    <t>福岡</t>
    <rPh sb="0" eb="2">
      <t>フクオカ</t>
    </rPh>
    <phoneticPr fontId="4"/>
  </si>
  <si>
    <t>西鉄ストア</t>
    <rPh sb="0" eb="2">
      <t>ニシテツ</t>
    </rPh>
    <phoneticPr fontId="3"/>
  </si>
  <si>
    <t>Del Monte</t>
    <phoneticPr fontId="4"/>
  </si>
  <si>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</si>
  <si>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</si>
  <si>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</si>
  <si>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</si>
  <si>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</si>
  <si>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</si>
  <si>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</si>
  <si>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</si>
  <si>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</si>
  <si>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</si>
  <si>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</si>
  <si>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山口</t>
    <rPh sb="0" eb="2">
      <t>ヤマグチ</t>
    </rPh>
    <phoneticPr fontId="3"/>
  </si>
  <si>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</si>
  <si>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</si>
  <si>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</si>
  <si>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</si>
  <si>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</si>
  <si>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</si>
  <si>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</si>
  <si>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</si>
  <si>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</si>
  <si>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</si>
  <si>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</si>
  <si>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</si>
  <si>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</si>
  <si>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</si>
  <si>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</si>
  <si>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</si>
  <si>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</si>
  <si>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</si>
  <si>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</si>
  <si>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</si>
  <si>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</si>
  <si>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</si>
  <si>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</si>
  <si>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</si>
  <si>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</si>
  <si>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</si>
  <si>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</si>
  <si>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</si>
  <si>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</si>
  <si>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</si>
  <si>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</si>
  <si>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</si>
  <si>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</si>
  <si>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</si>
  <si>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</si>
  <si>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</si>
  <si>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</si>
  <si>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</si>
  <si>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</si>
  <si>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</si>
  <si>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</si>
  <si>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検体
番号</t>
    <phoneticPr fontId="4"/>
  </si>
  <si>
    <t>中国</t>
    <phoneticPr fontId="4"/>
  </si>
  <si>
    <t>GK</t>
    <phoneticPr fontId="4"/>
  </si>
  <si>
    <t>HE</t>
    <phoneticPr fontId="4"/>
  </si>
  <si>
    <t>北海道</t>
    <rPh sb="0" eb="3">
      <t>ホッカイドウ</t>
    </rPh>
    <phoneticPr fontId="3"/>
  </si>
  <si>
    <t>JP</t>
  </si>
  <si>
    <t>JP</t>
    <phoneticPr fontId="3"/>
  </si>
  <si>
    <t>JPY</t>
  </si>
  <si>
    <t>マックスバリュ</t>
    <phoneticPr fontId="3"/>
  </si>
  <si>
    <t>北40条店</t>
    <rPh sb="4" eb="5">
      <t>テン</t>
    </rPh>
    <phoneticPr fontId="3"/>
  </si>
  <si>
    <t>06.11.2018</t>
  </si>
  <si>
    <t>06.11.2018</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</si>
  <si>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</si>
  <si>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</si>
  <si>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</si>
  <si>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</si>
  <si>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</si>
  <si>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</si>
  <si>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</si>
  <si>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</si>
  <si>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</si>
  <si>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</si>
  <si>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</si>
  <si>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Gold
SIZE</t>
    <phoneticPr fontId="4"/>
  </si>
  <si>
    <t>05.11.2018</t>
    <phoneticPr fontId="3"/>
  </si>
  <si>
    <t>ﾆｭｰｼﾞｰﾗﾝﾄﾞ</t>
    <phoneticPr fontId="4"/>
  </si>
  <si>
    <t>05.11.2018</t>
  </si>
  <si>
    <t>D'lish</t>
    <phoneticPr fontId="4"/>
  </si>
  <si>
    <t>中国</t>
    <phoneticPr fontId="4"/>
  </si>
  <si>
    <t>大阪</t>
    <phoneticPr fontId="4"/>
  </si>
  <si>
    <t>HW</t>
    <phoneticPr fontId="4"/>
  </si>
  <si>
    <t>CK</t>
    <phoneticPr fontId="4"/>
  </si>
  <si>
    <t>Del Monte</t>
    <phoneticPr fontId="3"/>
  </si>
  <si>
    <t>GK</t>
    <phoneticPr fontId="4"/>
  </si>
  <si>
    <t>OB</t>
    <phoneticPr fontId="4"/>
  </si>
  <si>
    <t>HE</t>
    <phoneticPr fontId="4"/>
  </si>
  <si>
    <t>GA</t>
    <phoneticPr fontId="4"/>
  </si>
  <si>
    <t>いちじく</t>
    <phoneticPr fontId="4"/>
  </si>
  <si>
    <t>ラフランス</t>
    <phoneticPr fontId="3"/>
  </si>
  <si>
    <t>JPY</t>
    <phoneticPr fontId="3"/>
  </si>
  <si>
    <t>硬度
１</t>
    <phoneticPr fontId="4"/>
  </si>
  <si>
    <t>Weight</t>
    <phoneticPr fontId="4"/>
  </si>
  <si>
    <t>JP</t>
    <phoneticPr fontId="3"/>
  </si>
  <si>
    <t>09.11.2018</t>
    <phoneticPr fontId="3"/>
  </si>
  <si>
    <t>アオキスーパー</t>
  </si>
  <si>
    <t>アオキスーパー</t>
    <phoneticPr fontId="4"/>
  </si>
  <si>
    <t>ピアゴ</t>
    <phoneticPr fontId="4"/>
  </si>
  <si>
    <t>長久手南店</t>
    <phoneticPr fontId="4"/>
  </si>
  <si>
    <t>カネスエ</t>
    <phoneticPr fontId="4"/>
  </si>
  <si>
    <t>長久手店</t>
    <phoneticPr fontId="4"/>
  </si>
  <si>
    <t>アピタ</t>
    <phoneticPr fontId="4"/>
  </si>
  <si>
    <t>マックスバリュ</t>
    <phoneticPr fontId="4"/>
  </si>
  <si>
    <t>HE</t>
    <phoneticPr fontId="4"/>
  </si>
  <si>
    <t>JP</t>
    <phoneticPr fontId="3"/>
  </si>
  <si>
    <t>09.11.2018</t>
    <phoneticPr fontId="3"/>
  </si>
  <si>
    <t>カネトク</t>
    <phoneticPr fontId="4"/>
  </si>
  <si>
    <t>JP</t>
    <phoneticPr fontId="3"/>
  </si>
  <si>
    <t>09.11.2018</t>
    <phoneticPr fontId="3"/>
  </si>
  <si>
    <t>マックスバリュ</t>
    <phoneticPr fontId="4"/>
  </si>
  <si>
    <t>長久手店</t>
    <phoneticPr fontId="4"/>
  </si>
  <si>
    <t>ピアゴ</t>
  </si>
  <si>
    <t>長久手南店</t>
  </si>
  <si>
    <t>アピタ</t>
    <phoneticPr fontId="4"/>
  </si>
  <si>
    <t>JP</t>
    <phoneticPr fontId="3"/>
  </si>
  <si>
    <t>09.11.2018</t>
    <phoneticPr fontId="3"/>
  </si>
  <si>
    <t>アオキスーパー</t>
    <phoneticPr fontId="4"/>
  </si>
  <si>
    <t>長久手店</t>
    <phoneticPr fontId="4"/>
  </si>
  <si>
    <t>JP</t>
    <phoneticPr fontId="3"/>
  </si>
  <si>
    <t>09.11.2018</t>
    <phoneticPr fontId="3"/>
  </si>
  <si>
    <t>JP</t>
    <phoneticPr fontId="3"/>
  </si>
  <si>
    <t>09.11.2018</t>
    <phoneticPr fontId="3"/>
  </si>
  <si>
    <t>JP</t>
    <phoneticPr fontId="3"/>
  </si>
  <si>
    <t>09.11.2018</t>
    <phoneticPr fontId="3"/>
  </si>
  <si>
    <t>カネスエ</t>
  </si>
  <si>
    <t>長久手店</t>
  </si>
  <si>
    <t>ラフランス</t>
    <phoneticPr fontId="4"/>
  </si>
  <si>
    <t>キラキラ</t>
    <phoneticPr fontId="4"/>
  </si>
  <si>
    <t>グリーンアイ</t>
    <phoneticPr fontId="4"/>
  </si>
  <si>
    <t>カネトク</t>
  </si>
  <si>
    <t>アピタ</t>
  </si>
  <si>
    <t>09.11.2018</t>
  </si>
  <si>
    <t>津久野店</t>
  </si>
  <si>
    <t>宮崎</t>
  </si>
  <si>
    <t>県名</t>
    <phoneticPr fontId="3"/>
  </si>
  <si>
    <t>品種</t>
    <phoneticPr fontId="3"/>
  </si>
  <si>
    <t>05.11.2018</t>
    <phoneticPr fontId="3"/>
  </si>
  <si>
    <t>JPY</t>
    <phoneticPr fontId="3"/>
  </si>
  <si>
    <t>05.11.2018</t>
    <phoneticPr fontId="3"/>
  </si>
  <si>
    <t>JPY</t>
    <phoneticPr fontId="3"/>
  </si>
  <si>
    <t>GA</t>
    <phoneticPr fontId="4"/>
  </si>
  <si>
    <t>05.11.2018</t>
    <phoneticPr fontId="3"/>
  </si>
  <si>
    <t>05.11.2018</t>
    <phoneticPr fontId="3"/>
  </si>
  <si>
    <t>バナナ</t>
    <phoneticPr fontId="4"/>
  </si>
  <si>
    <t>パパイヤ</t>
    <phoneticPr fontId="4"/>
  </si>
  <si>
    <t>05.11.2018</t>
    <phoneticPr fontId="3"/>
  </si>
  <si>
    <t>JPY</t>
    <phoneticPr fontId="3"/>
  </si>
  <si>
    <t>びわ</t>
    <phoneticPr fontId="4"/>
  </si>
  <si>
    <t>05.11.2018</t>
    <phoneticPr fontId="3"/>
  </si>
  <si>
    <t>JPY</t>
    <phoneticPr fontId="3"/>
  </si>
  <si>
    <t>メロン</t>
    <phoneticPr fontId="4"/>
  </si>
  <si>
    <t>桃</t>
    <phoneticPr fontId="4"/>
  </si>
  <si>
    <t>05.11.2018</t>
    <phoneticPr fontId="3"/>
  </si>
  <si>
    <t>JPY</t>
    <phoneticPr fontId="3"/>
  </si>
  <si>
    <t>ブドウ</t>
    <phoneticPr fontId="4"/>
  </si>
  <si>
    <t>ラフランス</t>
    <phoneticPr fontId="4"/>
  </si>
  <si>
    <t>りんご</t>
    <phoneticPr fontId="4"/>
  </si>
  <si>
    <t>みかん</t>
    <phoneticPr fontId="4"/>
  </si>
  <si>
    <t>マンゴー</t>
    <phoneticPr fontId="3"/>
  </si>
  <si>
    <t>CK</t>
    <phoneticPr fontId="3"/>
  </si>
  <si>
    <t>ひこさか</t>
    <phoneticPr fontId="3"/>
  </si>
  <si>
    <t>販売
ユニット
個数</t>
    <phoneticPr fontId="4"/>
  </si>
  <si>
    <t>07.11.2018</t>
    <phoneticPr fontId="3"/>
  </si>
  <si>
    <t>マルショク</t>
    <phoneticPr fontId="3"/>
  </si>
  <si>
    <t>JPY</t>
    <phoneticPr fontId="4"/>
  </si>
  <si>
    <t>一般栽培</t>
    <phoneticPr fontId="4"/>
  </si>
  <si>
    <t>ﾆｭｰｼﾞｰﾗﾝﾄﾞ</t>
    <phoneticPr fontId="4"/>
  </si>
  <si>
    <t>JP</t>
    <phoneticPr fontId="3"/>
  </si>
  <si>
    <t>07.11.2018</t>
    <phoneticPr fontId="3"/>
  </si>
  <si>
    <t>マルショク</t>
    <phoneticPr fontId="3"/>
  </si>
  <si>
    <t>バナナ</t>
    <phoneticPr fontId="3"/>
  </si>
  <si>
    <t>JP</t>
    <phoneticPr fontId="3"/>
  </si>
  <si>
    <t>07.11.2018</t>
    <phoneticPr fontId="3"/>
  </si>
  <si>
    <t>マルショク</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</si>
  <si>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</si>
  <si>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</si>
  <si>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</si>
  <si>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</si>
  <si>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</si>
  <si>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</si>
  <si>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</si>
  <si>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</si>
  <si>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OB</t>
    <phoneticPr fontId="4"/>
  </si>
  <si>
    <t>07.11.2018</t>
    <phoneticPr fontId="3"/>
  </si>
  <si>
    <t>マルショク</t>
    <phoneticPr fontId="3"/>
  </si>
  <si>
    <t>HW</t>
    <phoneticPr fontId="3"/>
  </si>
  <si>
    <t>HE</t>
    <phoneticPr fontId="4"/>
  </si>
  <si>
    <t>JP</t>
    <phoneticPr fontId="3"/>
  </si>
  <si>
    <t>07.11.2018</t>
    <phoneticPr fontId="3"/>
  </si>
  <si>
    <t>GA</t>
    <phoneticPr fontId="4"/>
  </si>
  <si>
    <t>07.11.2018</t>
    <phoneticPr fontId="3"/>
  </si>
  <si>
    <t>オレンジ</t>
    <phoneticPr fontId="3"/>
  </si>
  <si>
    <t>JP</t>
    <phoneticPr fontId="3"/>
  </si>
  <si>
    <t>07.11.2018</t>
    <phoneticPr fontId="3"/>
  </si>
  <si>
    <t>07.11.2018</t>
    <phoneticPr fontId="3"/>
  </si>
  <si>
    <t>07.11.2018</t>
    <phoneticPr fontId="3"/>
  </si>
  <si>
    <t>07.11.2018</t>
    <phoneticPr fontId="3"/>
  </si>
  <si>
    <t>いちじく</t>
    <phoneticPr fontId="4"/>
  </si>
  <si>
    <t>ラフランス</t>
    <phoneticPr fontId="3"/>
  </si>
  <si>
    <t>キラキラ</t>
    <phoneticPr fontId="4"/>
  </si>
  <si>
    <t>プラム</t>
    <phoneticPr fontId="3"/>
  </si>
  <si>
    <t>グリーンアイ</t>
    <phoneticPr fontId="4"/>
  </si>
  <si>
    <t>ぽんかん</t>
    <phoneticPr fontId="3"/>
  </si>
  <si>
    <t>アメリカンチェリー</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</si>
  <si>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</si>
  <si>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</si>
  <si>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</si>
  <si>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</si>
  <si>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</si>
  <si>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</si>
  <si>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</si>
  <si>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</si>
  <si>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</si>
  <si>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</si>
  <si>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</si>
  <si>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</si>
  <si>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08.11.2018</t>
    <phoneticPr fontId="3"/>
  </si>
  <si>
    <t>サミット</t>
  </si>
  <si>
    <t>JPY</t>
    <phoneticPr fontId="3"/>
  </si>
  <si>
    <t>カドヤ</t>
    <phoneticPr fontId="4"/>
  </si>
  <si>
    <t>ﾆｭｰｼﾞｰﾗﾝﾄﾞ</t>
    <phoneticPr fontId="4"/>
  </si>
  <si>
    <t>08.11.2018</t>
  </si>
  <si>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</si>
  <si>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</si>
  <si>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</si>
  <si>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</si>
  <si>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</si>
  <si>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</si>
  <si>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</si>
  <si>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</si>
  <si>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</si>
  <si>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</si>
  <si>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</si>
  <si>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</si>
  <si>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</si>
  <si>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</si>
  <si>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</si>
  <si>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</si>
  <si>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</si>
  <si>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シーズン</t>
    <phoneticPr fontId="4"/>
  </si>
  <si>
    <t>検体
番号</t>
    <phoneticPr fontId="4"/>
  </si>
  <si>
    <t>硬度
１</t>
    <phoneticPr fontId="4"/>
  </si>
  <si>
    <t>硬度
２</t>
    <phoneticPr fontId="4"/>
  </si>
  <si>
    <t>糖度</t>
    <phoneticPr fontId="4"/>
  </si>
  <si>
    <t>Weight</t>
    <phoneticPr fontId="4"/>
  </si>
  <si>
    <t>U/P JPY</t>
    <phoneticPr fontId="4"/>
  </si>
  <si>
    <t>２番人気
果実</t>
    <phoneticPr fontId="3"/>
  </si>
  <si>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</si>
  <si>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</si>
  <si>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</si>
  <si>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</si>
  <si>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</si>
  <si>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05.11.2018</t>
    <phoneticPr fontId="3"/>
  </si>
  <si>
    <t>鹿骨店</t>
  </si>
  <si>
    <t>松江店</t>
  </si>
  <si>
    <t>ﾆｭｰｼﾞｰﾗﾝﾄﾞ</t>
    <phoneticPr fontId="4"/>
  </si>
  <si>
    <t>オリンピック</t>
  </si>
  <si>
    <t>西一之江店</t>
  </si>
  <si>
    <t>ヤマイチ</t>
  </si>
  <si>
    <t>今井店</t>
  </si>
  <si>
    <t>D'lish</t>
    <phoneticPr fontId="4"/>
  </si>
  <si>
    <t>中国</t>
    <phoneticPr fontId="4"/>
  </si>
  <si>
    <t>コモディイイダ</t>
  </si>
  <si>
    <t>西瑞江店</t>
  </si>
  <si>
    <t>HW</t>
    <phoneticPr fontId="4"/>
  </si>
  <si>
    <t>CK</t>
    <phoneticPr fontId="4"/>
  </si>
  <si>
    <t>Del Monte</t>
    <phoneticPr fontId="3"/>
  </si>
  <si>
    <t>いなげや</t>
  </si>
  <si>
    <t>江戸川春江店</t>
  </si>
  <si>
    <t>GK</t>
    <phoneticPr fontId="4"/>
  </si>
  <si>
    <t>OB</t>
    <phoneticPr fontId="4"/>
  </si>
  <si>
    <t>HE</t>
    <phoneticPr fontId="4"/>
  </si>
  <si>
    <t>05.11.2018</t>
    <phoneticPr fontId="3"/>
  </si>
  <si>
    <t>サミットストア</t>
  </si>
  <si>
    <t>本一色店</t>
  </si>
  <si>
    <t>東武ストア</t>
  </si>
  <si>
    <t>新小岩店</t>
  </si>
  <si>
    <t>GA</t>
    <phoneticPr fontId="4"/>
  </si>
  <si>
    <t>05.11.2018</t>
    <phoneticPr fontId="3"/>
  </si>
  <si>
    <t>ビッグ・エー</t>
  </si>
  <si>
    <t>江戸川本一色店</t>
  </si>
  <si>
    <t>江戸川中央店</t>
  </si>
  <si>
    <t>05.11.2018</t>
    <phoneticPr fontId="3"/>
  </si>
  <si>
    <t>05.11.2018</t>
    <phoneticPr fontId="3"/>
  </si>
  <si>
    <t>05.11.2018</t>
    <phoneticPr fontId="3"/>
  </si>
  <si>
    <t>05.11.2018</t>
    <phoneticPr fontId="3"/>
  </si>
  <si>
    <t>いちじく</t>
    <phoneticPr fontId="4"/>
  </si>
  <si>
    <t>ラフランス</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</si>
</sst>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7">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theme="0" tint="-0.14990691854609822"/>
      </top>
      <bottom/>
      <diagonal/>
    </border>
    <border>
      <left style="thin">
        <color theme="0" tint="-0.14993743705557422"/>
      </left>
      <right style="thin">
        <color theme="0" tint="-0.14993743705557422"/>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63">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14" fontId="0" fillId="4" borderId="36" xfId="1" applyNumberFormat="1" applyFont="1" applyFill="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Fill="1" applyBorder="1"/>
    <xf numFmtId="0" fontId="1" fillId="3" borderId="0" xfId="1" applyFill="1" applyBorder="1"/>
    <xf numFmtId="0" fontId="1" fillId="0" borderId="41" xfId="1" applyFill="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0" borderId="41" xfId="1" applyBorder="1"/>
    <xf numFmtId="0" fontId="1" fillId="4" borderId="16" xfId="1" applyFill="1" applyBorder="1"/>
    <xf numFmtId="0" fontId="1" fillId="4" borderId="17" xfId="1" applyFill="1" applyBorder="1"/>
    <xf numFmtId="0" fontId="1" fillId="0" borderId="40" xfId="1" applyBorder="1"/>
    <xf numFmtId="0" fontId="1" fillId="0" borderId="42" xfId="1" applyBorder="1"/>
    <xf numFmtId="0" fontId="1" fillId="0" borderId="42" xfId="1" applyFont="1" applyBorder="1"/>
    <xf numFmtId="0" fontId="1" fillId="0" borderId="17" xfId="1" applyFill="1" applyBorder="1"/>
    <xf numFmtId="0" fontId="1" fillId="0" borderId="43" xfId="1" applyFont="1" applyBorder="1"/>
    <xf numFmtId="0" fontId="1" fillId="0" borderId="34" xfId="1" applyBorder="1"/>
    <xf numFmtId="14" fontId="0" fillId="0" borderId="0" xfId="1" applyNumberFormat="1" applyFont="1"/>
    <xf numFmtId="0" fontId="1" fillId="4" borderId="32" xfId="1" applyFill="1" applyBorder="1"/>
    <xf numFmtId="49" fontId="2" fillId="5" borderId="44"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0" fontId="1" fillId="0" borderId="0" xfId="1" applyFont="1" applyBorder="1"/>
    <xf numFmtId="178" fontId="1" fillId="3" borderId="0" xfId="1" applyNumberFormat="1" applyFont="1" applyFill="1"/>
    <xf numFmtId="0" fontId="10" fillId="0" borderId="0" xfId="1" applyFont="1" applyBorder="1"/>
    <xf numFmtId="0" fontId="1" fillId="0" borderId="0" xfId="1" applyFont="1" applyFill="1" applyBorder="1"/>
    <xf numFmtId="0" fontId="14" fillId="0" borderId="0" xfId="1" applyFont="1" applyFill="1"/>
    <xf numFmtId="0" fontId="1" fillId="0" borderId="18" xfId="5" applyFont="1" applyBorder="1" applyAlignment="1"/>
    <xf numFmtId="14" fontId="0" fillId="4" borderId="45" xfId="1" applyNumberFormat="1" applyFont="1" applyFill="1" applyBorder="1"/>
    <xf numFmtId="14" fontId="0" fillId="4" borderId="46" xfId="1" applyNumberFormat="1" applyFont="1" applyFill="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1" fillId="0" borderId="0" xfId="7">
      <alignment vertical="center"/>
    </xf>
    <xf numFmtId="0" fontId="1" fillId="0" borderId="0" xfId="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kato_4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85" zoomScaleNormal="85" workbookViewId="0">
      <selection activeCell="AB2" sqref="AB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307</v>
      </c>
      <c r="B2" s="15" t="s">
        <v>309</v>
      </c>
      <c r="C2" s="15">
        <v>2018</v>
      </c>
      <c r="D2" s="50" t="s">
        <v>314</v>
      </c>
      <c r="E2" s="15" t="s">
        <v>141</v>
      </c>
      <c r="F2" s="15" t="s">
        <v>149</v>
      </c>
      <c r="G2" s="15" t="s">
        <v>36</v>
      </c>
      <c r="H2" s="15" t="s">
        <v>155</v>
      </c>
      <c r="I2" s="15" t="s">
        <v>153</v>
      </c>
      <c r="J2" s="15" t="s">
        <v>38</v>
      </c>
      <c r="K2" s="7" t="s">
        <v>154</v>
      </c>
      <c r="L2" s="7">
        <v>1</v>
      </c>
      <c r="N2" s="47">
        <v>1</v>
      </c>
      <c r="O2" s="15">
        <v>0.75</v>
      </c>
      <c r="P2" s="15">
        <v>0.8</v>
      </c>
      <c r="Q2" s="51">
        <f t="shared" ref="Q2:Q65" si="0">IF(OR(O2="",P2=""),"",AVERAGE(O2,P2))</f>
        <v>0.77500000000000002</v>
      </c>
      <c r="R2" s="15">
        <v>12</v>
      </c>
      <c r="S2" s="15">
        <v>99</v>
      </c>
      <c r="T2" s="38">
        <f t="shared" ref="T2:T59" si="1">IF(H2="","",IF(OR(H2="GREEN",H2="GK"),IF(S2&gt;=$AX$2,VLOOKUP(S2,$AX$2:$AY$12,2,1),""),IF(S2&gt;=$AZ$2,VLOOKUP(S2,$AZ$2:$BA$12,2,1),"")))</f>
        <v>33</v>
      </c>
      <c r="U2" s="15">
        <v>51</v>
      </c>
      <c r="V2" s="38">
        <f t="shared" ref="V2:V65" si="2">IF(OR(N2="",U2="",T2=""),"",U2/N2*T2)</f>
        <v>1683</v>
      </c>
      <c r="W2" s="15">
        <v>4</v>
      </c>
      <c r="X2" s="15" t="s">
        <v>39</v>
      </c>
      <c r="Y2" s="15" t="s">
        <v>50</v>
      </c>
      <c r="Z2" s="15" t="s">
        <v>84</v>
      </c>
      <c r="AA2" s="15" t="s">
        <v>90</v>
      </c>
      <c r="AB2" s="39" t="s">
        <v>342</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307</v>
      </c>
      <c r="B3" s="15" t="s">
        <v>308</v>
      </c>
      <c r="C3" s="15">
        <v>2018</v>
      </c>
      <c r="D3" s="37" t="s">
        <v>313</v>
      </c>
      <c r="E3" s="15" t="s">
        <v>141</v>
      </c>
      <c r="F3" s="7" t="s">
        <v>149</v>
      </c>
      <c r="G3" s="7" t="s">
        <v>36</v>
      </c>
      <c r="H3" s="15" t="s">
        <v>155</v>
      </c>
      <c r="I3" s="7" t="s">
        <v>153</v>
      </c>
      <c r="J3" s="15" t="s">
        <v>38</v>
      </c>
      <c r="K3" s="7" t="s">
        <v>154</v>
      </c>
      <c r="L3" s="7">
        <v>2</v>
      </c>
      <c r="N3" s="7">
        <v>1</v>
      </c>
      <c r="O3" s="34">
        <v>0.55000000000000004</v>
      </c>
      <c r="P3" s="7">
        <v>0.55000000000000004</v>
      </c>
      <c r="Q3" s="52">
        <f t="shared" si="0"/>
        <v>0.55000000000000004</v>
      </c>
      <c r="R3" s="7">
        <v>14.9</v>
      </c>
      <c r="S3" s="7">
        <v>100</v>
      </c>
      <c r="T3" s="16">
        <f t="shared" si="1"/>
        <v>33</v>
      </c>
      <c r="U3" s="15">
        <v>51</v>
      </c>
      <c r="V3" s="16">
        <f t="shared" si="2"/>
        <v>1683</v>
      </c>
      <c r="W3" s="15">
        <v>4</v>
      </c>
      <c r="X3" s="15" t="s">
        <v>39</v>
      </c>
      <c r="Y3" s="216" t="s">
        <v>50</v>
      </c>
      <c r="Z3" s="216" t="s">
        <v>84</v>
      </c>
      <c r="AA3" s="216" t="s">
        <v>90</v>
      </c>
      <c r="AB3" s="39" t="s">
        <v>310</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307</v>
      </c>
      <c r="B4" s="15" t="s">
        <v>308</v>
      </c>
      <c r="C4" s="15">
        <v>2018</v>
      </c>
      <c r="D4" s="37" t="s">
        <v>313</v>
      </c>
      <c r="E4" s="15" t="s">
        <v>141</v>
      </c>
      <c r="F4" s="7" t="s">
        <v>149</v>
      </c>
      <c r="G4" s="7" t="s">
        <v>36</v>
      </c>
      <c r="H4" s="15" t="s">
        <v>155</v>
      </c>
      <c r="I4" s="208" t="s">
        <v>153</v>
      </c>
      <c r="J4" s="15" t="s">
        <v>38</v>
      </c>
      <c r="K4" s="7" t="s">
        <v>154</v>
      </c>
      <c r="L4" s="7">
        <v>3</v>
      </c>
      <c r="N4" s="7">
        <v>1</v>
      </c>
      <c r="O4" s="7">
        <v>0.5</v>
      </c>
      <c r="P4" s="7">
        <v>0.5</v>
      </c>
      <c r="Q4" s="52">
        <f t="shared" si="0"/>
        <v>0.5</v>
      </c>
      <c r="R4" s="7">
        <v>15.4</v>
      </c>
      <c r="S4" s="7">
        <v>95</v>
      </c>
      <c r="T4" s="16">
        <f t="shared" si="1"/>
        <v>36</v>
      </c>
      <c r="U4" s="15">
        <v>51</v>
      </c>
      <c r="V4" s="16">
        <f t="shared" si="2"/>
        <v>1836</v>
      </c>
      <c r="W4" s="15">
        <v>4</v>
      </c>
      <c r="X4" s="216" t="s">
        <v>39</v>
      </c>
      <c r="Y4" s="216" t="s">
        <v>50</v>
      </c>
      <c r="Z4" s="216" t="s">
        <v>84</v>
      </c>
      <c r="AA4" s="216" t="s">
        <v>90</v>
      </c>
      <c r="AB4" s="39" t="s">
        <v>310</v>
      </c>
      <c r="AE4" s="22" t="s">
        <v>34</v>
      </c>
      <c r="AG4" s="49" t="s">
        <v>311</v>
      </c>
      <c r="AH4" s="49" t="s">
        <v>312</v>
      </c>
      <c r="AJ4" s="27" t="s">
        <v>48</v>
      </c>
      <c r="AL4" s="27" t="s">
        <v>129</v>
      </c>
      <c r="AN4" s="28" t="s">
        <v>49</v>
      </c>
      <c r="AP4" s="23" t="s">
        <v>93</v>
      </c>
      <c r="AR4" s="41" t="s">
        <v>121</v>
      </c>
      <c r="AT4" s="28"/>
      <c r="AV4" s="23" t="s">
        <v>50</v>
      </c>
      <c r="AX4" s="24">
        <v>75</v>
      </c>
      <c r="AY4" s="25">
        <v>42</v>
      </c>
      <c r="AZ4" s="25">
        <v>76</v>
      </c>
      <c r="BA4" s="26">
        <v>39</v>
      </c>
    </row>
    <row r="5" spans="1:53" x14ac:dyDescent="0.15">
      <c r="A5" s="15" t="s">
        <v>307</v>
      </c>
      <c r="B5" s="15" t="s">
        <v>308</v>
      </c>
      <c r="C5" s="15">
        <v>2018</v>
      </c>
      <c r="D5" s="37" t="s">
        <v>313</v>
      </c>
      <c r="E5" s="15" t="s">
        <v>141</v>
      </c>
      <c r="F5" s="15" t="s">
        <v>149</v>
      </c>
      <c r="G5" s="7" t="s">
        <v>36</v>
      </c>
      <c r="H5" s="15" t="s">
        <v>157</v>
      </c>
      <c r="I5" s="208" t="s">
        <v>153</v>
      </c>
      <c r="J5" s="15" t="s">
        <v>38</v>
      </c>
      <c r="K5" s="7" t="s">
        <v>154</v>
      </c>
      <c r="L5" s="7">
        <v>1</v>
      </c>
      <c r="N5" s="7">
        <v>1</v>
      </c>
      <c r="O5" s="7">
        <v>0.5</v>
      </c>
      <c r="P5" s="7">
        <v>0.65</v>
      </c>
      <c r="Q5" s="52">
        <f t="shared" si="0"/>
        <v>0.57499999999999996</v>
      </c>
      <c r="R5" s="7">
        <v>16.399999999999999</v>
      </c>
      <c r="S5" s="7">
        <v>135</v>
      </c>
      <c r="T5" s="16">
        <f t="shared" si="1"/>
        <v>25</v>
      </c>
      <c r="U5" s="15">
        <v>145</v>
      </c>
      <c r="V5" s="16">
        <f t="shared" si="2"/>
        <v>3625</v>
      </c>
      <c r="W5" s="15">
        <v>5</v>
      </c>
      <c r="X5" s="216" t="s">
        <v>39</v>
      </c>
      <c r="Y5" s="216" t="s">
        <v>50</v>
      </c>
      <c r="Z5" s="216" t="s">
        <v>84</v>
      </c>
      <c r="AA5" s="216" t="s">
        <v>90</v>
      </c>
      <c r="AB5" s="39" t="s">
        <v>310</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307</v>
      </c>
      <c r="B6" s="15" t="s">
        <v>308</v>
      </c>
      <c r="C6" s="15">
        <v>2018</v>
      </c>
      <c r="D6" s="37" t="s">
        <v>313</v>
      </c>
      <c r="E6" s="15" t="s">
        <v>141</v>
      </c>
      <c r="F6" s="7" t="s">
        <v>149</v>
      </c>
      <c r="G6" s="7" t="s">
        <v>36</v>
      </c>
      <c r="H6" s="216" t="s">
        <v>157</v>
      </c>
      <c r="I6" s="208" t="s">
        <v>153</v>
      </c>
      <c r="J6" s="216" t="s">
        <v>38</v>
      </c>
      <c r="K6" s="208" t="s">
        <v>154</v>
      </c>
      <c r="L6" s="7">
        <v>2</v>
      </c>
      <c r="N6" s="7">
        <v>1</v>
      </c>
      <c r="O6" s="7">
        <v>0.5</v>
      </c>
      <c r="P6" s="7">
        <v>0.5</v>
      </c>
      <c r="Q6" s="52">
        <f t="shared" si="0"/>
        <v>0.5</v>
      </c>
      <c r="R6" s="7">
        <v>19</v>
      </c>
      <c r="S6" s="7">
        <v>137</v>
      </c>
      <c r="T6" s="16">
        <f t="shared" si="1"/>
        <v>25</v>
      </c>
      <c r="U6" s="216">
        <v>145</v>
      </c>
      <c r="V6" s="16">
        <f t="shared" si="2"/>
        <v>3625</v>
      </c>
      <c r="W6" s="15">
        <v>5</v>
      </c>
      <c r="X6" s="216" t="s">
        <v>39</v>
      </c>
      <c r="Y6" s="216" t="s">
        <v>50</v>
      </c>
      <c r="Z6" s="216" t="s">
        <v>84</v>
      </c>
      <c r="AA6" s="216" t="s">
        <v>90</v>
      </c>
      <c r="AB6" s="39" t="s">
        <v>310</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307</v>
      </c>
      <c r="B7" s="15" t="s">
        <v>308</v>
      </c>
      <c r="C7" s="15">
        <v>2018</v>
      </c>
      <c r="D7" s="37" t="s">
        <v>313</v>
      </c>
      <c r="E7" s="15" t="s">
        <v>141</v>
      </c>
      <c r="F7" s="7" t="s">
        <v>149</v>
      </c>
      <c r="G7" s="7" t="s">
        <v>36</v>
      </c>
      <c r="H7" s="216" t="s">
        <v>157</v>
      </c>
      <c r="I7" s="208" t="s">
        <v>153</v>
      </c>
      <c r="J7" s="216" t="s">
        <v>38</v>
      </c>
      <c r="K7" s="208" t="s">
        <v>154</v>
      </c>
      <c r="L7" s="7">
        <v>3</v>
      </c>
      <c r="N7" s="7">
        <v>1</v>
      </c>
      <c r="O7" s="7">
        <v>0.5</v>
      </c>
      <c r="P7" s="7">
        <v>0.5</v>
      </c>
      <c r="Q7" s="52">
        <f t="shared" si="0"/>
        <v>0.5</v>
      </c>
      <c r="R7" s="34">
        <v>15.4</v>
      </c>
      <c r="S7" s="7">
        <v>126</v>
      </c>
      <c r="T7" s="16">
        <f t="shared" si="1"/>
        <v>27</v>
      </c>
      <c r="U7" s="216">
        <v>145</v>
      </c>
      <c r="V7" s="16">
        <f t="shared" si="2"/>
        <v>3915</v>
      </c>
      <c r="W7" s="15">
        <v>5</v>
      </c>
      <c r="X7" s="216" t="s">
        <v>39</v>
      </c>
      <c r="Y7" s="216" t="s">
        <v>50</v>
      </c>
      <c r="Z7" s="216" t="s">
        <v>84</v>
      </c>
      <c r="AA7" s="216" t="s">
        <v>90</v>
      </c>
      <c r="AB7" s="39" t="s">
        <v>310</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307</v>
      </c>
      <c r="B8" s="15" t="s">
        <v>308</v>
      </c>
      <c r="C8" s="15">
        <v>2018</v>
      </c>
      <c r="D8" s="37" t="s">
        <v>313</v>
      </c>
      <c r="E8" s="15" t="s">
        <v>133</v>
      </c>
      <c r="F8" s="7" t="s">
        <v>150</v>
      </c>
      <c r="G8" s="7" t="s">
        <v>36</v>
      </c>
      <c r="H8" s="15" t="s">
        <v>155</v>
      </c>
      <c r="I8" s="208" t="s">
        <v>153</v>
      </c>
      <c r="J8" s="15" t="s">
        <v>38</v>
      </c>
      <c r="K8" s="7" t="s">
        <v>154</v>
      </c>
      <c r="L8" s="7">
        <v>1</v>
      </c>
      <c r="N8" s="208">
        <v>1</v>
      </c>
      <c r="O8" s="7">
        <v>0.6</v>
      </c>
      <c r="P8" s="7">
        <v>0.75</v>
      </c>
      <c r="Q8" s="52">
        <f t="shared" si="0"/>
        <v>0.67500000000000004</v>
      </c>
      <c r="R8" s="34">
        <v>15.4</v>
      </c>
      <c r="S8" s="7">
        <v>114</v>
      </c>
      <c r="T8" s="16">
        <f t="shared" si="1"/>
        <v>30</v>
      </c>
      <c r="U8" s="15">
        <v>59</v>
      </c>
      <c r="V8" s="16">
        <f t="shared" si="2"/>
        <v>1770</v>
      </c>
      <c r="W8" s="15">
        <v>6</v>
      </c>
      <c r="X8" s="15" t="s">
        <v>46</v>
      </c>
      <c r="Y8" s="216" t="s">
        <v>102</v>
      </c>
      <c r="Z8" s="216" t="s">
        <v>90</v>
      </c>
      <c r="AA8" s="216" t="s">
        <v>84</v>
      </c>
      <c r="AB8" s="39" t="s">
        <v>310</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307</v>
      </c>
      <c r="B9" s="15" t="s">
        <v>308</v>
      </c>
      <c r="C9" s="15">
        <v>2018</v>
      </c>
      <c r="D9" s="37" t="s">
        <v>313</v>
      </c>
      <c r="E9" s="15" t="s">
        <v>133</v>
      </c>
      <c r="F9" s="7" t="s">
        <v>150</v>
      </c>
      <c r="G9" s="7" t="s">
        <v>36</v>
      </c>
      <c r="H9" s="216" t="s">
        <v>155</v>
      </c>
      <c r="I9" s="208" t="s">
        <v>153</v>
      </c>
      <c r="J9" s="216" t="s">
        <v>38</v>
      </c>
      <c r="K9" s="208" t="s">
        <v>154</v>
      </c>
      <c r="L9" s="7">
        <v>2</v>
      </c>
      <c r="N9" s="208">
        <v>1</v>
      </c>
      <c r="O9" s="7">
        <v>0.5</v>
      </c>
      <c r="P9" s="7">
        <v>0.55000000000000004</v>
      </c>
      <c r="Q9" s="52">
        <f t="shared" si="0"/>
        <v>0.52500000000000002</v>
      </c>
      <c r="R9" s="7">
        <v>12.8</v>
      </c>
      <c r="S9" s="7">
        <v>113</v>
      </c>
      <c r="T9" s="16">
        <f t="shared" si="1"/>
        <v>30</v>
      </c>
      <c r="U9" s="216">
        <v>59</v>
      </c>
      <c r="V9" s="16">
        <f t="shared" si="2"/>
        <v>1770</v>
      </c>
      <c r="W9" s="15">
        <v>6</v>
      </c>
      <c r="X9" s="15" t="s">
        <v>46</v>
      </c>
      <c r="Y9" s="216" t="s">
        <v>102</v>
      </c>
      <c r="Z9" s="216" t="s">
        <v>90</v>
      </c>
      <c r="AA9" s="216" t="s">
        <v>84</v>
      </c>
      <c r="AB9" s="39" t="s">
        <v>310</v>
      </c>
      <c r="AE9" s="22" t="s">
        <v>98</v>
      </c>
      <c r="AG9" s="49" t="s">
        <v>133</v>
      </c>
      <c r="AH9" s="49" t="s">
        <v>150</v>
      </c>
      <c r="AL9" s="34"/>
      <c r="AP9" s="23" t="s">
        <v>95</v>
      </c>
      <c r="AR9" s="30" t="s">
        <v>89</v>
      </c>
      <c r="AV9" s="23" t="s">
        <v>102</v>
      </c>
      <c r="AX9" s="24">
        <v>128</v>
      </c>
      <c r="AY9" s="25">
        <v>27</v>
      </c>
      <c r="AZ9" s="25">
        <v>129</v>
      </c>
      <c r="BA9" s="26">
        <v>25</v>
      </c>
    </row>
    <row r="10" spans="1:53" x14ac:dyDescent="0.15">
      <c r="A10" s="15" t="s">
        <v>307</v>
      </c>
      <c r="B10" s="15" t="s">
        <v>308</v>
      </c>
      <c r="C10" s="15">
        <v>2018</v>
      </c>
      <c r="D10" s="37" t="s">
        <v>313</v>
      </c>
      <c r="E10" s="15" t="s">
        <v>133</v>
      </c>
      <c r="F10" s="7" t="s">
        <v>150</v>
      </c>
      <c r="G10" s="7" t="s">
        <v>36</v>
      </c>
      <c r="H10" s="216" t="s">
        <v>155</v>
      </c>
      <c r="I10" s="208" t="s">
        <v>153</v>
      </c>
      <c r="J10" s="216" t="s">
        <v>38</v>
      </c>
      <c r="K10" s="208" t="s">
        <v>154</v>
      </c>
      <c r="L10" s="7">
        <v>3</v>
      </c>
      <c r="N10" s="208">
        <v>1</v>
      </c>
      <c r="O10" s="7">
        <v>0.7</v>
      </c>
      <c r="P10" s="7">
        <v>0.75</v>
      </c>
      <c r="Q10" s="52">
        <f t="shared" si="0"/>
        <v>0.72499999999999998</v>
      </c>
      <c r="R10" s="7">
        <v>15.7</v>
      </c>
      <c r="S10" s="7">
        <v>119</v>
      </c>
      <c r="T10" s="16">
        <f t="shared" si="1"/>
        <v>30</v>
      </c>
      <c r="U10" s="216">
        <v>59</v>
      </c>
      <c r="V10" s="16">
        <f t="shared" si="2"/>
        <v>1770</v>
      </c>
      <c r="W10" s="15">
        <v>6</v>
      </c>
      <c r="X10" s="15" t="s">
        <v>46</v>
      </c>
      <c r="Y10" s="216" t="s">
        <v>102</v>
      </c>
      <c r="Z10" s="216" t="s">
        <v>90</v>
      </c>
      <c r="AA10" s="216" t="s">
        <v>84</v>
      </c>
      <c r="AB10" s="39" t="s">
        <v>310</v>
      </c>
      <c r="AE10" s="22" t="s">
        <v>103</v>
      </c>
      <c r="AG10" s="49" t="s">
        <v>142</v>
      </c>
      <c r="AH10" s="49" t="s">
        <v>151</v>
      </c>
      <c r="AP10" s="23" t="s">
        <v>100</v>
      </c>
      <c r="AR10" s="30" t="s">
        <v>123</v>
      </c>
      <c r="AV10" s="23" t="s">
        <v>106</v>
      </c>
      <c r="AX10" s="24">
        <v>138</v>
      </c>
      <c r="AY10" s="25">
        <v>25</v>
      </c>
      <c r="AZ10" s="25">
        <v>138</v>
      </c>
      <c r="BA10" s="26">
        <v>22</v>
      </c>
    </row>
    <row r="11" spans="1:53" x14ac:dyDescent="0.15">
      <c r="A11" s="15" t="s">
        <v>307</v>
      </c>
      <c r="B11" s="15" t="s">
        <v>308</v>
      </c>
      <c r="C11" s="15">
        <v>2018</v>
      </c>
      <c r="D11" s="37" t="s">
        <v>313</v>
      </c>
      <c r="E11" s="15" t="s">
        <v>133</v>
      </c>
      <c r="F11" s="7" t="s">
        <v>150</v>
      </c>
      <c r="G11" s="7" t="s">
        <v>36</v>
      </c>
      <c r="H11" s="216" t="s">
        <v>157</v>
      </c>
      <c r="I11" s="7" t="s">
        <v>153</v>
      </c>
      <c r="J11" s="15" t="s">
        <v>38</v>
      </c>
      <c r="K11" s="7" t="s">
        <v>154</v>
      </c>
      <c r="L11" s="7">
        <v>1</v>
      </c>
      <c r="N11" s="208">
        <v>1</v>
      </c>
      <c r="O11" s="7">
        <v>0.5</v>
      </c>
      <c r="P11" s="7">
        <v>0.5</v>
      </c>
      <c r="Q11" s="52">
        <f t="shared" si="0"/>
        <v>0.5</v>
      </c>
      <c r="R11" s="7">
        <v>13.4</v>
      </c>
      <c r="S11" s="7">
        <v>124</v>
      </c>
      <c r="T11" s="16">
        <f t="shared" si="1"/>
        <v>27</v>
      </c>
      <c r="U11" s="7">
        <v>59</v>
      </c>
      <c r="V11" s="16">
        <f t="shared" si="2"/>
        <v>1593</v>
      </c>
      <c r="W11" s="7">
        <v>6</v>
      </c>
      <c r="X11" s="15" t="s">
        <v>46</v>
      </c>
      <c r="Y11" s="216" t="s">
        <v>102</v>
      </c>
      <c r="Z11" s="216" t="s">
        <v>90</v>
      </c>
      <c r="AA11" s="216" t="s">
        <v>84</v>
      </c>
      <c r="AB11" s="39" t="s">
        <v>310</v>
      </c>
      <c r="AE11" s="22" t="s">
        <v>65</v>
      </c>
      <c r="AG11" s="49" t="s">
        <v>143</v>
      </c>
      <c r="AH11" s="49" t="s">
        <v>152</v>
      </c>
      <c r="AP11" s="23" t="s">
        <v>104</v>
      </c>
      <c r="AR11" s="30" t="s">
        <v>87</v>
      </c>
      <c r="AV11" s="23" t="s">
        <v>69</v>
      </c>
      <c r="AX11" s="24">
        <v>151</v>
      </c>
      <c r="AY11" s="25">
        <v>22</v>
      </c>
      <c r="AZ11" s="25">
        <v>152</v>
      </c>
      <c r="BA11" s="26">
        <v>18</v>
      </c>
    </row>
    <row r="12" spans="1:53" x14ac:dyDescent="0.15">
      <c r="A12" s="15" t="s">
        <v>307</v>
      </c>
      <c r="B12" s="15" t="s">
        <v>308</v>
      </c>
      <c r="C12" s="15">
        <v>2018</v>
      </c>
      <c r="D12" s="37" t="s">
        <v>313</v>
      </c>
      <c r="E12" s="15" t="s">
        <v>133</v>
      </c>
      <c r="F12" s="7" t="s">
        <v>150</v>
      </c>
      <c r="G12" s="7" t="s">
        <v>36</v>
      </c>
      <c r="H12" s="216" t="s">
        <v>157</v>
      </c>
      <c r="I12" s="208" t="s">
        <v>153</v>
      </c>
      <c r="J12" s="216" t="s">
        <v>38</v>
      </c>
      <c r="K12" s="208" t="s">
        <v>154</v>
      </c>
      <c r="L12" s="7">
        <v>2</v>
      </c>
      <c r="N12" s="7">
        <v>1</v>
      </c>
      <c r="O12" s="7">
        <v>0.5</v>
      </c>
      <c r="P12" s="7">
        <v>0.5</v>
      </c>
      <c r="Q12" s="52">
        <f t="shared" si="0"/>
        <v>0.5</v>
      </c>
      <c r="R12" s="34">
        <v>14.7</v>
      </c>
      <c r="S12" s="7">
        <v>124</v>
      </c>
      <c r="T12" s="16">
        <f t="shared" si="1"/>
        <v>27</v>
      </c>
      <c r="U12" s="208">
        <v>59</v>
      </c>
      <c r="V12" s="16">
        <f t="shared" si="2"/>
        <v>1593</v>
      </c>
      <c r="W12" s="7">
        <v>6</v>
      </c>
      <c r="X12" s="15" t="s">
        <v>46</v>
      </c>
      <c r="Y12" s="216" t="s">
        <v>102</v>
      </c>
      <c r="Z12" s="216" t="s">
        <v>90</v>
      </c>
      <c r="AA12" s="216" t="s">
        <v>84</v>
      </c>
      <c r="AB12" s="39" t="s">
        <v>310</v>
      </c>
      <c r="AE12" s="22" t="s">
        <v>70</v>
      </c>
      <c r="AG12" s="40"/>
      <c r="AH12" s="40"/>
      <c r="AP12" s="23" t="s">
        <v>67</v>
      </c>
      <c r="AR12" s="30" t="s">
        <v>124</v>
      </c>
      <c r="AV12" s="23" t="s">
        <v>72</v>
      </c>
      <c r="AX12" s="31">
        <v>180</v>
      </c>
      <c r="AY12" s="32">
        <v>18</v>
      </c>
      <c r="AZ12" s="32">
        <v>181</v>
      </c>
      <c r="BA12" s="33">
        <v>16</v>
      </c>
    </row>
    <row r="13" spans="1:53" x14ac:dyDescent="0.15">
      <c r="A13" s="15" t="s">
        <v>307</v>
      </c>
      <c r="B13" s="15" t="s">
        <v>308</v>
      </c>
      <c r="C13" s="15">
        <v>2018</v>
      </c>
      <c r="D13" s="37" t="s">
        <v>313</v>
      </c>
      <c r="E13" s="15" t="s">
        <v>133</v>
      </c>
      <c r="F13" s="7" t="s">
        <v>150</v>
      </c>
      <c r="G13" s="7" t="s">
        <v>36</v>
      </c>
      <c r="H13" s="216" t="s">
        <v>157</v>
      </c>
      <c r="I13" s="208" t="s">
        <v>153</v>
      </c>
      <c r="J13" s="216" t="s">
        <v>38</v>
      </c>
      <c r="K13" s="208" t="s">
        <v>154</v>
      </c>
      <c r="L13" s="7">
        <v>3</v>
      </c>
      <c r="N13" s="7">
        <v>1</v>
      </c>
      <c r="O13" s="7">
        <v>0.5</v>
      </c>
      <c r="P13" s="7">
        <v>0.55000000000000004</v>
      </c>
      <c r="Q13" s="52">
        <f t="shared" si="0"/>
        <v>0.52500000000000002</v>
      </c>
      <c r="R13" s="7">
        <v>13.4</v>
      </c>
      <c r="S13" s="7">
        <v>122</v>
      </c>
      <c r="T13" s="16">
        <f t="shared" si="1"/>
        <v>27</v>
      </c>
      <c r="U13" s="208">
        <v>59</v>
      </c>
      <c r="V13" s="16">
        <f t="shared" si="2"/>
        <v>1593</v>
      </c>
      <c r="W13" s="7">
        <v>6</v>
      </c>
      <c r="X13" s="15" t="s">
        <v>46</v>
      </c>
      <c r="Y13" s="216" t="s">
        <v>102</v>
      </c>
      <c r="Z13" s="216" t="s">
        <v>90</v>
      </c>
      <c r="AA13" s="216" t="s">
        <v>84</v>
      </c>
      <c r="AB13" s="39" t="s">
        <v>310</v>
      </c>
      <c r="AE13" s="22" t="s">
        <v>73</v>
      </c>
      <c r="AG13" s="23"/>
      <c r="AH13" s="23"/>
      <c r="AP13" s="23" t="s">
        <v>71</v>
      </c>
      <c r="AR13" s="30" t="s">
        <v>103</v>
      </c>
      <c r="AV13" s="23" t="s">
        <v>75</v>
      </c>
    </row>
    <row r="14" spans="1:53" x14ac:dyDescent="0.15">
      <c r="A14" s="15" t="s">
        <v>307</v>
      </c>
      <c r="B14" s="15" t="s">
        <v>308</v>
      </c>
      <c r="C14" s="15">
        <v>2018</v>
      </c>
      <c r="D14" s="37" t="s">
        <v>313</v>
      </c>
      <c r="E14" s="15" t="s">
        <v>142</v>
      </c>
      <c r="F14" s="7" t="s">
        <v>151</v>
      </c>
      <c r="G14" s="7" t="s">
        <v>36</v>
      </c>
      <c r="H14" s="15" t="s">
        <v>155</v>
      </c>
      <c r="I14" s="7" t="s">
        <v>153</v>
      </c>
      <c r="J14" s="15" t="s">
        <v>38</v>
      </c>
      <c r="K14" s="7" t="s">
        <v>154</v>
      </c>
      <c r="L14" s="7">
        <v>1</v>
      </c>
      <c r="N14" s="7">
        <v>1</v>
      </c>
      <c r="O14" s="7">
        <v>0.5</v>
      </c>
      <c r="P14" s="7">
        <v>0.65</v>
      </c>
      <c r="Q14" s="52">
        <f t="shared" si="0"/>
        <v>0.57499999999999996</v>
      </c>
      <c r="R14" s="7">
        <v>15.4</v>
      </c>
      <c r="S14" s="7">
        <v>171</v>
      </c>
      <c r="T14" s="16">
        <f t="shared" si="1"/>
        <v>18</v>
      </c>
      <c r="U14" s="7">
        <v>149</v>
      </c>
      <c r="V14" s="16">
        <f t="shared" si="2"/>
        <v>2682</v>
      </c>
      <c r="W14" s="7">
        <v>7</v>
      </c>
      <c r="X14" s="15" t="s">
        <v>39</v>
      </c>
      <c r="Y14" s="216" t="s">
        <v>84</v>
      </c>
      <c r="Z14" s="216" t="s">
        <v>90</v>
      </c>
      <c r="AA14" s="216" t="s">
        <v>50</v>
      </c>
      <c r="AB14" s="39" t="s">
        <v>310</v>
      </c>
      <c r="AE14" s="22" t="s">
        <v>76</v>
      </c>
      <c r="AG14" s="23"/>
      <c r="AH14" s="23"/>
      <c r="AP14" s="23" t="s">
        <v>74</v>
      </c>
      <c r="AR14" s="30" t="s">
        <v>125</v>
      </c>
      <c r="AV14" s="23" t="s">
        <v>78</v>
      </c>
    </row>
    <row r="15" spans="1:53" x14ac:dyDescent="0.15">
      <c r="A15" s="15" t="s">
        <v>307</v>
      </c>
      <c r="B15" s="15" t="s">
        <v>308</v>
      </c>
      <c r="C15" s="15">
        <v>2018</v>
      </c>
      <c r="D15" s="37" t="s">
        <v>313</v>
      </c>
      <c r="E15" s="15" t="s">
        <v>142</v>
      </c>
      <c r="F15" s="7" t="s">
        <v>151</v>
      </c>
      <c r="G15" s="7" t="s">
        <v>36</v>
      </c>
      <c r="H15" s="216" t="s">
        <v>155</v>
      </c>
      <c r="I15" s="208" t="s">
        <v>153</v>
      </c>
      <c r="J15" s="216" t="s">
        <v>38</v>
      </c>
      <c r="K15" s="208" t="s">
        <v>154</v>
      </c>
      <c r="L15" s="7">
        <v>2</v>
      </c>
      <c r="N15" s="7">
        <v>1</v>
      </c>
      <c r="O15" s="7">
        <v>0.9</v>
      </c>
      <c r="P15" s="7">
        <v>1.05</v>
      </c>
      <c r="Q15" s="52">
        <f t="shared" si="0"/>
        <v>0.97500000000000009</v>
      </c>
      <c r="R15" s="7">
        <v>12.8</v>
      </c>
      <c r="S15" s="7">
        <v>145</v>
      </c>
      <c r="T15" s="16">
        <f t="shared" si="1"/>
        <v>22</v>
      </c>
      <c r="U15" s="208">
        <v>149</v>
      </c>
      <c r="V15" s="16">
        <f t="shared" si="2"/>
        <v>3278</v>
      </c>
      <c r="W15" s="7">
        <v>7</v>
      </c>
      <c r="X15" s="216" t="s">
        <v>39</v>
      </c>
      <c r="Y15" s="216" t="s">
        <v>84</v>
      </c>
      <c r="Z15" s="216" t="s">
        <v>90</v>
      </c>
      <c r="AA15" s="216" t="s">
        <v>50</v>
      </c>
      <c r="AB15" s="39" t="s">
        <v>310</v>
      </c>
      <c r="AE15" s="22" t="s">
        <v>79</v>
      </c>
      <c r="AG15" s="23"/>
      <c r="AH15" s="23"/>
      <c r="AP15" s="23" t="s">
        <v>77</v>
      </c>
      <c r="AR15" s="30" t="s">
        <v>94</v>
      </c>
      <c r="AV15" s="23" t="s">
        <v>107</v>
      </c>
    </row>
    <row r="16" spans="1:53" x14ac:dyDescent="0.15">
      <c r="A16" s="15" t="s">
        <v>307</v>
      </c>
      <c r="B16" s="15" t="s">
        <v>308</v>
      </c>
      <c r="C16" s="15">
        <v>2018</v>
      </c>
      <c r="D16" s="37" t="s">
        <v>313</v>
      </c>
      <c r="E16" s="15" t="s">
        <v>142</v>
      </c>
      <c r="F16" s="7" t="s">
        <v>151</v>
      </c>
      <c r="G16" s="7" t="s">
        <v>36</v>
      </c>
      <c r="H16" s="216" t="s">
        <v>155</v>
      </c>
      <c r="I16" s="208" t="s">
        <v>153</v>
      </c>
      <c r="J16" s="216" t="s">
        <v>38</v>
      </c>
      <c r="K16" s="208" t="s">
        <v>154</v>
      </c>
      <c r="L16" s="7">
        <v>3</v>
      </c>
      <c r="N16" s="7">
        <v>1</v>
      </c>
      <c r="O16" s="7">
        <v>0.9</v>
      </c>
      <c r="P16" s="7">
        <v>1.05</v>
      </c>
      <c r="Q16" s="52">
        <f t="shared" si="0"/>
        <v>0.97500000000000009</v>
      </c>
      <c r="R16" s="7">
        <v>15.1</v>
      </c>
      <c r="S16" s="7">
        <v>154</v>
      </c>
      <c r="T16" s="16">
        <f t="shared" si="1"/>
        <v>18</v>
      </c>
      <c r="U16" s="208">
        <v>149</v>
      </c>
      <c r="V16" s="16">
        <f t="shared" si="2"/>
        <v>2682</v>
      </c>
      <c r="W16" s="7">
        <v>7</v>
      </c>
      <c r="X16" s="216" t="s">
        <v>39</v>
      </c>
      <c r="Y16" s="216" t="s">
        <v>84</v>
      </c>
      <c r="Z16" s="216" t="s">
        <v>90</v>
      </c>
      <c r="AA16" s="216" t="s">
        <v>50</v>
      </c>
      <c r="AB16" s="39" t="s">
        <v>310</v>
      </c>
      <c r="AE16" s="22" t="s">
        <v>82</v>
      </c>
      <c r="AG16" s="28"/>
      <c r="AH16" s="28"/>
      <c r="AP16" s="23" t="s">
        <v>80</v>
      </c>
      <c r="AR16" s="41" t="s">
        <v>63</v>
      </c>
      <c r="AV16" s="23" t="s">
        <v>84</v>
      </c>
    </row>
    <row r="17" spans="1:48" x14ac:dyDescent="0.15">
      <c r="A17" s="15" t="s">
        <v>307</v>
      </c>
      <c r="B17" s="15" t="s">
        <v>308</v>
      </c>
      <c r="C17" s="15">
        <v>2018</v>
      </c>
      <c r="D17" s="37" t="s">
        <v>313</v>
      </c>
      <c r="E17" s="15" t="s">
        <v>142</v>
      </c>
      <c r="F17" s="7" t="s">
        <v>151</v>
      </c>
      <c r="G17" s="7" t="s">
        <v>36</v>
      </c>
      <c r="H17" s="15" t="s">
        <v>157</v>
      </c>
      <c r="I17" s="208" t="s">
        <v>153</v>
      </c>
      <c r="J17" s="216" t="s">
        <v>38</v>
      </c>
      <c r="K17" s="208" t="s">
        <v>154</v>
      </c>
      <c r="L17" s="7">
        <v>1</v>
      </c>
      <c r="N17" s="7">
        <v>1</v>
      </c>
      <c r="O17" s="7">
        <v>0.7</v>
      </c>
      <c r="P17" s="7">
        <v>0.8</v>
      </c>
      <c r="Q17" s="52">
        <f t="shared" si="0"/>
        <v>0.75</v>
      </c>
      <c r="R17" s="7">
        <v>15.3</v>
      </c>
      <c r="S17" s="7">
        <v>135</v>
      </c>
      <c r="T17" s="16">
        <f t="shared" si="1"/>
        <v>25</v>
      </c>
      <c r="U17" s="7">
        <v>170</v>
      </c>
      <c r="V17" s="16">
        <f t="shared" si="2"/>
        <v>4250</v>
      </c>
      <c r="W17" s="7">
        <v>3</v>
      </c>
      <c r="X17" s="216" t="s">
        <v>39</v>
      </c>
      <c r="Y17" s="216" t="s">
        <v>84</v>
      </c>
      <c r="Z17" s="216" t="s">
        <v>90</v>
      </c>
      <c r="AA17" s="216" t="s">
        <v>50</v>
      </c>
      <c r="AB17" s="39" t="s">
        <v>310</v>
      </c>
      <c r="AE17" s="22" t="s">
        <v>85</v>
      </c>
      <c r="AP17" s="43" t="s">
        <v>110</v>
      </c>
      <c r="AR17" s="41" t="s">
        <v>96</v>
      </c>
      <c r="AV17" s="23" t="s">
        <v>86</v>
      </c>
    </row>
    <row r="18" spans="1:48" x14ac:dyDescent="0.15">
      <c r="A18" s="15" t="s">
        <v>307</v>
      </c>
      <c r="B18" s="15" t="s">
        <v>308</v>
      </c>
      <c r="C18" s="15">
        <v>2018</v>
      </c>
      <c r="D18" s="37" t="s">
        <v>313</v>
      </c>
      <c r="E18" s="15" t="s">
        <v>142</v>
      </c>
      <c r="F18" s="7" t="s">
        <v>151</v>
      </c>
      <c r="G18" s="7" t="s">
        <v>36</v>
      </c>
      <c r="H18" s="216" t="s">
        <v>157</v>
      </c>
      <c r="I18" s="208" t="s">
        <v>153</v>
      </c>
      <c r="J18" s="216" t="s">
        <v>38</v>
      </c>
      <c r="K18" s="208" t="s">
        <v>154</v>
      </c>
      <c r="L18" s="7">
        <v>2</v>
      </c>
      <c r="N18" s="7">
        <v>1</v>
      </c>
      <c r="O18" s="7">
        <v>0.75</v>
      </c>
      <c r="P18" s="7">
        <v>0.65</v>
      </c>
      <c r="Q18" s="52">
        <f t="shared" si="0"/>
        <v>0.7</v>
      </c>
      <c r="R18" s="7">
        <v>18.100000000000001</v>
      </c>
      <c r="S18" s="7">
        <v>132</v>
      </c>
      <c r="T18" s="16">
        <f t="shared" si="1"/>
        <v>25</v>
      </c>
      <c r="U18" s="208">
        <v>170</v>
      </c>
      <c r="V18" s="16">
        <f t="shared" si="2"/>
        <v>4250</v>
      </c>
      <c r="W18" s="7">
        <v>3</v>
      </c>
      <c r="X18" s="216" t="s">
        <v>39</v>
      </c>
      <c r="Y18" s="216" t="s">
        <v>84</v>
      </c>
      <c r="Z18" s="216" t="s">
        <v>90</v>
      </c>
      <c r="AA18" s="216" t="s">
        <v>50</v>
      </c>
      <c r="AB18" s="39" t="s">
        <v>310</v>
      </c>
      <c r="AE18" s="22" t="s">
        <v>87</v>
      </c>
      <c r="AP18" s="43" t="s">
        <v>111</v>
      </c>
      <c r="AR18" s="41" t="s">
        <v>101</v>
      </c>
      <c r="AV18" s="23" t="s">
        <v>88</v>
      </c>
    </row>
    <row r="19" spans="1:48" x14ac:dyDescent="0.15">
      <c r="A19" s="15" t="s">
        <v>307</v>
      </c>
      <c r="B19" s="15" t="s">
        <v>308</v>
      </c>
      <c r="C19" s="15">
        <v>2018</v>
      </c>
      <c r="D19" s="37" t="s">
        <v>313</v>
      </c>
      <c r="E19" s="15" t="s">
        <v>142</v>
      </c>
      <c r="F19" s="7" t="s">
        <v>151</v>
      </c>
      <c r="G19" s="7" t="s">
        <v>36</v>
      </c>
      <c r="H19" s="216" t="s">
        <v>157</v>
      </c>
      <c r="I19" s="208" t="s">
        <v>153</v>
      </c>
      <c r="J19" s="216" t="s">
        <v>38</v>
      </c>
      <c r="K19" s="208" t="s">
        <v>154</v>
      </c>
      <c r="L19" s="7">
        <v>3</v>
      </c>
      <c r="N19" s="7">
        <v>1</v>
      </c>
      <c r="O19" s="7">
        <v>0.65</v>
      </c>
      <c r="P19" s="7">
        <v>0.6</v>
      </c>
      <c r="Q19" s="52">
        <f t="shared" si="0"/>
        <v>0.625</v>
      </c>
      <c r="R19" s="7">
        <v>14.3</v>
      </c>
      <c r="S19" s="7">
        <v>127</v>
      </c>
      <c r="T19" s="16">
        <f t="shared" si="1"/>
        <v>27</v>
      </c>
      <c r="U19" s="208">
        <v>170</v>
      </c>
      <c r="V19" s="16">
        <f t="shared" si="2"/>
        <v>4590</v>
      </c>
      <c r="W19" s="7">
        <v>3</v>
      </c>
      <c r="X19" s="216" t="s">
        <v>39</v>
      </c>
      <c r="Y19" s="216" t="s">
        <v>84</v>
      </c>
      <c r="Z19" s="216" t="s">
        <v>90</v>
      </c>
      <c r="AA19" s="216" t="s">
        <v>50</v>
      </c>
      <c r="AB19" s="39" t="s">
        <v>310</v>
      </c>
      <c r="AE19" s="35" t="s">
        <v>89</v>
      </c>
      <c r="AP19" s="43" t="s">
        <v>112</v>
      </c>
      <c r="AR19" s="30" t="s">
        <v>126</v>
      </c>
      <c r="AV19" s="23" t="s">
        <v>90</v>
      </c>
    </row>
    <row r="20" spans="1:48" x14ac:dyDescent="0.15">
      <c r="A20" s="15" t="s">
        <v>307</v>
      </c>
      <c r="B20" s="15" t="s">
        <v>308</v>
      </c>
      <c r="C20" s="15">
        <v>2018</v>
      </c>
      <c r="D20" s="37" t="s">
        <v>313</v>
      </c>
      <c r="E20" s="15" t="s">
        <v>143</v>
      </c>
      <c r="F20" s="7" t="s">
        <v>152</v>
      </c>
      <c r="G20" s="7" t="s">
        <v>36</v>
      </c>
      <c r="H20" s="15" t="s">
        <v>155</v>
      </c>
      <c r="I20" s="208" t="s">
        <v>153</v>
      </c>
      <c r="J20" s="15" t="s">
        <v>38</v>
      </c>
      <c r="K20" s="7" t="s">
        <v>154</v>
      </c>
      <c r="L20" s="7">
        <v>1</v>
      </c>
      <c r="N20" s="7">
        <v>1</v>
      </c>
      <c r="O20" s="7">
        <v>0.85</v>
      </c>
      <c r="P20" s="34">
        <v>0.8</v>
      </c>
      <c r="Q20" s="52">
        <f t="shared" si="0"/>
        <v>0.82499999999999996</v>
      </c>
      <c r="R20" s="7">
        <v>12.7</v>
      </c>
      <c r="S20" s="7">
        <v>106</v>
      </c>
      <c r="T20" s="16">
        <f t="shared" si="1"/>
        <v>33</v>
      </c>
      <c r="U20" s="7">
        <v>51</v>
      </c>
      <c r="V20" s="16">
        <f t="shared" si="2"/>
        <v>1683</v>
      </c>
      <c r="W20" s="7">
        <v>3</v>
      </c>
      <c r="X20" s="216" t="s">
        <v>39</v>
      </c>
      <c r="Y20" s="216" t="s">
        <v>50</v>
      </c>
      <c r="Z20" s="216" t="s">
        <v>90</v>
      </c>
      <c r="AA20" s="216" t="s">
        <v>84</v>
      </c>
      <c r="AB20" s="39" t="s">
        <v>310</v>
      </c>
      <c r="AE20" s="22"/>
      <c r="AP20" s="43" t="s">
        <v>113</v>
      </c>
      <c r="AR20" s="41" t="s">
        <v>105</v>
      </c>
      <c r="AV20" s="27" t="s">
        <v>135</v>
      </c>
    </row>
    <row r="21" spans="1:48" x14ac:dyDescent="0.15">
      <c r="A21" s="15" t="s">
        <v>307</v>
      </c>
      <c r="B21" s="15" t="s">
        <v>308</v>
      </c>
      <c r="C21" s="15">
        <v>2018</v>
      </c>
      <c r="D21" s="37" t="s">
        <v>313</v>
      </c>
      <c r="E21" s="15" t="s">
        <v>143</v>
      </c>
      <c r="F21" s="7" t="s">
        <v>152</v>
      </c>
      <c r="G21" s="7" t="s">
        <v>36</v>
      </c>
      <c r="H21" s="216" t="s">
        <v>155</v>
      </c>
      <c r="I21" s="208" t="s">
        <v>153</v>
      </c>
      <c r="J21" s="216" t="s">
        <v>38</v>
      </c>
      <c r="K21" s="208" t="s">
        <v>154</v>
      </c>
      <c r="L21" s="7">
        <v>2</v>
      </c>
      <c r="N21" s="7">
        <v>1</v>
      </c>
      <c r="O21" s="7">
        <v>0.65</v>
      </c>
      <c r="P21" s="7">
        <v>0.65</v>
      </c>
      <c r="Q21" s="52">
        <f t="shared" si="0"/>
        <v>0.65</v>
      </c>
      <c r="R21" s="7">
        <v>11.5</v>
      </c>
      <c r="S21" s="7">
        <v>101</v>
      </c>
      <c r="T21" s="16">
        <f t="shared" si="1"/>
        <v>33</v>
      </c>
      <c r="U21" s="208">
        <v>51</v>
      </c>
      <c r="V21" s="16">
        <f t="shared" si="2"/>
        <v>1683</v>
      </c>
      <c r="W21" s="7">
        <v>3</v>
      </c>
      <c r="X21" s="216" t="s">
        <v>39</v>
      </c>
      <c r="Y21" s="216" t="s">
        <v>50</v>
      </c>
      <c r="Z21" s="216" t="s">
        <v>90</v>
      </c>
      <c r="AA21" s="216" t="s">
        <v>84</v>
      </c>
      <c r="AB21" s="39" t="s">
        <v>310</v>
      </c>
      <c r="AE21" s="22"/>
      <c r="AP21" s="43" t="s">
        <v>114</v>
      </c>
      <c r="AR21" s="41" t="s">
        <v>68</v>
      </c>
      <c r="AV21" s="27" t="s">
        <v>136</v>
      </c>
    </row>
    <row r="22" spans="1:48" x14ac:dyDescent="0.15">
      <c r="A22" s="15" t="s">
        <v>307</v>
      </c>
      <c r="B22" s="15" t="s">
        <v>308</v>
      </c>
      <c r="C22" s="15">
        <v>2018</v>
      </c>
      <c r="D22" s="37" t="s">
        <v>313</v>
      </c>
      <c r="E22" s="15" t="s">
        <v>143</v>
      </c>
      <c r="F22" s="7" t="s">
        <v>152</v>
      </c>
      <c r="G22" s="7" t="s">
        <v>36</v>
      </c>
      <c r="H22" s="216" t="s">
        <v>155</v>
      </c>
      <c r="I22" s="208" t="s">
        <v>153</v>
      </c>
      <c r="J22" s="216" t="s">
        <v>38</v>
      </c>
      <c r="K22" s="208" t="s">
        <v>154</v>
      </c>
      <c r="L22" s="7">
        <v>3</v>
      </c>
      <c r="N22" s="7">
        <v>1</v>
      </c>
      <c r="O22" s="34">
        <v>0.75</v>
      </c>
      <c r="P22" s="7">
        <v>0.75</v>
      </c>
      <c r="Q22" s="52">
        <f t="shared" si="0"/>
        <v>0.75</v>
      </c>
      <c r="R22" s="7">
        <v>12.6</v>
      </c>
      <c r="S22" s="7">
        <v>100</v>
      </c>
      <c r="T22" s="16">
        <f t="shared" si="1"/>
        <v>33</v>
      </c>
      <c r="U22" s="208">
        <v>51</v>
      </c>
      <c r="V22" s="16">
        <f t="shared" si="2"/>
        <v>1683</v>
      </c>
      <c r="W22" s="7">
        <v>3</v>
      </c>
      <c r="X22" s="216" t="s">
        <v>39</v>
      </c>
      <c r="Y22" s="216" t="s">
        <v>50</v>
      </c>
      <c r="Z22" s="216" t="s">
        <v>90</v>
      </c>
      <c r="AA22" s="216" t="s">
        <v>84</v>
      </c>
      <c r="AB22" s="39" t="s">
        <v>310</v>
      </c>
      <c r="AE22" s="35"/>
      <c r="AP22" s="43" t="s">
        <v>115</v>
      </c>
      <c r="AR22" s="41" t="s">
        <v>83</v>
      </c>
      <c r="AV22" s="27"/>
    </row>
    <row r="23" spans="1:48" x14ac:dyDescent="0.15">
      <c r="A23" s="15" t="s">
        <v>307</v>
      </c>
      <c r="B23" s="15" t="s">
        <v>308</v>
      </c>
      <c r="C23" s="15">
        <v>2018</v>
      </c>
      <c r="D23" s="37" t="s">
        <v>313</v>
      </c>
      <c r="E23" s="7" t="s">
        <v>143</v>
      </c>
      <c r="F23" s="7" t="s">
        <v>152</v>
      </c>
      <c r="G23" s="7" t="s">
        <v>36</v>
      </c>
      <c r="H23" s="15" t="s">
        <v>157</v>
      </c>
      <c r="I23" s="208" t="s">
        <v>153</v>
      </c>
      <c r="J23" s="15" t="s">
        <v>38</v>
      </c>
      <c r="K23" s="7" t="s">
        <v>154</v>
      </c>
      <c r="L23" s="7">
        <v>1</v>
      </c>
      <c r="N23" s="7">
        <v>1</v>
      </c>
      <c r="O23" s="34">
        <v>0.5</v>
      </c>
      <c r="P23" s="7">
        <v>0.55000000000000004</v>
      </c>
      <c r="Q23" s="52">
        <f t="shared" si="0"/>
        <v>0.52500000000000002</v>
      </c>
      <c r="R23" s="7">
        <v>15.1</v>
      </c>
      <c r="S23" s="7">
        <v>133</v>
      </c>
      <c r="T23" s="16">
        <f t="shared" si="1"/>
        <v>25</v>
      </c>
      <c r="U23" s="7">
        <v>149</v>
      </c>
      <c r="V23" s="16">
        <f t="shared" si="2"/>
        <v>3725</v>
      </c>
      <c r="W23" s="7">
        <v>2</v>
      </c>
      <c r="X23" s="216" t="s">
        <v>39</v>
      </c>
      <c r="Y23" s="216" t="s">
        <v>50</v>
      </c>
      <c r="Z23" s="216" t="s">
        <v>90</v>
      </c>
      <c r="AA23" s="216" t="s">
        <v>84</v>
      </c>
      <c r="AB23" s="39" t="s">
        <v>310</v>
      </c>
      <c r="AE23" s="22"/>
      <c r="AP23" s="43" t="s">
        <v>137</v>
      </c>
      <c r="AR23" s="41" t="s">
        <v>61</v>
      </c>
      <c r="AV23" s="27"/>
    </row>
    <row r="24" spans="1:48" x14ac:dyDescent="0.15">
      <c r="A24" s="15" t="s">
        <v>307</v>
      </c>
      <c r="B24" s="15" t="s">
        <v>308</v>
      </c>
      <c r="C24" s="15">
        <v>2018</v>
      </c>
      <c r="D24" s="37" t="s">
        <v>313</v>
      </c>
      <c r="E24" s="7" t="s">
        <v>143</v>
      </c>
      <c r="F24" s="7" t="s">
        <v>152</v>
      </c>
      <c r="G24" s="7" t="s">
        <v>36</v>
      </c>
      <c r="H24" s="216" t="s">
        <v>157</v>
      </c>
      <c r="I24" s="208" t="s">
        <v>153</v>
      </c>
      <c r="J24" s="15" t="s">
        <v>38</v>
      </c>
      <c r="K24" s="7" t="s">
        <v>154</v>
      </c>
      <c r="L24" s="7">
        <v>2</v>
      </c>
      <c r="N24" s="7">
        <v>1</v>
      </c>
      <c r="O24" s="7">
        <v>0.55000000000000004</v>
      </c>
      <c r="P24" s="7">
        <v>0.5</v>
      </c>
      <c r="Q24" s="52">
        <f t="shared" si="0"/>
        <v>0.52500000000000002</v>
      </c>
      <c r="R24" s="7">
        <v>17.8</v>
      </c>
      <c r="S24" s="7">
        <v>127</v>
      </c>
      <c r="T24" s="16">
        <f t="shared" si="1"/>
        <v>27</v>
      </c>
      <c r="U24" s="208">
        <v>149</v>
      </c>
      <c r="V24" s="16">
        <f t="shared" si="2"/>
        <v>4023</v>
      </c>
      <c r="W24" s="7">
        <v>2</v>
      </c>
      <c r="X24" s="216" t="s">
        <v>39</v>
      </c>
      <c r="Y24" s="216" t="s">
        <v>50</v>
      </c>
      <c r="Z24" s="216" t="s">
        <v>90</v>
      </c>
      <c r="AA24" s="216" t="s">
        <v>84</v>
      </c>
      <c r="AB24" s="39" t="s">
        <v>310</v>
      </c>
      <c r="AE24" s="22"/>
      <c r="AP24" s="43" t="s">
        <v>138</v>
      </c>
      <c r="AR24" s="41" t="s">
        <v>91</v>
      </c>
      <c r="AV24" s="27"/>
    </row>
    <row r="25" spans="1:48" x14ac:dyDescent="0.15">
      <c r="A25" s="15" t="s">
        <v>307</v>
      </c>
      <c r="B25" s="15" t="s">
        <v>308</v>
      </c>
      <c r="C25" s="15">
        <v>2018</v>
      </c>
      <c r="D25" s="37" t="s">
        <v>313</v>
      </c>
      <c r="E25" s="7" t="s">
        <v>143</v>
      </c>
      <c r="F25" s="7" t="s">
        <v>152</v>
      </c>
      <c r="G25" s="7" t="s">
        <v>36</v>
      </c>
      <c r="H25" s="216" t="s">
        <v>157</v>
      </c>
      <c r="I25" s="208" t="s">
        <v>153</v>
      </c>
      <c r="J25" s="15" t="s">
        <v>38</v>
      </c>
      <c r="K25" s="7" t="s">
        <v>154</v>
      </c>
      <c r="L25" s="7">
        <v>3</v>
      </c>
      <c r="N25" s="7">
        <v>1</v>
      </c>
      <c r="O25" s="7">
        <v>0.5</v>
      </c>
      <c r="P25" s="7">
        <v>0.55000000000000004</v>
      </c>
      <c r="Q25" s="52">
        <f t="shared" si="0"/>
        <v>0.52500000000000002</v>
      </c>
      <c r="R25" s="7">
        <v>15.6</v>
      </c>
      <c r="S25" s="7">
        <v>133</v>
      </c>
      <c r="T25" s="16">
        <f t="shared" si="1"/>
        <v>25</v>
      </c>
      <c r="U25" s="208">
        <v>149</v>
      </c>
      <c r="V25" s="16">
        <f t="shared" si="2"/>
        <v>3725</v>
      </c>
      <c r="W25" s="7">
        <v>2</v>
      </c>
      <c r="X25" s="216" t="s">
        <v>39</v>
      </c>
      <c r="Y25" s="216" t="s">
        <v>50</v>
      </c>
      <c r="Z25" s="216" t="s">
        <v>90</v>
      </c>
      <c r="AA25" s="216" t="s">
        <v>84</v>
      </c>
      <c r="AB25" s="39" t="s">
        <v>310</v>
      </c>
      <c r="AE25" s="35"/>
      <c r="AP25" s="43" t="s">
        <v>116</v>
      </c>
      <c r="AR25" s="42" t="s">
        <v>92</v>
      </c>
      <c r="AV25" s="27"/>
    </row>
    <row r="26" spans="1:48" x14ac:dyDescent="0.15">
      <c r="A26" s="15" t="s">
        <v>307</v>
      </c>
      <c r="B26" s="15" t="s">
        <v>308</v>
      </c>
      <c r="C26" s="15">
        <v>2018</v>
      </c>
      <c r="D26" s="37" t="s">
        <v>313</v>
      </c>
      <c r="E26" s="7" t="s">
        <v>131</v>
      </c>
      <c r="F26" s="7" t="s">
        <v>144</v>
      </c>
      <c r="G26" s="7" t="s">
        <v>36</v>
      </c>
      <c r="H26" s="15" t="s">
        <v>155</v>
      </c>
      <c r="I26" s="208" t="s">
        <v>153</v>
      </c>
      <c r="J26" s="15" t="s">
        <v>38</v>
      </c>
      <c r="K26" s="7" t="s">
        <v>154</v>
      </c>
      <c r="L26" s="7">
        <v>1</v>
      </c>
      <c r="N26" s="7">
        <v>1</v>
      </c>
      <c r="O26" s="7">
        <v>0.75</v>
      </c>
      <c r="P26" s="7">
        <v>0.6</v>
      </c>
      <c r="Q26" s="52">
        <f t="shared" si="0"/>
        <v>0.67500000000000004</v>
      </c>
      <c r="R26" s="7">
        <v>14.1</v>
      </c>
      <c r="S26" s="7">
        <v>113</v>
      </c>
      <c r="T26" s="16">
        <f t="shared" si="1"/>
        <v>30</v>
      </c>
      <c r="U26" s="7">
        <v>50</v>
      </c>
      <c r="V26" s="16">
        <f t="shared" si="2"/>
        <v>1500</v>
      </c>
      <c r="W26" s="7">
        <v>4</v>
      </c>
      <c r="X26" s="15" t="s">
        <v>46</v>
      </c>
      <c r="Y26" s="216" t="s">
        <v>50</v>
      </c>
      <c r="Z26" s="216" t="s">
        <v>84</v>
      </c>
      <c r="AA26" s="216" t="s">
        <v>90</v>
      </c>
      <c r="AB26" s="39" t="s">
        <v>310</v>
      </c>
      <c r="AE26" s="35"/>
      <c r="AP26" s="43" t="s">
        <v>117</v>
      </c>
      <c r="AR26" s="23" t="s">
        <v>273</v>
      </c>
      <c r="AV26" s="28"/>
    </row>
    <row r="27" spans="1:48" x14ac:dyDescent="0.15">
      <c r="A27" s="15" t="s">
        <v>307</v>
      </c>
      <c r="B27" s="15" t="s">
        <v>308</v>
      </c>
      <c r="C27" s="15">
        <v>2018</v>
      </c>
      <c r="D27" s="37" t="s">
        <v>313</v>
      </c>
      <c r="E27" s="7" t="s">
        <v>131</v>
      </c>
      <c r="F27" s="7" t="s">
        <v>144</v>
      </c>
      <c r="G27" s="7" t="s">
        <v>36</v>
      </c>
      <c r="H27" s="216" t="s">
        <v>155</v>
      </c>
      <c r="I27" s="208" t="s">
        <v>153</v>
      </c>
      <c r="J27" s="15" t="s">
        <v>38</v>
      </c>
      <c r="K27" s="7" t="s">
        <v>154</v>
      </c>
      <c r="L27" s="7">
        <v>2</v>
      </c>
      <c r="N27" s="7">
        <v>1</v>
      </c>
      <c r="O27" s="7">
        <v>0.7</v>
      </c>
      <c r="P27" s="7">
        <v>0.55000000000000004</v>
      </c>
      <c r="Q27" s="52">
        <f t="shared" si="0"/>
        <v>0.625</v>
      </c>
      <c r="R27" s="7">
        <v>15</v>
      </c>
      <c r="S27" s="7">
        <v>111</v>
      </c>
      <c r="T27" s="16">
        <f t="shared" si="1"/>
        <v>33</v>
      </c>
      <c r="U27" s="208">
        <v>50</v>
      </c>
      <c r="V27" s="16">
        <f t="shared" si="2"/>
        <v>1650</v>
      </c>
      <c r="W27" s="7">
        <v>4</v>
      </c>
      <c r="X27" s="15" t="s">
        <v>46</v>
      </c>
      <c r="Y27" s="216" t="s">
        <v>50</v>
      </c>
      <c r="Z27" s="216" t="s">
        <v>84</v>
      </c>
      <c r="AA27" s="216" t="s">
        <v>90</v>
      </c>
      <c r="AB27" s="39" t="s">
        <v>310</v>
      </c>
      <c r="AE27" s="28"/>
      <c r="AP27" s="43" t="s">
        <v>118</v>
      </c>
      <c r="AR27" s="23"/>
    </row>
    <row r="28" spans="1:48" x14ac:dyDescent="0.15">
      <c r="A28" s="15" t="s">
        <v>307</v>
      </c>
      <c r="B28" s="15" t="s">
        <v>308</v>
      </c>
      <c r="C28" s="15">
        <v>2018</v>
      </c>
      <c r="D28" s="37" t="s">
        <v>313</v>
      </c>
      <c r="E28" s="7" t="s">
        <v>131</v>
      </c>
      <c r="F28" s="7" t="s">
        <v>144</v>
      </c>
      <c r="G28" s="7" t="s">
        <v>36</v>
      </c>
      <c r="H28" s="216" t="s">
        <v>155</v>
      </c>
      <c r="I28" s="208" t="s">
        <v>153</v>
      </c>
      <c r="J28" s="15" t="s">
        <v>38</v>
      </c>
      <c r="K28" s="7" t="s">
        <v>154</v>
      </c>
      <c r="L28" s="7">
        <v>3</v>
      </c>
      <c r="N28" s="7">
        <v>1</v>
      </c>
      <c r="O28" s="7">
        <v>0.65</v>
      </c>
      <c r="P28" s="7">
        <v>0.5</v>
      </c>
      <c r="Q28" s="52">
        <f t="shared" si="0"/>
        <v>0.57499999999999996</v>
      </c>
      <c r="R28" s="7">
        <v>15.3</v>
      </c>
      <c r="S28" s="7">
        <v>110</v>
      </c>
      <c r="T28" s="16">
        <f t="shared" si="1"/>
        <v>33</v>
      </c>
      <c r="U28" s="208">
        <v>50</v>
      </c>
      <c r="V28" s="16">
        <f t="shared" si="2"/>
        <v>1650</v>
      </c>
      <c r="W28" s="7">
        <v>4</v>
      </c>
      <c r="X28" s="15" t="s">
        <v>46</v>
      </c>
      <c r="Y28" s="216" t="s">
        <v>50</v>
      </c>
      <c r="Z28" s="216" t="s">
        <v>84</v>
      </c>
      <c r="AA28" s="216" t="s">
        <v>90</v>
      </c>
      <c r="AB28" s="39" t="s">
        <v>310</v>
      </c>
      <c r="AP28" s="27"/>
      <c r="AR28" s="23"/>
    </row>
    <row r="29" spans="1:48" x14ac:dyDescent="0.15">
      <c r="A29" s="15" t="s">
        <v>307</v>
      </c>
      <c r="B29" s="15" t="s">
        <v>308</v>
      </c>
      <c r="C29" s="15">
        <v>2018</v>
      </c>
      <c r="D29" s="37" t="s">
        <v>313</v>
      </c>
      <c r="E29" s="7" t="s">
        <v>131</v>
      </c>
      <c r="F29" s="7" t="s">
        <v>144</v>
      </c>
      <c r="G29" s="7" t="s">
        <v>36</v>
      </c>
      <c r="H29" s="15" t="s">
        <v>157</v>
      </c>
      <c r="I29" s="208" t="s">
        <v>153</v>
      </c>
      <c r="J29" s="15" t="s">
        <v>38</v>
      </c>
      <c r="K29" s="7" t="s">
        <v>154</v>
      </c>
      <c r="L29" s="7">
        <v>1</v>
      </c>
      <c r="N29" s="7">
        <v>1</v>
      </c>
      <c r="O29" s="7">
        <v>0.5</v>
      </c>
      <c r="P29" s="7">
        <v>0.5</v>
      </c>
      <c r="Q29" s="52">
        <f t="shared" si="0"/>
        <v>0.5</v>
      </c>
      <c r="R29" s="7">
        <v>16.899999999999999</v>
      </c>
      <c r="S29" s="7">
        <v>127</v>
      </c>
      <c r="T29" s="16">
        <f t="shared" si="1"/>
        <v>27</v>
      </c>
      <c r="U29" s="7">
        <v>138</v>
      </c>
      <c r="V29" s="16">
        <f t="shared" si="2"/>
        <v>3726</v>
      </c>
      <c r="W29" s="7">
        <v>4</v>
      </c>
      <c r="X29" s="15" t="s">
        <v>46</v>
      </c>
      <c r="Y29" s="216" t="s">
        <v>50</v>
      </c>
      <c r="Z29" s="216" t="s">
        <v>84</v>
      </c>
      <c r="AA29" s="216" t="s">
        <v>90</v>
      </c>
      <c r="AB29" s="39" t="s">
        <v>310</v>
      </c>
      <c r="AP29" s="27"/>
      <c r="AR29" s="27"/>
      <c r="AV29" s="28"/>
    </row>
    <row r="30" spans="1:48" x14ac:dyDescent="0.15">
      <c r="A30" s="15" t="s">
        <v>307</v>
      </c>
      <c r="B30" s="15" t="s">
        <v>308</v>
      </c>
      <c r="C30" s="15">
        <v>2018</v>
      </c>
      <c r="D30" s="37" t="s">
        <v>313</v>
      </c>
      <c r="E30" s="7" t="s">
        <v>131</v>
      </c>
      <c r="F30" s="7" t="s">
        <v>144</v>
      </c>
      <c r="G30" s="7" t="s">
        <v>36</v>
      </c>
      <c r="H30" s="216" t="s">
        <v>157</v>
      </c>
      <c r="I30" s="208" t="s">
        <v>153</v>
      </c>
      <c r="J30" s="15" t="s">
        <v>38</v>
      </c>
      <c r="K30" s="7" t="s">
        <v>154</v>
      </c>
      <c r="L30" s="7">
        <v>2</v>
      </c>
      <c r="N30" s="7">
        <v>1</v>
      </c>
      <c r="O30" s="7">
        <v>0.55000000000000004</v>
      </c>
      <c r="P30" s="7">
        <v>0.5</v>
      </c>
      <c r="Q30" s="52">
        <f t="shared" si="0"/>
        <v>0.52500000000000002</v>
      </c>
      <c r="R30" s="7">
        <v>14.8</v>
      </c>
      <c r="S30" s="7">
        <v>133</v>
      </c>
      <c r="T30" s="16">
        <f t="shared" si="1"/>
        <v>25</v>
      </c>
      <c r="U30" s="208">
        <v>138</v>
      </c>
      <c r="V30" s="16">
        <f t="shared" si="2"/>
        <v>3450</v>
      </c>
      <c r="W30" s="7">
        <v>4</v>
      </c>
      <c r="X30" s="15" t="s">
        <v>46</v>
      </c>
      <c r="Y30" s="216" t="s">
        <v>50</v>
      </c>
      <c r="Z30" s="216" t="s">
        <v>84</v>
      </c>
      <c r="AA30" s="216" t="s">
        <v>90</v>
      </c>
      <c r="AB30" s="39" t="s">
        <v>310</v>
      </c>
      <c r="AP30" s="27"/>
      <c r="AR30" s="27"/>
    </row>
    <row r="31" spans="1:48" x14ac:dyDescent="0.15">
      <c r="A31" s="15" t="s">
        <v>307</v>
      </c>
      <c r="B31" s="15" t="s">
        <v>308</v>
      </c>
      <c r="C31" s="15">
        <v>2018</v>
      </c>
      <c r="D31" s="37" t="s">
        <v>313</v>
      </c>
      <c r="E31" s="7" t="s">
        <v>131</v>
      </c>
      <c r="F31" s="7" t="s">
        <v>144</v>
      </c>
      <c r="G31" s="7" t="s">
        <v>36</v>
      </c>
      <c r="H31" s="216" t="s">
        <v>157</v>
      </c>
      <c r="I31" s="208" t="s">
        <v>153</v>
      </c>
      <c r="J31" s="15" t="s">
        <v>38</v>
      </c>
      <c r="K31" s="7" t="s">
        <v>154</v>
      </c>
      <c r="L31" s="7">
        <v>3</v>
      </c>
      <c r="N31" s="7">
        <v>1</v>
      </c>
      <c r="O31" s="7">
        <v>0.5</v>
      </c>
      <c r="P31" s="7">
        <v>0.5</v>
      </c>
      <c r="Q31" s="52">
        <f t="shared" si="0"/>
        <v>0.5</v>
      </c>
      <c r="R31" s="7">
        <v>16.600000000000001</v>
      </c>
      <c r="S31" s="7">
        <v>129</v>
      </c>
      <c r="T31" s="16">
        <f t="shared" si="1"/>
        <v>25</v>
      </c>
      <c r="U31" s="208">
        <v>138</v>
      </c>
      <c r="V31" s="16">
        <f t="shared" si="2"/>
        <v>3450</v>
      </c>
      <c r="W31" s="7">
        <v>4</v>
      </c>
      <c r="X31" s="15" t="s">
        <v>46</v>
      </c>
      <c r="Y31" s="216" t="s">
        <v>50</v>
      </c>
      <c r="Z31" s="216" t="s">
        <v>84</v>
      </c>
      <c r="AA31" s="216" t="s">
        <v>90</v>
      </c>
      <c r="AB31" s="39" t="s">
        <v>310</v>
      </c>
      <c r="AP31" s="27"/>
      <c r="AR31" s="27"/>
    </row>
    <row r="32" spans="1:48" x14ac:dyDescent="0.15">
      <c r="A32" s="15" t="s">
        <v>307</v>
      </c>
      <c r="B32" s="15" t="s">
        <v>308</v>
      </c>
      <c r="C32" s="15">
        <v>2018</v>
      </c>
      <c r="D32" s="37" t="s">
        <v>313</v>
      </c>
      <c r="E32" s="7" t="s">
        <v>139</v>
      </c>
      <c r="F32" s="7" t="s">
        <v>145</v>
      </c>
      <c r="G32" s="7" t="s">
        <v>36</v>
      </c>
      <c r="H32" s="15" t="s">
        <v>155</v>
      </c>
      <c r="I32" s="208" t="s">
        <v>153</v>
      </c>
      <c r="J32" s="15" t="s">
        <v>38</v>
      </c>
      <c r="K32" s="7" t="s">
        <v>154</v>
      </c>
      <c r="L32" s="7">
        <v>1</v>
      </c>
      <c r="N32" s="7">
        <v>1</v>
      </c>
      <c r="O32" s="7">
        <v>0.5</v>
      </c>
      <c r="P32" s="7">
        <v>0.5</v>
      </c>
      <c r="Q32" s="52">
        <f t="shared" si="0"/>
        <v>0.5</v>
      </c>
      <c r="R32" s="7">
        <v>14</v>
      </c>
      <c r="S32" s="7">
        <v>133</v>
      </c>
      <c r="T32" s="16">
        <f t="shared" si="1"/>
        <v>25</v>
      </c>
      <c r="U32" s="7">
        <v>100</v>
      </c>
      <c r="V32" s="16">
        <f t="shared" si="2"/>
        <v>2500</v>
      </c>
      <c r="W32" s="7">
        <v>4</v>
      </c>
      <c r="X32" s="15" t="s">
        <v>46</v>
      </c>
      <c r="Y32" s="216" t="s">
        <v>84</v>
      </c>
      <c r="Z32" s="216" t="s">
        <v>50</v>
      </c>
      <c r="AA32" s="216" t="s">
        <v>84</v>
      </c>
      <c r="AB32" s="39" t="s">
        <v>310</v>
      </c>
      <c r="AP32" s="28"/>
      <c r="AR32" s="28"/>
    </row>
    <row r="33" spans="1:44" x14ac:dyDescent="0.15">
      <c r="A33" s="15" t="s">
        <v>307</v>
      </c>
      <c r="B33" s="15" t="s">
        <v>308</v>
      </c>
      <c r="C33" s="15">
        <v>2018</v>
      </c>
      <c r="D33" s="37" t="s">
        <v>313</v>
      </c>
      <c r="E33" s="7" t="s">
        <v>139</v>
      </c>
      <c r="F33" s="7" t="s">
        <v>145</v>
      </c>
      <c r="G33" s="7" t="s">
        <v>36</v>
      </c>
      <c r="H33" s="216" t="s">
        <v>155</v>
      </c>
      <c r="I33" s="208" t="s">
        <v>153</v>
      </c>
      <c r="J33" s="15" t="s">
        <v>38</v>
      </c>
      <c r="K33" s="7" t="s">
        <v>154</v>
      </c>
      <c r="L33" s="7">
        <v>2</v>
      </c>
      <c r="N33" s="7">
        <v>1</v>
      </c>
      <c r="O33" s="7">
        <v>0.5</v>
      </c>
      <c r="P33" s="7">
        <v>0.5</v>
      </c>
      <c r="Q33" s="52">
        <f t="shared" si="0"/>
        <v>0.5</v>
      </c>
      <c r="R33" s="7">
        <v>14.5</v>
      </c>
      <c r="S33" s="7">
        <v>143</v>
      </c>
      <c r="T33" s="16">
        <f t="shared" si="1"/>
        <v>22</v>
      </c>
      <c r="U33" s="208">
        <v>100</v>
      </c>
      <c r="V33" s="16">
        <f t="shared" si="2"/>
        <v>2200</v>
      </c>
      <c r="W33" s="7">
        <v>4</v>
      </c>
      <c r="X33" s="15" t="s">
        <v>46</v>
      </c>
      <c r="Y33" s="216" t="s">
        <v>84</v>
      </c>
      <c r="Z33" s="216" t="s">
        <v>50</v>
      </c>
      <c r="AA33" s="216" t="s">
        <v>84</v>
      </c>
      <c r="AB33" s="39" t="s">
        <v>310</v>
      </c>
    </row>
    <row r="34" spans="1:44" x14ac:dyDescent="0.15">
      <c r="A34" s="15" t="s">
        <v>307</v>
      </c>
      <c r="B34" s="15" t="s">
        <v>308</v>
      </c>
      <c r="C34" s="15">
        <v>2018</v>
      </c>
      <c r="D34" s="37" t="s">
        <v>313</v>
      </c>
      <c r="E34" s="7" t="s">
        <v>139</v>
      </c>
      <c r="F34" s="7" t="s">
        <v>145</v>
      </c>
      <c r="G34" s="7" t="s">
        <v>36</v>
      </c>
      <c r="H34" s="216" t="s">
        <v>155</v>
      </c>
      <c r="I34" s="208" t="s">
        <v>153</v>
      </c>
      <c r="J34" s="15" t="s">
        <v>38</v>
      </c>
      <c r="K34" s="7" t="s">
        <v>154</v>
      </c>
      <c r="L34" s="7">
        <v>3</v>
      </c>
      <c r="N34" s="7">
        <v>1</v>
      </c>
      <c r="O34" s="7">
        <v>0.5</v>
      </c>
      <c r="P34" s="7">
        <v>0.65</v>
      </c>
      <c r="Q34" s="52">
        <f t="shared" si="0"/>
        <v>0.57499999999999996</v>
      </c>
      <c r="R34" s="7">
        <v>14.4</v>
      </c>
      <c r="S34" s="7">
        <v>138</v>
      </c>
      <c r="T34" s="16">
        <f t="shared" si="1"/>
        <v>22</v>
      </c>
      <c r="U34" s="208">
        <v>100</v>
      </c>
      <c r="V34" s="16">
        <f t="shared" si="2"/>
        <v>2200</v>
      </c>
      <c r="W34" s="7">
        <v>4</v>
      </c>
      <c r="X34" s="15" t="s">
        <v>46</v>
      </c>
      <c r="Y34" s="216" t="s">
        <v>84</v>
      </c>
      <c r="Z34" s="216" t="s">
        <v>50</v>
      </c>
      <c r="AA34" s="216" t="s">
        <v>84</v>
      </c>
      <c r="AB34" s="39" t="s">
        <v>310</v>
      </c>
    </row>
    <row r="35" spans="1:44" x14ac:dyDescent="0.15">
      <c r="A35" s="15" t="s">
        <v>307</v>
      </c>
      <c r="B35" s="15" t="s">
        <v>308</v>
      </c>
      <c r="C35" s="15">
        <v>2018</v>
      </c>
      <c r="D35" s="37" t="s">
        <v>313</v>
      </c>
      <c r="E35" s="7" t="s">
        <v>139</v>
      </c>
      <c r="F35" s="7" t="s">
        <v>145</v>
      </c>
      <c r="G35" s="7" t="s">
        <v>36</v>
      </c>
      <c r="H35" s="216" t="s">
        <v>157</v>
      </c>
      <c r="I35" s="208" t="s">
        <v>153</v>
      </c>
      <c r="J35" s="15" t="s">
        <v>38</v>
      </c>
      <c r="K35" s="7" t="s">
        <v>154</v>
      </c>
      <c r="L35" s="7">
        <v>1</v>
      </c>
      <c r="N35" s="7">
        <v>1</v>
      </c>
      <c r="O35" s="7">
        <v>0.5</v>
      </c>
      <c r="P35" s="7">
        <v>0.5</v>
      </c>
      <c r="Q35" s="52">
        <f t="shared" si="0"/>
        <v>0.5</v>
      </c>
      <c r="R35" s="7">
        <v>13.2</v>
      </c>
      <c r="S35" s="7">
        <v>106</v>
      </c>
      <c r="T35" s="16">
        <f t="shared" si="1"/>
        <v>33</v>
      </c>
      <c r="U35" s="7">
        <v>100</v>
      </c>
      <c r="V35" s="16">
        <f t="shared" si="2"/>
        <v>3300</v>
      </c>
      <c r="W35" s="7">
        <v>5</v>
      </c>
      <c r="X35" s="15" t="s">
        <v>46</v>
      </c>
      <c r="Y35" s="216" t="s">
        <v>84</v>
      </c>
      <c r="Z35" s="216" t="s">
        <v>50</v>
      </c>
      <c r="AA35" s="216" t="s">
        <v>84</v>
      </c>
      <c r="AB35" s="39" t="s">
        <v>310</v>
      </c>
      <c r="AP35" s="28"/>
      <c r="AR35" s="28"/>
    </row>
    <row r="36" spans="1:44" x14ac:dyDescent="0.15">
      <c r="A36" s="15" t="s">
        <v>307</v>
      </c>
      <c r="B36" s="15" t="s">
        <v>308</v>
      </c>
      <c r="C36" s="15">
        <v>2018</v>
      </c>
      <c r="D36" s="37" t="s">
        <v>313</v>
      </c>
      <c r="E36" s="7" t="s">
        <v>139</v>
      </c>
      <c r="F36" s="7" t="s">
        <v>145</v>
      </c>
      <c r="G36" s="7" t="s">
        <v>36</v>
      </c>
      <c r="H36" s="216" t="s">
        <v>157</v>
      </c>
      <c r="I36" s="208" t="s">
        <v>153</v>
      </c>
      <c r="J36" s="15" t="s">
        <v>38</v>
      </c>
      <c r="K36" s="7" t="s">
        <v>154</v>
      </c>
      <c r="L36" s="7">
        <v>2</v>
      </c>
      <c r="N36" s="208">
        <v>1</v>
      </c>
      <c r="O36" s="7">
        <v>0.5</v>
      </c>
      <c r="P36" s="7">
        <v>0.6</v>
      </c>
      <c r="Q36" s="52">
        <f t="shared" si="0"/>
        <v>0.55000000000000004</v>
      </c>
      <c r="R36" s="7">
        <v>14.9</v>
      </c>
      <c r="S36" s="7">
        <v>96</v>
      </c>
      <c r="T36" s="16">
        <f t="shared" si="1"/>
        <v>36</v>
      </c>
      <c r="U36" s="208">
        <v>100</v>
      </c>
      <c r="V36" s="16">
        <f t="shared" si="2"/>
        <v>3600</v>
      </c>
      <c r="W36" s="7">
        <v>5</v>
      </c>
      <c r="X36" s="15" t="s">
        <v>46</v>
      </c>
      <c r="Y36" s="216" t="s">
        <v>84</v>
      </c>
      <c r="Z36" s="216" t="s">
        <v>50</v>
      </c>
      <c r="AA36" s="216" t="s">
        <v>84</v>
      </c>
      <c r="AB36" s="39" t="s">
        <v>310</v>
      </c>
    </row>
    <row r="37" spans="1:44" x14ac:dyDescent="0.15">
      <c r="A37" s="15" t="s">
        <v>307</v>
      </c>
      <c r="B37" s="15" t="s">
        <v>308</v>
      </c>
      <c r="C37" s="15">
        <v>2018</v>
      </c>
      <c r="D37" s="37" t="s">
        <v>313</v>
      </c>
      <c r="E37" s="7" t="s">
        <v>139</v>
      </c>
      <c r="F37" s="7" t="s">
        <v>145</v>
      </c>
      <c r="G37" s="7" t="s">
        <v>36</v>
      </c>
      <c r="H37" s="216" t="s">
        <v>157</v>
      </c>
      <c r="I37" s="208" t="s">
        <v>153</v>
      </c>
      <c r="J37" s="15" t="s">
        <v>38</v>
      </c>
      <c r="K37" s="7" t="s">
        <v>154</v>
      </c>
      <c r="L37" s="7">
        <v>3</v>
      </c>
      <c r="N37" s="208">
        <v>1</v>
      </c>
      <c r="O37" s="34">
        <v>0.55000000000000004</v>
      </c>
      <c r="P37" s="34">
        <v>0.6</v>
      </c>
      <c r="Q37" s="52">
        <f t="shared" si="0"/>
        <v>0.57499999999999996</v>
      </c>
      <c r="R37" s="7">
        <v>14.2</v>
      </c>
      <c r="S37" s="7">
        <v>97</v>
      </c>
      <c r="T37" s="16">
        <f t="shared" si="1"/>
        <v>36</v>
      </c>
      <c r="U37" s="208">
        <v>100</v>
      </c>
      <c r="V37" s="16">
        <f t="shared" si="2"/>
        <v>3600</v>
      </c>
      <c r="W37" s="7">
        <v>5</v>
      </c>
      <c r="X37" s="15" t="s">
        <v>46</v>
      </c>
      <c r="Y37" s="216" t="s">
        <v>84</v>
      </c>
      <c r="Z37" s="216" t="s">
        <v>50</v>
      </c>
      <c r="AA37" s="216" t="s">
        <v>84</v>
      </c>
      <c r="AB37" s="39" t="s">
        <v>310</v>
      </c>
    </row>
    <row r="38" spans="1:44" x14ac:dyDescent="0.15">
      <c r="A38" s="15" t="s">
        <v>307</v>
      </c>
      <c r="B38" s="15" t="s">
        <v>308</v>
      </c>
      <c r="C38" s="15">
        <v>2018</v>
      </c>
      <c r="D38" s="37" t="s">
        <v>313</v>
      </c>
      <c r="E38" s="7" t="s">
        <v>299</v>
      </c>
      <c r="F38" s="7" t="s">
        <v>312</v>
      </c>
      <c r="G38" s="7" t="s">
        <v>36</v>
      </c>
      <c r="H38" s="216" t="s">
        <v>155</v>
      </c>
      <c r="I38" s="7" t="s">
        <v>153</v>
      </c>
      <c r="J38" s="216" t="s">
        <v>38</v>
      </c>
      <c r="K38" s="208" t="s">
        <v>154</v>
      </c>
      <c r="L38" s="7">
        <v>1</v>
      </c>
      <c r="N38" s="208">
        <v>1</v>
      </c>
      <c r="O38" s="34">
        <v>0.85</v>
      </c>
      <c r="P38" s="34">
        <v>0.75</v>
      </c>
      <c r="Q38" s="52">
        <f t="shared" si="0"/>
        <v>0.8</v>
      </c>
      <c r="R38" s="7">
        <v>13.9</v>
      </c>
      <c r="S38" s="7">
        <v>139</v>
      </c>
      <c r="T38" s="16">
        <f t="shared" si="1"/>
        <v>22</v>
      </c>
      <c r="U38" s="7">
        <v>105</v>
      </c>
      <c r="V38" s="16">
        <f t="shared" si="2"/>
        <v>2310</v>
      </c>
      <c r="W38" s="7">
        <v>5</v>
      </c>
      <c r="X38" s="15" t="s">
        <v>46</v>
      </c>
      <c r="Y38" s="216" t="s">
        <v>84</v>
      </c>
      <c r="Z38" s="216" t="s">
        <v>78</v>
      </c>
      <c r="AA38" s="216" t="s">
        <v>50</v>
      </c>
      <c r="AB38" s="39" t="s">
        <v>310</v>
      </c>
    </row>
    <row r="39" spans="1:44" x14ac:dyDescent="0.15">
      <c r="A39" s="15" t="s">
        <v>307</v>
      </c>
      <c r="B39" s="15" t="s">
        <v>308</v>
      </c>
      <c r="C39" s="15">
        <v>2018</v>
      </c>
      <c r="D39" s="37" t="s">
        <v>313</v>
      </c>
      <c r="E39" s="7" t="s">
        <v>299</v>
      </c>
      <c r="F39" s="7" t="s">
        <v>312</v>
      </c>
      <c r="G39" s="7" t="s">
        <v>36</v>
      </c>
      <c r="H39" s="216" t="s">
        <v>155</v>
      </c>
      <c r="I39" s="208" t="s">
        <v>153</v>
      </c>
      <c r="J39" s="216" t="s">
        <v>38</v>
      </c>
      <c r="K39" s="208" t="s">
        <v>154</v>
      </c>
      <c r="L39" s="7">
        <v>2</v>
      </c>
      <c r="N39" s="208">
        <v>1</v>
      </c>
      <c r="O39" s="7">
        <v>0.9</v>
      </c>
      <c r="P39" s="7">
        <v>0.85</v>
      </c>
      <c r="Q39" s="52">
        <f t="shared" si="0"/>
        <v>0.875</v>
      </c>
      <c r="R39" s="34">
        <v>12.6</v>
      </c>
      <c r="S39" s="7">
        <v>143</v>
      </c>
      <c r="T39" s="16">
        <f t="shared" si="1"/>
        <v>22</v>
      </c>
      <c r="U39" s="208">
        <v>105</v>
      </c>
      <c r="V39" s="16">
        <f t="shared" si="2"/>
        <v>2310</v>
      </c>
      <c r="W39" s="7">
        <v>5</v>
      </c>
      <c r="X39" s="15" t="s">
        <v>46</v>
      </c>
      <c r="Y39" s="216" t="s">
        <v>84</v>
      </c>
      <c r="Z39" s="216" t="s">
        <v>78</v>
      </c>
      <c r="AA39" s="216" t="s">
        <v>50</v>
      </c>
      <c r="AB39" s="39" t="s">
        <v>310</v>
      </c>
    </row>
    <row r="40" spans="1:44" x14ac:dyDescent="0.15">
      <c r="A40" s="15" t="s">
        <v>307</v>
      </c>
      <c r="B40" s="15" t="s">
        <v>308</v>
      </c>
      <c r="C40" s="15">
        <v>2018</v>
      </c>
      <c r="D40" s="37" t="s">
        <v>313</v>
      </c>
      <c r="E40" s="7" t="s">
        <v>299</v>
      </c>
      <c r="F40" s="7" t="s">
        <v>312</v>
      </c>
      <c r="G40" s="7" t="s">
        <v>36</v>
      </c>
      <c r="H40" s="216" t="s">
        <v>155</v>
      </c>
      <c r="I40" s="208" t="s">
        <v>153</v>
      </c>
      <c r="J40" s="216" t="s">
        <v>38</v>
      </c>
      <c r="K40" s="208" t="s">
        <v>154</v>
      </c>
      <c r="L40" s="7">
        <v>3</v>
      </c>
      <c r="N40" s="208">
        <v>1</v>
      </c>
      <c r="O40" s="7">
        <v>0.8</v>
      </c>
      <c r="P40" s="7">
        <v>0.9</v>
      </c>
      <c r="Q40" s="52">
        <f t="shared" si="0"/>
        <v>0.85000000000000009</v>
      </c>
      <c r="R40" s="7">
        <v>13.6</v>
      </c>
      <c r="S40" s="7">
        <v>140</v>
      </c>
      <c r="T40" s="16">
        <f t="shared" si="1"/>
        <v>22</v>
      </c>
      <c r="U40" s="208">
        <v>105</v>
      </c>
      <c r="V40" s="16">
        <f t="shared" si="2"/>
        <v>2310</v>
      </c>
      <c r="W40" s="7">
        <v>5</v>
      </c>
      <c r="X40" s="15" t="s">
        <v>46</v>
      </c>
      <c r="Y40" s="216" t="s">
        <v>84</v>
      </c>
      <c r="Z40" s="216" t="s">
        <v>78</v>
      </c>
      <c r="AA40" s="216" t="s">
        <v>50</v>
      </c>
      <c r="AB40" s="39" t="s">
        <v>310</v>
      </c>
    </row>
    <row r="41" spans="1:44" ht="12.75" customHeight="1" x14ac:dyDescent="0.15">
      <c r="A41" s="15" t="s">
        <v>307</v>
      </c>
      <c r="B41" s="15" t="s">
        <v>308</v>
      </c>
      <c r="C41" s="15">
        <v>2018</v>
      </c>
      <c r="D41" s="37" t="s">
        <v>313</v>
      </c>
      <c r="E41" s="7" t="s">
        <v>299</v>
      </c>
      <c r="F41" s="7" t="s">
        <v>312</v>
      </c>
      <c r="G41" s="7" t="s">
        <v>36</v>
      </c>
      <c r="H41" s="15" t="s">
        <v>127</v>
      </c>
      <c r="I41" s="7" t="s">
        <v>153</v>
      </c>
      <c r="J41" s="15" t="s">
        <v>80</v>
      </c>
      <c r="K41" s="7" t="s">
        <v>45</v>
      </c>
      <c r="L41" s="7">
        <v>1</v>
      </c>
      <c r="N41" s="208">
        <v>5</v>
      </c>
      <c r="O41" s="7">
        <v>0.65</v>
      </c>
      <c r="P41" s="7">
        <v>0.5</v>
      </c>
      <c r="Q41" s="52">
        <f t="shared" si="0"/>
        <v>0.57499999999999996</v>
      </c>
      <c r="R41" s="7">
        <v>11.7</v>
      </c>
      <c r="S41" s="7">
        <v>99</v>
      </c>
      <c r="T41" s="16">
        <f t="shared" si="1"/>
        <v>33</v>
      </c>
      <c r="U41" s="7">
        <v>321</v>
      </c>
      <c r="V41" s="16">
        <f t="shared" si="2"/>
        <v>2118.6</v>
      </c>
      <c r="W41" s="7">
        <v>1</v>
      </c>
      <c r="X41" s="15" t="s">
        <v>46</v>
      </c>
      <c r="Y41" s="216" t="s">
        <v>84</v>
      </c>
      <c r="Z41" s="216" t="s">
        <v>78</v>
      </c>
      <c r="AA41" s="216" t="s">
        <v>50</v>
      </c>
      <c r="AB41" s="39" t="s">
        <v>310</v>
      </c>
    </row>
    <row r="42" spans="1:44" x14ac:dyDescent="0.15">
      <c r="A42" s="15" t="s">
        <v>307</v>
      </c>
      <c r="B42" s="15" t="s">
        <v>308</v>
      </c>
      <c r="C42" s="15">
        <v>2018</v>
      </c>
      <c r="D42" s="37" t="s">
        <v>313</v>
      </c>
      <c r="E42" s="7" t="s">
        <v>299</v>
      </c>
      <c r="F42" s="7" t="s">
        <v>312</v>
      </c>
      <c r="G42" s="7" t="s">
        <v>36</v>
      </c>
      <c r="H42" s="216" t="s">
        <v>127</v>
      </c>
      <c r="I42" s="208" t="s">
        <v>153</v>
      </c>
      <c r="J42" s="15" t="s">
        <v>80</v>
      </c>
      <c r="K42" s="7" t="s">
        <v>45</v>
      </c>
      <c r="L42" s="7">
        <v>2</v>
      </c>
      <c r="N42" s="208">
        <v>5</v>
      </c>
      <c r="O42" s="7">
        <v>0.65</v>
      </c>
      <c r="P42" s="7">
        <v>0.8</v>
      </c>
      <c r="Q42" s="52">
        <f t="shared" si="0"/>
        <v>0.72500000000000009</v>
      </c>
      <c r="R42" s="7">
        <v>13.5</v>
      </c>
      <c r="S42" s="7">
        <v>90</v>
      </c>
      <c r="T42" s="16">
        <f t="shared" si="1"/>
        <v>36</v>
      </c>
      <c r="U42" s="208">
        <v>321</v>
      </c>
      <c r="V42" s="16">
        <f t="shared" si="2"/>
        <v>2311.2000000000003</v>
      </c>
      <c r="W42" s="7">
        <v>1</v>
      </c>
      <c r="X42" s="15" t="s">
        <v>46</v>
      </c>
      <c r="Y42" s="216" t="s">
        <v>84</v>
      </c>
      <c r="Z42" s="216" t="s">
        <v>78</v>
      </c>
      <c r="AA42" s="216" t="s">
        <v>50</v>
      </c>
      <c r="AB42" s="39" t="s">
        <v>310</v>
      </c>
    </row>
    <row r="43" spans="1:44" x14ac:dyDescent="0.15">
      <c r="A43" s="15" t="s">
        <v>307</v>
      </c>
      <c r="B43" s="15" t="s">
        <v>308</v>
      </c>
      <c r="C43" s="15">
        <v>2018</v>
      </c>
      <c r="D43" s="37" t="s">
        <v>313</v>
      </c>
      <c r="E43" s="7" t="s">
        <v>299</v>
      </c>
      <c r="F43" s="7" t="s">
        <v>312</v>
      </c>
      <c r="G43" s="7" t="s">
        <v>36</v>
      </c>
      <c r="H43" s="216" t="s">
        <v>127</v>
      </c>
      <c r="I43" s="208" t="s">
        <v>153</v>
      </c>
      <c r="J43" s="15" t="s">
        <v>80</v>
      </c>
      <c r="K43" s="7" t="s">
        <v>45</v>
      </c>
      <c r="L43" s="7">
        <v>3</v>
      </c>
      <c r="N43" s="208">
        <v>5</v>
      </c>
      <c r="O43" s="7">
        <v>0.55000000000000004</v>
      </c>
      <c r="P43" s="7">
        <v>0.5</v>
      </c>
      <c r="Q43" s="52">
        <f t="shared" si="0"/>
        <v>0.52500000000000002</v>
      </c>
      <c r="R43" s="7">
        <v>13.3</v>
      </c>
      <c r="S43" s="7">
        <v>92</v>
      </c>
      <c r="T43" s="16">
        <f t="shared" si="1"/>
        <v>36</v>
      </c>
      <c r="U43" s="208">
        <v>321</v>
      </c>
      <c r="V43" s="16">
        <f t="shared" si="2"/>
        <v>2311.2000000000003</v>
      </c>
      <c r="W43" s="7">
        <v>1</v>
      </c>
      <c r="X43" s="15" t="s">
        <v>46</v>
      </c>
      <c r="Y43" s="216" t="s">
        <v>84</v>
      </c>
      <c r="Z43" s="216" t="s">
        <v>78</v>
      </c>
      <c r="AA43" s="216" t="s">
        <v>50</v>
      </c>
      <c r="AB43" s="39" t="s">
        <v>310</v>
      </c>
    </row>
    <row r="44" spans="1:44" x14ac:dyDescent="0.15">
      <c r="A44" s="15" t="s">
        <v>307</v>
      </c>
      <c r="B44" s="15" t="s">
        <v>308</v>
      </c>
      <c r="C44" s="15">
        <v>2018</v>
      </c>
      <c r="D44" s="37" t="s">
        <v>313</v>
      </c>
      <c r="E44" s="7" t="s">
        <v>299</v>
      </c>
      <c r="F44" s="7" t="s">
        <v>312</v>
      </c>
      <c r="G44" s="7" t="s">
        <v>36</v>
      </c>
      <c r="H44" s="15" t="s">
        <v>157</v>
      </c>
      <c r="I44" s="208" t="s">
        <v>153</v>
      </c>
      <c r="J44" s="15" t="s">
        <v>38</v>
      </c>
      <c r="K44" s="7" t="s">
        <v>154</v>
      </c>
      <c r="L44" s="7">
        <v>1</v>
      </c>
      <c r="N44" s="208">
        <v>1</v>
      </c>
      <c r="O44" s="7">
        <v>0.5</v>
      </c>
      <c r="P44" s="7">
        <v>0.6</v>
      </c>
      <c r="Q44" s="52">
        <f t="shared" si="0"/>
        <v>0.55000000000000004</v>
      </c>
      <c r="R44" s="7">
        <v>14.8</v>
      </c>
      <c r="S44" s="7">
        <v>118</v>
      </c>
      <c r="T44" s="16">
        <f t="shared" si="1"/>
        <v>30</v>
      </c>
      <c r="U44" s="7">
        <v>138</v>
      </c>
      <c r="V44" s="16">
        <f t="shared" si="2"/>
        <v>4140</v>
      </c>
      <c r="W44" s="7">
        <v>2</v>
      </c>
      <c r="X44" s="15" t="s">
        <v>46</v>
      </c>
      <c r="Y44" s="216" t="s">
        <v>84</v>
      </c>
      <c r="Z44" s="216" t="s">
        <v>78</v>
      </c>
      <c r="AA44" s="216" t="s">
        <v>50</v>
      </c>
      <c r="AB44" s="39" t="s">
        <v>310</v>
      </c>
    </row>
    <row r="45" spans="1:44" x14ac:dyDescent="0.15">
      <c r="A45" s="15" t="s">
        <v>307</v>
      </c>
      <c r="B45" s="15" t="s">
        <v>308</v>
      </c>
      <c r="C45" s="15">
        <v>2018</v>
      </c>
      <c r="D45" s="37" t="s">
        <v>313</v>
      </c>
      <c r="E45" s="7" t="s">
        <v>299</v>
      </c>
      <c r="F45" s="7" t="s">
        <v>312</v>
      </c>
      <c r="G45" s="7" t="s">
        <v>36</v>
      </c>
      <c r="H45" s="216" t="s">
        <v>157</v>
      </c>
      <c r="I45" s="208" t="s">
        <v>153</v>
      </c>
      <c r="J45" s="15" t="s">
        <v>38</v>
      </c>
      <c r="K45" s="7" t="s">
        <v>154</v>
      </c>
      <c r="L45" s="7">
        <v>2</v>
      </c>
      <c r="N45" s="208">
        <v>1</v>
      </c>
      <c r="O45" s="7">
        <v>0.5</v>
      </c>
      <c r="P45" s="7">
        <v>0.5</v>
      </c>
      <c r="Q45" s="52">
        <f t="shared" si="0"/>
        <v>0.5</v>
      </c>
      <c r="R45" s="7">
        <v>19.2</v>
      </c>
      <c r="S45" s="7">
        <v>121</v>
      </c>
      <c r="T45" s="16">
        <f t="shared" si="1"/>
        <v>27</v>
      </c>
      <c r="U45" s="208">
        <v>138</v>
      </c>
      <c r="V45" s="16">
        <f t="shared" si="2"/>
        <v>3726</v>
      </c>
      <c r="W45" s="7">
        <v>2</v>
      </c>
      <c r="X45" s="15" t="s">
        <v>46</v>
      </c>
      <c r="Y45" s="216" t="s">
        <v>84</v>
      </c>
      <c r="Z45" s="216" t="s">
        <v>78</v>
      </c>
      <c r="AA45" s="216" t="s">
        <v>50</v>
      </c>
      <c r="AB45" s="39" t="s">
        <v>310</v>
      </c>
    </row>
    <row r="46" spans="1:44" x14ac:dyDescent="0.15">
      <c r="A46" s="15" t="s">
        <v>307</v>
      </c>
      <c r="B46" s="15" t="s">
        <v>308</v>
      </c>
      <c r="C46" s="15">
        <v>2018</v>
      </c>
      <c r="D46" s="37" t="s">
        <v>313</v>
      </c>
      <c r="E46" s="7" t="s">
        <v>299</v>
      </c>
      <c r="F46" s="7" t="s">
        <v>312</v>
      </c>
      <c r="G46" s="7" t="s">
        <v>36</v>
      </c>
      <c r="H46" s="216" t="s">
        <v>157</v>
      </c>
      <c r="I46" s="208" t="s">
        <v>153</v>
      </c>
      <c r="J46" s="15" t="s">
        <v>38</v>
      </c>
      <c r="K46" s="7" t="s">
        <v>154</v>
      </c>
      <c r="L46" s="7">
        <v>3</v>
      </c>
      <c r="N46" s="7">
        <v>1</v>
      </c>
      <c r="O46" s="7">
        <v>0.5</v>
      </c>
      <c r="P46" s="34">
        <v>0.55000000000000004</v>
      </c>
      <c r="Q46" s="52">
        <f t="shared" si="0"/>
        <v>0.52500000000000002</v>
      </c>
      <c r="R46" s="7">
        <v>15.2</v>
      </c>
      <c r="S46" s="7">
        <v>117</v>
      </c>
      <c r="T46" s="16">
        <f t="shared" si="1"/>
        <v>30</v>
      </c>
      <c r="U46" s="208">
        <v>138</v>
      </c>
      <c r="V46" s="16">
        <f t="shared" si="2"/>
        <v>4140</v>
      </c>
      <c r="W46" s="7">
        <v>2</v>
      </c>
      <c r="X46" s="15" t="s">
        <v>46</v>
      </c>
      <c r="Y46" s="216" t="s">
        <v>84</v>
      </c>
      <c r="Z46" s="216" t="s">
        <v>78</v>
      </c>
      <c r="AA46" s="216" t="s">
        <v>50</v>
      </c>
      <c r="AB46" s="39" t="s">
        <v>310</v>
      </c>
    </row>
    <row r="47" spans="1:44" x14ac:dyDescent="0.15">
      <c r="A47" s="15" t="s">
        <v>307</v>
      </c>
      <c r="B47" s="15" t="s">
        <v>308</v>
      </c>
      <c r="C47" s="15">
        <v>2018</v>
      </c>
      <c r="D47" s="37" t="s">
        <v>313</v>
      </c>
      <c r="E47" s="7" t="s">
        <v>130</v>
      </c>
      <c r="F47" s="7" t="s">
        <v>146</v>
      </c>
      <c r="G47" s="7" t="s">
        <v>36</v>
      </c>
      <c r="H47" s="15" t="s">
        <v>155</v>
      </c>
      <c r="I47" s="208" t="s">
        <v>153</v>
      </c>
      <c r="J47" s="15" t="s">
        <v>38</v>
      </c>
      <c r="K47" s="7" t="s">
        <v>154</v>
      </c>
      <c r="L47" s="7">
        <v>1</v>
      </c>
      <c r="N47" s="7">
        <v>1</v>
      </c>
      <c r="O47" s="7">
        <v>0.5</v>
      </c>
      <c r="P47" s="7">
        <v>0.65</v>
      </c>
      <c r="Q47" s="52">
        <f t="shared" si="0"/>
        <v>0.57499999999999996</v>
      </c>
      <c r="R47" s="7">
        <v>12.4</v>
      </c>
      <c r="S47" s="7">
        <v>104</v>
      </c>
      <c r="T47" s="16">
        <f t="shared" si="1"/>
        <v>33</v>
      </c>
      <c r="U47" s="7">
        <v>51</v>
      </c>
      <c r="V47" s="16">
        <f t="shared" si="2"/>
        <v>1683</v>
      </c>
      <c r="W47" s="7">
        <v>6</v>
      </c>
      <c r="X47" s="15" t="s">
        <v>46</v>
      </c>
      <c r="Y47" s="216" t="s">
        <v>84</v>
      </c>
      <c r="Z47" s="216" t="s">
        <v>50</v>
      </c>
      <c r="AA47" s="216" t="s">
        <v>90</v>
      </c>
      <c r="AB47" s="39" t="s">
        <v>310</v>
      </c>
    </row>
    <row r="48" spans="1:44" x14ac:dyDescent="0.15">
      <c r="A48" s="15" t="s">
        <v>307</v>
      </c>
      <c r="B48" s="15" t="s">
        <v>308</v>
      </c>
      <c r="C48" s="15">
        <v>2018</v>
      </c>
      <c r="D48" s="37" t="s">
        <v>313</v>
      </c>
      <c r="E48" s="7" t="s">
        <v>130</v>
      </c>
      <c r="F48" s="7" t="s">
        <v>146</v>
      </c>
      <c r="G48" s="7" t="s">
        <v>36</v>
      </c>
      <c r="H48" s="216" t="s">
        <v>155</v>
      </c>
      <c r="I48" s="208" t="s">
        <v>153</v>
      </c>
      <c r="J48" s="216" t="s">
        <v>38</v>
      </c>
      <c r="K48" s="208" t="s">
        <v>154</v>
      </c>
      <c r="L48" s="7">
        <v>2</v>
      </c>
      <c r="N48" s="7">
        <v>1</v>
      </c>
      <c r="O48" s="7">
        <v>0.55000000000000004</v>
      </c>
      <c r="P48" s="7">
        <v>0.65</v>
      </c>
      <c r="Q48" s="52">
        <f t="shared" si="0"/>
        <v>0.60000000000000009</v>
      </c>
      <c r="R48" s="7">
        <v>14.1</v>
      </c>
      <c r="S48" s="7">
        <v>102</v>
      </c>
      <c r="T48" s="16">
        <f t="shared" si="1"/>
        <v>33</v>
      </c>
      <c r="U48" s="208">
        <v>51</v>
      </c>
      <c r="V48" s="16">
        <f t="shared" si="2"/>
        <v>1683</v>
      </c>
      <c r="W48" s="7">
        <v>6</v>
      </c>
      <c r="X48" s="15" t="s">
        <v>46</v>
      </c>
      <c r="Y48" s="216" t="s">
        <v>84</v>
      </c>
      <c r="Z48" s="216" t="s">
        <v>50</v>
      </c>
      <c r="AA48" s="216" t="s">
        <v>90</v>
      </c>
      <c r="AB48" s="39" t="s">
        <v>310</v>
      </c>
    </row>
    <row r="49" spans="1:29" x14ac:dyDescent="0.15">
      <c r="A49" s="15" t="s">
        <v>307</v>
      </c>
      <c r="B49" s="15" t="s">
        <v>308</v>
      </c>
      <c r="C49" s="15">
        <v>2018</v>
      </c>
      <c r="D49" s="37" t="s">
        <v>313</v>
      </c>
      <c r="E49" s="7" t="s">
        <v>130</v>
      </c>
      <c r="F49" s="7" t="s">
        <v>146</v>
      </c>
      <c r="G49" s="7" t="s">
        <v>36</v>
      </c>
      <c r="H49" s="216" t="s">
        <v>155</v>
      </c>
      <c r="I49" s="208" t="s">
        <v>153</v>
      </c>
      <c r="J49" s="216" t="s">
        <v>38</v>
      </c>
      <c r="K49" s="208" t="s">
        <v>154</v>
      </c>
      <c r="L49" s="7">
        <v>3</v>
      </c>
      <c r="N49" s="7">
        <v>1</v>
      </c>
      <c r="O49" s="7">
        <v>0.6</v>
      </c>
      <c r="P49" s="34">
        <v>0.75</v>
      </c>
      <c r="Q49" s="52">
        <f t="shared" si="0"/>
        <v>0.67500000000000004</v>
      </c>
      <c r="R49" s="7">
        <v>11.6</v>
      </c>
      <c r="S49" s="7">
        <v>105</v>
      </c>
      <c r="T49" s="16">
        <f t="shared" si="1"/>
        <v>33</v>
      </c>
      <c r="U49" s="208">
        <v>51</v>
      </c>
      <c r="V49" s="16">
        <f t="shared" si="2"/>
        <v>1683</v>
      </c>
      <c r="W49" s="7">
        <v>6</v>
      </c>
      <c r="X49" s="15" t="s">
        <v>46</v>
      </c>
      <c r="Y49" s="216" t="s">
        <v>84</v>
      </c>
      <c r="Z49" s="216" t="s">
        <v>50</v>
      </c>
      <c r="AA49" s="216" t="s">
        <v>90</v>
      </c>
      <c r="AB49" s="39" t="s">
        <v>310</v>
      </c>
    </row>
    <row r="50" spans="1:29" x14ac:dyDescent="0.15">
      <c r="A50" s="15" t="s">
        <v>307</v>
      </c>
      <c r="B50" s="15" t="s">
        <v>308</v>
      </c>
      <c r="C50" s="15">
        <v>2018</v>
      </c>
      <c r="D50" s="37" t="s">
        <v>313</v>
      </c>
      <c r="E50" s="7" t="s">
        <v>130</v>
      </c>
      <c r="F50" s="7" t="s">
        <v>146</v>
      </c>
      <c r="G50" s="7" t="s">
        <v>36</v>
      </c>
      <c r="H50" s="15" t="s">
        <v>157</v>
      </c>
      <c r="I50" s="208" t="s">
        <v>153</v>
      </c>
      <c r="J50" s="15" t="s">
        <v>38</v>
      </c>
      <c r="K50" s="7" t="s">
        <v>154</v>
      </c>
      <c r="L50" s="7">
        <v>1</v>
      </c>
      <c r="N50" s="7">
        <v>1</v>
      </c>
      <c r="O50" s="7">
        <v>0.5</v>
      </c>
      <c r="P50" s="7">
        <v>0.6</v>
      </c>
      <c r="Q50" s="52">
        <f t="shared" si="0"/>
        <v>0.55000000000000004</v>
      </c>
      <c r="R50" s="7">
        <v>15.5</v>
      </c>
      <c r="S50" s="7">
        <v>130</v>
      </c>
      <c r="T50" s="16">
        <f t="shared" si="1"/>
        <v>25</v>
      </c>
      <c r="U50" s="208">
        <v>145</v>
      </c>
      <c r="V50" s="16">
        <f t="shared" si="2"/>
        <v>3625</v>
      </c>
      <c r="W50" s="7">
        <v>5</v>
      </c>
      <c r="X50" s="15" t="s">
        <v>46</v>
      </c>
      <c r="Y50" s="216" t="s">
        <v>84</v>
      </c>
      <c r="Z50" s="216" t="s">
        <v>50</v>
      </c>
      <c r="AA50" s="216" t="s">
        <v>90</v>
      </c>
      <c r="AB50" s="39" t="s">
        <v>310</v>
      </c>
    </row>
    <row r="51" spans="1:29" x14ac:dyDescent="0.15">
      <c r="A51" s="15" t="s">
        <v>307</v>
      </c>
      <c r="B51" s="15" t="s">
        <v>308</v>
      </c>
      <c r="C51" s="15">
        <v>2018</v>
      </c>
      <c r="D51" s="37" t="s">
        <v>313</v>
      </c>
      <c r="E51" s="7" t="s">
        <v>130</v>
      </c>
      <c r="F51" s="7" t="s">
        <v>146</v>
      </c>
      <c r="G51" s="7" t="s">
        <v>36</v>
      </c>
      <c r="H51" s="216" t="s">
        <v>157</v>
      </c>
      <c r="I51" s="208" t="s">
        <v>153</v>
      </c>
      <c r="J51" s="15" t="s">
        <v>38</v>
      </c>
      <c r="K51" s="7" t="s">
        <v>154</v>
      </c>
      <c r="L51" s="7">
        <v>2</v>
      </c>
      <c r="N51" s="7">
        <v>1</v>
      </c>
      <c r="O51" s="7">
        <v>0.75</v>
      </c>
      <c r="P51" s="7">
        <v>0.6</v>
      </c>
      <c r="Q51" s="52">
        <f t="shared" si="0"/>
        <v>0.67500000000000004</v>
      </c>
      <c r="R51" s="7">
        <v>13.6</v>
      </c>
      <c r="S51" s="7">
        <v>131</v>
      </c>
      <c r="T51" s="16">
        <f t="shared" si="1"/>
        <v>25</v>
      </c>
      <c r="U51" s="208">
        <v>145</v>
      </c>
      <c r="V51" s="16">
        <f t="shared" si="2"/>
        <v>3625</v>
      </c>
      <c r="W51" s="7">
        <v>5</v>
      </c>
      <c r="X51" s="15" t="s">
        <v>46</v>
      </c>
      <c r="Y51" s="216" t="s">
        <v>84</v>
      </c>
      <c r="Z51" s="216" t="s">
        <v>50</v>
      </c>
      <c r="AA51" s="216" t="s">
        <v>90</v>
      </c>
      <c r="AB51" s="39" t="s">
        <v>310</v>
      </c>
    </row>
    <row r="52" spans="1:29" x14ac:dyDescent="0.15">
      <c r="A52" s="15" t="s">
        <v>307</v>
      </c>
      <c r="B52" s="15" t="s">
        <v>308</v>
      </c>
      <c r="C52" s="15">
        <v>2018</v>
      </c>
      <c r="D52" s="37" t="s">
        <v>313</v>
      </c>
      <c r="E52" s="7" t="s">
        <v>130</v>
      </c>
      <c r="F52" s="7" t="s">
        <v>146</v>
      </c>
      <c r="G52" s="7" t="s">
        <v>36</v>
      </c>
      <c r="H52" s="216" t="s">
        <v>157</v>
      </c>
      <c r="I52" s="208" t="s">
        <v>153</v>
      </c>
      <c r="J52" s="15" t="s">
        <v>38</v>
      </c>
      <c r="K52" s="7" t="s">
        <v>154</v>
      </c>
      <c r="L52" s="7">
        <v>3</v>
      </c>
      <c r="N52" s="7">
        <v>1</v>
      </c>
      <c r="O52" s="7">
        <v>0.5</v>
      </c>
      <c r="P52" s="7">
        <v>0.5</v>
      </c>
      <c r="Q52" s="52">
        <f t="shared" si="0"/>
        <v>0.5</v>
      </c>
      <c r="R52" s="7">
        <v>15.5</v>
      </c>
      <c r="S52" s="7">
        <v>137</v>
      </c>
      <c r="T52" s="16">
        <f t="shared" si="1"/>
        <v>25</v>
      </c>
      <c r="U52" s="208">
        <v>145</v>
      </c>
      <c r="V52" s="16">
        <f t="shared" si="2"/>
        <v>3625</v>
      </c>
      <c r="W52" s="7">
        <v>5</v>
      </c>
      <c r="X52" s="15" t="s">
        <v>46</v>
      </c>
      <c r="Y52" s="216" t="s">
        <v>84</v>
      </c>
      <c r="Z52" s="216" t="s">
        <v>50</v>
      </c>
      <c r="AA52" s="216" t="s">
        <v>90</v>
      </c>
      <c r="AB52" s="39" t="s">
        <v>310</v>
      </c>
    </row>
    <row r="53" spans="1:29" x14ac:dyDescent="0.15">
      <c r="A53" s="15" t="s">
        <v>307</v>
      </c>
      <c r="B53" s="15" t="s">
        <v>308</v>
      </c>
      <c r="C53" s="15">
        <v>2018</v>
      </c>
      <c r="D53" s="37" t="s">
        <v>313</v>
      </c>
      <c r="E53" s="7" t="s">
        <v>132</v>
      </c>
      <c r="F53" s="7" t="s">
        <v>147</v>
      </c>
      <c r="G53" s="7" t="s">
        <v>36</v>
      </c>
      <c r="H53" s="15" t="s">
        <v>155</v>
      </c>
      <c r="I53" s="208" t="s">
        <v>153</v>
      </c>
      <c r="J53" s="15" t="s">
        <v>38</v>
      </c>
      <c r="K53" s="7" t="s">
        <v>154</v>
      </c>
      <c r="L53" s="7">
        <v>1</v>
      </c>
      <c r="N53" s="7">
        <v>1</v>
      </c>
      <c r="O53" s="7">
        <v>1.1499999999999999</v>
      </c>
      <c r="P53" s="7">
        <v>1.1499999999999999</v>
      </c>
      <c r="Q53" s="52">
        <f t="shared" si="0"/>
        <v>1.1499999999999999</v>
      </c>
      <c r="R53" s="7">
        <v>12.7</v>
      </c>
      <c r="S53" s="7">
        <v>143</v>
      </c>
      <c r="T53" s="16">
        <f t="shared" si="1"/>
        <v>22</v>
      </c>
      <c r="U53" s="7">
        <v>105</v>
      </c>
      <c r="V53" s="16">
        <f t="shared" si="2"/>
        <v>2310</v>
      </c>
      <c r="W53" s="7">
        <v>11</v>
      </c>
      <c r="X53" s="15" t="s">
        <v>46</v>
      </c>
      <c r="Y53" s="216" t="s">
        <v>50</v>
      </c>
      <c r="Z53" s="216" t="s">
        <v>84</v>
      </c>
      <c r="AA53" s="216" t="s">
        <v>90</v>
      </c>
      <c r="AB53" s="39" t="s">
        <v>310</v>
      </c>
      <c r="AC53" s="36"/>
    </row>
    <row r="54" spans="1:29" x14ac:dyDescent="0.15">
      <c r="A54" s="15" t="s">
        <v>307</v>
      </c>
      <c r="B54" s="15" t="s">
        <v>308</v>
      </c>
      <c r="C54" s="15">
        <v>2018</v>
      </c>
      <c r="D54" s="37" t="s">
        <v>313</v>
      </c>
      <c r="E54" s="7" t="s">
        <v>132</v>
      </c>
      <c r="F54" s="7" t="s">
        <v>147</v>
      </c>
      <c r="G54" s="7" t="s">
        <v>36</v>
      </c>
      <c r="H54" s="216" t="s">
        <v>155</v>
      </c>
      <c r="I54" s="208" t="s">
        <v>153</v>
      </c>
      <c r="J54" s="216" t="s">
        <v>38</v>
      </c>
      <c r="K54" s="7" t="s">
        <v>154</v>
      </c>
      <c r="L54" s="7">
        <v>2</v>
      </c>
      <c r="N54" s="7">
        <v>1</v>
      </c>
      <c r="O54" s="7">
        <v>1.25</v>
      </c>
      <c r="P54" s="7">
        <v>1.2</v>
      </c>
      <c r="Q54" s="52">
        <f t="shared" si="0"/>
        <v>1.2250000000000001</v>
      </c>
      <c r="R54" s="7">
        <v>12.7</v>
      </c>
      <c r="S54" s="7">
        <v>145</v>
      </c>
      <c r="T54" s="16">
        <f t="shared" si="1"/>
        <v>22</v>
      </c>
      <c r="U54" s="208">
        <v>105</v>
      </c>
      <c r="V54" s="16">
        <f t="shared" si="2"/>
        <v>2310</v>
      </c>
      <c r="W54" s="7">
        <v>11</v>
      </c>
      <c r="X54" s="15" t="s">
        <v>46</v>
      </c>
      <c r="Y54" s="216" t="s">
        <v>50</v>
      </c>
      <c r="Z54" s="216" t="s">
        <v>84</v>
      </c>
      <c r="AA54" s="216" t="s">
        <v>90</v>
      </c>
      <c r="AB54" s="39" t="s">
        <v>310</v>
      </c>
      <c r="AC54" s="36"/>
    </row>
    <row r="55" spans="1:29" x14ac:dyDescent="0.15">
      <c r="A55" s="15" t="s">
        <v>307</v>
      </c>
      <c r="B55" s="15" t="s">
        <v>308</v>
      </c>
      <c r="C55" s="15">
        <v>2018</v>
      </c>
      <c r="D55" s="37" t="s">
        <v>313</v>
      </c>
      <c r="E55" s="7" t="s">
        <v>132</v>
      </c>
      <c r="F55" s="7" t="s">
        <v>147</v>
      </c>
      <c r="G55" s="7" t="s">
        <v>36</v>
      </c>
      <c r="H55" s="216" t="s">
        <v>155</v>
      </c>
      <c r="I55" s="208" t="s">
        <v>153</v>
      </c>
      <c r="J55" s="216" t="s">
        <v>38</v>
      </c>
      <c r="K55" s="7" t="s">
        <v>154</v>
      </c>
      <c r="L55" s="7">
        <v>3</v>
      </c>
      <c r="N55" s="208">
        <v>1</v>
      </c>
      <c r="O55" s="7">
        <v>0.5</v>
      </c>
      <c r="P55" s="7">
        <v>0.55000000000000004</v>
      </c>
      <c r="Q55" s="52">
        <f t="shared" si="0"/>
        <v>0.52500000000000002</v>
      </c>
      <c r="R55" s="7">
        <v>15.5</v>
      </c>
      <c r="S55" s="7">
        <v>132</v>
      </c>
      <c r="T55" s="16">
        <f t="shared" si="1"/>
        <v>25</v>
      </c>
      <c r="U55" s="208">
        <v>105</v>
      </c>
      <c r="V55" s="16">
        <f t="shared" si="2"/>
        <v>2625</v>
      </c>
      <c r="W55" s="7">
        <v>11</v>
      </c>
      <c r="X55" s="15" t="s">
        <v>46</v>
      </c>
      <c r="Y55" s="216" t="s">
        <v>50</v>
      </c>
      <c r="Z55" s="216" t="s">
        <v>84</v>
      </c>
      <c r="AA55" s="216" t="s">
        <v>90</v>
      </c>
      <c r="AB55" s="39" t="s">
        <v>310</v>
      </c>
      <c r="AC55" s="36"/>
    </row>
    <row r="56" spans="1:29" x14ac:dyDescent="0.15">
      <c r="A56" s="15" t="s">
        <v>307</v>
      </c>
      <c r="B56" s="15" t="s">
        <v>308</v>
      </c>
      <c r="C56" s="15">
        <v>2018</v>
      </c>
      <c r="D56" s="37" t="s">
        <v>313</v>
      </c>
      <c r="E56" s="7" t="s">
        <v>132</v>
      </c>
      <c r="F56" s="7" t="s">
        <v>147</v>
      </c>
      <c r="G56" s="7" t="s">
        <v>36</v>
      </c>
      <c r="H56" s="15" t="s">
        <v>157</v>
      </c>
      <c r="I56" s="208" t="s">
        <v>153</v>
      </c>
      <c r="J56" s="15" t="s">
        <v>38</v>
      </c>
      <c r="K56" s="7" t="s">
        <v>154</v>
      </c>
      <c r="L56" s="7">
        <v>1</v>
      </c>
      <c r="N56" s="208">
        <v>1</v>
      </c>
      <c r="O56" s="7">
        <v>0.65</v>
      </c>
      <c r="P56" s="7">
        <v>0.65</v>
      </c>
      <c r="Q56" s="52">
        <f t="shared" si="0"/>
        <v>0.65</v>
      </c>
      <c r="R56" s="7">
        <v>16.7</v>
      </c>
      <c r="S56" s="7">
        <v>97</v>
      </c>
      <c r="T56" s="16">
        <f t="shared" si="1"/>
        <v>36</v>
      </c>
      <c r="U56" s="208">
        <v>138</v>
      </c>
      <c r="V56" s="16">
        <f t="shared" si="2"/>
        <v>4968</v>
      </c>
      <c r="W56" s="7">
        <v>6</v>
      </c>
      <c r="X56" s="15" t="s">
        <v>46</v>
      </c>
      <c r="Y56" s="216" t="s">
        <v>50</v>
      </c>
      <c r="Z56" s="216" t="s">
        <v>84</v>
      </c>
      <c r="AA56" s="216" t="s">
        <v>90</v>
      </c>
      <c r="AB56" s="39" t="s">
        <v>310</v>
      </c>
    </row>
    <row r="57" spans="1:29" x14ac:dyDescent="0.15">
      <c r="A57" s="15" t="s">
        <v>307</v>
      </c>
      <c r="B57" s="15" t="s">
        <v>308</v>
      </c>
      <c r="C57" s="15">
        <v>2018</v>
      </c>
      <c r="D57" s="37" t="s">
        <v>313</v>
      </c>
      <c r="E57" s="7" t="s">
        <v>132</v>
      </c>
      <c r="F57" s="7" t="s">
        <v>147</v>
      </c>
      <c r="G57" s="7" t="s">
        <v>36</v>
      </c>
      <c r="H57" s="216" t="s">
        <v>157</v>
      </c>
      <c r="I57" s="208" t="s">
        <v>153</v>
      </c>
      <c r="J57" s="15" t="s">
        <v>38</v>
      </c>
      <c r="K57" s="7" t="s">
        <v>154</v>
      </c>
      <c r="L57" s="7">
        <v>2</v>
      </c>
      <c r="N57" s="208">
        <v>1</v>
      </c>
      <c r="O57" s="7">
        <v>0.75</v>
      </c>
      <c r="P57" s="7">
        <v>0.75</v>
      </c>
      <c r="Q57" s="52">
        <f t="shared" si="0"/>
        <v>0.75</v>
      </c>
      <c r="R57" s="7">
        <v>15.3</v>
      </c>
      <c r="S57" s="7">
        <v>104</v>
      </c>
      <c r="T57" s="16">
        <f t="shared" si="1"/>
        <v>33</v>
      </c>
      <c r="U57" s="208">
        <v>138</v>
      </c>
      <c r="V57" s="16">
        <f t="shared" si="2"/>
        <v>4554</v>
      </c>
      <c r="W57" s="7">
        <v>6</v>
      </c>
      <c r="X57" s="15" t="s">
        <v>46</v>
      </c>
      <c r="Y57" s="216" t="s">
        <v>50</v>
      </c>
      <c r="Z57" s="216" t="s">
        <v>84</v>
      </c>
      <c r="AA57" s="216" t="s">
        <v>90</v>
      </c>
      <c r="AB57" s="39" t="s">
        <v>310</v>
      </c>
    </row>
    <row r="58" spans="1:29" x14ac:dyDescent="0.15">
      <c r="A58" s="15" t="s">
        <v>307</v>
      </c>
      <c r="B58" s="15" t="s">
        <v>308</v>
      </c>
      <c r="C58" s="15">
        <v>2018</v>
      </c>
      <c r="D58" s="37" t="s">
        <v>313</v>
      </c>
      <c r="E58" s="7" t="s">
        <v>132</v>
      </c>
      <c r="F58" s="7" t="s">
        <v>147</v>
      </c>
      <c r="G58" s="7" t="s">
        <v>36</v>
      </c>
      <c r="H58" s="216" t="s">
        <v>157</v>
      </c>
      <c r="I58" s="208" t="s">
        <v>153</v>
      </c>
      <c r="J58" s="15" t="s">
        <v>38</v>
      </c>
      <c r="K58" s="7" t="s">
        <v>154</v>
      </c>
      <c r="L58" s="7">
        <v>3</v>
      </c>
      <c r="N58" s="208">
        <v>1</v>
      </c>
      <c r="O58" s="7">
        <v>0.55000000000000004</v>
      </c>
      <c r="P58" s="7">
        <v>0.6</v>
      </c>
      <c r="Q58" s="52">
        <f t="shared" si="0"/>
        <v>0.57499999999999996</v>
      </c>
      <c r="R58" s="7">
        <v>15.9</v>
      </c>
      <c r="S58" s="7">
        <v>102</v>
      </c>
      <c r="T58" s="16">
        <f t="shared" si="1"/>
        <v>33</v>
      </c>
      <c r="U58" s="208">
        <v>138</v>
      </c>
      <c r="V58" s="16">
        <f t="shared" si="2"/>
        <v>4554</v>
      </c>
      <c r="W58" s="7">
        <v>6</v>
      </c>
      <c r="X58" s="15" t="s">
        <v>46</v>
      </c>
      <c r="Y58" s="216" t="s">
        <v>50</v>
      </c>
      <c r="Z58" s="216" t="s">
        <v>84</v>
      </c>
      <c r="AA58" s="216" t="s">
        <v>90</v>
      </c>
      <c r="AB58" s="39" t="s">
        <v>310</v>
      </c>
    </row>
    <row r="59" spans="1:29" x14ac:dyDescent="0.15">
      <c r="A59" s="15" t="s">
        <v>307</v>
      </c>
      <c r="B59" s="15" t="s">
        <v>308</v>
      </c>
      <c r="C59" s="15">
        <v>2018</v>
      </c>
      <c r="D59" s="37" t="s">
        <v>313</v>
      </c>
      <c r="E59" s="7" t="s">
        <v>140</v>
      </c>
      <c r="F59" s="7" t="s">
        <v>148</v>
      </c>
      <c r="G59" s="7" t="s">
        <v>36</v>
      </c>
      <c r="H59" s="15" t="s">
        <v>155</v>
      </c>
      <c r="I59" s="208" t="s">
        <v>153</v>
      </c>
      <c r="J59" s="15" t="s">
        <v>38</v>
      </c>
      <c r="K59" s="7" t="s">
        <v>154</v>
      </c>
      <c r="L59" s="7">
        <v>1</v>
      </c>
      <c r="N59" s="208">
        <v>1</v>
      </c>
      <c r="O59" s="7">
        <v>0.6</v>
      </c>
      <c r="P59" s="7">
        <v>0.75</v>
      </c>
      <c r="Q59" s="52">
        <f t="shared" si="0"/>
        <v>0.67500000000000004</v>
      </c>
      <c r="R59" s="7">
        <v>14.9</v>
      </c>
      <c r="S59" s="7">
        <v>119</v>
      </c>
      <c r="T59" s="16">
        <f t="shared" si="1"/>
        <v>30</v>
      </c>
      <c r="U59" s="7">
        <v>59</v>
      </c>
      <c r="V59" s="16">
        <f t="shared" si="2"/>
        <v>1770</v>
      </c>
      <c r="W59" s="7">
        <v>6</v>
      </c>
      <c r="X59" s="15" t="s">
        <v>46</v>
      </c>
      <c r="Y59" s="216" t="s">
        <v>50</v>
      </c>
      <c r="Z59" s="216" t="s">
        <v>90</v>
      </c>
      <c r="AA59" s="216" t="s">
        <v>84</v>
      </c>
      <c r="AB59" s="39" t="s">
        <v>310</v>
      </c>
    </row>
    <row r="60" spans="1:29" x14ac:dyDescent="0.15">
      <c r="A60" s="15" t="s">
        <v>307</v>
      </c>
      <c r="B60" s="15" t="s">
        <v>308</v>
      </c>
      <c r="C60" s="15">
        <v>2018</v>
      </c>
      <c r="D60" s="37" t="s">
        <v>313</v>
      </c>
      <c r="E60" s="7" t="s">
        <v>140</v>
      </c>
      <c r="F60" s="7" t="s">
        <v>148</v>
      </c>
      <c r="G60" s="7" t="s">
        <v>36</v>
      </c>
      <c r="H60" s="216" t="s">
        <v>155</v>
      </c>
      <c r="I60" s="208" t="s">
        <v>153</v>
      </c>
      <c r="J60" s="15" t="s">
        <v>38</v>
      </c>
      <c r="K60" s="7" t="s">
        <v>154</v>
      </c>
      <c r="L60" s="7">
        <v>2</v>
      </c>
      <c r="N60" s="7">
        <v>1</v>
      </c>
      <c r="O60" s="7">
        <v>0.5</v>
      </c>
      <c r="P60" s="7">
        <v>0.5</v>
      </c>
      <c r="Q60" s="52">
        <f t="shared" si="0"/>
        <v>0.5</v>
      </c>
      <c r="R60" s="7">
        <v>13.2</v>
      </c>
      <c r="S60" s="7">
        <v>120</v>
      </c>
      <c r="T60" s="16">
        <f>IF(H60="","",IF(OR(H60="GREEN",H60="GK"),IF(S60&gt;=$AX$2,VLOOKUP(S60,$AX$2:$AY$12,2,1),""),IF(S60&gt;=$AZ$2,VLOOKUP(S60,$AZ$2:$BA$12,2,1),"")))</f>
        <v>30</v>
      </c>
      <c r="U60" s="208">
        <v>59</v>
      </c>
      <c r="V60" s="16">
        <f t="shared" si="2"/>
        <v>1770</v>
      </c>
      <c r="W60" s="7">
        <v>6</v>
      </c>
      <c r="X60" s="216" t="s">
        <v>46</v>
      </c>
      <c r="Y60" s="216" t="s">
        <v>50</v>
      </c>
      <c r="Z60" s="216" t="s">
        <v>90</v>
      </c>
      <c r="AA60" s="216" t="s">
        <v>84</v>
      </c>
      <c r="AB60" s="39" t="s">
        <v>310</v>
      </c>
    </row>
    <row r="61" spans="1:29" x14ac:dyDescent="0.15">
      <c r="A61" s="15" t="s">
        <v>307</v>
      </c>
      <c r="B61" s="15" t="s">
        <v>308</v>
      </c>
      <c r="C61" s="15">
        <v>2018</v>
      </c>
      <c r="D61" s="37" t="s">
        <v>313</v>
      </c>
      <c r="E61" s="7" t="s">
        <v>140</v>
      </c>
      <c r="F61" s="7" t="s">
        <v>148</v>
      </c>
      <c r="G61" s="7" t="s">
        <v>36</v>
      </c>
      <c r="H61" s="216" t="s">
        <v>155</v>
      </c>
      <c r="I61" s="208" t="s">
        <v>153</v>
      </c>
      <c r="J61" s="15" t="s">
        <v>38</v>
      </c>
      <c r="K61" s="7" t="s">
        <v>154</v>
      </c>
      <c r="L61" s="7">
        <v>3</v>
      </c>
      <c r="N61" s="7">
        <v>1</v>
      </c>
      <c r="O61" s="7">
        <v>0.85</v>
      </c>
      <c r="P61" s="7">
        <v>0.75</v>
      </c>
      <c r="Q61" s="52">
        <f t="shared" si="0"/>
        <v>0.8</v>
      </c>
      <c r="R61" s="7">
        <v>14</v>
      </c>
      <c r="S61" s="7">
        <v>117</v>
      </c>
      <c r="T61" s="16">
        <f>IF(H61="","",IF(OR(H61="GREEN",H61="GK"),IF(S61&gt;=$AX$2,VLOOKUP(S61,$AX$2:$AY$12,2,1),""),IF(S61&gt;=$AZ$2,VLOOKUP(S61,$AZ$2:$BA$12,2,1),"")))</f>
        <v>30</v>
      </c>
      <c r="U61" s="208">
        <v>59</v>
      </c>
      <c r="V61" s="16">
        <f t="shared" si="2"/>
        <v>1770</v>
      </c>
      <c r="W61" s="7">
        <v>6</v>
      </c>
      <c r="X61" s="216" t="s">
        <v>46</v>
      </c>
      <c r="Y61" s="216" t="s">
        <v>50</v>
      </c>
      <c r="Z61" s="216" t="s">
        <v>90</v>
      </c>
      <c r="AA61" s="216" t="s">
        <v>84</v>
      </c>
      <c r="AB61" s="39" t="s">
        <v>310</v>
      </c>
    </row>
    <row r="62" spans="1:29" x14ac:dyDescent="0.15">
      <c r="A62" s="15" t="s">
        <v>307</v>
      </c>
      <c r="B62" s="15" t="s">
        <v>308</v>
      </c>
      <c r="C62" s="15">
        <v>2018</v>
      </c>
      <c r="D62" s="37" t="s">
        <v>313</v>
      </c>
      <c r="E62" s="7" t="s">
        <v>140</v>
      </c>
      <c r="F62" s="7" t="s">
        <v>148</v>
      </c>
      <c r="G62" s="7" t="s">
        <v>36</v>
      </c>
      <c r="H62" s="15" t="s">
        <v>157</v>
      </c>
      <c r="I62" s="208" t="s">
        <v>153</v>
      </c>
      <c r="J62" s="15" t="s">
        <v>38</v>
      </c>
      <c r="K62" s="7" t="s">
        <v>154</v>
      </c>
      <c r="L62" s="7">
        <v>1</v>
      </c>
      <c r="N62" s="7">
        <v>1</v>
      </c>
      <c r="O62" s="7">
        <v>0.6</v>
      </c>
      <c r="P62" s="7">
        <v>0.5</v>
      </c>
      <c r="Q62" s="52">
        <f t="shared" si="0"/>
        <v>0.55000000000000004</v>
      </c>
      <c r="R62" s="7">
        <v>17</v>
      </c>
      <c r="S62" s="7">
        <v>127</v>
      </c>
      <c r="T62" s="16">
        <f t="shared" ref="T62:T120" si="3">IF(H62="","",IF(OR(H62="GREEN",H62="GK"),IF(S62&gt;=$AX$2,VLOOKUP(S62,$AX$2:$AY$12,2,1),""),IF(S62&gt;=$AZ$2,VLOOKUP(S62,$AZ$2:$BA$12,2,1),"")))</f>
        <v>27</v>
      </c>
      <c r="U62" s="7">
        <v>138</v>
      </c>
      <c r="V62" s="16">
        <f t="shared" si="2"/>
        <v>3726</v>
      </c>
      <c r="W62" s="7">
        <v>13</v>
      </c>
      <c r="X62" s="216" t="s">
        <v>46</v>
      </c>
      <c r="Y62" s="216" t="s">
        <v>50</v>
      </c>
      <c r="Z62" s="216" t="s">
        <v>90</v>
      </c>
      <c r="AA62" s="216" t="s">
        <v>84</v>
      </c>
      <c r="AB62" s="39" t="s">
        <v>310</v>
      </c>
    </row>
    <row r="63" spans="1:29" x14ac:dyDescent="0.15">
      <c r="A63" s="15" t="s">
        <v>307</v>
      </c>
      <c r="B63" s="15" t="s">
        <v>308</v>
      </c>
      <c r="C63" s="15">
        <v>2018</v>
      </c>
      <c r="D63" s="37" t="s">
        <v>313</v>
      </c>
      <c r="E63" s="7" t="s">
        <v>140</v>
      </c>
      <c r="F63" s="7" t="s">
        <v>148</v>
      </c>
      <c r="G63" s="7" t="s">
        <v>36</v>
      </c>
      <c r="H63" s="216" t="s">
        <v>157</v>
      </c>
      <c r="I63" s="208" t="s">
        <v>153</v>
      </c>
      <c r="J63" s="15" t="s">
        <v>38</v>
      </c>
      <c r="K63" s="7" t="s">
        <v>154</v>
      </c>
      <c r="L63" s="7">
        <v>2</v>
      </c>
      <c r="N63" s="7">
        <v>1</v>
      </c>
      <c r="O63" s="7">
        <v>0.7</v>
      </c>
      <c r="P63" s="7">
        <v>0.7</v>
      </c>
      <c r="Q63" s="52">
        <f t="shared" si="0"/>
        <v>0.7</v>
      </c>
      <c r="R63" s="7">
        <v>16.100000000000001</v>
      </c>
      <c r="S63" s="7">
        <v>127</v>
      </c>
      <c r="T63" s="16">
        <f t="shared" si="3"/>
        <v>27</v>
      </c>
      <c r="U63" s="208">
        <v>138</v>
      </c>
      <c r="V63" s="16">
        <f t="shared" si="2"/>
        <v>3726</v>
      </c>
      <c r="W63" s="7">
        <v>13</v>
      </c>
      <c r="X63" s="216" t="s">
        <v>46</v>
      </c>
      <c r="Y63" s="216" t="s">
        <v>50</v>
      </c>
      <c r="Z63" s="216" t="s">
        <v>90</v>
      </c>
      <c r="AA63" s="216" t="s">
        <v>84</v>
      </c>
      <c r="AB63" s="39" t="s">
        <v>310</v>
      </c>
    </row>
    <row r="64" spans="1:29" x14ac:dyDescent="0.15">
      <c r="A64" s="15" t="s">
        <v>307</v>
      </c>
      <c r="B64" s="15" t="s">
        <v>308</v>
      </c>
      <c r="C64" s="15">
        <v>2018</v>
      </c>
      <c r="D64" s="37" t="s">
        <v>313</v>
      </c>
      <c r="E64" s="7" t="s">
        <v>140</v>
      </c>
      <c r="F64" s="7" t="s">
        <v>148</v>
      </c>
      <c r="G64" s="7" t="s">
        <v>36</v>
      </c>
      <c r="H64" s="216" t="s">
        <v>157</v>
      </c>
      <c r="I64" s="208" t="s">
        <v>153</v>
      </c>
      <c r="J64" s="15" t="s">
        <v>38</v>
      </c>
      <c r="K64" s="7" t="s">
        <v>154</v>
      </c>
      <c r="L64" s="7">
        <v>3</v>
      </c>
      <c r="N64" s="7">
        <v>1</v>
      </c>
      <c r="O64" s="7">
        <v>0.55000000000000004</v>
      </c>
      <c r="P64" s="7">
        <v>0.7</v>
      </c>
      <c r="Q64" s="52">
        <f t="shared" si="0"/>
        <v>0.625</v>
      </c>
      <c r="R64" s="7">
        <v>15.5</v>
      </c>
      <c r="S64" s="7">
        <v>129</v>
      </c>
      <c r="T64" s="16">
        <f t="shared" si="3"/>
        <v>25</v>
      </c>
      <c r="U64" s="208">
        <v>138</v>
      </c>
      <c r="V64" s="16">
        <f t="shared" si="2"/>
        <v>3450</v>
      </c>
      <c r="W64" s="7">
        <v>13</v>
      </c>
      <c r="X64" s="216" t="s">
        <v>46</v>
      </c>
      <c r="Y64" s="216" t="s">
        <v>50</v>
      </c>
      <c r="Z64" s="216" t="s">
        <v>90</v>
      </c>
      <c r="AA64" s="216" t="s">
        <v>84</v>
      </c>
      <c r="AB64" s="39" t="s">
        <v>310</v>
      </c>
    </row>
    <row r="65" spans="1:28" x14ac:dyDescent="0.15">
      <c r="A65" s="15"/>
      <c r="B65" s="15"/>
      <c r="C65" s="15"/>
      <c r="D65" s="37"/>
      <c r="H65" s="15"/>
      <c r="I65" s="208"/>
      <c r="J65" s="15"/>
      <c r="Q65" s="52" t="str">
        <f t="shared" si="0"/>
        <v/>
      </c>
      <c r="T65" s="16" t="str">
        <f t="shared" si="3"/>
        <v/>
      </c>
      <c r="V65" s="16" t="str">
        <f t="shared" si="2"/>
        <v/>
      </c>
      <c r="X65" s="216"/>
      <c r="Y65" s="216"/>
      <c r="Z65" s="216"/>
      <c r="AA65" s="216"/>
      <c r="AB65" s="39"/>
    </row>
    <row r="66" spans="1:28" x14ac:dyDescent="0.15">
      <c r="A66" s="15"/>
      <c r="B66" s="15"/>
      <c r="C66" s="15"/>
      <c r="D66" s="37"/>
      <c r="H66" s="216"/>
      <c r="I66" s="208"/>
      <c r="J66" s="15"/>
      <c r="Q66" s="52" t="str">
        <f t="shared" ref="Q66:Q77" si="4">IF(OR(O66="",P66=""),"",AVERAGE(O66,P66))</f>
        <v/>
      </c>
      <c r="T66" s="16" t="str">
        <f t="shared" si="3"/>
        <v/>
      </c>
      <c r="U66" s="208"/>
      <c r="V66" s="16" t="str">
        <f t="shared" ref="V66:V70" si="5">IF(OR(N66="",U66="",T66=""),"",U66/N66*T66)</f>
        <v/>
      </c>
      <c r="X66" s="216"/>
      <c r="Y66" s="216"/>
      <c r="Z66" s="216"/>
      <c r="AA66" s="216"/>
      <c r="AB66" s="39"/>
    </row>
    <row r="67" spans="1:28" x14ac:dyDescent="0.15">
      <c r="A67" s="15"/>
      <c r="B67" s="15"/>
      <c r="C67" s="15"/>
      <c r="D67" s="37"/>
      <c r="H67" s="216"/>
      <c r="I67" s="208"/>
      <c r="J67" s="15"/>
      <c r="Q67" s="52" t="str">
        <f t="shared" si="4"/>
        <v/>
      </c>
      <c r="T67" s="16" t="str">
        <f t="shared" si="3"/>
        <v/>
      </c>
      <c r="U67" s="208"/>
      <c r="V67" s="16" t="str">
        <f t="shared" si="5"/>
        <v/>
      </c>
      <c r="X67" s="216"/>
      <c r="Y67" s="216"/>
      <c r="Z67" s="216"/>
      <c r="AA67" s="216"/>
      <c r="AB67" s="39"/>
    </row>
    <row r="68" spans="1:28" x14ac:dyDescent="0.15">
      <c r="A68" s="15"/>
      <c r="B68" s="15"/>
      <c r="C68" s="15"/>
      <c r="D68" s="37"/>
      <c r="H68" s="15"/>
      <c r="I68" s="208"/>
      <c r="J68" s="15"/>
      <c r="Q68" s="52" t="str">
        <f t="shared" si="4"/>
        <v/>
      </c>
      <c r="T68" s="16" t="str">
        <f t="shared" si="3"/>
        <v/>
      </c>
      <c r="V68" s="16" t="str">
        <f t="shared" si="5"/>
        <v/>
      </c>
      <c r="X68" s="216"/>
      <c r="Y68" s="216"/>
      <c r="Z68" s="216"/>
      <c r="AA68" s="216"/>
      <c r="AB68" s="39"/>
    </row>
    <row r="69" spans="1:28" x14ac:dyDescent="0.15">
      <c r="A69" s="15"/>
      <c r="B69" s="15"/>
      <c r="C69" s="15"/>
      <c r="D69" s="37"/>
      <c r="H69" s="216"/>
      <c r="I69" s="208"/>
      <c r="J69" s="15"/>
      <c r="N69" s="208"/>
      <c r="Q69" s="52" t="str">
        <f t="shared" si="4"/>
        <v/>
      </c>
      <c r="T69" s="16" t="str">
        <f t="shared" si="3"/>
        <v/>
      </c>
      <c r="U69" s="208"/>
      <c r="V69" s="16" t="str">
        <f t="shared" si="5"/>
        <v/>
      </c>
      <c r="X69" s="216"/>
      <c r="Y69" s="216"/>
      <c r="Z69" s="216"/>
      <c r="AA69" s="216"/>
      <c r="AB69" s="39"/>
    </row>
    <row r="70" spans="1:28" x14ac:dyDescent="0.15">
      <c r="A70" s="15"/>
      <c r="B70" s="15"/>
      <c r="C70" s="15"/>
      <c r="D70" s="37"/>
      <c r="H70" s="216"/>
      <c r="I70" s="208"/>
      <c r="J70" s="15"/>
      <c r="N70" s="208"/>
      <c r="Q70" s="52" t="str">
        <f t="shared" si="4"/>
        <v/>
      </c>
      <c r="T70" s="16" t="str">
        <f t="shared" si="3"/>
        <v/>
      </c>
      <c r="U70" s="208"/>
      <c r="V70" s="16" t="str">
        <f t="shared" si="5"/>
        <v/>
      </c>
      <c r="X70" s="216"/>
      <c r="Y70" s="216"/>
      <c r="Z70" s="216"/>
      <c r="AA70" s="216"/>
      <c r="AB70" s="39"/>
    </row>
    <row r="71" spans="1:28" x14ac:dyDescent="0.15">
      <c r="A71" s="15"/>
      <c r="B71" s="15"/>
      <c r="C71" s="15"/>
      <c r="D71" s="37"/>
      <c r="H71" s="15"/>
      <c r="I71" s="208"/>
      <c r="J71" s="15"/>
      <c r="N71" s="208"/>
      <c r="Q71" s="52" t="str">
        <f t="shared" si="4"/>
        <v/>
      </c>
      <c r="T71" s="16" t="str">
        <f t="shared" si="3"/>
        <v/>
      </c>
      <c r="V71" s="16" t="str">
        <f>IF(OR(N71="",U71="",T71=""),"",U71/N71*T71)</f>
        <v/>
      </c>
      <c r="X71" s="15"/>
      <c r="Y71" s="15"/>
      <c r="Z71" s="15"/>
      <c r="AA71" s="15"/>
      <c r="AB71" s="39"/>
    </row>
    <row r="72" spans="1:28" x14ac:dyDescent="0.15">
      <c r="A72" s="15"/>
      <c r="B72" s="15"/>
      <c r="C72" s="15"/>
      <c r="D72" s="37"/>
      <c r="H72" s="216"/>
      <c r="I72" s="208"/>
      <c r="J72" s="216"/>
      <c r="K72" s="208"/>
      <c r="N72" s="208"/>
      <c r="Q72" s="52" t="str">
        <f t="shared" si="4"/>
        <v/>
      </c>
      <c r="T72" s="16" t="str">
        <f t="shared" si="3"/>
        <v/>
      </c>
      <c r="U72" s="208"/>
      <c r="V72" s="16" t="str">
        <f t="shared" ref="V72:V74" si="6">IF(OR(N72="",U72="",T72=""),"",U72/N72*T72)</f>
        <v/>
      </c>
      <c r="X72" s="15"/>
      <c r="Y72" s="216"/>
      <c r="Z72" s="216"/>
      <c r="AA72" s="216"/>
      <c r="AB72" s="39"/>
    </row>
    <row r="73" spans="1:28" x14ac:dyDescent="0.15">
      <c r="A73" s="15"/>
      <c r="B73" s="15"/>
      <c r="C73" s="15"/>
      <c r="D73" s="37"/>
      <c r="H73" s="216"/>
      <c r="I73" s="208"/>
      <c r="J73" s="216"/>
      <c r="K73" s="208"/>
      <c r="N73" s="208"/>
      <c r="Q73" s="52" t="str">
        <f t="shared" si="4"/>
        <v/>
      </c>
      <c r="T73" s="16" t="str">
        <f t="shared" si="3"/>
        <v/>
      </c>
      <c r="U73" s="208"/>
      <c r="V73" s="16" t="str">
        <f>IF(OR(N73="",U73="",T73=""),"",U73/N73*T73)</f>
        <v/>
      </c>
      <c r="X73" s="15"/>
      <c r="Y73" s="216"/>
      <c r="Z73" s="216"/>
      <c r="AA73" s="216"/>
      <c r="AB73" s="39"/>
    </row>
    <row r="74" spans="1:28" x14ac:dyDescent="0.15">
      <c r="A74" s="15"/>
      <c r="B74" s="15"/>
      <c r="C74" s="15"/>
      <c r="D74" s="37"/>
      <c r="H74" s="15"/>
      <c r="I74" s="208"/>
      <c r="J74" s="15"/>
      <c r="N74" s="208"/>
      <c r="Q74" s="52" t="str">
        <f t="shared" si="4"/>
        <v/>
      </c>
      <c r="T74" s="16" t="str">
        <f t="shared" si="3"/>
        <v/>
      </c>
      <c r="V74" s="16" t="str">
        <f t="shared" si="6"/>
        <v/>
      </c>
      <c r="X74" s="15"/>
      <c r="Y74" s="216"/>
      <c r="Z74" s="216"/>
      <c r="AA74" s="216"/>
      <c r="AB74" s="39"/>
    </row>
    <row r="75" spans="1:28" x14ac:dyDescent="0.15">
      <c r="A75" s="15"/>
      <c r="B75" s="15"/>
      <c r="C75" s="15"/>
      <c r="D75" s="37"/>
      <c r="H75" s="216"/>
      <c r="I75" s="208"/>
      <c r="J75" s="15"/>
      <c r="N75" s="208"/>
      <c r="Q75" s="52" t="str">
        <f t="shared" si="4"/>
        <v/>
      </c>
      <c r="T75" s="16" t="str">
        <f t="shared" si="3"/>
        <v/>
      </c>
      <c r="U75" s="208"/>
      <c r="V75" s="16" t="str">
        <f>IF(OR(N75="",U75="",T75=""),"",U75/N75*T75)</f>
        <v/>
      </c>
      <c r="X75" s="15"/>
      <c r="Y75" s="216"/>
      <c r="Z75" s="216"/>
      <c r="AA75" s="216"/>
      <c r="AB75" s="39"/>
    </row>
    <row r="76" spans="1:28" x14ac:dyDescent="0.15">
      <c r="A76" s="15"/>
      <c r="B76" s="15"/>
      <c r="C76" s="15"/>
      <c r="D76" s="37"/>
      <c r="H76" s="216"/>
      <c r="I76" s="208"/>
      <c r="J76" s="15"/>
      <c r="N76" s="208"/>
      <c r="Q76" s="52" t="str">
        <f t="shared" si="4"/>
        <v/>
      </c>
      <c r="T76" s="16" t="str">
        <f t="shared" si="3"/>
        <v/>
      </c>
      <c r="U76" s="208"/>
      <c r="V76" s="16" t="str">
        <f>IF(OR(N76="",U76="",T76=""),"",U76/N76*T76)</f>
        <v/>
      </c>
      <c r="X76" s="15"/>
      <c r="Y76" s="216"/>
      <c r="Z76" s="216"/>
      <c r="AA76" s="216"/>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15"/>
  <sheetViews>
    <sheetView topLeftCell="A4" zoomScale="70" zoomScaleNormal="70" workbookViewId="0">
      <selection activeCell="AB8" sqref="AB8"/>
    </sheetView>
  </sheetViews>
  <sheetFormatPr defaultColWidth="9" defaultRowHeight="13.5" x14ac:dyDescent="0.15"/>
  <cols>
    <col min="1" max="3" width="9" style="237"/>
    <col min="4" max="4" width="11" style="237" bestFit="1" customWidth="1"/>
    <col min="5" max="5" width="10.875" style="237" bestFit="1" customWidth="1"/>
    <col min="6" max="16" width="9" style="237"/>
    <col min="17" max="17" width="9" style="57"/>
    <col min="18" max="18" width="9" style="237"/>
    <col min="19" max="19" width="11.625" style="237" bestFit="1" customWidth="1"/>
    <col min="20" max="20" width="9" style="57"/>
    <col min="21" max="21" width="9" style="237"/>
    <col min="22" max="22" width="9" style="58"/>
    <col min="23" max="32" width="9" style="237"/>
    <col min="33" max="33" width="14.375" style="237" bestFit="1" customWidth="1"/>
    <col min="34" max="34" width="11.375" style="237" bestFit="1" customWidth="1"/>
    <col min="35" max="16384" width="9" style="237"/>
  </cols>
  <sheetData>
    <row r="1" spans="1:53" ht="45" x14ac:dyDescent="0.15">
      <c r="A1" s="240" t="s">
        <v>0</v>
      </c>
      <c r="B1" s="202" t="s">
        <v>1</v>
      </c>
      <c r="C1" s="202" t="s">
        <v>315</v>
      </c>
      <c r="D1" s="203" t="s">
        <v>3</v>
      </c>
      <c r="E1" s="241" t="s">
        <v>4</v>
      </c>
      <c r="F1" s="241" t="s">
        <v>5</v>
      </c>
      <c r="G1" s="241" t="s">
        <v>6</v>
      </c>
      <c r="H1" s="241" t="s">
        <v>7</v>
      </c>
      <c r="I1" s="241" t="s">
        <v>8</v>
      </c>
      <c r="J1" s="241" t="s">
        <v>9</v>
      </c>
      <c r="K1" s="241" t="s">
        <v>10</v>
      </c>
      <c r="L1" s="203" t="s">
        <v>316</v>
      </c>
      <c r="M1" s="203" t="s">
        <v>12</v>
      </c>
      <c r="N1" s="203" t="s">
        <v>13</v>
      </c>
      <c r="O1" s="203" t="s">
        <v>317</v>
      </c>
      <c r="P1" s="203" t="s">
        <v>318</v>
      </c>
      <c r="Q1" s="53" t="s">
        <v>16</v>
      </c>
      <c r="R1" s="203" t="s">
        <v>319</v>
      </c>
      <c r="S1" s="203" t="s">
        <v>320</v>
      </c>
      <c r="T1" s="53" t="s">
        <v>19</v>
      </c>
      <c r="U1" s="205" t="s">
        <v>108</v>
      </c>
      <c r="V1" s="54" t="s">
        <v>20</v>
      </c>
      <c r="W1" s="203" t="s">
        <v>21</v>
      </c>
      <c r="X1" s="241" t="s">
        <v>22</v>
      </c>
      <c r="Y1" s="241" t="s">
        <v>23</v>
      </c>
      <c r="Z1" s="241" t="s">
        <v>24</v>
      </c>
      <c r="AA1" s="241" t="s">
        <v>25</v>
      </c>
      <c r="AB1" s="242" t="s">
        <v>321</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322</v>
      </c>
      <c r="AY1" s="214" t="s">
        <v>323</v>
      </c>
      <c r="AZ1" s="214" t="s">
        <v>324</v>
      </c>
      <c r="BA1" s="215" t="s">
        <v>326</v>
      </c>
    </row>
    <row r="2" spans="1:53" s="55" customFormat="1" x14ac:dyDescent="0.15">
      <c r="A2" s="55" t="s">
        <v>41</v>
      </c>
      <c r="B2" s="237" t="s">
        <v>308</v>
      </c>
      <c r="C2" s="152">
        <v>2018</v>
      </c>
      <c r="D2" s="56" t="s">
        <v>327</v>
      </c>
      <c r="E2" s="237" t="s">
        <v>133</v>
      </c>
      <c r="F2" s="237" t="s">
        <v>279</v>
      </c>
      <c r="G2" s="55" t="s">
        <v>42</v>
      </c>
      <c r="H2" s="55" t="s">
        <v>155</v>
      </c>
      <c r="I2" s="55" t="s">
        <v>153</v>
      </c>
      <c r="J2" s="55" t="s">
        <v>38</v>
      </c>
      <c r="K2" s="55" t="s">
        <v>154</v>
      </c>
      <c r="L2" s="237">
        <v>1</v>
      </c>
      <c r="M2" s="237"/>
      <c r="N2" s="55">
        <v>1</v>
      </c>
      <c r="O2" s="237">
        <v>1.2</v>
      </c>
      <c r="P2" s="237">
        <v>1.3</v>
      </c>
      <c r="Q2" s="250">
        <f t="shared" ref="Q2:Q65" si="0">IF(OR(O2="",P2=""),"",AVERAGE(O2,P2))</f>
        <v>1.25</v>
      </c>
      <c r="R2" s="237">
        <v>12.9</v>
      </c>
      <c r="S2" s="55">
        <v>141</v>
      </c>
      <c r="T2" s="57">
        <f t="shared" ref="T2:T10" si="1">IF(H2="","",IF(OR(H2="GREEN",H2="GK"),IF(S2&gt;=$AX$2,VLOOKUP(S2,$AX$2:$AY$10,2,1),""),IF(S2&gt;=$AZ$2,VLOOKUP(S2,$AZ$2:$BA$10,2,1),"")))</f>
        <v>22</v>
      </c>
      <c r="U2" s="237">
        <v>105</v>
      </c>
      <c r="V2" s="58">
        <f t="shared" ref="V2:V65" si="2">IF(OR(N2="",U2="",T2=""),"",U2/N2*T2)</f>
        <v>2310</v>
      </c>
      <c r="W2" s="237">
        <v>4</v>
      </c>
      <c r="X2" s="55" t="s">
        <v>46</v>
      </c>
      <c r="Y2" s="55" t="s">
        <v>84</v>
      </c>
      <c r="Z2" s="55" t="s">
        <v>69</v>
      </c>
      <c r="AA2" s="55" t="s">
        <v>90</v>
      </c>
      <c r="AB2" s="55" t="s">
        <v>310</v>
      </c>
      <c r="AE2" s="218" t="s">
        <v>35</v>
      </c>
      <c r="AG2" s="59" t="s">
        <v>133</v>
      </c>
      <c r="AH2" s="60" t="s">
        <v>279</v>
      </c>
      <c r="AJ2" s="243" t="s">
        <v>36</v>
      </c>
      <c r="AL2" s="243" t="s">
        <v>127</v>
      </c>
      <c r="AN2" s="243" t="s">
        <v>37</v>
      </c>
      <c r="AP2" s="243" t="s">
        <v>38</v>
      </c>
      <c r="AR2" s="243" t="s">
        <v>328</v>
      </c>
      <c r="AT2" s="243" t="s">
        <v>39</v>
      </c>
      <c r="AV2" s="243" t="s">
        <v>40</v>
      </c>
      <c r="AX2" s="61">
        <v>1</v>
      </c>
      <c r="AY2" s="62">
        <v>50</v>
      </c>
      <c r="AZ2" s="62">
        <v>1</v>
      </c>
      <c r="BA2" s="63">
        <v>50</v>
      </c>
    </row>
    <row r="3" spans="1:53" x14ac:dyDescent="0.15">
      <c r="A3" s="55" t="s">
        <v>41</v>
      </c>
      <c r="B3" s="237" t="s">
        <v>308</v>
      </c>
      <c r="C3" s="152">
        <v>2018</v>
      </c>
      <c r="D3" s="56" t="s">
        <v>327</v>
      </c>
      <c r="E3" s="237" t="s">
        <v>133</v>
      </c>
      <c r="F3" s="237" t="s">
        <v>279</v>
      </c>
      <c r="G3" s="55" t="s">
        <v>42</v>
      </c>
      <c r="H3" s="55" t="s">
        <v>155</v>
      </c>
      <c r="I3" s="55" t="s">
        <v>153</v>
      </c>
      <c r="J3" s="55" t="s">
        <v>38</v>
      </c>
      <c r="K3" s="55" t="s">
        <v>154</v>
      </c>
      <c r="L3" s="237">
        <v>2</v>
      </c>
      <c r="N3" s="55">
        <v>1</v>
      </c>
      <c r="O3" s="237">
        <v>0.95</v>
      </c>
      <c r="P3" s="237">
        <v>1</v>
      </c>
      <c r="Q3" s="250">
        <f t="shared" si="0"/>
        <v>0.97499999999999998</v>
      </c>
      <c r="R3" s="237">
        <v>14.1</v>
      </c>
      <c r="S3" s="55">
        <v>140</v>
      </c>
      <c r="T3" s="57">
        <f t="shared" si="1"/>
        <v>22</v>
      </c>
      <c r="U3" s="237">
        <v>105</v>
      </c>
      <c r="V3" s="58">
        <f t="shared" si="2"/>
        <v>2310</v>
      </c>
      <c r="W3" s="237">
        <v>4</v>
      </c>
      <c r="X3" s="55" t="s">
        <v>46</v>
      </c>
      <c r="Y3" s="55" t="s">
        <v>84</v>
      </c>
      <c r="Z3" s="55" t="s">
        <v>69</v>
      </c>
      <c r="AA3" s="55" t="s">
        <v>90</v>
      </c>
      <c r="AB3" s="55" t="s">
        <v>310</v>
      </c>
      <c r="AE3" s="223" t="s">
        <v>41</v>
      </c>
      <c r="AG3" s="64" t="s">
        <v>274</v>
      </c>
      <c r="AH3" s="64" t="s">
        <v>279</v>
      </c>
      <c r="AJ3" s="65" t="s">
        <v>42</v>
      </c>
      <c r="AL3" s="65" t="s">
        <v>128</v>
      </c>
      <c r="AN3" s="65" t="s">
        <v>43</v>
      </c>
      <c r="AP3" s="65" t="s">
        <v>44</v>
      </c>
      <c r="AR3" s="231" t="s">
        <v>45</v>
      </c>
      <c r="AT3" s="65" t="s">
        <v>46</v>
      </c>
      <c r="AV3" s="65" t="s">
        <v>47</v>
      </c>
      <c r="AX3" s="66">
        <v>72</v>
      </c>
      <c r="AY3" s="67">
        <v>46</v>
      </c>
      <c r="AZ3" s="67">
        <v>71</v>
      </c>
      <c r="BA3" s="68">
        <v>42</v>
      </c>
    </row>
    <row r="4" spans="1:53" x14ac:dyDescent="0.15">
      <c r="A4" s="55" t="s">
        <v>41</v>
      </c>
      <c r="B4" s="237" t="s">
        <v>308</v>
      </c>
      <c r="C4" s="152">
        <v>2018</v>
      </c>
      <c r="D4" s="56" t="s">
        <v>329</v>
      </c>
      <c r="E4" s="237" t="s">
        <v>133</v>
      </c>
      <c r="F4" s="237" t="s">
        <v>279</v>
      </c>
      <c r="G4" s="55" t="s">
        <v>42</v>
      </c>
      <c r="H4" s="55" t="s">
        <v>155</v>
      </c>
      <c r="I4" s="55" t="s">
        <v>153</v>
      </c>
      <c r="J4" s="55" t="s">
        <v>38</v>
      </c>
      <c r="K4" s="55" t="s">
        <v>154</v>
      </c>
      <c r="L4" s="237">
        <v>3</v>
      </c>
      <c r="N4" s="55">
        <v>1</v>
      </c>
      <c r="O4" s="237">
        <v>1</v>
      </c>
      <c r="P4" s="237">
        <v>1.2</v>
      </c>
      <c r="Q4" s="250">
        <f t="shared" si="0"/>
        <v>1.1000000000000001</v>
      </c>
      <c r="R4" s="237">
        <v>14</v>
      </c>
      <c r="S4" s="55">
        <v>145</v>
      </c>
      <c r="T4" s="57">
        <f t="shared" si="1"/>
        <v>22</v>
      </c>
      <c r="U4" s="237">
        <v>105</v>
      </c>
      <c r="V4" s="58">
        <f t="shared" si="2"/>
        <v>2310</v>
      </c>
      <c r="W4" s="237">
        <v>4</v>
      </c>
      <c r="X4" s="55" t="s">
        <v>46</v>
      </c>
      <c r="Y4" s="55" t="s">
        <v>84</v>
      </c>
      <c r="Z4" s="55" t="s">
        <v>69</v>
      </c>
      <c r="AA4" s="55" t="s">
        <v>90</v>
      </c>
      <c r="AB4" s="55" t="s">
        <v>310</v>
      </c>
      <c r="AE4" s="223" t="s">
        <v>34</v>
      </c>
      <c r="AG4" s="64" t="s">
        <v>274</v>
      </c>
      <c r="AH4" s="64" t="s">
        <v>280</v>
      </c>
      <c r="AJ4" s="69" t="s">
        <v>48</v>
      </c>
      <c r="AL4" s="69" t="s">
        <v>129</v>
      </c>
      <c r="AN4" s="244" t="s">
        <v>49</v>
      </c>
      <c r="AP4" s="65" t="s">
        <v>330</v>
      </c>
      <c r="AR4" s="231" t="s">
        <v>331</v>
      </c>
      <c r="AT4" s="244"/>
      <c r="AV4" s="65" t="s">
        <v>50</v>
      </c>
      <c r="AX4" s="66">
        <v>75</v>
      </c>
      <c r="AY4" s="67">
        <v>42</v>
      </c>
      <c r="AZ4" s="67">
        <v>76</v>
      </c>
      <c r="BA4" s="68">
        <v>39</v>
      </c>
    </row>
    <row r="5" spans="1:53" s="55" customFormat="1" ht="13.5" customHeight="1" x14ac:dyDescent="0.15">
      <c r="A5" s="55" t="s">
        <v>41</v>
      </c>
      <c r="B5" s="237" t="s">
        <v>308</v>
      </c>
      <c r="C5" s="152">
        <v>2018</v>
      </c>
      <c r="D5" s="56" t="s">
        <v>329</v>
      </c>
      <c r="E5" s="237" t="s">
        <v>133</v>
      </c>
      <c r="F5" s="237" t="s">
        <v>279</v>
      </c>
      <c r="G5" s="55" t="s">
        <v>42</v>
      </c>
      <c r="H5" s="55" t="s">
        <v>155</v>
      </c>
      <c r="I5" s="55" t="s">
        <v>153</v>
      </c>
      <c r="J5" s="55" t="s">
        <v>38</v>
      </c>
      <c r="K5" s="55" t="s">
        <v>154</v>
      </c>
      <c r="L5" s="237">
        <v>1</v>
      </c>
      <c r="N5" s="55">
        <v>8</v>
      </c>
      <c r="O5" s="55">
        <v>0.45</v>
      </c>
      <c r="P5" s="55">
        <v>0.5</v>
      </c>
      <c r="Q5" s="57">
        <f t="shared" si="0"/>
        <v>0.47499999999999998</v>
      </c>
      <c r="R5" s="55">
        <v>12.8</v>
      </c>
      <c r="S5" s="237">
        <v>125</v>
      </c>
      <c r="T5" s="77">
        <f t="shared" si="1"/>
        <v>27</v>
      </c>
      <c r="U5" s="55">
        <v>753</v>
      </c>
      <c r="V5" s="78">
        <f t="shared" si="2"/>
        <v>2541.375</v>
      </c>
      <c r="W5" s="55">
        <v>1</v>
      </c>
      <c r="X5" s="55" t="s">
        <v>46</v>
      </c>
      <c r="Y5" s="55" t="s">
        <v>84</v>
      </c>
      <c r="Z5" s="55" t="s">
        <v>69</v>
      </c>
      <c r="AA5" s="55" t="s">
        <v>90</v>
      </c>
      <c r="AB5" s="55" t="s">
        <v>310</v>
      </c>
      <c r="AC5" s="237"/>
      <c r="AD5" s="237"/>
      <c r="AE5" s="70" t="s">
        <v>332</v>
      </c>
      <c r="AG5" s="64" t="s">
        <v>275</v>
      </c>
      <c r="AH5" s="64" t="s">
        <v>279</v>
      </c>
      <c r="AJ5" s="71"/>
      <c r="AL5" s="72" t="s">
        <v>333</v>
      </c>
      <c r="AN5" s="72" t="s">
        <v>334</v>
      </c>
      <c r="AP5" s="231" t="s">
        <v>335</v>
      </c>
      <c r="AR5" s="231" t="s">
        <v>54</v>
      </c>
      <c r="AV5" s="231" t="s">
        <v>55</v>
      </c>
      <c r="AX5" s="73">
        <v>84</v>
      </c>
      <c r="AY5" s="74">
        <v>39</v>
      </c>
      <c r="AZ5" s="74">
        <v>84</v>
      </c>
      <c r="BA5" s="75">
        <v>36</v>
      </c>
    </row>
    <row r="6" spans="1:53" x14ac:dyDescent="0.15">
      <c r="A6" s="55" t="s">
        <v>41</v>
      </c>
      <c r="B6" s="237" t="s">
        <v>308</v>
      </c>
      <c r="C6" s="152">
        <v>2018</v>
      </c>
      <c r="D6" s="56" t="s">
        <v>329</v>
      </c>
      <c r="E6" s="237" t="s">
        <v>133</v>
      </c>
      <c r="F6" s="237" t="s">
        <v>279</v>
      </c>
      <c r="G6" s="55" t="s">
        <v>42</v>
      </c>
      <c r="H6" s="55" t="s">
        <v>155</v>
      </c>
      <c r="I6" s="55" t="s">
        <v>153</v>
      </c>
      <c r="J6" s="55" t="s">
        <v>38</v>
      </c>
      <c r="K6" s="55" t="s">
        <v>154</v>
      </c>
      <c r="L6" s="237">
        <v>2</v>
      </c>
      <c r="N6" s="55">
        <v>8</v>
      </c>
      <c r="O6" s="55">
        <v>0.65</v>
      </c>
      <c r="P6" s="55">
        <v>0.6</v>
      </c>
      <c r="Q6" s="57">
        <f t="shared" si="0"/>
        <v>0.625</v>
      </c>
      <c r="R6" s="55">
        <v>16.399999999999999</v>
      </c>
      <c r="S6" s="237">
        <v>122</v>
      </c>
      <c r="T6" s="77">
        <f t="shared" si="1"/>
        <v>27</v>
      </c>
      <c r="U6" s="55">
        <v>753</v>
      </c>
      <c r="V6" s="78">
        <f t="shared" si="2"/>
        <v>2541.375</v>
      </c>
      <c r="W6" s="55">
        <v>1</v>
      </c>
      <c r="X6" s="55" t="s">
        <v>46</v>
      </c>
      <c r="Y6" s="55" t="s">
        <v>84</v>
      </c>
      <c r="Z6" s="55" t="s">
        <v>69</v>
      </c>
      <c r="AA6" s="55" t="s">
        <v>90</v>
      </c>
      <c r="AB6" s="55" t="s">
        <v>310</v>
      </c>
      <c r="AE6" s="223" t="s">
        <v>56</v>
      </c>
      <c r="AG6" s="64" t="s">
        <v>275</v>
      </c>
      <c r="AH6" s="64" t="s">
        <v>281</v>
      </c>
      <c r="AL6" s="72" t="s">
        <v>336</v>
      </c>
      <c r="AN6" s="72" t="s">
        <v>337</v>
      </c>
      <c r="AP6" s="65" t="s">
        <v>53</v>
      </c>
      <c r="AR6" s="231" t="s">
        <v>59</v>
      </c>
      <c r="AV6" s="65" t="s">
        <v>60</v>
      </c>
      <c r="AX6" s="66">
        <v>97</v>
      </c>
      <c r="AY6" s="67">
        <v>36</v>
      </c>
      <c r="AZ6" s="67">
        <v>99</v>
      </c>
      <c r="BA6" s="68">
        <v>33</v>
      </c>
    </row>
    <row r="7" spans="1:53" x14ac:dyDescent="0.15">
      <c r="A7" s="55" t="s">
        <v>41</v>
      </c>
      <c r="B7" s="237" t="s">
        <v>308</v>
      </c>
      <c r="C7" s="152">
        <v>2018</v>
      </c>
      <c r="D7" s="56" t="s">
        <v>329</v>
      </c>
      <c r="E7" s="237" t="s">
        <v>133</v>
      </c>
      <c r="F7" s="237" t="s">
        <v>279</v>
      </c>
      <c r="G7" s="55" t="s">
        <v>42</v>
      </c>
      <c r="H7" s="55" t="s">
        <v>155</v>
      </c>
      <c r="I7" s="55" t="s">
        <v>153</v>
      </c>
      <c r="J7" s="55" t="s">
        <v>38</v>
      </c>
      <c r="K7" s="55" t="s">
        <v>154</v>
      </c>
      <c r="L7" s="237">
        <v>3</v>
      </c>
      <c r="N7" s="55">
        <v>8</v>
      </c>
      <c r="O7" s="55">
        <v>0.5</v>
      </c>
      <c r="P7" s="55">
        <v>0.4</v>
      </c>
      <c r="Q7" s="57">
        <f t="shared" si="0"/>
        <v>0.45</v>
      </c>
      <c r="R7" s="55">
        <v>15.5</v>
      </c>
      <c r="S7" s="237">
        <v>121</v>
      </c>
      <c r="T7" s="77">
        <f t="shared" si="1"/>
        <v>27</v>
      </c>
      <c r="U7" s="55">
        <v>753</v>
      </c>
      <c r="V7" s="78">
        <f t="shared" si="2"/>
        <v>2541.375</v>
      </c>
      <c r="W7" s="237">
        <v>1</v>
      </c>
      <c r="X7" s="55" t="s">
        <v>46</v>
      </c>
      <c r="Y7" s="55" t="s">
        <v>84</v>
      </c>
      <c r="Z7" s="55" t="s">
        <v>69</v>
      </c>
      <c r="AA7" s="55" t="s">
        <v>90</v>
      </c>
      <c r="AB7" s="55" t="s">
        <v>310</v>
      </c>
      <c r="AE7" s="223" t="s">
        <v>61</v>
      </c>
      <c r="AG7" s="64" t="s">
        <v>276</v>
      </c>
      <c r="AH7" s="64" t="s">
        <v>281</v>
      </c>
      <c r="AL7" s="76" t="s">
        <v>338</v>
      </c>
      <c r="AP7" s="65" t="s">
        <v>58</v>
      </c>
      <c r="AR7" s="231" t="s">
        <v>122</v>
      </c>
      <c r="AV7" s="65" t="s">
        <v>64</v>
      </c>
      <c r="AX7" s="66">
        <v>109</v>
      </c>
      <c r="AY7" s="67">
        <v>33</v>
      </c>
      <c r="AZ7" s="67">
        <v>113</v>
      </c>
      <c r="BA7" s="68">
        <v>30</v>
      </c>
    </row>
    <row r="8" spans="1:53" x14ac:dyDescent="0.15">
      <c r="A8" s="55" t="s">
        <v>41</v>
      </c>
      <c r="B8" s="237" t="s">
        <v>308</v>
      </c>
      <c r="C8" s="152">
        <v>2018</v>
      </c>
      <c r="D8" s="56" t="s">
        <v>329</v>
      </c>
      <c r="E8" s="237" t="s">
        <v>133</v>
      </c>
      <c r="F8" s="237" t="s">
        <v>279</v>
      </c>
      <c r="G8" s="55" t="s">
        <v>42</v>
      </c>
      <c r="H8" s="55" t="s">
        <v>157</v>
      </c>
      <c r="I8" s="55" t="s">
        <v>153</v>
      </c>
      <c r="J8" s="55" t="s">
        <v>38</v>
      </c>
      <c r="K8" s="55" t="s">
        <v>154</v>
      </c>
      <c r="L8" s="237">
        <v>1</v>
      </c>
      <c r="M8" s="55"/>
      <c r="N8" s="55">
        <v>1</v>
      </c>
      <c r="O8" s="55">
        <v>0.25</v>
      </c>
      <c r="P8" s="55">
        <v>0.25</v>
      </c>
      <c r="Q8" s="57">
        <f t="shared" si="0"/>
        <v>0.25</v>
      </c>
      <c r="R8" s="55">
        <v>14.8</v>
      </c>
      <c r="S8" s="55">
        <v>135</v>
      </c>
      <c r="T8" s="77">
        <f t="shared" si="1"/>
        <v>25</v>
      </c>
      <c r="U8" s="55">
        <v>149</v>
      </c>
      <c r="V8" s="78">
        <f t="shared" si="2"/>
        <v>3725</v>
      </c>
      <c r="W8" s="55">
        <v>2</v>
      </c>
      <c r="X8" s="55" t="s">
        <v>46</v>
      </c>
      <c r="Y8" s="55" t="s">
        <v>84</v>
      </c>
      <c r="Z8" s="55" t="s">
        <v>69</v>
      </c>
      <c r="AA8" s="55" t="s">
        <v>90</v>
      </c>
      <c r="AB8" s="55" t="s">
        <v>310</v>
      </c>
      <c r="AC8" s="55"/>
      <c r="AD8" s="55"/>
      <c r="AE8" s="223" t="s">
        <v>59</v>
      </c>
      <c r="AG8" s="64" t="s">
        <v>277</v>
      </c>
      <c r="AH8" s="64" t="s">
        <v>282</v>
      </c>
      <c r="AL8" s="76" t="s">
        <v>339</v>
      </c>
      <c r="AP8" s="65" t="s">
        <v>62</v>
      </c>
      <c r="AR8" s="231" t="s">
        <v>81</v>
      </c>
      <c r="AV8" s="65" t="s">
        <v>97</v>
      </c>
      <c r="AX8" s="66">
        <v>119</v>
      </c>
      <c r="AY8" s="67">
        <v>30</v>
      </c>
      <c r="AZ8" s="67">
        <v>121</v>
      </c>
      <c r="BA8" s="68">
        <v>27</v>
      </c>
    </row>
    <row r="9" spans="1:53" x14ac:dyDescent="0.15">
      <c r="A9" s="55" t="s">
        <v>41</v>
      </c>
      <c r="B9" s="237" t="s">
        <v>308</v>
      </c>
      <c r="C9" s="152">
        <v>2018</v>
      </c>
      <c r="D9" s="56" t="s">
        <v>329</v>
      </c>
      <c r="E9" s="237" t="s">
        <v>133</v>
      </c>
      <c r="F9" s="237" t="s">
        <v>279</v>
      </c>
      <c r="G9" s="55" t="s">
        <v>42</v>
      </c>
      <c r="H9" s="55" t="s">
        <v>157</v>
      </c>
      <c r="I9" s="55" t="s">
        <v>153</v>
      </c>
      <c r="J9" s="55" t="s">
        <v>38</v>
      </c>
      <c r="K9" s="55" t="s">
        <v>154</v>
      </c>
      <c r="L9" s="237">
        <v>2</v>
      </c>
      <c r="N9" s="55">
        <v>1</v>
      </c>
      <c r="O9" s="55">
        <v>0.25</v>
      </c>
      <c r="P9" s="55">
        <v>0.3</v>
      </c>
      <c r="Q9" s="57">
        <f t="shared" si="0"/>
        <v>0.27500000000000002</v>
      </c>
      <c r="R9" s="55">
        <v>17.5</v>
      </c>
      <c r="S9" s="55">
        <v>139</v>
      </c>
      <c r="T9" s="77">
        <f t="shared" si="1"/>
        <v>22</v>
      </c>
      <c r="U9" s="55">
        <v>149</v>
      </c>
      <c r="V9" s="58">
        <f t="shared" si="2"/>
        <v>3278</v>
      </c>
      <c r="W9" s="237">
        <v>2</v>
      </c>
      <c r="X9" s="55" t="s">
        <v>46</v>
      </c>
      <c r="Y9" s="55" t="s">
        <v>84</v>
      </c>
      <c r="Z9" s="55" t="s">
        <v>69</v>
      </c>
      <c r="AA9" s="55" t="s">
        <v>90</v>
      </c>
      <c r="AB9" s="55" t="s">
        <v>310</v>
      </c>
      <c r="AE9" s="223" t="s">
        <v>98</v>
      </c>
      <c r="AG9" s="64" t="s">
        <v>277</v>
      </c>
      <c r="AH9" s="64" t="s">
        <v>283</v>
      </c>
      <c r="AL9" s="72"/>
      <c r="AP9" s="65" t="s">
        <v>95</v>
      </c>
      <c r="AR9" s="231" t="s">
        <v>89</v>
      </c>
      <c r="AV9" s="65" t="s">
        <v>102</v>
      </c>
      <c r="AX9" s="66">
        <v>128</v>
      </c>
      <c r="AY9" s="67">
        <v>27</v>
      </c>
      <c r="AZ9" s="67">
        <v>129</v>
      </c>
      <c r="BA9" s="68">
        <v>25</v>
      </c>
    </row>
    <row r="10" spans="1:53" x14ac:dyDescent="0.15">
      <c r="A10" s="55" t="s">
        <v>41</v>
      </c>
      <c r="B10" s="237" t="s">
        <v>308</v>
      </c>
      <c r="C10" s="152">
        <v>2018</v>
      </c>
      <c r="D10" s="56" t="s">
        <v>329</v>
      </c>
      <c r="E10" s="237" t="s">
        <v>133</v>
      </c>
      <c r="F10" s="237" t="s">
        <v>279</v>
      </c>
      <c r="G10" s="55" t="s">
        <v>42</v>
      </c>
      <c r="H10" s="55" t="s">
        <v>157</v>
      </c>
      <c r="I10" s="55" t="s">
        <v>153</v>
      </c>
      <c r="J10" s="55" t="s">
        <v>38</v>
      </c>
      <c r="K10" s="55" t="s">
        <v>154</v>
      </c>
      <c r="L10" s="237">
        <v>3</v>
      </c>
      <c r="N10" s="55">
        <v>1</v>
      </c>
      <c r="O10" s="55">
        <v>0.25</v>
      </c>
      <c r="P10" s="55">
        <v>0.25</v>
      </c>
      <c r="Q10" s="57">
        <f t="shared" si="0"/>
        <v>0.25</v>
      </c>
      <c r="R10" s="55">
        <v>15.8</v>
      </c>
      <c r="S10" s="55">
        <v>135</v>
      </c>
      <c r="T10" s="77">
        <f t="shared" si="1"/>
        <v>25</v>
      </c>
      <c r="U10" s="55">
        <v>149</v>
      </c>
      <c r="V10" s="58">
        <f t="shared" si="2"/>
        <v>3725</v>
      </c>
      <c r="W10" s="237">
        <v>2</v>
      </c>
      <c r="X10" s="55" t="s">
        <v>46</v>
      </c>
      <c r="Y10" s="55" t="s">
        <v>84</v>
      </c>
      <c r="Z10" s="55" t="s">
        <v>69</v>
      </c>
      <c r="AA10" s="55" t="s">
        <v>90</v>
      </c>
      <c r="AB10" s="55" t="s">
        <v>310</v>
      </c>
      <c r="AE10" s="223" t="s">
        <v>103</v>
      </c>
      <c r="AG10" s="64" t="s">
        <v>278</v>
      </c>
      <c r="AH10" s="64" t="s">
        <v>284</v>
      </c>
      <c r="AL10" s="76"/>
      <c r="AP10" s="65" t="s">
        <v>100</v>
      </c>
      <c r="AR10" s="231" t="s">
        <v>123</v>
      </c>
      <c r="AV10" s="65" t="s">
        <v>106</v>
      </c>
      <c r="AX10" s="66">
        <v>138</v>
      </c>
      <c r="AY10" s="67">
        <v>25</v>
      </c>
      <c r="AZ10" s="67">
        <v>138</v>
      </c>
      <c r="BA10" s="68">
        <v>22</v>
      </c>
    </row>
    <row r="11" spans="1:53" x14ac:dyDescent="0.15">
      <c r="A11" s="55" t="s">
        <v>41</v>
      </c>
      <c r="B11" s="237" t="s">
        <v>308</v>
      </c>
      <c r="C11" s="152">
        <v>2018</v>
      </c>
      <c r="D11" s="56" t="s">
        <v>329</v>
      </c>
      <c r="E11" s="237" t="s">
        <v>274</v>
      </c>
      <c r="F11" s="55" t="s">
        <v>279</v>
      </c>
      <c r="G11" s="55" t="s">
        <v>42</v>
      </c>
      <c r="H11" s="55" t="s">
        <v>157</v>
      </c>
      <c r="I11" s="55" t="s">
        <v>153</v>
      </c>
      <c r="J11" s="55" t="s">
        <v>38</v>
      </c>
      <c r="K11" s="55" t="s">
        <v>154</v>
      </c>
      <c r="L11" s="237">
        <v>1</v>
      </c>
      <c r="N11" s="55">
        <v>3</v>
      </c>
      <c r="O11" s="55">
        <v>0.3</v>
      </c>
      <c r="P11" s="55">
        <v>0.4</v>
      </c>
      <c r="Q11" s="57">
        <f t="shared" si="0"/>
        <v>0.35</v>
      </c>
      <c r="R11" s="237">
        <v>16.5</v>
      </c>
      <c r="S11" s="55">
        <v>128</v>
      </c>
      <c r="T11" s="77">
        <f t="shared" ref="T11:T19" si="3">IF(H11="","",IF(OR(H11="GREEN",H11="GK"),IF(S11&gt;=$AX$2,VLOOKUP(S11,$AX$2:$AY$12,2,1),""),IF(S11&gt;=$AZ$2,VLOOKUP(S11,$AZ$2:$BA$12,2,1),"")))</f>
        <v>27</v>
      </c>
      <c r="U11" s="55">
        <v>428</v>
      </c>
      <c r="V11" s="58">
        <f t="shared" si="2"/>
        <v>3851.9999999999995</v>
      </c>
      <c r="W11" s="237">
        <v>1</v>
      </c>
      <c r="X11" s="55" t="s">
        <v>39</v>
      </c>
      <c r="Y11" s="55" t="s">
        <v>84</v>
      </c>
      <c r="Z11" s="55" t="s">
        <v>90</v>
      </c>
      <c r="AA11" s="55" t="s">
        <v>78</v>
      </c>
      <c r="AB11" s="55" t="s">
        <v>310</v>
      </c>
      <c r="AE11" s="223" t="s">
        <v>65</v>
      </c>
      <c r="AG11" s="64" t="s">
        <v>160</v>
      </c>
      <c r="AH11" s="64" t="s">
        <v>285</v>
      </c>
      <c r="AL11" s="76"/>
      <c r="AP11" s="65" t="s">
        <v>104</v>
      </c>
      <c r="AR11" s="231" t="s">
        <v>87</v>
      </c>
      <c r="AV11" s="65" t="s">
        <v>69</v>
      </c>
      <c r="AX11" s="66">
        <v>151</v>
      </c>
      <c r="AY11" s="67">
        <v>22</v>
      </c>
      <c r="AZ11" s="67">
        <v>152</v>
      </c>
      <c r="BA11" s="68">
        <v>18</v>
      </c>
    </row>
    <row r="12" spans="1:53" x14ac:dyDescent="0.15">
      <c r="A12" s="55" t="s">
        <v>41</v>
      </c>
      <c r="B12" s="237" t="s">
        <v>308</v>
      </c>
      <c r="C12" s="152">
        <v>2018</v>
      </c>
      <c r="D12" s="56" t="s">
        <v>329</v>
      </c>
      <c r="E12" s="237" t="s">
        <v>274</v>
      </c>
      <c r="F12" s="55" t="s">
        <v>279</v>
      </c>
      <c r="G12" s="55" t="s">
        <v>42</v>
      </c>
      <c r="H12" s="55" t="s">
        <v>157</v>
      </c>
      <c r="I12" s="55" t="s">
        <v>153</v>
      </c>
      <c r="J12" s="55" t="s">
        <v>38</v>
      </c>
      <c r="K12" s="55" t="s">
        <v>154</v>
      </c>
      <c r="L12" s="237">
        <v>2</v>
      </c>
      <c r="N12" s="55">
        <v>3</v>
      </c>
      <c r="O12" s="55">
        <v>0.25</v>
      </c>
      <c r="P12" s="55">
        <v>0.25</v>
      </c>
      <c r="Q12" s="82">
        <f t="shared" si="0"/>
        <v>0.25</v>
      </c>
      <c r="R12" s="237">
        <v>14.8</v>
      </c>
      <c r="S12" s="55">
        <v>128</v>
      </c>
      <c r="T12" s="77">
        <f t="shared" si="3"/>
        <v>27</v>
      </c>
      <c r="U12" s="55">
        <v>428</v>
      </c>
      <c r="V12" s="58">
        <f t="shared" si="2"/>
        <v>3851.9999999999995</v>
      </c>
      <c r="W12" s="237">
        <v>1</v>
      </c>
      <c r="X12" s="55" t="s">
        <v>39</v>
      </c>
      <c r="Y12" s="55" t="s">
        <v>84</v>
      </c>
      <c r="Z12" s="55" t="s">
        <v>90</v>
      </c>
      <c r="AA12" s="55" t="s">
        <v>78</v>
      </c>
      <c r="AB12" s="55" t="s">
        <v>310</v>
      </c>
      <c r="AE12" s="223" t="s">
        <v>70</v>
      </c>
      <c r="AG12" s="70"/>
      <c r="AH12" s="70"/>
      <c r="AL12" s="76"/>
      <c r="AP12" s="65" t="s">
        <v>67</v>
      </c>
      <c r="AR12" s="231" t="s">
        <v>124</v>
      </c>
      <c r="AV12" s="65" t="s">
        <v>72</v>
      </c>
      <c r="AX12" s="79">
        <v>180</v>
      </c>
      <c r="AY12" s="80">
        <v>18</v>
      </c>
      <c r="AZ12" s="80">
        <v>181</v>
      </c>
      <c r="BA12" s="81">
        <v>16</v>
      </c>
    </row>
    <row r="13" spans="1:53" x14ac:dyDescent="0.15">
      <c r="A13" s="55" t="s">
        <v>41</v>
      </c>
      <c r="B13" s="237" t="s">
        <v>308</v>
      </c>
      <c r="C13" s="152">
        <v>2018</v>
      </c>
      <c r="D13" s="56" t="s">
        <v>329</v>
      </c>
      <c r="E13" s="237" t="s">
        <v>274</v>
      </c>
      <c r="F13" s="55" t="s">
        <v>279</v>
      </c>
      <c r="G13" s="55" t="s">
        <v>42</v>
      </c>
      <c r="H13" s="55" t="s">
        <v>157</v>
      </c>
      <c r="I13" s="55" t="s">
        <v>153</v>
      </c>
      <c r="J13" s="55" t="s">
        <v>38</v>
      </c>
      <c r="K13" s="55" t="s">
        <v>154</v>
      </c>
      <c r="L13" s="237">
        <v>3</v>
      </c>
      <c r="N13" s="55">
        <v>3</v>
      </c>
      <c r="O13" s="55">
        <v>0.25</v>
      </c>
      <c r="P13" s="55">
        <v>0.3</v>
      </c>
      <c r="Q13" s="82">
        <f t="shared" si="0"/>
        <v>0.27500000000000002</v>
      </c>
      <c r="R13" s="237">
        <v>15.8</v>
      </c>
      <c r="S13" s="55">
        <v>124</v>
      </c>
      <c r="T13" s="77">
        <f t="shared" si="3"/>
        <v>27</v>
      </c>
      <c r="U13" s="55">
        <v>428</v>
      </c>
      <c r="V13" s="58">
        <f t="shared" si="2"/>
        <v>3851.9999999999995</v>
      </c>
      <c r="W13" s="237">
        <v>1</v>
      </c>
      <c r="X13" s="55" t="s">
        <v>39</v>
      </c>
      <c r="Y13" s="55" t="s">
        <v>84</v>
      </c>
      <c r="Z13" s="55" t="s">
        <v>90</v>
      </c>
      <c r="AA13" s="55" t="s">
        <v>78</v>
      </c>
      <c r="AB13" s="55" t="s">
        <v>310</v>
      </c>
      <c r="AE13" s="223" t="s">
        <v>73</v>
      </c>
      <c r="AG13" s="231"/>
      <c r="AH13" s="231"/>
      <c r="AP13" s="65" t="s">
        <v>71</v>
      </c>
      <c r="AR13" s="231" t="s">
        <v>103</v>
      </c>
      <c r="AV13" s="65" t="s">
        <v>75</v>
      </c>
    </row>
    <row r="14" spans="1:53" x14ac:dyDescent="0.15">
      <c r="A14" s="55" t="s">
        <v>41</v>
      </c>
      <c r="B14" s="237" t="s">
        <v>308</v>
      </c>
      <c r="C14" s="152">
        <v>2018</v>
      </c>
      <c r="D14" s="56" t="s">
        <v>329</v>
      </c>
      <c r="E14" s="237" t="s">
        <v>274</v>
      </c>
      <c r="F14" s="237" t="s">
        <v>279</v>
      </c>
      <c r="G14" s="55" t="s">
        <v>42</v>
      </c>
      <c r="H14" s="55" t="s">
        <v>157</v>
      </c>
      <c r="I14" s="55" t="s">
        <v>153</v>
      </c>
      <c r="J14" s="55" t="s">
        <v>38</v>
      </c>
      <c r="K14" s="55" t="s">
        <v>154</v>
      </c>
      <c r="L14" s="237">
        <v>1</v>
      </c>
      <c r="M14" s="55"/>
      <c r="N14" s="55">
        <v>1</v>
      </c>
      <c r="O14" s="55">
        <v>0.25</v>
      </c>
      <c r="P14" s="55">
        <v>0.25</v>
      </c>
      <c r="Q14" s="82">
        <f t="shared" si="0"/>
        <v>0.25</v>
      </c>
      <c r="R14" s="237">
        <v>16.100000000000001</v>
      </c>
      <c r="S14" s="55">
        <v>122</v>
      </c>
      <c r="T14" s="77">
        <f t="shared" si="3"/>
        <v>27</v>
      </c>
      <c r="U14" s="55">
        <v>105</v>
      </c>
      <c r="V14" s="78">
        <f t="shared" si="2"/>
        <v>2835</v>
      </c>
      <c r="W14" s="55">
        <v>1</v>
      </c>
      <c r="X14" s="55" t="s">
        <v>39</v>
      </c>
      <c r="Y14" s="55" t="s">
        <v>84</v>
      </c>
      <c r="Z14" s="55" t="s">
        <v>90</v>
      </c>
      <c r="AA14" s="55" t="s">
        <v>78</v>
      </c>
      <c r="AB14" s="55" t="s">
        <v>310</v>
      </c>
      <c r="AE14" s="223" t="s">
        <v>76</v>
      </c>
      <c r="AG14" s="231"/>
      <c r="AH14" s="231"/>
      <c r="AP14" s="65" t="s">
        <v>74</v>
      </c>
      <c r="AR14" s="231" t="s">
        <v>125</v>
      </c>
      <c r="AV14" s="65" t="s">
        <v>78</v>
      </c>
    </row>
    <row r="15" spans="1:53" x14ac:dyDescent="0.15">
      <c r="A15" s="55" t="s">
        <v>41</v>
      </c>
      <c r="B15" s="237" t="s">
        <v>308</v>
      </c>
      <c r="C15" s="152">
        <v>2018</v>
      </c>
      <c r="D15" s="56" t="s">
        <v>329</v>
      </c>
      <c r="E15" s="237" t="s">
        <v>274</v>
      </c>
      <c r="F15" s="55" t="s">
        <v>279</v>
      </c>
      <c r="G15" s="55" t="s">
        <v>42</v>
      </c>
      <c r="H15" s="55" t="s">
        <v>157</v>
      </c>
      <c r="I15" s="55" t="s">
        <v>153</v>
      </c>
      <c r="J15" s="55" t="s">
        <v>38</v>
      </c>
      <c r="K15" s="55" t="s">
        <v>154</v>
      </c>
      <c r="L15" s="237">
        <v>2</v>
      </c>
      <c r="N15" s="55">
        <v>1</v>
      </c>
      <c r="O15" s="55">
        <v>0.25</v>
      </c>
      <c r="P15" s="55">
        <v>0.25</v>
      </c>
      <c r="Q15" s="82">
        <f t="shared" si="0"/>
        <v>0.25</v>
      </c>
      <c r="R15" s="237">
        <v>17.100000000000001</v>
      </c>
      <c r="S15" s="55">
        <v>124</v>
      </c>
      <c r="T15" s="77">
        <f t="shared" si="3"/>
        <v>27</v>
      </c>
      <c r="U15" s="55">
        <v>105</v>
      </c>
      <c r="V15" s="58">
        <f t="shared" si="2"/>
        <v>2835</v>
      </c>
      <c r="W15" s="237">
        <v>1</v>
      </c>
      <c r="X15" s="55" t="s">
        <v>39</v>
      </c>
      <c r="Y15" s="55" t="s">
        <v>84</v>
      </c>
      <c r="Z15" s="55" t="s">
        <v>90</v>
      </c>
      <c r="AA15" s="55" t="s">
        <v>78</v>
      </c>
      <c r="AB15" s="55" t="s">
        <v>310</v>
      </c>
      <c r="AE15" s="223" t="s">
        <v>79</v>
      </c>
      <c r="AG15" s="231"/>
      <c r="AH15" s="231"/>
      <c r="AP15" s="65" t="s">
        <v>77</v>
      </c>
      <c r="AR15" s="231" t="s">
        <v>94</v>
      </c>
      <c r="AV15" s="65" t="s">
        <v>107</v>
      </c>
    </row>
    <row r="16" spans="1:53" x14ac:dyDescent="0.15">
      <c r="A16" s="55" t="s">
        <v>41</v>
      </c>
      <c r="B16" s="237" t="s">
        <v>308</v>
      </c>
      <c r="C16" s="152">
        <v>2018</v>
      </c>
      <c r="D16" s="56" t="s">
        <v>329</v>
      </c>
      <c r="E16" s="237" t="s">
        <v>274</v>
      </c>
      <c r="F16" s="55" t="s">
        <v>279</v>
      </c>
      <c r="G16" s="55" t="s">
        <v>42</v>
      </c>
      <c r="H16" s="55" t="s">
        <v>157</v>
      </c>
      <c r="I16" s="55" t="s">
        <v>153</v>
      </c>
      <c r="J16" s="55" t="s">
        <v>38</v>
      </c>
      <c r="K16" s="55" t="s">
        <v>154</v>
      </c>
      <c r="L16" s="237">
        <v>3</v>
      </c>
      <c r="N16" s="55">
        <v>1</v>
      </c>
      <c r="O16" s="55">
        <v>0.3</v>
      </c>
      <c r="P16" s="55">
        <v>0.3</v>
      </c>
      <c r="Q16" s="82">
        <f t="shared" si="0"/>
        <v>0.3</v>
      </c>
      <c r="R16" s="237">
        <v>14.9</v>
      </c>
      <c r="S16" s="55">
        <v>125</v>
      </c>
      <c r="T16" s="77">
        <f t="shared" si="3"/>
        <v>27</v>
      </c>
      <c r="U16" s="55">
        <v>105</v>
      </c>
      <c r="V16" s="58">
        <f t="shared" si="2"/>
        <v>2835</v>
      </c>
      <c r="W16" s="237">
        <v>1</v>
      </c>
      <c r="X16" s="55" t="s">
        <v>39</v>
      </c>
      <c r="Y16" s="55" t="s">
        <v>84</v>
      </c>
      <c r="Z16" s="55" t="s">
        <v>90</v>
      </c>
      <c r="AA16" s="55" t="s">
        <v>78</v>
      </c>
      <c r="AB16" s="55" t="s">
        <v>310</v>
      </c>
      <c r="AE16" s="223" t="s">
        <v>82</v>
      </c>
      <c r="AG16" s="71"/>
      <c r="AH16" s="71"/>
      <c r="AP16" s="65" t="s">
        <v>80</v>
      </c>
      <c r="AR16" s="231" t="s">
        <v>63</v>
      </c>
      <c r="AV16" s="65" t="s">
        <v>84</v>
      </c>
    </row>
    <row r="17" spans="1:49" x14ac:dyDescent="0.15">
      <c r="A17" s="55" t="s">
        <v>41</v>
      </c>
      <c r="B17" s="237" t="s">
        <v>308</v>
      </c>
      <c r="C17" s="152">
        <v>2018</v>
      </c>
      <c r="D17" s="56" t="s">
        <v>329</v>
      </c>
      <c r="E17" s="237" t="s">
        <v>274</v>
      </c>
      <c r="F17" s="237" t="s">
        <v>279</v>
      </c>
      <c r="G17" s="55" t="s">
        <v>42</v>
      </c>
      <c r="H17" s="55" t="s">
        <v>155</v>
      </c>
      <c r="I17" s="55" t="s">
        <v>153</v>
      </c>
      <c r="J17" s="55" t="s">
        <v>38</v>
      </c>
      <c r="K17" s="55" t="s">
        <v>154</v>
      </c>
      <c r="L17" s="237">
        <v>1</v>
      </c>
      <c r="M17" s="55"/>
      <c r="N17" s="55">
        <v>1</v>
      </c>
      <c r="O17" s="55">
        <v>1</v>
      </c>
      <c r="P17" s="55">
        <v>0.95</v>
      </c>
      <c r="Q17" s="57">
        <f t="shared" si="0"/>
        <v>0.97499999999999998</v>
      </c>
      <c r="R17" s="237">
        <v>15.2</v>
      </c>
      <c r="S17" s="237">
        <v>130</v>
      </c>
      <c r="T17" s="77">
        <f t="shared" si="3"/>
        <v>25</v>
      </c>
      <c r="U17" s="55">
        <v>105</v>
      </c>
      <c r="V17" s="78">
        <f t="shared" si="2"/>
        <v>2625</v>
      </c>
      <c r="W17" s="55">
        <v>2</v>
      </c>
      <c r="X17" s="55" t="s">
        <v>39</v>
      </c>
      <c r="Y17" s="55" t="s">
        <v>84</v>
      </c>
      <c r="Z17" s="55" t="s">
        <v>90</v>
      </c>
      <c r="AA17" s="55" t="s">
        <v>78</v>
      </c>
      <c r="AB17" s="55" t="s">
        <v>310</v>
      </c>
      <c r="AE17" s="223" t="s">
        <v>85</v>
      </c>
      <c r="AP17" s="239" t="s">
        <v>110</v>
      </c>
      <c r="AR17" s="231" t="s">
        <v>96</v>
      </c>
      <c r="AV17" s="65" t="s">
        <v>86</v>
      </c>
    </row>
    <row r="18" spans="1:49" x14ac:dyDescent="0.15">
      <c r="A18" s="55" t="s">
        <v>41</v>
      </c>
      <c r="B18" s="237" t="s">
        <v>308</v>
      </c>
      <c r="C18" s="152">
        <v>2018</v>
      </c>
      <c r="D18" s="56" t="s">
        <v>329</v>
      </c>
      <c r="E18" s="237" t="s">
        <v>274</v>
      </c>
      <c r="F18" s="237" t="s">
        <v>279</v>
      </c>
      <c r="G18" s="55" t="s">
        <v>42</v>
      </c>
      <c r="H18" s="55" t="s">
        <v>155</v>
      </c>
      <c r="I18" s="55" t="s">
        <v>153</v>
      </c>
      <c r="J18" s="55" t="s">
        <v>38</v>
      </c>
      <c r="K18" s="55" t="s">
        <v>154</v>
      </c>
      <c r="L18" s="237">
        <v>2</v>
      </c>
      <c r="N18" s="55">
        <v>1</v>
      </c>
      <c r="O18" s="55">
        <v>0.85</v>
      </c>
      <c r="P18" s="55">
        <v>0.95</v>
      </c>
      <c r="Q18" s="57">
        <f t="shared" si="0"/>
        <v>0.89999999999999991</v>
      </c>
      <c r="R18" s="237">
        <v>14</v>
      </c>
      <c r="S18" s="237">
        <v>125</v>
      </c>
      <c r="T18" s="77">
        <f t="shared" si="3"/>
        <v>27</v>
      </c>
      <c r="U18" s="55">
        <v>105</v>
      </c>
      <c r="V18" s="58">
        <f t="shared" si="2"/>
        <v>2835</v>
      </c>
      <c r="W18" s="237">
        <v>2</v>
      </c>
      <c r="X18" s="55" t="s">
        <v>39</v>
      </c>
      <c r="Y18" s="55" t="s">
        <v>84</v>
      </c>
      <c r="Z18" s="55" t="s">
        <v>90</v>
      </c>
      <c r="AA18" s="55" t="s">
        <v>78</v>
      </c>
      <c r="AB18" s="55" t="s">
        <v>310</v>
      </c>
      <c r="AE18" s="223" t="s">
        <v>87</v>
      </c>
      <c r="AP18" s="239" t="s">
        <v>111</v>
      </c>
      <c r="AR18" s="231" t="s">
        <v>101</v>
      </c>
      <c r="AV18" s="65" t="s">
        <v>88</v>
      </c>
    </row>
    <row r="19" spans="1:49" x14ac:dyDescent="0.15">
      <c r="A19" s="55" t="s">
        <v>41</v>
      </c>
      <c r="B19" s="237" t="s">
        <v>308</v>
      </c>
      <c r="C19" s="152">
        <v>2018</v>
      </c>
      <c r="D19" s="56" t="s">
        <v>329</v>
      </c>
      <c r="E19" s="237" t="s">
        <v>274</v>
      </c>
      <c r="F19" s="237" t="s">
        <v>279</v>
      </c>
      <c r="G19" s="55" t="s">
        <v>42</v>
      </c>
      <c r="H19" s="55" t="s">
        <v>155</v>
      </c>
      <c r="I19" s="55" t="s">
        <v>153</v>
      </c>
      <c r="J19" s="55" t="s">
        <v>38</v>
      </c>
      <c r="K19" s="55" t="s">
        <v>154</v>
      </c>
      <c r="L19" s="237">
        <v>3</v>
      </c>
      <c r="N19" s="55">
        <v>1</v>
      </c>
      <c r="O19" s="55">
        <v>0.9</v>
      </c>
      <c r="P19" s="55">
        <v>1</v>
      </c>
      <c r="Q19" s="57">
        <f t="shared" si="0"/>
        <v>0.95</v>
      </c>
      <c r="R19" s="237">
        <v>13.9</v>
      </c>
      <c r="S19" s="237">
        <v>125</v>
      </c>
      <c r="T19" s="77">
        <f t="shared" si="3"/>
        <v>27</v>
      </c>
      <c r="U19" s="55">
        <v>105</v>
      </c>
      <c r="V19" s="58">
        <f t="shared" si="2"/>
        <v>2835</v>
      </c>
      <c r="W19" s="237">
        <v>2</v>
      </c>
      <c r="X19" s="55" t="s">
        <v>39</v>
      </c>
      <c r="Y19" s="55" t="s">
        <v>84</v>
      </c>
      <c r="Z19" s="55" t="s">
        <v>90</v>
      </c>
      <c r="AA19" s="55" t="s">
        <v>78</v>
      </c>
      <c r="AB19" s="55" t="s">
        <v>310</v>
      </c>
      <c r="AE19" s="236" t="s">
        <v>89</v>
      </c>
      <c r="AP19" s="239" t="s">
        <v>112</v>
      </c>
      <c r="AR19" s="231" t="s">
        <v>126</v>
      </c>
      <c r="AV19" s="65" t="s">
        <v>90</v>
      </c>
    </row>
    <row r="20" spans="1:49" x14ac:dyDescent="0.15">
      <c r="A20" s="55" t="s">
        <v>41</v>
      </c>
      <c r="B20" s="237" t="s">
        <v>308</v>
      </c>
      <c r="C20" s="152">
        <v>2018</v>
      </c>
      <c r="D20" s="56" t="s">
        <v>329</v>
      </c>
      <c r="E20" s="237" t="s">
        <v>274</v>
      </c>
      <c r="F20" s="237" t="s">
        <v>279</v>
      </c>
      <c r="G20" s="55" t="s">
        <v>42</v>
      </c>
      <c r="H20" s="55" t="s">
        <v>155</v>
      </c>
      <c r="I20" s="55" t="s">
        <v>153</v>
      </c>
      <c r="J20" s="55" t="s">
        <v>38</v>
      </c>
      <c r="K20" s="55" t="s">
        <v>154</v>
      </c>
      <c r="L20" s="237">
        <v>1</v>
      </c>
      <c r="M20" s="55"/>
      <c r="N20" s="55">
        <v>6</v>
      </c>
      <c r="O20" s="55">
        <v>0.75</v>
      </c>
      <c r="P20" s="55">
        <v>0.9</v>
      </c>
      <c r="Q20" s="57">
        <f t="shared" si="0"/>
        <v>0.82499999999999996</v>
      </c>
      <c r="R20" s="237">
        <v>15.2</v>
      </c>
      <c r="S20" s="237">
        <v>105</v>
      </c>
      <c r="T20" s="77">
        <f t="shared" ref="T20:T83" si="4">IF(H20="","",IF(OR(H20="GREEN",H20="GK"),IF(S20&gt;=$AX$2,VLOOKUP(S20,$AX$2:$AY$10,2,1),""),IF(S20&gt;=$AZ$2,VLOOKUP(S20,$AZ$2:$BA$10,2,1),"")))</f>
        <v>33</v>
      </c>
      <c r="U20" s="55">
        <v>632</v>
      </c>
      <c r="V20" s="78">
        <f t="shared" si="2"/>
        <v>3476</v>
      </c>
      <c r="W20" s="55">
        <v>1</v>
      </c>
      <c r="X20" s="55" t="s">
        <v>39</v>
      </c>
      <c r="Y20" s="55" t="s">
        <v>84</v>
      </c>
      <c r="Z20" s="55" t="s">
        <v>90</v>
      </c>
      <c r="AA20" s="55" t="s">
        <v>78</v>
      </c>
      <c r="AB20" s="55" t="s">
        <v>310</v>
      </c>
      <c r="AE20" s="236"/>
      <c r="AP20" s="239" t="s">
        <v>113</v>
      </c>
      <c r="AR20" s="231" t="s">
        <v>105</v>
      </c>
      <c r="AV20" s="69" t="s">
        <v>340</v>
      </c>
    </row>
    <row r="21" spans="1:49" x14ac:dyDescent="0.15">
      <c r="A21" s="55" t="s">
        <v>41</v>
      </c>
      <c r="B21" s="237" t="s">
        <v>308</v>
      </c>
      <c r="C21" s="152">
        <v>2018</v>
      </c>
      <c r="D21" s="56" t="s">
        <v>329</v>
      </c>
      <c r="E21" s="237" t="s">
        <v>274</v>
      </c>
      <c r="F21" s="237" t="s">
        <v>279</v>
      </c>
      <c r="G21" s="55" t="s">
        <v>42</v>
      </c>
      <c r="H21" s="55" t="s">
        <v>155</v>
      </c>
      <c r="I21" s="55" t="s">
        <v>153</v>
      </c>
      <c r="J21" s="55" t="s">
        <v>38</v>
      </c>
      <c r="K21" s="55" t="s">
        <v>154</v>
      </c>
      <c r="L21" s="237">
        <v>2</v>
      </c>
      <c r="N21" s="55">
        <v>6</v>
      </c>
      <c r="O21" s="55">
        <v>0.65</v>
      </c>
      <c r="P21" s="55">
        <v>0.45</v>
      </c>
      <c r="Q21" s="57">
        <f t="shared" si="0"/>
        <v>0.55000000000000004</v>
      </c>
      <c r="R21" s="237">
        <v>15</v>
      </c>
      <c r="S21" s="237">
        <v>110</v>
      </c>
      <c r="T21" s="77">
        <f t="shared" si="4"/>
        <v>33</v>
      </c>
      <c r="U21" s="55">
        <v>632</v>
      </c>
      <c r="V21" s="58">
        <f t="shared" si="2"/>
        <v>3476</v>
      </c>
      <c r="W21" s="237">
        <v>1</v>
      </c>
      <c r="X21" s="55" t="s">
        <v>39</v>
      </c>
      <c r="Y21" s="55" t="s">
        <v>84</v>
      </c>
      <c r="Z21" s="55" t="s">
        <v>90</v>
      </c>
      <c r="AA21" s="55" t="s">
        <v>78</v>
      </c>
      <c r="AB21" s="55" t="s">
        <v>310</v>
      </c>
      <c r="AE21" s="244"/>
      <c r="AP21" s="239" t="s">
        <v>114</v>
      </c>
      <c r="AR21" s="231" t="s">
        <v>68</v>
      </c>
      <c r="AV21" s="69" t="s">
        <v>341</v>
      </c>
    </row>
    <row r="22" spans="1:49" x14ac:dyDescent="0.15">
      <c r="A22" s="55" t="s">
        <v>41</v>
      </c>
      <c r="B22" s="237" t="s">
        <v>308</v>
      </c>
      <c r="C22" s="152">
        <v>2018</v>
      </c>
      <c r="D22" s="56" t="s">
        <v>329</v>
      </c>
      <c r="E22" s="237" t="s">
        <v>274</v>
      </c>
      <c r="F22" s="237" t="s">
        <v>279</v>
      </c>
      <c r="G22" s="55" t="s">
        <v>42</v>
      </c>
      <c r="H22" s="55" t="s">
        <v>155</v>
      </c>
      <c r="I22" s="55" t="s">
        <v>153</v>
      </c>
      <c r="J22" s="55" t="s">
        <v>38</v>
      </c>
      <c r="K22" s="55" t="s">
        <v>154</v>
      </c>
      <c r="L22" s="237">
        <v>3</v>
      </c>
      <c r="N22" s="55">
        <v>6</v>
      </c>
      <c r="O22" s="55">
        <v>0.5</v>
      </c>
      <c r="P22" s="55">
        <v>0.4</v>
      </c>
      <c r="Q22" s="57">
        <f t="shared" si="0"/>
        <v>0.45</v>
      </c>
      <c r="R22" s="237">
        <v>14.8</v>
      </c>
      <c r="S22" s="237">
        <v>109</v>
      </c>
      <c r="T22" s="77">
        <f t="shared" si="4"/>
        <v>33</v>
      </c>
      <c r="U22" s="55">
        <v>632</v>
      </c>
      <c r="V22" s="58">
        <f t="shared" si="2"/>
        <v>3476</v>
      </c>
      <c r="W22" s="237">
        <v>1</v>
      </c>
      <c r="X22" s="55" t="s">
        <v>39</v>
      </c>
      <c r="Y22" s="55" t="s">
        <v>84</v>
      </c>
      <c r="Z22" s="55" t="s">
        <v>90</v>
      </c>
      <c r="AA22" s="55" t="s">
        <v>78</v>
      </c>
      <c r="AB22" s="55" t="s">
        <v>310</v>
      </c>
      <c r="AP22" s="239" t="s">
        <v>115</v>
      </c>
      <c r="AR22" s="231" t="s">
        <v>83</v>
      </c>
      <c r="AV22" s="69"/>
    </row>
    <row r="23" spans="1:49" x14ac:dyDescent="0.15">
      <c r="A23" s="55" t="s">
        <v>41</v>
      </c>
      <c r="B23" s="237" t="s">
        <v>308</v>
      </c>
      <c r="C23" s="152">
        <v>2018</v>
      </c>
      <c r="D23" s="56" t="s">
        <v>329</v>
      </c>
      <c r="E23" s="237" t="s">
        <v>274</v>
      </c>
      <c r="F23" s="237" t="s">
        <v>279</v>
      </c>
      <c r="G23" s="55" t="s">
        <v>42</v>
      </c>
      <c r="H23" s="55" t="s">
        <v>157</v>
      </c>
      <c r="I23" s="55" t="s">
        <v>153</v>
      </c>
      <c r="J23" s="55" t="s">
        <v>38</v>
      </c>
      <c r="K23" s="55" t="s">
        <v>154</v>
      </c>
      <c r="L23" s="237">
        <v>1</v>
      </c>
      <c r="N23" s="55">
        <v>10</v>
      </c>
      <c r="O23" s="55">
        <v>0.25</v>
      </c>
      <c r="P23" s="55">
        <v>0.3</v>
      </c>
      <c r="Q23" s="57">
        <f t="shared" si="0"/>
        <v>0.27500000000000002</v>
      </c>
      <c r="R23" s="237">
        <v>14.4</v>
      </c>
      <c r="S23" s="237">
        <v>125</v>
      </c>
      <c r="T23" s="77">
        <f t="shared" si="4"/>
        <v>27</v>
      </c>
      <c r="U23" s="55">
        <v>1198</v>
      </c>
      <c r="V23" s="58">
        <f t="shared" si="2"/>
        <v>3234.6</v>
      </c>
      <c r="W23" s="237">
        <v>1</v>
      </c>
      <c r="X23" s="55" t="s">
        <v>39</v>
      </c>
      <c r="Y23" s="55" t="s">
        <v>84</v>
      </c>
      <c r="Z23" s="55" t="s">
        <v>90</v>
      </c>
      <c r="AA23" s="55" t="s">
        <v>78</v>
      </c>
      <c r="AB23" s="55" t="s">
        <v>310</v>
      </c>
      <c r="AP23" s="239" t="s">
        <v>117</v>
      </c>
      <c r="AR23" s="244" t="s">
        <v>273</v>
      </c>
      <c r="AV23" s="244"/>
    </row>
    <row r="24" spans="1:49" x14ac:dyDescent="0.15">
      <c r="A24" s="55" t="s">
        <v>41</v>
      </c>
      <c r="B24" s="237" t="s">
        <v>308</v>
      </c>
      <c r="C24" s="152">
        <v>2018</v>
      </c>
      <c r="D24" s="56" t="s">
        <v>329</v>
      </c>
      <c r="E24" s="237" t="s">
        <v>274</v>
      </c>
      <c r="F24" s="237" t="s">
        <v>279</v>
      </c>
      <c r="G24" s="55" t="s">
        <v>42</v>
      </c>
      <c r="H24" s="55" t="s">
        <v>157</v>
      </c>
      <c r="I24" s="55" t="s">
        <v>153</v>
      </c>
      <c r="J24" s="55" t="s">
        <v>38</v>
      </c>
      <c r="K24" s="55" t="s">
        <v>154</v>
      </c>
      <c r="L24" s="237">
        <v>2</v>
      </c>
      <c r="M24" s="55"/>
      <c r="N24" s="55">
        <v>10</v>
      </c>
      <c r="O24" s="55">
        <v>0.35</v>
      </c>
      <c r="P24" s="55">
        <v>0.25</v>
      </c>
      <c r="Q24" s="57">
        <f t="shared" si="0"/>
        <v>0.3</v>
      </c>
      <c r="R24" s="237">
        <v>16.8</v>
      </c>
      <c r="S24" s="237">
        <v>122</v>
      </c>
      <c r="T24" s="77">
        <f t="shared" si="4"/>
        <v>27</v>
      </c>
      <c r="U24" s="55">
        <v>1198</v>
      </c>
      <c r="V24" s="78">
        <f t="shared" si="2"/>
        <v>3234.6</v>
      </c>
      <c r="W24" s="55">
        <v>1</v>
      </c>
      <c r="X24" s="55" t="s">
        <v>39</v>
      </c>
      <c r="Y24" s="55" t="s">
        <v>84</v>
      </c>
      <c r="Z24" s="55" t="s">
        <v>90</v>
      </c>
      <c r="AA24" s="55" t="s">
        <v>78</v>
      </c>
      <c r="AB24" s="55" t="s">
        <v>310</v>
      </c>
      <c r="AP24" s="239" t="s">
        <v>118</v>
      </c>
    </row>
    <row r="25" spans="1:49" x14ac:dyDescent="0.15">
      <c r="A25" s="55" t="s">
        <v>41</v>
      </c>
      <c r="B25" s="237" t="s">
        <v>308</v>
      </c>
      <c r="C25" s="152">
        <v>2018</v>
      </c>
      <c r="D25" s="56" t="s">
        <v>329</v>
      </c>
      <c r="E25" s="237" t="s">
        <v>274</v>
      </c>
      <c r="F25" s="237" t="s">
        <v>279</v>
      </c>
      <c r="G25" s="55" t="s">
        <v>42</v>
      </c>
      <c r="H25" s="55" t="s">
        <v>157</v>
      </c>
      <c r="I25" s="55" t="s">
        <v>153</v>
      </c>
      <c r="J25" s="55" t="s">
        <v>38</v>
      </c>
      <c r="K25" s="55" t="s">
        <v>154</v>
      </c>
      <c r="L25" s="237">
        <v>3</v>
      </c>
      <c r="N25" s="55">
        <v>10</v>
      </c>
      <c r="O25" s="55">
        <v>0.3</v>
      </c>
      <c r="P25" s="55">
        <v>0.3</v>
      </c>
      <c r="Q25" s="57">
        <f t="shared" si="0"/>
        <v>0.3</v>
      </c>
      <c r="R25" s="237">
        <v>12.9</v>
      </c>
      <c r="S25" s="237">
        <v>125</v>
      </c>
      <c r="T25" s="77">
        <f t="shared" si="4"/>
        <v>27</v>
      </c>
      <c r="U25" s="55">
        <v>1198</v>
      </c>
      <c r="V25" s="58">
        <f t="shared" si="2"/>
        <v>3234.6</v>
      </c>
      <c r="W25" s="237">
        <v>1</v>
      </c>
      <c r="X25" s="55" t="s">
        <v>39</v>
      </c>
      <c r="Y25" s="55" t="s">
        <v>84</v>
      </c>
      <c r="Z25" s="55" t="s">
        <v>90</v>
      </c>
      <c r="AA25" s="55" t="s">
        <v>78</v>
      </c>
      <c r="AB25" s="55" t="s">
        <v>310</v>
      </c>
    </row>
    <row r="26" spans="1:49" x14ac:dyDescent="0.15">
      <c r="A26" s="55" t="s">
        <v>41</v>
      </c>
      <c r="B26" s="237" t="s">
        <v>308</v>
      </c>
      <c r="C26" s="152">
        <v>2018</v>
      </c>
      <c r="D26" s="56" t="s">
        <v>329</v>
      </c>
      <c r="E26" s="237" t="s">
        <v>274</v>
      </c>
      <c r="F26" s="237" t="s">
        <v>279</v>
      </c>
      <c r="G26" s="55" t="s">
        <v>42</v>
      </c>
      <c r="H26" s="55" t="s">
        <v>129</v>
      </c>
      <c r="I26" s="55" t="s">
        <v>153</v>
      </c>
      <c r="J26" s="55" t="s">
        <v>58</v>
      </c>
      <c r="K26" s="55" t="s">
        <v>59</v>
      </c>
      <c r="L26" s="237">
        <v>1</v>
      </c>
      <c r="N26" s="55">
        <v>5</v>
      </c>
      <c r="O26" s="55">
        <v>0.25</v>
      </c>
      <c r="P26" s="55">
        <v>0.25</v>
      </c>
      <c r="Q26" s="57">
        <f t="shared" si="0"/>
        <v>0.25</v>
      </c>
      <c r="R26" s="237">
        <v>13.8</v>
      </c>
      <c r="S26" s="237">
        <v>85</v>
      </c>
      <c r="T26" s="77">
        <f t="shared" si="4"/>
        <v>36</v>
      </c>
      <c r="U26" s="55">
        <v>537</v>
      </c>
      <c r="V26" s="58">
        <f t="shared" si="2"/>
        <v>3866.4</v>
      </c>
      <c r="W26" s="237">
        <v>2</v>
      </c>
      <c r="X26" s="55" t="s">
        <v>39</v>
      </c>
      <c r="Y26" s="55" t="s">
        <v>84</v>
      </c>
      <c r="Z26" s="55" t="s">
        <v>90</v>
      </c>
      <c r="AA26" s="55" t="s">
        <v>78</v>
      </c>
      <c r="AB26" s="55" t="s">
        <v>310</v>
      </c>
    </row>
    <row r="27" spans="1:49" x14ac:dyDescent="0.15">
      <c r="A27" s="55" t="s">
        <v>41</v>
      </c>
      <c r="B27" s="237" t="s">
        <v>308</v>
      </c>
      <c r="C27" s="152">
        <v>2018</v>
      </c>
      <c r="D27" s="56" t="s">
        <v>329</v>
      </c>
      <c r="E27" s="237" t="s">
        <v>274</v>
      </c>
      <c r="F27" s="237" t="s">
        <v>279</v>
      </c>
      <c r="G27" s="55" t="s">
        <v>42</v>
      </c>
      <c r="H27" s="55" t="s">
        <v>129</v>
      </c>
      <c r="I27" s="55" t="s">
        <v>153</v>
      </c>
      <c r="J27" s="55" t="s">
        <v>58</v>
      </c>
      <c r="K27" s="55" t="s">
        <v>59</v>
      </c>
      <c r="L27" s="237">
        <v>2</v>
      </c>
      <c r="M27" s="55"/>
      <c r="N27" s="55">
        <v>5</v>
      </c>
      <c r="O27" s="55">
        <v>0.25</v>
      </c>
      <c r="P27" s="55">
        <v>0.25</v>
      </c>
      <c r="Q27" s="57">
        <f t="shared" si="0"/>
        <v>0.25</v>
      </c>
      <c r="R27" s="237">
        <v>16.2</v>
      </c>
      <c r="S27" s="237">
        <v>62</v>
      </c>
      <c r="T27" s="77">
        <f t="shared" si="4"/>
        <v>50</v>
      </c>
      <c r="U27" s="55">
        <v>537</v>
      </c>
      <c r="V27" s="78">
        <f t="shared" si="2"/>
        <v>5370</v>
      </c>
      <c r="W27" s="55">
        <v>2</v>
      </c>
      <c r="X27" s="55" t="s">
        <v>39</v>
      </c>
      <c r="Y27" s="55" t="s">
        <v>84</v>
      </c>
      <c r="Z27" s="55" t="s">
        <v>90</v>
      </c>
      <c r="AA27" s="55" t="s">
        <v>78</v>
      </c>
      <c r="AB27" s="55" t="s">
        <v>310</v>
      </c>
      <c r="AE27" s="249"/>
      <c r="AF27" s="249"/>
      <c r="AG27" s="249"/>
      <c r="AH27" s="249"/>
      <c r="AI27" s="249"/>
      <c r="AJ27" s="249"/>
      <c r="AK27" s="249"/>
      <c r="AL27" s="249"/>
      <c r="AM27" s="249"/>
      <c r="AN27" s="249"/>
      <c r="AO27" s="249"/>
      <c r="AP27" s="249"/>
      <c r="AQ27" s="249"/>
      <c r="AR27" s="249"/>
      <c r="AS27" s="249"/>
      <c r="AT27" s="249"/>
      <c r="AU27" s="249"/>
      <c r="AV27" s="249"/>
      <c r="AW27" s="249"/>
    </row>
    <row r="28" spans="1:49" x14ac:dyDescent="0.15">
      <c r="A28" s="55" t="s">
        <v>41</v>
      </c>
      <c r="B28" s="237" t="s">
        <v>308</v>
      </c>
      <c r="C28" s="152">
        <v>2018</v>
      </c>
      <c r="D28" s="56" t="s">
        <v>329</v>
      </c>
      <c r="E28" s="237" t="s">
        <v>274</v>
      </c>
      <c r="F28" s="237" t="s">
        <v>279</v>
      </c>
      <c r="G28" s="55" t="s">
        <v>42</v>
      </c>
      <c r="H28" s="55" t="s">
        <v>129</v>
      </c>
      <c r="I28" s="55" t="s">
        <v>153</v>
      </c>
      <c r="J28" s="55" t="s">
        <v>58</v>
      </c>
      <c r="K28" s="55" t="s">
        <v>59</v>
      </c>
      <c r="L28" s="237">
        <v>3</v>
      </c>
      <c r="N28" s="55">
        <v>5</v>
      </c>
      <c r="O28" s="55">
        <v>0.25</v>
      </c>
      <c r="P28" s="55">
        <v>0.25</v>
      </c>
      <c r="Q28" s="57">
        <f t="shared" si="0"/>
        <v>0.25</v>
      </c>
      <c r="R28" s="237">
        <v>15.5</v>
      </c>
      <c r="S28" s="237">
        <v>75</v>
      </c>
      <c r="T28" s="77">
        <f t="shared" si="4"/>
        <v>42</v>
      </c>
      <c r="U28" s="55">
        <v>537</v>
      </c>
      <c r="V28" s="58">
        <f t="shared" si="2"/>
        <v>4510.8</v>
      </c>
      <c r="W28" s="237">
        <v>2</v>
      </c>
      <c r="X28" s="55" t="s">
        <v>39</v>
      </c>
      <c r="Y28" s="55" t="s">
        <v>84</v>
      </c>
      <c r="Z28" s="55" t="s">
        <v>90</v>
      </c>
      <c r="AA28" s="55" t="s">
        <v>78</v>
      </c>
      <c r="AB28" s="55" t="s">
        <v>310</v>
      </c>
      <c r="AE28" s="249"/>
      <c r="AF28" s="249"/>
      <c r="AG28" s="249"/>
      <c r="AH28" s="249"/>
      <c r="AI28" s="249"/>
      <c r="AJ28" s="249"/>
      <c r="AK28" s="249"/>
      <c r="AL28" s="249"/>
      <c r="AM28" s="249"/>
      <c r="AN28" s="249"/>
      <c r="AO28" s="249"/>
      <c r="AP28" s="249"/>
      <c r="AQ28" s="249"/>
      <c r="AR28" s="249"/>
      <c r="AS28" s="249"/>
      <c r="AT28" s="249"/>
      <c r="AU28" s="249"/>
      <c r="AV28" s="249"/>
      <c r="AW28" s="249"/>
    </row>
    <row r="29" spans="1:49" x14ac:dyDescent="0.15">
      <c r="A29" s="55" t="s">
        <v>41</v>
      </c>
      <c r="B29" s="237" t="s">
        <v>308</v>
      </c>
      <c r="C29" s="152">
        <v>2018</v>
      </c>
      <c r="D29" s="56" t="s">
        <v>329</v>
      </c>
      <c r="E29" s="237" t="s">
        <v>274</v>
      </c>
      <c r="F29" s="237" t="s">
        <v>280</v>
      </c>
      <c r="G29" s="55" t="s">
        <v>42</v>
      </c>
      <c r="H29" s="55" t="s">
        <v>155</v>
      </c>
      <c r="I29" s="55" t="s">
        <v>153</v>
      </c>
      <c r="J29" s="55" t="s">
        <v>38</v>
      </c>
      <c r="K29" s="55" t="s">
        <v>154</v>
      </c>
      <c r="L29" s="237">
        <v>1</v>
      </c>
      <c r="M29" s="55"/>
      <c r="N29" s="55">
        <v>1</v>
      </c>
      <c r="O29" s="55">
        <v>1</v>
      </c>
      <c r="P29" s="55">
        <v>0.9</v>
      </c>
      <c r="Q29" s="82">
        <f t="shared" si="0"/>
        <v>0.95</v>
      </c>
      <c r="R29" s="55">
        <v>12.9</v>
      </c>
      <c r="S29" s="55">
        <v>124</v>
      </c>
      <c r="T29" s="77">
        <f t="shared" si="4"/>
        <v>27</v>
      </c>
      <c r="U29" s="55">
        <v>105</v>
      </c>
      <c r="V29" s="78">
        <f t="shared" si="2"/>
        <v>2835</v>
      </c>
      <c r="W29" s="55">
        <v>4</v>
      </c>
      <c r="X29" s="55" t="s">
        <v>39</v>
      </c>
      <c r="Y29" s="55" t="s">
        <v>90</v>
      </c>
      <c r="Z29" s="55" t="s">
        <v>84</v>
      </c>
      <c r="AA29" s="55" t="s">
        <v>78</v>
      </c>
      <c r="AB29" s="55" t="s">
        <v>310</v>
      </c>
    </row>
    <row r="30" spans="1:49" x14ac:dyDescent="0.15">
      <c r="A30" s="55" t="s">
        <v>41</v>
      </c>
      <c r="B30" s="237" t="s">
        <v>308</v>
      </c>
      <c r="C30" s="152">
        <v>2018</v>
      </c>
      <c r="D30" s="56" t="s">
        <v>329</v>
      </c>
      <c r="E30" s="237" t="s">
        <v>274</v>
      </c>
      <c r="F30" s="237" t="s">
        <v>280</v>
      </c>
      <c r="G30" s="55" t="s">
        <v>42</v>
      </c>
      <c r="H30" s="55" t="s">
        <v>155</v>
      </c>
      <c r="I30" s="55" t="s">
        <v>153</v>
      </c>
      <c r="J30" s="55" t="s">
        <v>38</v>
      </c>
      <c r="K30" s="55" t="s">
        <v>154</v>
      </c>
      <c r="L30" s="237">
        <v>2</v>
      </c>
      <c r="N30" s="55">
        <v>1</v>
      </c>
      <c r="O30" s="237">
        <v>0.95</v>
      </c>
      <c r="P30" s="237">
        <v>1.1000000000000001</v>
      </c>
      <c r="Q30" s="57">
        <f t="shared" si="0"/>
        <v>1.0249999999999999</v>
      </c>
      <c r="R30" s="237">
        <v>14.4</v>
      </c>
      <c r="S30" s="237">
        <v>126</v>
      </c>
      <c r="T30" s="77">
        <f t="shared" si="4"/>
        <v>27</v>
      </c>
      <c r="U30" s="55">
        <v>105</v>
      </c>
      <c r="V30" s="58">
        <f t="shared" si="2"/>
        <v>2835</v>
      </c>
      <c r="W30" s="237">
        <v>4</v>
      </c>
      <c r="X30" s="55" t="s">
        <v>39</v>
      </c>
      <c r="Y30" s="55" t="s">
        <v>90</v>
      </c>
      <c r="Z30" s="55" t="s">
        <v>84</v>
      </c>
      <c r="AA30" s="55" t="s">
        <v>78</v>
      </c>
      <c r="AB30" s="55" t="s">
        <v>310</v>
      </c>
      <c r="AE30" s="249"/>
      <c r="AF30" s="249"/>
      <c r="AG30" s="249"/>
      <c r="AH30" s="249"/>
      <c r="AI30" s="249"/>
      <c r="AJ30" s="249"/>
      <c r="AK30" s="249"/>
      <c r="AL30" s="249"/>
      <c r="AM30" s="249"/>
      <c r="AN30" s="249"/>
      <c r="AO30" s="249"/>
      <c r="AP30" s="249"/>
      <c r="AQ30" s="249"/>
      <c r="AR30" s="249"/>
      <c r="AS30" s="249"/>
      <c r="AT30" s="249"/>
      <c r="AU30" s="249"/>
      <c r="AV30" s="249"/>
      <c r="AW30" s="249"/>
    </row>
    <row r="31" spans="1:49" x14ac:dyDescent="0.15">
      <c r="A31" s="55" t="s">
        <v>41</v>
      </c>
      <c r="B31" s="237" t="s">
        <v>308</v>
      </c>
      <c r="C31" s="152">
        <v>2018</v>
      </c>
      <c r="D31" s="56" t="s">
        <v>329</v>
      </c>
      <c r="E31" s="237" t="s">
        <v>274</v>
      </c>
      <c r="F31" s="237" t="s">
        <v>280</v>
      </c>
      <c r="G31" s="55" t="s">
        <v>42</v>
      </c>
      <c r="H31" s="55" t="s">
        <v>155</v>
      </c>
      <c r="I31" s="55" t="s">
        <v>153</v>
      </c>
      <c r="J31" s="55" t="s">
        <v>38</v>
      </c>
      <c r="K31" s="55" t="s">
        <v>154</v>
      </c>
      <c r="L31" s="237">
        <v>3</v>
      </c>
      <c r="N31" s="55">
        <v>1</v>
      </c>
      <c r="O31" s="237">
        <v>0.9</v>
      </c>
      <c r="P31" s="237">
        <v>1.2</v>
      </c>
      <c r="Q31" s="57">
        <f t="shared" si="0"/>
        <v>1.05</v>
      </c>
      <c r="R31" s="237">
        <v>14.6</v>
      </c>
      <c r="S31" s="237">
        <v>122</v>
      </c>
      <c r="T31" s="77">
        <f t="shared" si="4"/>
        <v>27</v>
      </c>
      <c r="U31" s="55">
        <v>105</v>
      </c>
      <c r="V31" s="58">
        <f t="shared" si="2"/>
        <v>2835</v>
      </c>
      <c r="W31" s="237">
        <v>4</v>
      </c>
      <c r="X31" s="55" t="s">
        <v>39</v>
      </c>
      <c r="Y31" s="55" t="s">
        <v>90</v>
      </c>
      <c r="Z31" s="55" t="s">
        <v>84</v>
      </c>
      <c r="AA31" s="55" t="s">
        <v>78</v>
      </c>
      <c r="AB31" s="55" t="s">
        <v>310</v>
      </c>
      <c r="AE31" s="249"/>
      <c r="AF31" s="249"/>
      <c r="AG31" s="249"/>
      <c r="AH31" s="249"/>
      <c r="AI31" s="249"/>
      <c r="AJ31" s="249"/>
      <c r="AK31" s="249"/>
      <c r="AL31" s="249"/>
      <c r="AM31" s="249"/>
      <c r="AN31" s="249"/>
      <c r="AO31" s="249"/>
      <c r="AP31" s="249"/>
      <c r="AQ31" s="249"/>
      <c r="AR31" s="249"/>
      <c r="AS31" s="249"/>
      <c r="AT31" s="249"/>
      <c r="AU31" s="249"/>
      <c r="AV31" s="249"/>
      <c r="AW31" s="249"/>
    </row>
    <row r="32" spans="1:49" x14ac:dyDescent="0.15">
      <c r="A32" s="55" t="s">
        <v>41</v>
      </c>
      <c r="B32" s="237" t="s">
        <v>308</v>
      </c>
      <c r="C32" s="152">
        <v>2018</v>
      </c>
      <c r="D32" s="56" t="s">
        <v>329</v>
      </c>
      <c r="E32" s="237" t="s">
        <v>274</v>
      </c>
      <c r="F32" s="237" t="s">
        <v>280</v>
      </c>
      <c r="G32" s="55" t="s">
        <v>42</v>
      </c>
      <c r="H32" s="55" t="s">
        <v>155</v>
      </c>
      <c r="I32" s="55" t="s">
        <v>153</v>
      </c>
      <c r="J32" s="55" t="s">
        <v>38</v>
      </c>
      <c r="K32" s="55" t="s">
        <v>154</v>
      </c>
      <c r="L32" s="237">
        <v>1</v>
      </c>
      <c r="M32" s="55"/>
      <c r="N32" s="55">
        <v>7</v>
      </c>
      <c r="O32" s="55">
        <v>0.65</v>
      </c>
      <c r="P32" s="55">
        <v>0.75</v>
      </c>
      <c r="Q32" s="82">
        <f t="shared" si="0"/>
        <v>0.7</v>
      </c>
      <c r="R32" s="55">
        <v>13.6</v>
      </c>
      <c r="S32" s="55">
        <v>120</v>
      </c>
      <c r="T32" s="77">
        <f t="shared" si="4"/>
        <v>30</v>
      </c>
      <c r="U32" s="55">
        <v>540</v>
      </c>
      <c r="V32" s="78">
        <f t="shared" si="2"/>
        <v>2314.2857142857142</v>
      </c>
      <c r="W32" s="55">
        <v>1</v>
      </c>
      <c r="X32" s="55" t="s">
        <v>39</v>
      </c>
      <c r="Y32" s="55" t="s">
        <v>90</v>
      </c>
      <c r="Z32" s="55" t="s">
        <v>84</v>
      </c>
      <c r="AA32" s="55" t="s">
        <v>78</v>
      </c>
      <c r="AB32" s="55" t="s">
        <v>310</v>
      </c>
      <c r="AE32" s="251"/>
      <c r="AF32" s="249"/>
      <c r="AG32" s="252"/>
      <c r="AH32" s="252"/>
      <c r="AI32" s="249"/>
      <c r="AJ32" s="249"/>
      <c r="AK32" s="249"/>
      <c r="AL32" s="249"/>
      <c r="AM32" s="249"/>
      <c r="AN32" s="249"/>
      <c r="AO32" s="249"/>
      <c r="AP32" s="249"/>
      <c r="AQ32" s="249"/>
      <c r="AR32" s="252"/>
      <c r="AS32" s="249"/>
      <c r="AT32" s="249"/>
      <c r="AU32" s="249"/>
      <c r="AV32" s="249"/>
      <c r="AW32" s="249"/>
    </row>
    <row r="33" spans="1:49" x14ac:dyDescent="0.15">
      <c r="A33" s="55" t="s">
        <v>41</v>
      </c>
      <c r="B33" s="237" t="s">
        <v>308</v>
      </c>
      <c r="C33" s="152">
        <v>2018</v>
      </c>
      <c r="D33" s="56" t="s">
        <v>329</v>
      </c>
      <c r="E33" s="237" t="s">
        <v>274</v>
      </c>
      <c r="F33" s="237" t="s">
        <v>280</v>
      </c>
      <c r="G33" s="55" t="s">
        <v>42</v>
      </c>
      <c r="H33" s="55" t="s">
        <v>155</v>
      </c>
      <c r="I33" s="55" t="s">
        <v>153</v>
      </c>
      <c r="J33" s="55" t="s">
        <v>38</v>
      </c>
      <c r="K33" s="55" t="s">
        <v>154</v>
      </c>
      <c r="L33" s="237">
        <v>2</v>
      </c>
      <c r="N33" s="55">
        <v>7</v>
      </c>
      <c r="O33" s="237">
        <v>0.9</v>
      </c>
      <c r="P33" s="237">
        <v>0.85</v>
      </c>
      <c r="Q33" s="57">
        <f t="shared" si="0"/>
        <v>0.875</v>
      </c>
      <c r="R33" s="237">
        <v>13.9</v>
      </c>
      <c r="S33" s="237">
        <v>119</v>
      </c>
      <c r="T33" s="77">
        <f t="shared" si="4"/>
        <v>30</v>
      </c>
      <c r="U33" s="55">
        <v>540</v>
      </c>
      <c r="V33" s="58">
        <f t="shared" si="2"/>
        <v>2314.2857142857142</v>
      </c>
      <c r="W33" s="237">
        <v>1</v>
      </c>
      <c r="X33" s="55" t="s">
        <v>39</v>
      </c>
      <c r="Y33" s="55" t="s">
        <v>90</v>
      </c>
      <c r="Z33" s="55" t="s">
        <v>84</v>
      </c>
      <c r="AA33" s="55" t="s">
        <v>78</v>
      </c>
      <c r="AB33" s="55" t="s">
        <v>310</v>
      </c>
      <c r="AE33" s="251"/>
      <c r="AF33" s="249"/>
      <c r="AG33" s="252"/>
      <c r="AH33" s="252"/>
      <c r="AI33" s="249"/>
      <c r="AJ33" s="249"/>
      <c r="AK33" s="249"/>
      <c r="AL33" s="249"/>
      <c r="AM33" s="249"/>
      <c r="AN33" s="249"/>
      <c r="AO33" s="249"/>
      <c r="AP33" s="249"/>
      <c r="AQ33" s="249"/>
      <c r="AR33" s="252"/>
      <c r="AS33" s="249"/>
      <c r="AT33" s="249"/>
      <c r="AU33" s="249"/>
      <c r="AV33" s="249"/>
      <c r="AW33" s="249"/>
    </row>
    <row r="34" spans="1:49" x14ac:dyDescent="0.15">
      <c r="A34" s="55" t="s">
        <v>41</v>
      </c>
      <c r="B34" s="237" t="s">
        <v>308</v>
      </c>
      <c r="C34" s="152">
        <v>2018</v>
      </c>
      <c r="D34" s="56" t="s">
        <v>329</v>
      </c>
      <c r="E34" s="237" t="s">
        <v>274</v>
      </c>
      <c r="F34" s="237" t="s">
        <v>280</v>
      </c>
      <c r="G34" s="55" t="s">
        <v>42</v>
      </c>
      <c r="H34" s="55" t="s">
        <v>155</v>
      </c>
      <c r="I34" s="55" t="s">
        <v>153</v>
      </c>
      <c r="J34" s="55" t="s">
        <v>38</v>
      </c>
      <c r="K34" s="55" t="s">
        <v>154</v>
      </c>
      <c r="L34" s="237">
        <v>3</v>
      </c>
      <c r="N34" s="55">
        <v>7</v>
      </c>
      <c r="O34" s="237">
        <v>0.8</v>
      </c>
      <c r="P34" s="237">
        <v>0.95</v>
      </c>
      <c r="Q34" s="57">
        <f t="shared" si="0"/>
        <v>0.875</v>
      </c>
      <c r="R34" s="237">
        <v>15.1</v>
      </c>
      <c r="S34" s="237">
        <v>116</v>
      </c>
      <c r="T34" s="77">
        <f t="shared" si="4"/>
        <v>30</v>
      </c>
      <c r="U34" s="55">
        <v>540</v>
      </c>
      <c r="V34" s="58">
        <f t="shared" si="2"/>
        <v>2314.2857142857142</v>
      </c>
      <c r="W34" s="237">
        <v>1</v>
      </c>
      <c r="X34" s="55" t="s">
        <v>39</v>
      </c>
      <c r="Y34" s="55" t="s">
        <v>90</v>
      </c>
      <c r="Z34" s="55" t="s">
        <v>84</v>
      </c>
      <c r="AA34" s="55" t="s">
        <v>78</v>
      </c>
      <c r="AB34" s="55" t="s">
        <v>310</v>
      </c>
      <c r="AE34" s="251"/>
      <c r="AF34" s="249"/>
      <c r="AG34" s="252"/>
      <c r="AH34" s="252"/>
      <c r="AI34" s="249"/>
      <c r="AJ34" s="249"/>
      <c r="AK34" s="249"/>
      <c r="AL34" s="249"/>
      <c r="AM34" s="249"/>
      <c r="AN34" s="249"/>
      <c r="AO34" s="249"/>
      <c r="AP34" s="249"/>
      <c r="AQ34" s="249"/>
      <c r="AR34" s="252"/>
      <c r="AS34" s="249"/>
      <c r="AT34" s="249"/>
      <c r="AU34" s="249"/>
      <c r="AV34" s="249"/>
      <c r="AW34" s="249"/>
    </row>
    <row r="35" spans="1:49" x14ac:dyDescent="0.15">
      <c r="A35" s="55" t="s">
        <v>41</v>
      </c>
      <c r="B35" s="237" t="s">
        <v>308</v>
      </c>
      <c r="C35" s="152">
        <v>2018</v>
      </c>
      <c r="D35" s="56" t="s">
        <v>329</v>
      </c>
      <c r="E35" s="237" t="s">
        <v>275</v>
      </c>
      <c r="F35" s="237" t="s">
        <v>279</v>
      </c>
      <c r="G35" s="55" t="s">
        <v>42</v>
      </c>
      <c r="H35" s="55" t="s">
        <v>155</v>
      </c>
      <c r="I35" s="55" t="s">
        <v>153</v>
      </c>
      <c r="J35" s="55" t="s">
        <v>38</v>
      </c>
      <c r="K35" s="55" t="s">
        <v>154</v>
      </c>
      <c r="L35" s="237">
        <v>1</v>
      </c>
      <c r="N35" s="55">
        <v>1</v>
      </c>
      <c r="O35" s="55">
        <v>1</v>
      </c>
      <c r="P35" s="55">
        <v>0.95</v>
      </c>
      <c r="Q35" s="57">
        <f t="shared" si="0"/>
        <v>0.97499999999999998</v>
      </c>
      <c r="R35" s="237">
        <v>14.3</v>
      </c>
      <c r="S35" s="55">
        <v>128</v>
      </c>
      <c r="T35" s="57">
        <f t="shared" si="4"/>
        <v>27</v>
      </c>
      <c r="U35" s="237">
        <v>108</v>
      </c>
      <c r="V35" s="58">
        <f t="shared" si="2"/>
        <v>2916</v>
      </c>
      <c r="W35" s="237">
        <v>1</v>
      </c>
      <c r="X35" s="55" t="s">
        <v>46</v>
      </c>
      <c r="Y35" s="55" t="s">
        <v>50</v>
      </c>
      <c r="Z35" s="55" t="s">
        <v>90</v>
      </c>
      <c r="AA35" s="55" t="s">
        <v>69</v>
      </c>
      <c r="AB35" s="55" t="s">
        <v>310</v>
      </c>
    </row>
    <row r="36" spans="1:49" x14ac:dyDescent="0.15">
      <c r="A36" s="55" t="s">
        <v>41</v>
      </c>
      <c r="B36" s="237" t="s">
        <v>308</v>
      </c>
      <c r="C36" s="152">
        <v>2018</v>
      </c>
      <c r="D36" s="56" t="s">
        <v>329</v>
      </c>
      <c r="E36" s="237" t="s">
        <v>275</v>
      </c>
      <c r="F36" s="237" t="s">
        <v>279</v>
      </c>
      <c r="G36" s="55" t="s">
        <v>42</v>
      </c>
      <c r="H36" s="55" t="s">
        <v>155</v>
      </c>
      <c r="I36" s="55" t="s">
        <v>153</v>
      </c>
      <c r="J36" s="55" t="s">
        <v>38</v>
      </c>
      <c r="K36" s="55" t="s">
        <v>154</v>
      </c>
      <c r="L36" s="237">
        <v>2</v>
      </c>
      <c r="N36" s="55">
        <v>1</v>
      </c>
      <c r="O36" s="55">
        <v>1.05</v>
      </c>
      <c r="P36" s="55">
        <v>1</v>
      </c>
      <c r="Q36" s="57">
        <f t="shared" si="0"/>
        <v>1.0249999999999999</v>
      </c>
      <c r="R36" s="237">
        <v>13.8</v>
      </c>
      <c r="S36" s="55">
        <v>126</v>
      </c>
      <c r="T36" s="57">
        <f t="shared" si="4"/>
        <v>27</v>
      </c>
      <c r="U36" s="237">
        <v>108</v>
      </c>
      <c r="V36" s="58">
        <f t="shared" si="2"/>
        <v>2916</v>
      </c>
      <c r="W36" s="237">
        <v>1</v>
      </c>
      <c r="X36" s="55" t="s">
        <v>46</v>
      </c>
      <c r="Y36" s="55" t="s">
        <v>50</v>
      </c>
      <c r="Z36" s="55" t="s">
        <v>90</v>
      </c>
      <c r="AA36" s="55" t="s">
        <v>69</v>
      </c>
      <c r="AB36" s="55" t="s">
        <v>310</v>
      </c>
    </row>
    <row r="37" spans="1:49" x14ac:dyDescent="0.15">
      <c r="A37" s="55" t="s">
        <v>41</v>
      </c>
      <c r="B37" s="237" t="s">
        <v>308</v>
      </c>
      <c r="C37" s="152">
        <v>2018</v>
      </c>
      <c r="D37" s="56" t="s">
        <v>329</v>
      </c>
      <c r="E37" s="237" t="s">
        <v>275</v>
      </c>
      <c r="F37" s="237" t="s">
        <v>279</v>
      </c>
      <c r="G37" s="55" t="s">
        <v>42</v>
      </c>
      <c r="H37" s="55" t="s">
        <v>155</v>
      </c>
      <c r="I37" s="55" t="s">
        <v>153</v>
      </c>
      <c r="J37" s="55" t="s">
        <v>38</v>
      </c>
      <c r="K37" s="55" t="s">
        <v>154</v>
      </c>
      <c r="L37" s="237">
        <v>3</v>
      </c>
      <c r="N37" s="55">
        <v>1</v>
      </c>
      <c r="O37" s="55">
        <v>1.1000000000000001</v>
      </c>
      <c r="P37" s="55">
        <v>1.1499999999999999</v>
      </c>
      <c r="Q37" s="57">
        <f t="shared" si="0"/>
        <v>1.125</v>
      </c>
      <c r="R37" s="237">
        <v>13</v>
      </c>
      <c r="S37" s="55">
        <v>125</v>
      </c>
      <c r="T37" s="57">
        <f t="shared" si="4"/>
        <v>27</v>
      </c>
      <c r="U37" s="237">
        <v>108</v>
      </c>
      <c r="V37" s="58">
        <f t="shared" si="2"/>
        <v>2916</v>
      </c>
      <c r="W37" s="237">
        <v>1</v>
      </c>
      <c r="X37" s="55" t="s">
        <v>46</v>
      </c>
      <c r="Y37" s="55" t="s">
        <v>50</v>
      </c>
      <c r="Z37" s="55" t="s">
        <v>90</v>
      </c>
      <c r="AA37" s="55" t="s">
        <v>69</v>
      </c>
      <c r="AB37" s="55" t="s">
        <v>310</v>
      </c>
    </row>
    <row r="38" spans="1:49" x14ac:dyDescent="0.15">
      <c r="A38" s="55" t="s">
        <v>41</v>
      </c>
      <c r="B38" s="237" t="s">
        <v>308</v>
      </c>
      <c r="C38" s="152">
        <v>2018</v>
      </c>
      <c r="D38" s="56" t="s">
        <v>329</v>
      </c>
      <c r="E38" s="237" t="s">
        <v>275</v>
      </c>
      <c r="F38" s="237" t="s">
        <v>279</v>
      </c>
      <c r="G38" s="55" t="s">
        <v>42</v>
      </c>
      <c r="H38" s="55" t="s">
        <v>157</v>
      </c>
      <c r="I38" s="55" t="s">
        <v>153</v>
      </c>
      <c r="J38" s="55" t="s">
        <v>38</v>
      </c>
      <c r="K38" s="55" t="s">
        <v>154</v>
      </c>
      <c r="L38" s="237">
        <v>1</v>
      </c>
      <c r="N38" s="55">
        <v>1</v>
      </c>
      <c r="O38" s="55">
        <v>0.85</v>
      </c>
      <c r="P38" s="55">
        <v>0.7</v>
      </c>
      <c r="Q38" s="82">
        <f t="shared" si="0"/>
        <v>0.77499999999999991</v>
      </c>
      <c r="R38" s="55">
        <v>15.9</v>
      </c>
      <c r="S38" s="55">
        <v>124</v>
      </c>
      <c r="T38" s="57">
        <f t="shared" si="4"/>
        <v>27</v>
      </c>
      <c r="U38" s="237">
        <v>170</v>
      </c>
      <c r="V38" s="58">
        <f t="shared" si="2"/>
        <v>4590</v>
      </c>
      <c r="W38" s="237">
        <v>1</v>
      </c>
      <c r="X38" s="55" t="s">
        <v>46</v>
      </c>
      <c r="Y38" s="55" t="s">
        <v>50</v>
      </c>
      <c r="Z38" s="55" t="s">
        <v>90</v>
      </c>
      <c r="AA38" s="55" t="s">
        <v>69</v>
      </c>
      <c r="AB38" s="55" t="s">
        <v>310</v>
      </c>
      <c r="AC38" s="55"/>
      <c r="AD38" s="55"/>
    </row>
    <row r="39" spans="1:49" x14ac:dyDescent="0.15">
      <c r="A39" s="55" t="s">
        <v>41</v>
      </c>
      <c r="B39" s="237" t="s">
        <v>308</v>
      </c>
      <c r="C39" s="152">
        <v>2018</v>
      </c>
      <c r="D39" s="56" t="s">
        <v>329</v>
      </c>
      <c r="E39" s="237" t="s">
        <v>275</v>
      </c>
      <c r="F39" s="237" t="s">
        <v>279</v>
      </c>
      <c r="G39" s="55" t="s">
        <v>42</v>
      </c>
      <c r="H39" s="55" t="s">
        <v>157</v>
      </c>
      <c r="I39" s="55" t="s">
        <v>153</v>
      </c>
      <c r="J39" s="55" t="s">
        <v>38</v>
      </c>
      <c r="K39" s="55" t="s">
        <v>154</v>
      </c>
      <c r="L39" s="237">
        <v>2</v>
      </c>
      <c r="N39" s="55">
        <v>1</v>
      </c>
      <c r="O39" s="55">
        <v>0.7</v>
      </c>
      <c r="P39" s="55">
        <v>0.65</v>
      </c>
      <c r="Q39" s="82">
        <f t="shared" si="0"/>
        <v>0.67500000000000004</v>
      </c>
      <c r="R39" s="55">
        <v>17.399999999999999</v>
      </c>
      <c r="S39" s="55">
        <v>126</v>
      </c>
      <c r="T39" s="57">
        <f t="shared" si="4"/>
        <v>27</v>
      </c>
      <c r="U39" s="237">
        <v>170</v>
      </c>
      <c r="V39" s="58">
        <f t="shared" si="2"/>
        <v>4590</v>
      </c>
      <c r="W39" s="237">
        <v>1</v>
      </c>
      <c r="X39" s="55" t="s">
        <v>46</v>
      </c>
      <c r="Y39" s="55" t="s">
        <v>50</v>
      </c>
      <c r="Z39" s="55" t="s">
        <v>90</v>
      </c>
      <c r="AA39" s="55" t="s">
        <v>69</v>
      </c>
      <c r="AB39" s="55" t="s">
        <v>310</v>
      </c>
      <c r="AC39" s="55"/>
      <c r="AD39" s="55"/>
    </row>
    <row r="40" spans="1:49" x14ac:dyDescent="0.15">
      <c r="A40" s="55" t="s">
        <v>41</v>
      </c>
      <c r="B40" s="237" t="s">
        <v>308</v>
      </c>
      <c r="C40" s="152">
        <v>2018</v>
      </c>
      <c r="D40" s="56" t="s">
        <v>329</v>
      </c>
      <c r="E40" s="237" t="s">
        <v>275</v>
      </c>
      <c r="F40" s="237" t="s">
        <v>279</v>
      </c>
      <c r="G40" s="55" t="s">
        <v>42</v>
      </c>
      <c r="H40" s="55" t="s">
        <v>157</v>
      </c>
      <c r="I40" s="55" t="s">
        <v>153</v>
      </c>
      <c r="J40" s="55" t="s">
        <v>38</v>
      </c>
      <c r="K40" s="55" t="s">
        <v>154</v>
      </c>
      <c r="L40" s="237">
        <v>3</v>
      </c>
      <c r="N40" s="55">
        <v>1</v>
      </c>
      <c r="O40" s="55">
        <v>0.95</v>
      </c>
      <c r="P40" s="55">
        <v>0.9</v>
      </c>
      <c r="Q40" s="82">
        <f t="shared" si="0"/>
        <v>0.92500000000000004</v>
      </c>
      <c r="R40" s="55">
        <v>16.5</v>
      </c>
      <c r="S40" s="55">
        <v>122</v>
      </c>
      <c r="T40" s="57">
        <f t="shared" si="4"/>
        <v>27</v>
      </c>
      <c r="U40" s="237">
        <v>170</v>
      </c>
      <c r="V40" s="58">
        <f t="shared" si="2"/>
        <v>4590</v>
      </c>
      <c r="W40" s="237">
        <v>1</v>
      </c>
      <c r="X40" s="55" t="s">
        <v>46</v>
      </c>
      <c r="Y40" s="55" t="s">
        <v>50</v>
      </c>
      <c r="Z40" s="55" t="s">
        <v>90</v>
      </c>
      <c r="AA40" s="55" t="s">
        <v>69</v>
      </c>
      <c r="AB40" s="55" t="s">
        <v>310</v>
      </c>
      <c r="AC40" s="55"/>
      <c r="AD40" s="55"/>
    </row>
    <row r="41" spans="1:49" x14ac:dyDescent="0.15">
      <c r="A41" s="55" t="s">
        <v>41</v>
      </c>
      <c r="B41" s="237" t="s">
        <v>308</v>
      </c>
      <c r="C41" s="152">
        <v>2018</v>
      </c>
      <c r="D41" s="56" t="s">
        <v>329</v>
      </c>
      <c r="E41" s="237" t="s">
        <v>275</v>
      </c>
      <c r="F41" s="237" t="s">
        <v>279</v>
      </c>
      <c r="G41" s="55" t="s">
        <v>42</v>
      </c>
      <c r="H41" s="55" t="s">
        <v>157</v>
      </c>
      <c r="I41" s="55" t="s">
        <v>153</v>
      </c>
      <c r="J41" s="55" t="s">
        <v>38</v>
      </c>
      <c r="K41" s="55" t="s">
        <v>154</v>
      </c>
      <c r="L41" s="237">
        <v>1</v>
      </c>
      <c r="N41" s="55">
        <v>4</v>
      </c>
      <c r="O41" s="55">
        <v>0.5</v>
      </c>
      <c r="P41" s="55">
        <v>0.6</v>
      </c>
      <c r="Q41" s="82">
        <f t="shared" si="0"/>
        <v>0.55000000000000004</v>
      </c>
      <c r="R41" s="55">
        <v>15.2</v>
      </c>
      <c r="S41" s="55">
        <v>122</v>
      </c>
      <c r="T41" s="57">
        <f t="shared" si="4"/>
        <v>27</v>
      </c>
      <c r="U41" s="237">
        <v>645</v>
      </c>
      <c r="V41" s="58">
        <f t="shared" si="2"/>
        <v>4353.75</v>
      </c>
      <c r="W41" s="237">
        <v>2</v>
      </c>
      <c r="X41" s="55" t="s">
        <v>46</v>
      </c>
      <c r="Y41" s="55" t="s">
        <v>50</v>
      </c>
      <c r="Z41" s="55" t="s">
        <v>90</v>
      </c>
      <c r="AA41" s="55" t="s">
        <v>69</v>
      </c>
      <c r="AB41" s="55" t="s">
        <v>310</v>
      </c>
    </row>
    <row r="42" spans="1:49" x14ac:dyDescent="0.15">
      <c r="A42" s="55" t="s">
        <v>41</v>
      </c>
      <c r="B42" s="237" t="s">
        <v>308</v>
      </c>
      <c r="C42" s="152">
        <v>2018</v>
      </c>
      <c r="D42" s="56" t="s">
        <v>329</v>
      </c>
      <c r="E42" s="237" t="s">
        <v>275</v>
      </c>
      <c r="F42" s="237" t="s">
        <v>279</v>
      </c>
      <c r="G42" s="55" t="s">
        <v>42</v>
      </c>
      <c r="H42" s="55" t="s">
        <v>157</v>
      </c>
      <c r="I42" s="55" t="s">
        <v>153</v>
      </c>
      <c r="J42" s="55" t="s">
        <v>38</v>
      </c>
      <c r="K42" s="55" t="s">
        <v>154</v>
      </c>
      <c r="L42" s="237">
        <v>2</v>
      </c>
      <c r="N42" s="55">
        <v>4</v>
      </c>
      <c r="O42" s="55">
        <v>0.4</v>
      </c>
      <c r="P42" s="55">
        <v>0.6</v>
      </c>
      <c r="Q42" s="82">
        <f t="shared" si="0"/>
        <v>0.5</v>
      </c>
      <c r="R42" s="55">
        <v>16.5</v>
      </c>
      <c r="S42" s="55">
        <v>124</v>
      </c>
      <c r="T42" s="57">
        <f t="shared" si="4"/>
        <v>27</v>
      </c>
      <c r="U42" s="237">
        <v>645</v>
      </c>
      <c r="V42" s="58">
        <f t="shared" si="2"/>
        <v>4353.75</v>
      </c>
      <c r="W42" s="237">
        <v>2</v>
      </c>
      <c r="X42" s="55" t="s">
        <v>46</v>
      </c>
      <c r="Y42" s="55" t="s">
        <v>50</v>
      </c>
      <c r="Z42" s="55" t="s">
        <v>90</v>
      </c>
      <c r="AA42" s="55" t="s">
        <v>69</v>
      </c>
      <c r="AB42" s="55" t="s">
        <v>310</v>
      </c>
    </row>
    <row r="43" spans="1:49" x14ac:dyDescent="0.15">
      <c r="A43" s="55" t="s">
        <v>41</v>
      </c>
      <c r="B43" s="237" t="s">
        <v>308</v>
      </c>
      <c r="C43" s="152">
        <v>2018</v>
      </c>
      <c r="D43" s="56" t="s">
        <v>329</v>
      </c>
      <c r="E43" s="237" t="s">
        <v>275</v>
      </c>
      <c r="F43" s="237" t="s">
        <v>279</v>
      </c>
      <c r="G43" s="55" t="s">
        <v>42</v>
      </c>
      <c r="H43" s="55" t="s">
        <v>157</v>
      </c>
      <c r="I43" s="55" t="s">
        <v>153</v>
      </c>
      <c r="J43" s="55" t="s">
        <v>38</v>
      </c>
      <c r="K43" s="55" t="s">
        <v>154</v>
      </c>
      <c r="L43" s="237">
        <v>3</v>
      </c>
      <c r="N43" s="55">
        <v>4</v>
      </c>
      <c r="O43" s="55">
        <v>0.65</v>
      </c>
      <c r="P43" s="55">
        <v>0.65</v>
      </c>
      <c r="Q43" s="82">
        <f t="shared" si="0"/>
        <v>0.65</v>
      </c>
      <c r="R43" s="55">
        <v>16.600000000000001</v>
      </c>
      <c r="S43" s="55">
        <v>124</v>
      </c>
      <c r="T43" s="57">
        <f t="shared" si="4"/>
        <v>27</v>
      </c>
      <c r="U43" s="55">
        <v>645</v>
      </c>
      <c r="V43" s="58">
        <f t="shared" si="2"/>
        <v>4353.75</v>
      </c>
      <c r="W43" s="237">
        <v>2</v>
      </c>
      <c r="X43" s="55" t="s">
        <v>46</v>
      </c>
      <c r="Y43" s="55" t="s">
        <v>50</v>
      </c>
      <c r="Z43" s="55" t="s">
        <v>90</v>
      </c>
      <c r="AA43" s="55" t="s">
        <v>69</v>
      </c>
      <c r="AB43" s="55" t="s">
        <v>310</v>
      </c>
    </row>
    <row r="44" spans="1:49" x14ac:dyDescent="0.15">
      <c r="A44" s="55" t="s">
        <v>41</v>
      </c>
      <c r="B44" s="237" t="s">
        <v>308</v>
      </c>
      <c r="C44" s="152">
        <v>2018</v>
      </c>
      <c r="D44" s="56" t="s">
        <v>329</v>
      </c>
      <c r="E44" s="237" t="s">
        <v>275</v>
      </c>
      <c r="F44" s="237" t="s">
        <v>279</v>
      </c>
      <c r="G44" s="55" t="s">
        <v>42</v>
      </c>
      <c r="H44" s="55" t="s">
        <v>155</v>
      </c>
      <c r="I44" s="55" t="s">
        <v>153</v>
      </c>
      <c r="J44" s="55" t="s">
        <v>38</v>
      </c>
      <c r="K44" s="55" t="s">
        <v>154</v>
      </c>
      <c r="L44" s="237">
        <v>1</v>
      </c>
      <c r="N44" s="55">
        <v>8</v>
      </c>
      <c r="O44" s="55">
        <v>0.25</v>
      </c>
      <c r="P44" s="55">
        <v>0.25</v>
      </c>
      <c r="Q44" s="82">
        <f t="shared" si="0"/>
        <v>0.25</v>
      </c>
      <c r="R44" s="55">
        <v>16.2</v>
      </c>
      <c r="S44" s="55">
        <v>131</v>
      </c>
      <c r="T44" s="57">
        <f t="shared" si="4"/>
        <v>25</v>
      </c>
      <c r="U44" s="237">
        <v>950</v>
      </c>
      <c r="V44" s="58">
        <f t="shared" si="2"/>
        <v>2968.75</v>
      </c>
      <c r="W44" s="237">
        <v>3</v>
      </c>
      <c r="X44" s="55" t="s">
        <v>46</v>
      </c>
      <c r="Y44" s="55" t="s">
        <v>50</v>
      </c>
      <c r="Z44" s="55" t="s">
        <v>90</v>
      </c>
      <c r="AA44" s="55" t="s">
        <v>69</v>
      </c>
      <c r="AB44" s="55" t="s">
        <v>310</v>
      </c>
    </row>
    <row r="45" spans="1:49" x14ac:dyDescent="0.15">
      <c r="A45" s="55" t="s">
        <v>41</v>
      </c>
      <c r="B45" s="237" t="s">
        <v>308</v>
      </c>
      <c r="C45" s="152">
        <v>2018</v>
      </c>
      <c r="D45" s="56" t="s">
        <v>329</v>
      </c>
      <c r="E45" s="237" t="s">
        <v>275</v>
      </c>
      <c r="F45" s="237" t="s">
        <v>279</v>
      </c>
      <c r="G45" s="55" t="s">
        <v>42</v>
      </c>
      <c r="H45" s="55" t="s">
        <v>155</v>
      </c>
      <c r="I45" s="55" t="s">
        <v>153</v>
      </c>
      <c r="J45" s="55" t="s">
        <v>38</v>
      </c>
      <c r="K45" s="55" t="s">
        <v>154</v>
      </c>
      <c r="L45" s="237">
        <v>2</v>
      </c>
      <c r="N45" s="55">
        <v>8</v>
      </c>
      <c r="O45" s="55">
        <v>0.25</v>
      </c>
      <c r="P45" s="55">
        <v>0.3</v>
      </c>
      <c r="Q45" s="82">
        <f t="shared" si="0"/>
        <v>0.27500000000000002</v>
      </c>
      <c r="R45" s="55">
        <v>13.8</v>
      </c>
      <c r="S45" s="55">
        <v>131</v>
      </c>
      <c r="T45" s="57">
        <f t="shared" si="4"/>
        <v>25</v>
      </c>
      <c r="U45" s="237">
        <v>950</v>
      </c>
      <c r="V45" s="58">
        <f t="shared" si="2"/>
        <v>2968.75</v>
      </c>
      <c r="W45" s="237">
        <v>3</v>
      </c>
      <c r="X45" s="55" t="s">
        <v>46</v>
      </c>
      <c r="Y45" s="55" t="s">
        <v>50</v>
      </c>
      <c r="Z45" s="55" t="s">
        <v>90</v>
      </c>
      <c r="AA45" s="55" t="s">
        <v>69</v>
      </c>
      <c r="AB45" s="55" t="s">
        <v>310</v>
      </c>
    </row>
    <row r="46" spans="1:49" x14ac:dyDescent="0.15">
      <c r="A46" s="55" t="s">
        <v>41</v>
      </c>
      <c r="B46" s="237" t="s">
        <v>308</v>
      </c>
      <c r="C46" s="152">
        <v>2018</v>
      </c>
      <c r="D46" s="56" t="s">
        <v>329</v>
      </c>
      <c r="E46" s="237" t="s">
        <v>275</v>
      </c>
      <c r="F46" s="237" t="s">
        <v>279</v>
      </c>
      <c r="G46" s="55" t="s">
        <v>42</v>
      </c>
      <c r="H46" s="55" t="s">
        <v>155</v>
      </c>
      <c r="I46" s="55" t="s">
        <v>153</v>
      </c>
      <c r="J46" s="55" t="s">
        <v>38</v>
      </c>
      <c r="K46" s="55" t="s">
        <v>154</v>
      </c>
      <c r="L46" s="237">
        <v>3</v>
      </c>
      <c r="N46" s="55">
        <v>8</v>
      </c>
      <c r="O46" s="55">
        <v>0.35</v>
      </c>
      <c r="P46" s="55">
        <v>0.25</v>
      </c>
      <c r="Q46" s="82">
        <f t="shared" si="0"/>
        <v>0.3</v>
      </c>
      <c r="R46" s="55">
        <v>13.3</v>
      </c>
      <c r="S46" s="55">
        <v>129</v>
      </c>
      <c r="T46" s="57">
        <f t="shared" si="4"/>
        <v>25</v>
      </c>
      <c r="U46" s="55">
        <v>950</v>
      </c>
      <c r="V46" s="58">
        <f t="shared" si="2"/>
        <v>2968.75</v>
      </c>
      <c r="W46" s="237">
        <v>3</v>
      </c>
      <c r="X46" s="55" t="s">
        <v>46</v>
      </c>
      <c r="Y46" s="55" t="s">
        <v>50</v>
      </c>
      <c r="Z46" s="55" t="s">
        <v>90</v>
      </c>
      <c r="AA46" s="55" t="s">
        <v>69</v>
      </c>
      <c r="AB46" s="55" t="s">
        <v>310</v>
      </c>
    </row>
    <row r="47" spans="1:49" x14ac:dyDescent="0.15">
      <c r="A47" s="55" t="s">
        <v>41</v>
      </c>
      <c r="B47" s="237" t="s">
        <v>308</v>
      </c>
      <c r="C47" s="152">
        <v>2018</v>
      </c>
      <c r="D47" s="56" t="s">
        <v>329</v>
      </c>
      <c r="E47" s="237" t="s">
        <v>275</v>
      </c>
      <c r="F47" s="237" t="s">
        <v>279</v>
      </c>
      <c r="G47" s="55" t="s">
        <v>42</v>
      </c>
      <c r="H47" s="55" t="s">
        <v>155</v>
      </c>
      <c r="I47" s="55" t="s">
        <v>153</v>
      </c>
      <c r="J47" s="55" t="s">
        <v>38</v>
      </c>
      <c r="K47" s="55" t="s">
        <v>154</v>
      </c>
      <c r="L47" s="237">
        <v>1</v>
      </c>
      <c r="N47" s="237">
        <v>5</v>
      </c>
      <c r="O47" s="55">
        <v>0.45</v>
      </c>
      <c r="P47" s="55">
        <v>0.6</v>
      </c>
      <c r="Q47" s="57">
        <f t="shared" si="0"/>
        <v>0.52500000000000002</v>
      </c>
      <c r="R47" s="55">
        <v>14.8</v>
      </c>
      <c r="S47" s="55">
        <v>119</v>
      </c>
      <c r="T47" s="57">
        <f t="shared" si="4"/>
        <v>30</v>
      </c>
      <c r="U47" s="237">
        <v>537</v>
      </c>
      <c r="V47" s="58">
        <f t="shared" si="2"/>
        <v>3222</v>
      </c>
      <c r="W47" s="237">
        <v>2</v>
      </c>
      <c r="X47" s="55" t="s">
        <v>46</v>
      </c>
      <c r="Y47" s="55" t="s">
        <v>50</v>
      </c>
      <c r="Z47" s="55" t="s">
        <v>90</v>
      </c>
      <c r="AA47" s="55" t="s">
        <v>69</v>
      </c>
      <c r="AB47" s="55" t="s">
        <v>310</v>
      </c>
    </row>
    <row r="48" spans="1:49" x14ac:dyDescent="0.15">
      <c r="A48" s="55" t="s">
        <v>41</v>
      </c>
      <c r="B48" s="237" t="s">
        <v>308</v>
      </c>
      <c r="C48" s="152">
        <v>2018</v>
      </c>
      <c r="D48" s="56" t="s">
        <v>329</v>
      </c>
      <c r="E48" s="237" t="s">
        <v>275</v>
      </c>
      <c r="F48" s="237" t="s">
        <v>279</v>
      </c>
      <c r="G48" s="55" t="s">
        <v>42</v>
      </c>
      <c r="H48" s="55" t="s">
        <v>155</v>
      </c>
      <c r="I48" s="55" t="s">
        <v>153</v>
      </c>
      <c r="J48" s="55" t="s">
        <v>38</v>
      </c>
      <c r="K48" s="55" t="s">
        <v>154</v>
      </c>
      <c r="L48" s="237">
        <v>2</v>
      </c>
      <c r="N48" s="237">
        <v>5</v>
      </c>
      <c r="O48" s="55">
        <v>0.75</v>
      </c>
      <c r="P48" s="55">
        <v>0.45</v>
      </c>
      <c r="Q48" s="57">
        <f t="shared" si="0"/>
        <v>0.6</v>
      </c>
      <c r="R48" s="55">
        <v>15.1</v>
      </c>
      <c r="S48" s="55">
        <v>120</v>
      </c>
      <c r="T48" s="57">
        <f t="shared" si="4"/>
        <v>30</v>
      </c>
      <c r="U48" s="237">
        <v>537</v>
      </c>
      <c r="V48" s="58">
        <f t="shared" si="2"/>
        <v>3222</v>
      </c>
      <c r="W48" s="237">
        <v>2</v>
      </c>
      <c r="X48" s="55" t="s">
        <v>46</v>
      </c>
      <c r="Y48" s="55" t="s">
        <v>50</v>
      </c>
      <c r="Z48" s="55" t="s">
        <v>90</v>
      </c>
      <c r="AA48" s="55" t="s">
        <v>69</v>
      </c>
      <c r="AB48" s="55" t="s">
        <v>310</v>
      </c>
    </row>
    <row r="49" spans="1:30" x14ac:dyDescent="0.15">
      <c r="A49" s="55" t="s">
        <v>41</v>
      </c>
      <c r="B49" s="237" t="s">
        <v>308</v>
      </c>
      <c r="C49" s="152">
        <v>2018</v>
      </c>
      <c r="D49" s="56" t="s">
        <v>329</v>
      </c>
      <c r="E49" s="237" t="s">
        <v>275</v>
      </c>
      <c r="F49" s="237" t="s">
        <v>279</v>
      </c>
      <c r="G49" s="55" t="s">
        <v>42</v>
      </c>
      <c r="H49" s="55" t="s">
        <v>155</v>
      </c>
      <c r="I49" s="55" t="s">
        <v>153</v>
      </c>
      <c r="J49" s="55" t="s">
        <v>38</v>
      </c>
      <c r="K49" s="55" t="s">
        <v>154</v>
      </c>
      <c r="L49" s="237">
        <v>3</v>
      </c>
      <c r="N49" s="237">
        <v>5</v>
      </c>
      <c r="O49" s="55">
        <v>0.8</v>
      </c>
      <c r="P49" s="55">
        <v>0.65</v>
      </c>
      <c r="Q49" s="57">
        <f t="shared" si="0"/>
        <v>0.72500000000000009</v>
      </c>
      <c r="R49" s="55">
        <v>12.9</v>
      </c>
      <c r="S49" s="55">
        <v>118</v>
      </c>
      <c r="T49" s="57">
        <f t="shared" si="4"/>
        <v>30</v>
      </c>
      <c r="U49" s="237">
        <v>537</v>
      </c>
      <c r="V49" s="58">
        <f t="shared" si="2"/>
        <v>3222</v>
      </c>
      <c r="W49" s="237">
        <v>2</v>
      </c>
      <c r="X49" s="55" t="s">
        <v>46</v>
      </c>
      <c r="Y49" s="55" t="s">
        <v>50</v>
      </c>
      <c r="Z49" s="55" t="s">
        <v>90</v>
      </c>
      <c r="AA49" s="55" t="s">
        <v>69</v>
      </c>
      <c r="AB49" s="55" t="s">
        <v>310</v>
      </c>
    </row>
    <row r="50" spans="1:30" x14ac:dyDescent="0.15">
      <c r="A50" s="55" t="s">
        <v>41</v>
      </c>
      <c r="B50" s="237" t="s">
        <v>308</v>
      </c>
      <c r="C50" s="152">
        <v>2018</v>
      </c>
      <c r="D50" s="56" t="s">
        <v>329</v>
      </c>
      <c r="E50" s="237" t="s">
        <v>275</v>
      </c>
      <c r="F50" s="237" t="s">
        <v>281</v>
      </c>
      <c r="G50" s="55" t="s">
        <v>42</v>
      </c>
      <c r="H50" s="55" t="s">
        <v>157</v>
      </c>
      <c r="I50" s="55" t="s">
        <v>153</v>
      </c>
      <c r="J50" s="55" t="s">
        <v>38</v>
      </c>
      <c r="K50" s="55" t="s">
        <v>154</v>
      </c>
      <c r="L50" s="237">
        <v>1</v>
      </c>
      <c r="N50" s="55">
        <v>1</v>
      </c>
      <c r="O50" s="55">
        <v>0.45</v>
      </c>
      <c r="P50" s="55">
        <v>0.55000000000000004</v>
      </c>
      <c r="Q50" s="57">
        <f t="shared" si="0"/>
        <v>0.5</v>
      </c>
      <c r="R50" s="55">
        <v>16.100000000000001</v>
      </c>
      <c r="S50" s="55">
        <v>124</v>
      </c>
      <c r="T50" s="57">
        <f t="shared" si="4"/>
        <v>27</v>
      </c>
      <c r="U50" s="237">
        <v>170</v>
      </c>
      <c r="V50" s="58">
        <f t="shared" si="2"/>
        <v>4590</v>
      </c>
      <c r="W50" s="237">
        <v>1</v>
      </c>
      <c r="X50" s="55" t="s">
        <v>46</v>
      </c>
      <c r="Y50" s="55" t="s">
        <v>84</v>
      </c>
      <c r="Z50" s="55" t="s">
        <v>90</v>
      </c>
      <c r="AA50" s="55" t="s">
        <v>50</v>
      </c>
      <c r="AB50" s="55" t="s">
        <v>310</v>
      </c>
      <c r="AC50" s="55"/>
      <c r="AD50" s="55"/>
    </row>
    <row r="51" spans="1:30" x14ac:dyDescent="0.15">
      <c r="A51" s="55" t="s">
        <v>41</v>
      </c>
      <c r="B51" s="237" t="s">
        <v>308</v>
      </c>
      <c r="C51" s="152">
        <v>2018</v>
      </c>
      <c r="D51" s="56" t="s">
        <v>329</v>
      </c>
      <c r="E51" s="237" t="s">
        <v>275</v>
      </c>
      <c r="F51" s="237" t="s">
        <v>281</v>
      </c>
      <c r="G51" s="55" t="s">
        <v>42</v>
      </c>
      <c r="H51" s="55" t="s">
        <v>157</v>
      </c>
      <c r="I51" s="55" t="s">
        <v>153</v>
      </c>
      <c r="J51" s="55" t="s">
        <v>38</v>
      </c>
      <c r="K51" s="55" t="s">
        <v>154</v>
      </c>
      <c r="L51" s="237">
        <v>2</v>
      </c>
      <c r="N51" s="55">
        <v>1</v>
      </c>
      <c r="O51" s="55">
        <v>0.7</v>
      </c>
      <c r="P51" s="55">
        <v>0.6</v>
      </c>
      <c r="Q51" s="57">
        <f t="shared" si="0"/>
        <v>0.64999999999999991</v>
      </c>
      <c r="R51" s="55">
        <v>15.2</v>
      </c>
      <c r="S51" s="55">
        <v>122</v>
      </c>
      <c r="T51" s="57">
        <f t="shared" si="4"/>
        <v>27</v>
      </c>
      <c r="U51" s="237">
        <v>170</v>
      </c>
      <c r="V51" s="58">
        <f t="shared" si="2"/>
        <v>4590</v>
      </c>
      <c r="W51" s="237">
        <v>1</v>
      </c>
      <c r="X51" s="55" t="s">
        <v>46</v>
      </c>
      <c r="Y51" s="55" t="s">
        <v>84</v>
      </c>
      <c r="Z51" s="55" t="s">
        <v>90</v>
      </c>
      <c r="AA51" s="55" t="s">
        <v>50</v>
      </c>
      <c r="AB51" s="55" t="s">
        <v>310</v>
      </c>
      <c r="AC51" s="55"/>
      <c r="AD51" s="55"/>
    </row>
    <row r="52" spans="1:30" x14ac:dyDescent="0.15">
      <c r="A52" s="55" t="s">
        <v>41</v>
      </c>
      <c r="B52" s="237" t="s">
        <v>308</v>
      </c>
      <c r="C52" s="152">
        <v>2018</v>
      </c>
      <c r="D52" s="56" t="s">
        <v>329</v>
      </c>
      <c r="E52" s="237" t="s">
        <v>275</v>
      </c>
      <c r="F52" s="237" t="s">
        <v>281</v>
      </c>
      <c r="G52" s="55" t="s">
        <v>42</v>
      </c>
      <c r="H52" s="55" t="s">
        <v>157</v>
      </c>
      <c r="I52" s="55" t="s">
        <v>153</v>
      </c>
      <c r="J52" s="55" t="s">
        <v>38</v>
      </c>
      <c r="K52" s="55" t="s">
        <v>154</v>
      </c>
      <c r="L52" s="237">
        <v>3</v>
      </c>
      <c r="N52" s="55">
        <v>1</v>
      </c>
      <c r="O52" s="55">
        <v>0.6</v>
      </c>
      <c r="P52" s="55">
        <v>0.45</v>
      </c>
      <c r="Q52" s="57">
        <f t="shared" si="0"/>
        <v>0.52500000000000002</v>
      </c>
      <c r="R52" s="55">
        <v>15.2</v>
      </c>
      <c r="S52" s="55">
        <v>123</v>
      </c>
      <c r="T52" s="57">
        <f t="shared" si="4"/>
        <v>27</v>
      </c>
      <c r="U52" s="55">
        <v>170</v>
      </c>
      <c r="V52" s="58">
        <f t="shared" si="2"/>
        <v>4590</v>
      </c>
      <c r="W52" s="237">
        <v>1</v>
      </c>
      <c r="X52" s="55" t="s">
        <v>46</v>
      </c>
      <c r="Y52" s="55" t="s">
        <v>84</v>
      </c>
      <c r="Z52" s="55" t="s">
        <v>90</v>
      </c>
      <c r="AA52" s="55" t="s">
        <v>50</v>
      </c>
      <c r="AB52" s="55" t="s">
        <v>310</v>
      </c>
      <c r="AC52" s="55"/>
      <c r="AD52" s="55"/>
    </row>
    <row r="53" spans="1:30" x14ac:dyDescent="0.15">
      <c r="A53" s="55" t="s">
        <v>41</v>
      </c>
      <c r="B53" s="237" t="s">
        <v>308</v>
      </c>
      <c r="C53" s="152">
        <v>2018</v>
      </c>
      <c r="D53" s="56" t="s">
        <v>329</v>
      </c>
      <c r="E53" s="237" t="s">
        <v>275</v>
      </c>
      <c r="F53" s="237" t="s">
        <v>281</v>
      </c>
      <c r="G53" s="55" t="s">
        <v>42</v>
      </c>
      <c r="H53" s="55" t="s">
        <v>155</v>
      </c>
      <c r="I53" s="55" t="s">
        <v>153</v>
      </c>
      <c r="J53" s="55" t="s">
        <v>38</v>
      </c>
      <c r="K53" s="55" t="s">
        <v>154</v>
      </c>
      <c r="L53" s="237">
        <v>1</v>
      </c>
      <c r="N53" s="55">
        <v>1</v>
      </c>
      <c r="O53" s="55">
        <v>0.8</v>
      </c>
      <c r="P53" s="55">
        <v>0.65</v>
      </c>
      <c r="Q53" s="57">
        <f t="shared" si="0"/>
        <v>0.72500000000000009</v>
      </c>
      <c r="R53" s="55">
        <v>13.5</v>
      </c>
      <c r="S53" s="55">
        <v>121</v>
      </c>
      <c r="T53" s="57">
        <f t="shared" si="4"/>
        <v>27</v>
      </c>
      <c r="U53" s="237">
        <v>108</v>
      </c>
      <c r="V53" s="58">
        <f t="shared" si="2"/>
        <v>2916</v>
      </c>
      <c r="W53" s="237">
        <v>1</v>
      </c>
      <c r="X53" s="55" t="s">
        <v>46</v>
      </c>
      <c r="Y53" s="55" t="s">
        <v>84</v>
      </c>
      <c r="Z53" s="55" t="s">
        <v>90</v>
      </c>
      <c r="AA53" s="55" t="s">
        <v>50</v>
      </c>
      <c r="AB53" s="55" t="s">
        <v>310</v>
      </c>
      <c r="AC53" s="55"/>
      <c r="AD53" s="55"/>
    </row>
    <row r="54" spans="1:30" x14ac:dyDescent="0.15">
      <c r="A54" s="55" t="s">
        <v>41</v>
      </c>
      <c r="B54" s="237" t="s">
        <v>308</v>
      </c>
      <c r="C54" s="152">
        <v>2018</v>
      </c>
      <c r="D54" s="56" t="s">
        <v>329</v>
      </c>
      <c r="E54" s="237" t="s">
        <v>275</v>
      </c>
      <c r="F54" s="237" t="s">
        <v>281</v>
      </c>
      <c r="G54" s="55" t="s">
        <v>42</v>
      </c>
      <c r="H54" s="55" t="s">
        <v>155</v>
      </c>
      <c r="I54" s="55" t="s">
        <v>153</v>
      </c>
      <c r="J54" s="55" t="s">
        <v>38</v>
      </c>
      <c r="K54" s="55" t="s">
        <v>154</v>
      </c>
      <c r="L54" s="237">
        <v>2</v>
      </c>
      <c r="N54" s="55">
        <v>1</v>
      </c>
      <c r="O54" s="55">
        <v>0.65</v>
      </c>
      <c r="P54" s="55">
        <v>0.75</v>
      </c>
      <c r="Q54" s="57">
        <f t="shared" si="0"/>
        <v>0.7</v>
      </c>
      <c r="R54" s="55">
        <v>14.6</v>
      </c>
      <c r="S54" s="55">
        <v>122</v>
      </c>
      <c r="T54" s="57">
        <f t="shared" si="4"/>
        <v>27</v>
      </c>
      <c r="U54" s="237">
        <v>108</v>
      </c>
      <c r="V54" s="58">
        <f t="shared" si="2"/>
        <v>2916</v>
      </c>
      <c r="W54" s="237">
        <v>1</v>
      </c>
      <c r="X54" s="55" t="s">
        <v>46</v>
      </c>
      <c r="Y54" s="55" t="s">
        <v>84</v>
      </c>
      <c r="Z54" s="55" t="s">
        <v>90</v>
      </c>
      <c r="AA54" s="55" t="s">
        <v>50</v>
      </c>
      <c r="AB54" s="55" t="s">
        <v>310</v>
      </c>
      <c r="AC54" s="55"/>
      <c r="AD54" s="55"/>
    </row>
    <row r="55" spans="1:30" x14ac:dyDescent="0.15">
      <c r="A55" s="55" t="s">
        <v>41</v>
      </c>
      <c r="B55" s="237" t="s">
        <v>308</v>
      </c>
      <c r="C55" s="152">
        <v>2018</v>
      </c>
      <c r="D55" s="56" t="s">
        <v>329</v>
      </c>
      <c r="E55" s="237" t="s">
        <v>275</v>
      </c>
      <c r="F55" s="237" t="s">
        <v>281</v>
      </c>
      <c r="G55" s="55" t="s">
        <v>42</v>
      </c>
      <c r="H55" s="55" t="s">
        <v>155</v>
      </c>
      <c r="I55" s="55" t="s">
        <v>153</v>
      </c>
      <c r="J55" s="55" t="s">
        <v>38</v>
      </c>
      <c r="K55" s="55" t="s">
        <v>154</v>
      </c>
      <c r="L55" s="237">
        <v>3</v>
      </c>
      <c r="N55" s="55">
        <v>1</v>
      </c>
      <c r="O55" s="55">
        <v>0.85</v>
      </c>
      <c r="P55" s="55">
        <v>0.8</v>
      </c>
      <c r="Q55" s="57">
        <f t="shared" si="0"/>
        <v>0.82499999999999996</v>
      </c>
      <c r="R55" s="55">
        <v>14</v>
      </c>
      <c r="S55" s="55">
        <v>123</v>
      </c>
      <c r="T55" s="57">
        <f t="shared" si="4"/>
        <v>27</v>
      </c>
      <c r="U55" s="55">
        <v>108</v>
      </c>
      <c r="V55" s="58">
        <f t="shared" si="2"/>
        <v>2916</v>
      </c>
      <c r="W55" s="237">
        <v>1</v>
      </c>
      <c r="X55" s="55" t="s">
        <v>46</v>
      </c>
      <c r="Y55" s="55" t="s">
        <v>84</v>
      </c>
      <c r="Z55" s="55" t="s">
        <v>90</v>
      </c>
      <c r="AA55" s="55" t="s">
        <v>50</v>
      </c>
      <c r="AB55" s="55" t="s">
        <v>310</v>
      </c>
      <c r="AC55" s="55"/>
      <c r="AD55" s="55"/>
    </row>
    <row r="56" spans="1:30" x14ac:dyDescent="0.15">
      <c r="A56" s="55" t="s">
        <v>41</v>
      </c>
      <c r="B56" s="237" t="s">
        <v>308</v>
      </c>
      <c r="C56" s="152">
        <v>2018</v>
      </c>
      <c r="D56" s="56" t="s">
        <v>329</v>
      </c>
      <c r="E56" s="237" t="s">
        <v>275</v>
      </c>
      <c r="F56" s="237" t="s">
        <v>281</v>
      </c>
      <c r="G56" s="55" t="s">
        <v>42</v>
      </c>
      <c r="H56" s="55" t="s">
        <v>155</v>
      </c>
      <c r="I56" s="55" t="s">
        <v>153</v>
      </c>
      <c r="J56" s="55" t="s">
        <v>38</v>
      </c>
      <c r="K56" s="55" t="s">
        <v>154</v>
      </c>
      <c r="L56" s="237">
        <v>1</v>
      </c>
      <c r="N56" s="55">
        <v>5</v>
      </c>
      <c r="O56" s="237">
        <v>1.1499999999999999</v>
      </c>
      <c r="P56" s="237">
        <v>1</v>
      </c>
      <c r="Q56" s="57">
        <f t="shared" si="0"/>
        <v>1.075</v>
      </c>
      <c r="R56" s="237">
        <v>15.7</v>
      </c>
      <c r="S56" s="237">
        <v>119</v>
      </c>
      <c r="T56" s="57">
        <f t="shared" si="4"/>
        <v>30</v>
      </c>
      <c r="U56" s="237">
        <v>429</v>
      </c>
      <c r="V56" s="58">
        <f t="shared" si="2"/>
        <v>2574</v>
      </c>
      <c r="W56" s="237">
        <v>1</v>
      </c>
      <c r="X56" s="55" t="s">
        <v>46</v>
      </c>
      <c r="Y56" s="55" t="s">
        <v>84</v>
      </c>
      <c r="Z56" s="55" t="s">
        <v>90</v>
      </c>
      <c r="AA56" s="55" t="s">
        <v>50</v>
      </c>
      <c r="AB56" s="55" t="s">
        <v>310</v>
      </c>
      <c r="AC56" s="55"/>
      <c r="AD56" s="55"/>
    </row>
    <row r="57" spans="1:30" x14ac:dyDescent="0.15">
      <c r="A57" s="55" t="s">
        <v>41</v>
      </c>
      <c r="B57" s="237" t="s">
        <v>308</v>
      </c>
      <c r="C57" s="152">
        <v>2018</v>
      </c>
      <c r="D57" s="56" t="s">
        <v>329</v>
      </c>
      <c r="E57" s="237" t="s">
        <v>275</v>
      </c>
      <c r="F57" s="237" t="s">
        <v>281</v>
      </c>
      <c r="G57" s="55" t="s">
        <v>42</v>
      </c>
      <c r="H57" s="55" t="s">
        <v>155</v>
      </c>
      <c r="I57" s="55" t="s">
        <v>153</v>
      </c>
      <c r="J57" s="55" t="s">
        <v>38</v>
      </c>
      <c r="K57" s="55" t="s">
        <v>154</v>
      </c>
      <c r="L57" s="237">
        <v>2</v>
      </c>
      <c r="N57" s="55">
        <v>5</v>
      </c>
      <c r="O57" s="237">
        <v>1</v>
      </c>
      <c r="P57" s="237">
        <v>1.1000000000000001</v>
      </c>
      <c r="Q57" s="57">
        <f t="shared" si="0"/>
        <v>1.05</v>
      </c>
      <c r="R57" s="237">
        <v>14.2</v>
      </c>
      <c r="S57" s="237">
        <v>120</v>
      </c>
      <c r="T57" s="57">
        <f t="shared" si="4"/>
        <v>30</v>
      </c>
      <c r="U57" s="237">
        <v>429</v>
      </c>
      <c r="V57" s="58">
        <f t="shared" si="2"/>
        <v>2574</v>
      </c>
      <c r="W57" s="237">
        <v>1</v>
      </c>
      <c r="X57" s="55" t="s">
        <v>46</v>
      </c>
      <c r="Y57" s="55" t="s">
        <v>84</v>
      </c>
      <c r="Z57" s="55" t="s">
        <v>90</v>
      </c>
      <c r="AA57" s="55" t="s">
        <v>50</v>
      </c>
      <c r="AB57" s="55" t="s">
        <v>310</v>
      </c>
    </row>
    <row r="58" spans="1:30" x14ac:dyDescent="0.15">
      <c r="A58" s="55" t="s">
        <v>41</v>
      </c>
      <c r="B58" s="237" t="s">
        <v>308</v>
      </c>
      <c r="C58" s="152">
        <v>2018</v>
      </c>
      <c r="D58" s="56" t="s">
        <v>329</v>
      </c>
      <c r="E58" s="237" t="s">
        <v>275</v>
      </c>
      <c r="F58" s="237" t="s">
        <v>281</v>
      </c>
      <c r="G58" s="55" t="s">
        <v>42</v>
      </c>
      <c r="H58" s="55" t="s">
        <v>155</v>
      </c>
      <c r="I58" s="55" t="s">
        <v>153</v>
      </c>
      <c r="J58" s="55" t="s">
        <v>38</v>
      </c>
      <c r="K58" s="55" t="s">
        <v>154</v>
      </c>
      <c r="L58" s="237">
        <v>3</v>
      </c>
      <c r="N58" s="55">
        <v>5</v>
      </c>
      <c r="O58" s="237">
        <v>1</v>
      </c>
      <c r="P58" s="237">
        <v>1.05</v>
      </c>
      <c r="Q58" s="57">
        <f t="shared" si="0"/>
        <v>1.0249999999999999</v>
      </c>
      <c r="R58" s="237">
        <v>13.8</v>
      </c>
      <c r="S58" s="237">
        <v>123</v>
      </c>
      <c r="T58" s="57">
        <f t="shared" si="4"/>
        <v>27</v>
      </c>
      <c r="U58" s="55">
        <v>429</v>
      </c>
      <c r="V58" s="58">
        <f t="shared" si="2"/>
        <v>2316.6</v>
      </c>
      <c r="W58" s="237">
        <v>1</v>
      </c>
      <c r="X58" s="55" t="s">
        <v>46</v>
      </c>
      <c r="Y58" s="55" t="s">
        <v>84</v>
      </c>
      <c r="Z58" s="55" t="s">
        <v>90</v>
      </c>
      <c r="AA58" s="55" t="s">
        <v>50</v>
      </c>
      <c r="AB58" s="55" t="s">
        <v>310</v>
      </c>
    </row>
    <row r="59" spans="1:30" x14ac:dyDescent="0.15">
      <c r="A59" s="55" t="s">
        <v>41</v>
      </c>
      <c r="B59" s="237" t="s">
        <v>308</v>
      </c>
      <c r="C59" s="152">
        <v>2018</v>
      </c>
      <c r="D59" s="56" t="s">
        <v>329</v>
      </c>
      <c r="E59" s="237" t="s">
        <v>275</v>
      </c>
      <c r="F59" s="237" t="s">
        <v>281</v>
      </c>
      <c r="G59" s="55" t="s">
        <v>42</v>
      </c>
      <c r="H59" s="55" t="s">
        <v>155</v>
      </c>
      <c r="I59" s="55" t="s">
        <v>153</v>
      </c>
      <c r="J59" s="55" t="s">
        <v>38</v>
      </c>
      <c r="K59" s="55" t="s">
        <v>154</v>
      </c>
      <c r="L59" s="237">
        <v>1</v>
      </c>
      <c r="N59" s="55">
        <v>9</v>
      </c>
      <c r="O59" s="237">
        <v>0.85</v>
      </c>
      <c r="P59" s="237">
        <v>0.75</v>
      </c>
      <c r="Q59" s="57">
        <f t="shared" si="0"/>
        <v>0.8</v>
      </c>
      <c r="R59" s="237">
        <v>14.8</v>
      </c>
      <c r="S59" s="237">
        <v>115</v>
      </c>
      <c r="T59" s="57">
        <f t="shared" si="4"/>
        <v>30</v>
      </c>
      <c r="U59" s="237">
        <v>734</v>
      </c>
      <c r="V59" s="58">
        <f t="shared" si="2"/>
        <v>2446.6666666666665</v>
      </c>
      <c r="W59" s="237">
        <v>2</v>
      </c>
      <c r="X59" s="55" t="s">
        <v>46</v>
      </c>
      <c r="Y59" s="55" t="s">
        <v>84</v>
      </c>
      <c r="Z59" s="55" t="s">
        <v>90</v>
      </c>
      <c r="AA59" s="55" t="s">
        <v>50</v>
      </c>
      <c r="AB59" s="55" t="s">
        <v>310</v>
      </c>
      <c r="AC59" s="55"/>
      <c r="AD59" s="55"/>
    </row>
    <row r="60" spans="1:30" x14ac:dyDescent="0.15">
      <c r="A60" s="55" t="s">
        <v>41</v>
      </c>
      <c r="B60" s="237" t="s">
        <v>308</v>
      </c>
      <c r="C60" s="152">
        <v>2018</v>
      </c>
      <c r="D60" s="56" t="s">
        <v>329</v>
      </c>
      <c r="E60" s="237" t="s">
        <v>275</v>
      </c>
      <c r="F60" s="237" t="s">
        <v>281</v>
      </c>
      <c r="G60" s="55" t="s">
        <v>42</v>
      </c>
      <c r="H60" s="55" t="s">
        <v>155</v>
      </c>
      <c r="I60" s="55" t="s">
        <v>153</v>
      </c>
      <c r="J60" s="55" t="s">
        <v>38</v>
      </c>
      <c r="K60" s="55" t="s">
        <v>154</v>
      </c>
      <c r="L60" s="237">
        <v>2</v>
      </c>
      <c r="N60" s="55">
        <v>9</v>
      </c>
      <c r="O60" s="237">
        <v>0.6</v>
      </c>
      <c r="P60" s="237">
        <v>0.55000000000000004</v>
      </c>
      <c r="Q60" s="57">
        <f t="shared" si="0"/>
        <v>0.57499999999999996</v>
      </c>
      <c r="R60" s="237">
        <v>12.8</v>
      </c>
      <c r="S60" s="237">
        <v>112</v>
      </c>
      <c r="T60" s="57">
        <f t="shared" si="4"/>
        <v>33</v>
      </c>
      <c r="U60" s="237">
        <v>734</v>
      </c>
      <c r="V60" s="58">
        <f t="shared" si="2"/>
        <v>2691.3333333333335</v>
      </c>
      <c r="W60" s="237">
        <v>2</v>
      </c>
      <c r="X60" s="55" t="s">
        <v>46</v>
      </c>
      <c r="Y60" s="55" t="s">
        <v>84</v>
      </c>
      <c r="Z60" s="55" t="s">
        <v>90</v>
      </c>
      <c r="AA60" s="55" t="s">
        <v>50</v>
      </c>
      <c r="AB60" s="55" t="s">
        <v>310</v>
      </c>
      <c r="AC60" s="55"/>
      <c r="AD60" s="55"/>
    </row>
    <row r="61" spans="1:30" x14ac:dyDescent="0.15">
      <c r="A61" s="55" t="s">
        <v>41</v>
      </c>
      <c r="B61" s="237" t="s">
        <v>308</v>
      </c>
      <c r="C61" s="152">
        <v>2018</v>
      </c>
      <c r="D61" s="56" t="s">
        <v>329</v>
      </c>
      <c r="E61" s="237" t="s">
        <v>275</v>
      </c>
      <c r="F61" s="237" t="s">
        <v>281</v>
      </c>
      <c r="G61" s="55" t="s">
        <v>42</v>
      </c>
      <c r="H61" s="55" t="s">
        <v>155</v>
      </c>
      <c r="I61" s="55" t="s">
        <v>153</v>
      </c>
      <c r="J61" s="55" t="s">
        <v>38</v>
      </c>
      <c r="K61" s="55" t="s">
        <v>154</v>
      </c>
      <c r="L61" s="237">
        <v>3</v>
      </c>
      <c r="N61" s="55">
        <v>9</v>
      </c>
      <c r="O61" s="237">
        <v>0.7</v>
      </c>
      <c r="P61" s="237">
        <v>0.8</v>
      </c>
      <c r="Q61" s="57">
        <f t="shared" si="0"/>
        <v>0.75</v>
      </c>
      <c r="R61" s="237">
        <v>15.9</v>
      </c>
      <c r="S61" s="237">
        <v>116</v>
      </c>
      <c r="T61" s="57">
        <f t="shared" si="4"/>
        <v>30</v>
      </c>
      <c r="U61" s="55">
        <v>734</v>
      </c>
      <c r="V61" s="58">
        <f t="shared" si="2"/>
        <v>2446.6666666666665</v>
      </c>
      <c r="W61" s="237">
        <v>2</v>
      </c>
      <c r="X61" s="55" t="s">
        <v>46</v>
      </c>
      <c r="Y61" s="55" t="s">
        <v>84</v>
      </c>
      <c r="Z61" s="55" t="s">
        <v>90</v>
      </c>
      <c r="AA61" s="55" t="s">
        <v>50</v>
      </c>
      <c r="AB61" s="55" t="s">
        <v>310</v>
      </c>
      <c r="AC61" s="55"/>
      <c r="AD61" s="55"/>
    </row>
    <row r="62" spans="1:30" x14ac:dyDescent="0.15">
      <c r="A62" s="55" t="s">
        <v>41</v>
      </c>
      <c r="B62" s="237" t="s">
        <v>308</v>
      </c>
      <c r="C62" s="152">
        <v>2018</v>
      </c>
      <c r="D62" s="56" t="s">
        <v>329</v>
      </c>
      <c r="E62" s="237" t="s">
        <v>275</v>
      </c>
      <c r="F62" s="237" t="s">
        <v>281</v>
      </c>
      <c r="G62" s="55" t="s">
        <v>42</v>
      </c>
      <c r="H62" s="55" t="s">
        <v>157</v>
      </c>
      <c r="I62" s="55" t="s">
        <v>153</v>
      </c>
      <c r="J62" s="55" t="s">
        <v>38</v>
      </c>
      <c r="K62" s="55" t="s">
        <v>154</v>
      </c>
      <c r="L62" s="237">
        <v>1</v>
      </c>
      <c r="N62" s="55">
        <v>4</v>
      </c>
      <c r="O62" s="237">
        <v>0.95</v>
      </c>
      <c r="P62" s="237">
        <v>0.8</v>
      </c>
      <c r="Q62" s="57">
        <f t="shared" si="0"/>
        <v>0.875</v>
      </c>
      <c r="R62" s="237">
        <v>15.5</v>
      </c>
      <c r="S62" s="237">
        <v>119</v>
      </c>
      <c r="T62" s="57">
        <f t="shared" si="4"/>
        <v>30</v>
      </c>
      <c r="U62" s="237">
        <v>645</v>
      </c>
      <c r="V62" s="58">
        <f t="shared" si="2"/>
        <v>4837.5</v>
      </c>
      <c r="W62" s="237">
        <v>1</v>
      </c>
      <c r="X62" s="55" t="s">
        <v>46</v>
      </c>
      <c r="Y62" s="55" t="s">
        <v>84</v>
      </c>
      <c r="Z62" s="55" t="s">
        <v>90</v>
      </c>
      <c r="AA62" s="55" t="s">
        <v>50</v>
      </c>
      <c r="AB62" s="55" t="s">
        <v>310</v>
      </c>
    </row>
    <row r="63" spans="1:30" x14ac:dyDescent="0.15">
      <c r="A63" s="55" t="s">
        <v>41</v>
      </c>
      <c r="B63" s="237" t="s">
        <v>308</v>
      </c>
      <c r="C63" s="152">
        <v>2018</v>
      </c>
      <c r="D63" s="56" t="s">
        <v>329</v>
      </c>
      <c r="E63" s="237" t="s">
        <v>275</v>
      </c>
      <c r="F63" s="237" t="s">
        <v>281</v>
      </c>
      <c r="G63" s="55" t="s">
        <v>42</v>
      </c>
      <c r="H63" s="55" t="s">
        <v>157</v>
      </c>
      <c r="I63" s="55" t="s">
        <v>153</v>
      </c>
      <c r="J63" s="55" t="s">
        <v>38</v>
      </c>
      <c r="K63" s="55" t="s">
        <v>154</v>
      </c>
      <c r="L63" s="237">
        <v>2</v>
      </c>
      <c r="N63" s="55">
        <v>4</v>
      </c>
      <c r="O63" s="237">
        <v>0.8</v>
      </c>
      <c r="P63" s="237">
        <v>0.75</v>
      </c>
      <c r="Q63" s="57">
        <f t="shared" si="0"/>
        <v>0.77500000000000002</v>
      </c>
      <c r="R63" s="237">
        <v>15</v>
      </c>
      <c r="S63" s="237">
        <v>121</v>
      </c>
      <c r="T63" s="57">
        <f t="shared" si="4"/>
        <v>27</v>
      </c>
      <c r="U63" s="237">
        <v>645</v>
      </c>
      <c r="V63" s="58">
        <f t="shared" si="2"/>
        <v>4353.75</v>
      </c>
      <c r="W63" s="237">
        <v>1</v>
      </c>
      <c r="X63" s="55" t="s">
        <v>46</v>
      </c>
      <c r="Y63" s="55" t="s">
        <v>84</v>
      </c>
      <c r="Z63" s="55" t="s">
        <v>90</v>
      </c>
      <c r="AA63" s="55" t="s">
        <v>50</v>
      </c>
      <c r="AB63" s="55" t="s">
        <v>310</v>
      </c>
    </row>
    <row r="64" spans="1:30" x14ac:dyDescent="0.15">
      <c r="A64" s="55" t="s">
        <v>41</v>
      </c>
      <c r="B64" s="237" t="s">
        <v>308</v>
      </c>
      <c r="C64" s="152">
        <v>2018</v>
      </c>
      <c r="D64" s="56" t="s">
        <v>329</v>
      </c>
      <c r="E64" s="237" t="s">
        <v>275</v>
      </c>
      <c r="F64" s="237" t="s">
        <v>281</v>
      </c>
      <c r="G64" s="55" t="s">
        <v>42</v>
      </c>
      <c r="H64" s="55" t="s">
        <v>157</v>
      </c>
      <c r="I64" s="55" t="s">
        <v>153</v>
      </c>
      <c r="J64" s="55" t="s">
        <v>38</v>
      </c>
      <c r="K64" s="55" t="s">
        <v>154</v>
      </c>
      <c r="L64" s="237">
        <v>3</v>
      </c>
      <c r="N64" s="55">
        <v>4</v>
      </c>
      <c r="O64" s="237">
        <v>0.65</v>
      </c>
      <c r="P64" s="237">
        <v>0.65</v>
      </c>
      <c r="Q64" s="57">
        <f t="shared" si="0"/>
        <v>0.65</v>
      </c>
      <c r="R64" s="237">
        <v>14.2</v>
      </c>
      <c r="S64" s="237">
        <v>124</v>
      </c>
      <c r="T64" s="57">
        <f t="shared" si="4"/>
        <v>27</v>
      </c>
      <c r="U64" s="55">
        <v>645</v>
      </c>
      <c r="V64" s="58">
        <f t="shared" si="2"/>
        <v>4353.75</v>
      </c>
      <c r="W64" s="237">
        <v>1</v>
      </c>
      <c r="X64" s="55" t="s">
        <v>46</v>
      </c>
      <c r="Y64" s="55" t="s">
        <v>84</v>
      </c>
      <c r="Z64" s="55" t="s">
        <v>90</v>
      </c>
      <c r="AA64" s="55" t="s">
        <v>50</v>
      </c>
      <c r="AB64" s="55" t="s">
        <v>310</v>
      </c>
    </row>
    <row r="65" spans="1:28" x14ac:dyDescent="0.15">
      <c r="A65" s="55" t="s">
        <v>41</v>
      </c>
      <c r="B65" s="237" t="s">
        <v>308</v>
      </c>
      <c r="C65" s="152">
        <v>2018</v>
      </c>
      <c r="D65" s="56" t="s">
        <v>329</v>
      </c>
      <c r="E65" s="55" t="s">
        <v>277</v>
      </c>
      <c r="F65" s="237" t="s">
        <v>282</v>
      </c>
      <c r="G65" s="55" t="s">
        <v>42</v>
      </c>
      <c r="H65" s="55" t="s">
        <v>155</v>
      </c>
      <c r="I65" s="55" t="s">
        <v>153</v>
      </c>
      <c r="J65" s="55" t="s">
        <v>38</v>
      </c>
      <c r="K65" s="55" t="s">
        <v>154</v>
      </c>
      <c r="L65" s="237">
        <v>1</v>
      </c>
      <c r="N65" s="237">
        <v>1</v>
      </c>
      <c r="O65" s="55">
        <v>0.3</v>
      </c>
      <c r="P65" s="55">
        <v>0.45</v>
      </c>
      <c r="Q65" s="57">
        <f t="shared" si="0"/>
        <v>0.375</v>
      </c>
      <c r="R65" s="237">
        <v>16</v>
      </c>
      <c r="S65" s="237">
        <v>122</v>
      </c>
      <c r="T65" s="57">
        <f t="shared" si="4"/>
        <v>27</v>
      </c>
      <c r="U65" s="237">
        <v>84</v>
      </c>
      <c r="V65" s="58">
        <f t="shared" si="2"/>
        <v>2268</v>
      </c>
      <c r="W65" s="237">
        <v>3</v>
      </c>
      <c r="X65" s="55" t="s">
        <v>46</v>
      </c>
      <c r="Y65" s="55" t="s">
        <v>90</v>
      </c>
      <c r="Z65" s="55" t="s">
        <v>84</v>
      </c>
      <c r="AA65" s="55" t="s">
        <v>69</v>
      </c>
      <c r="AB65" s="55" t="s">
        <v>310</v>
      </c>
    </row>
    <row r="66" spans="1:28" x14ac:dyDescent="0.15">
      <c r="A66" s="55" t="s">
        <v>41</v>
      </c>
      <c r="B66" s="237" t="s">
        <v>308</v>
      </c>
      <c r="C66" s="152">
        <v>2018</v>
      </c>
      <c r="D66" s="56" t="s">
        <v>329</v>
      </c>
      <c r="E66" s="55" t="s">
        <v>277</v>
      </c>
      <c r="F66" s="237" t="s">
        <v>282</v>
      </c>
      <c r="G66" s="55" t="s">
        <v>42</v>
      </c>
      <c r="H66" s="55" t="s">
        <v>155</v>
      </c>
      <c r="I66" s="55" t="s">
        <v>153</v>
      </c>
      <c r="J66" s="55" t="s">
        <v>38</v>
      </c>
      <c r="K66" s="55" t="s">
        <v>154</v>
      </c>
      <c r="L66" s="237">
        <v>2</v>
      </c>
      <c r="N66" s="237">
        <v>1</v>
      </c>
      <c r="O66" s="55">
        <v>0.45</v>
      </c>
      <c r="P66" s="55">
        <v>0.3</v>
      </c>
      <c r="Q66" s="57">
        <f t="shared" ref="Q66:Q94" si="5">IF(OR(O66="",P66=""),"",AVERAGE(O66,P66))</f>
        <v>0.375</v>
      </c>
      <c r="R66" s="237">
        <v>14.1</v>
      </c>
      <c r="S66" s="237">
        <v>125</v>
      </c>
      <c r="T66" s="57">
        <f t="shared" si="4"/>
        <v>27</v>
      </c>
      <c r="U66" s="237">
        <v>84</v>
      </c>
      <c r="V66" s="58">
        <f t="shared" ref="V66:V115" si="6">IF(OR(N66="",U66="",T66=""),"",U66/N66*T66)</f>
        <v>2268</v>
      </c>
      <c r="W66" s="237">
        <v>3</v>
      </c>
      <c r="X66" s="55" t="s">
        <v>46</v>
      </c>
      <c r="Y66" s="55" t="s">
        <v>90</v>
      </c>
      <c r="Z66" s="55" t="s">
        <v>84</v>
      </c>
      <c r="AA66" s="55" t="s">
        <v>69</v>
      </c>
      <c r="AB66" s="55" t="s">
        <v>310</v>
      </c>
    </row>
    <row r="67" spans="1:28" x14ac:dyDescent="0.15">
      <c r="A67" s="55" t="s">
        <v>41</v>
      </c>
      <c r="B67" s="237" t="s">
        <v>308</v>
      </c>
      <c r="C67" s="152">
        <v>2018</v>
      </c>
      <c r="D67" s="56" t="s">
        <v>329</v>
      </c>
      <c r="E67" s="55" t="s">
        <v>277</v>
      </c>
      <c r="F67" s="237" t="s">
        <v>282</v>
      </c>
      <c r="G67" s="55" t="s">
        <v>42</v>
      </c>
      <c r="H67" s="55" t="s">
        <v>155</v>
      </c>
      <c r="I67" s="55" t="s">
        <v>153</v>
      </c>
      <c r="J67" s="55" t="s">
        <v>38</v>
      </c>
      <c r="K67" s="55" t="s">
        <v>154</v>
      </c>
      <c r="L67" s="237">
        <v>3</v>
      </c>
      <c r="N67" s="237">
        <v>1</v>
      </c>
      <c r="O67" s="55">
        <v>0.35</v>
      </c>
      <c r="P67" s="253">
        <v>0.4</v>
      </c>
      <c r="Q67" s="57">
        <f t="shared" si="5"/>
        <v>0.375</v>
      </c>
      <c r="R67" s="237">
        <v>13.1</v>
      </c>
      <c r="S67" s="237">
        <v>124</v>
      </c>
      <c r="T67" s="57">
        <f t="shared" si="4"/>
        <v>27</v>
      </c>
      <c r="U67" s="237">
        <v>84</v>
      </c>
      <c r="V67" s="58">
        <f t="shared" si="6"/>
        <v>2268</v>
      </c>
      <c r="W67" s="237">
        <v>3</v>
      </c>
      <c r="X67" s="55" t="s">
        <v>46</v>
      </c>
      <c r="Y67" s="55" t="s">
        <v>90</v>
      </c>
      <c r="Z67" s="55" t="s">
        <v>84</v>
      </c>
      <c r="AA67" s="55" t="s">
        <v>69</v>
      </c>
      <c r="AB67" s="55" t="s">
        <v>310</v>
      </c>
    </row>
    <row r="68" spans="1:28" x14ac:dyDescent="0.15">
      <c r="A68" s="55" t="s">
        <v>41</v>
      </c>
      <c r="B68" s="237" t="s">
        <v>308</v>
      </c>
      <c r="C68" s="152">
        <v>2018</v>
      </c>
      <c r="D68" s="56" t="s">
        <v>329</v>
      </c>
      <c r="E68" s="55" t="s">
        <v>277</v>
      </c>
      <c r="F68" s="237" t="s">
        <v>282</v>
      </c>
      <c r="G68" s="55" t="s">
        <v>42</v>
      </c>
      <c r="H68" s="55" t="s">
        <v>155</v>
      </c>
      <c r="I68" s="55" t="s">
        <v>153</v>
      </c>
      <c r="J68" s="55" t="s">
        <v>38</v>
      </c>
      <c r="K68" s="55" t="s">
        <v>154</v>
      </c>
      <c r="L68" s="237">
        <v>1</v>
      </c>
      <c r="N68" s="237">
        <v>6</v>
      </c>
      <c r="O68" s="55">
        <v>0.6</v>
      </c>
      <c r="P68" s="55">
        <v>0.75</v>
      </c>
      <c r="Q68" s="57">
        <f t="shared" si="5"/>
        <v>0.67500000000000004</v>
      </c>
      <c r="R68" s="237">
        <v>15.1</v>
      </c>
      <c r="S68" s="237">
        <v>115</v>
      </c>
      <c r="T68" s="57">
        <f t="shared" si="4"/>
        <v>30</v>
      </c>
      <c r="U68" s="237">
        <v>334</v>
      </c>
      <c r="V68" s="58">
        <f t="shared" si="6"/>
        <v>1670</v>
      </c>
      <c r="W68" s="237">
        <v>1</v>
      </c>
      <c r="X68" s="55" t="s">
        <v>46</v>
      </c>
      <c r="Y68" s="55" t="s">
        <v>90</v>
      </c>
      <c r="Z68" s="55" t="s">
        <v>84</v>
      </c>
      <c r="AA68" s="55" t="s">
        <v>69</v>
      </c>
      <c r="AB68" s="55" t="s">
        <v>310</v>
      </c>
    </row>
    <row r="69" spans="1:28" x14ac:dyDescent="0.15">
      <c r="A69" s="55" t="s">
        <v>41</v>
      </c>
      <c r="B69" s="237" t="s">
        <v>308</v>
      </c>
      <c r="C69" s="152">
        <v>2018</v>
      </c>
      <c r="D69" s="56" t="s">
        <v>329</v>
      </c>
      <c r="E69" s="55" t="s">
        <v>277</v>
      </c>
      <c r="F69" s="237" t="s">
        <v>282</v>
      </c>
      <c r="G69" s="55" t="s">
        <v>42</v>
      </c>
      <c r="H69" s="55" t="s">
        <v>155</v>
      </c>
      <c r="I69" s="55" t="s">
        <v>153</v>
      </c>
      <c r="J69" s="55" t="s">
        <v>38</v>
      </c>
      <c r="K69" s="55" t="s">
        <v>154</v>
      </c>
      <c r="L69" s="237">
        <v>2</v>
      </c>
      <c r="N69" s="237">
        <v>6</v>
      </c>
      <c r="O69" s="55">
        <v>0.45</v>
      </c>
      <c r="P69" s="55">
        <v>0.5</v>
      </c>
      <c r="Q69" s="57">
        <f t="shared" si="5"/>
        <v>0.47499999999999998</v>
      </c>
      <c r="R69" s="237">
        <v>14.1</v>
      </c>
      <c r="S69" s="237">
        <v>122</v>
      </c>
      <c r="T69" s="57">
        <f t="shared" si="4"/>
        <v>27</v>
      </c>
      <c r="U69" s="237">
        <v>334</v>
      </c>
      <c r="V69" s="58">
        <f t="shared" si="6"/>
        <v>1503</v>
      </c>
      <c r="W69" s="237">
        <v>1</v>
      </c>
      <c r="X69" s="55" t="s">
        <v>46</v>
      </c>
      <c r="Y69" s="55" t="s">
        <v>90</v>
      </c>
      <c r="Z69" s="55" t="s">
        <v>84</v>
      </c>
      <c r="AA69" s="55" t="s">
        <v>69</v>
      </c>
      <c r="AB69" s="55" t="s">
        <v>310</v>
      </c>
    </row>
    <row r="70" spans="1:28" x14ac:dyDescent="0.15">
      <c r="A70" s="55" t="s">
        <v>41</v>
      </c>
      <c r="B70" s="237" t="s">
        <v>308</v>
      </c>
      <c r="C70" s="152">
        <v>2018</v>
      </c>
      <c r="D70" s="56" t="s">
        <v>329</v>
      </c>
      <c r="E70" s="55" t="s">
        <v>277</v>
      </c>
      <c r="F70" s="237" t="s">
        <v>282</v>
      </c>
      <c r="G70" s="55" t="s">
        <v>42</v>
      </c>
      <c r="H70" s="55" t="s">
        <v>155</v>
      </c>
      <c r="I70" s="55" t="s">
        <v>153</v>
      </c>
      <c r="J70" s="55" t="s">
        <v>38</v>
      </c>
      <c r="K70" s="55" t="s">
        <v>154</v>
      </c>
      <c r="L70" s="237">
        <v>3</v>
      </c>
      <c r="N70" s="237">
        <v>6</v>
      </c>
      <c r="O70" s="55">
        <v>0.5</v>
      </c>
      <c r="P70" s="253">
        <v>0.65</v>
      </c>
      <c r="Q70" s="57">
        <f t="shared" si="5"/>
        <v>0.57499999999999996</v>
      </c>
      <c r="R70" s="237">
        <v>13.5</v>
      </c>
      <c r="S70" s="237">
        <v>118</v>
      </c>
      <c r="T70" s="57">
        <f t="shared" si="4"/>
        <v>30</v>
      </c>
      <c r="U70" s="237">
        <v>334</v>
      </c>
      <c r="V70" s="58">
        <f t="shared" si="6"/>
        <v>1670</v>
      </c>
      <c r="W70" s="237">
        <v>1</v>
      </c>
      <c r="X70" s="55" t="s">
        <v>46</v>
      </c>
      <c r="Y70" s="55" t="s">
        <v>90</v>
      </c>
      <c r="Z70" s="55" t="s">
        <v>84</v>
      </c>
      <c r="AA70" s="55" t="s">
        <v>69</v>
      </c>
      <c r="AB70" s="55" t="s">
        <v>310</v>
      </c>
    </row>
    <row r="71" spans="1:28" x14ac:dyDescent="0.15">
      <c r="A71" s="55" t="s">
        <v>41</v>
      </c>
      <c r="B71" s="237" t="s">
        <v>308</v>
      </c>
      <c r="C71" s="152">
        <v>2018</v>
      </c>
      <c r="D71" s="56" t="s">
        <v>329</v>
      </c>
      <c r="E71" s="55" t="s">
        <v>277</v>
      </c>
      <c r="F71" s="237" t="s">
        <v>282</v>
      </c>
      <c r="G71" s="55" t="s">
        <v>42</v>
      </c>
      <c r="H71" s="55" t="s">
        <v>157</v>
      </c>
      <c r="I71" s="55" t="s">
        <v>153</v>
      </c>
      <c r="J71" s="55" t="s">
        <v>38</v>
      </c>
      <c r="K71" s="55" t="s">
        <v>154</v>
      </c>
      <c r="L71" s="237">
        <v>1</v>
      </c>
      <c r="N71" s="55">
        <v>1</v>
      </c>
      <c r="O71" s="55">
        <v>0.25</v>
      </c>
      <c r="P71" s="55">
        <v>0.25</v>
      </c>
      <c r="Q71" s="57">
        <f t="shared" si="5"/>
        <v>0.25</v>
      </c>
      <c r="R71" s="237">
        <v>13.5</v>
      </c>
      <c r="S71" s="237">
        <v>130</v>
      </c>
      <c r="T71" s="57">
        <f t="shared" si="4"/>
        <v>25</v>
      </c>
      <c r="U71" s="237">
        <v>138</v>
      </c>
      <c r="V71" s="58">
        <f t="shared" si="6"/>
        <v>3450</v>
      </c>
      <c r="W71" s="237">
        <v>1</v>
      </c>
      <c r="X71" s="55" t="s">
        <v>46</v>
      </c>
      <c r="Y71" s="55" t="s">
        <v>90</v>
      </c>
      <c r="Z71" s="55" t="s">
        <v>84</v>
      </c>
      <c r="AA71" s="55" t="s">
        <v>69</v>
      </c>
      <c r="AB71" s="55" t="s">
        <v>310</v>
      </c>
    </row>
    <row r="72" spans="1:28" x14ac:dyDescent="0.15">
      <c r="A72" s="55" t="s">
        <v>41</v>
      </c>
      <c r="B72" s="237" t="s">
        <v>308</v>
      </c>
      <c r="C72" s="152">
        <v>2018</v>
      </c>
      <c r="D72" s="56" t="s">
        <v>329</v>
      </c>
      <c r="E72" s="55" t="s">
        <v>277</v>
      </c>
      <c r="F72" s="237" t="s">
        <v>282</v>
      </c>
      <c r="G72" s="55" t="s">
        <v>42</v>
      </c>
      <c r="H72" s="55" t="s">
        <v>157</v>
      </c>
      <c r="I72" s="55" t="s">
        <v>153</v>
      </c>
      <c r="J72" s="55" t="s">
        <v>38</v>
      </c>
      <c r="K72" s="55" t="s">
        <v>154</v>
      </c>
      <c r="L72" s="237">
        <v>2</v>
      </c>
      <c r="N72" s="55">
        <v>1</v>
      </c>
      <c r="O72" s="55">
        <v>0.25</v>
      </c>
      <c r="P72" s="55">
        <v>0.3</v>
      </c>
      <c r="Q72" s="57">
        <f t="shared" si="5"/>
        <v>0.27500000000000002</v>
      </c>
      <c r="R72" s="237">
        <v>14.5</v>
      </c>
      <c r="S72" s="237">
        <v>125</v>
      </c>
      <c r="T72" s="57">
        <f t="shared" si="4"/>
        <v>27</v>
      </c>
      <c r="U72" s="237">
        <v>138</v>
      </c>
      <c r="V72" s="58">
        <f t="shared" si="6"/>
        <v>3726</v>
      </c>
      <c r="W72" s="237">
        <v>1</v>
      </c>
      <c r="X72" s="55" t="s">
        <v>46</v>
      </c>
      <c r="Y72" s="55" t="s">
        <v>90</v>
      </c>
      <c r="Z72" s="55" t="s">
        <v>84</v>
      </c>
      <c r="AA72" s="55" t="s">
        <v>69</v>
      </c>
      <c r="AB72" s="55" t="s">
        <v>310</v>
      </c>
    </row>
    <row r="73" spans="1:28" x14ac:dyDescent="0.15">
      <c r="A73" s="55" t="s">
        <v>41</v>
      </c>
      <c r="B73" s="237" t="s">
        <v>308</v>
      </c>
      <c r="C73" s="152">
        <v>2018</v>
      </c>
      <c r="D73" s="56" t="s">
        <v>329</v>
      </c>
      <c r="E73" s="55" t="s">
        <v>277</v>
      </c>
      <c r="F73" s="237" t="s">
        <v>282</v>
      </c>
      <c r="G73" s="55" t="s">
        <v>42</v>
      </c>
      <c r="H73" s="55" t="s">
        <v>157</v>
      </c>
      <c r="I73" s="55" t="s">
        <v>153</v>
      </c>
      <c r="J73" s="55" t="s">
        <v>38</v>
      </c>
      <c r="K73" s="55" t="s">
        <v>154</v>
      </c>
      <c r="L73" s="237">
        <v>3</v>
      </c>
      <c r="N73" s="237">
        <v>1</v>
      </c>
      <c r="O73" s="55">
        <v>0.25</v>
      </c>
      <c r="P73" s="55">
        <v>0.25</v>
      </c>
      <c r="Q73" s="82">
        <f t="shared" si="5"/>
        <v>0.25</v>
      </c>
      <c r="R73" s="55">
        <v>16.100000000000001</v>
      </c>
      <c r="S73" s="55">
        <v>126</v>
      </c>
      <c r="T73" s="57">
        <f t="shared" si="4"/>
        <v>27</v>
      </c>
      <c r="U73" s="237">
        <v>138</v>
      </c>
      <c r="V73" s="58">
        <f t="shared" si="6"/>
        <v>3726</v>
      </c>
      <c r="W73" s="237">
        <v>1</v>
      </c>
      <c r="X73" s="55" t="s">
        <v>46</v>
      </c>
      <c r="Y73" s="55" t="s">
        <v>90</v>
      </c>
      <c r="Z73" s="55" t="s">
        <v>84</v>
      </c>
      <c r="AA73" s="55" t="s">
        <v>69</v>
      </c>
      <c r="AB73" s="55" t="s">
        <v>310</v>
      </c>
    </row>
    <row r="74" spans="1:28" x14ac:dyDescent="0.15">
      <c r="A74" s="55" t="s">
        <v>41</v>
      </c>
      <c r="B74" s="237" t="s">
        <v>308</v>
      </c>
      <c r="C74" s="152">
        <v>2018</v>
      </c>
      <c r="D74" s="56" t="s">
        <v>329</v>
      </c>
      <c r="E74" s="55" t="s">
        <v>277</v>
      </c>
      <c r="F74" s="237" t="s">
        <v>283</v>
      </c>
      <c r="G74" s="55" t="s">
        <v>42</v>
      </c>
      <c r="H74" s="55" t="s">
        <v>155</v>
      </c>
      <c r="I74" s="55" t="s">
        <v>153</v>
      </c>
      <c r="J74" s="55" t="s">
        <v>38</v>
      </c>
      <c r="K74" s="55" t="s">
        <v>154</v>
      </c>
      <c r="L74" s="237">
        <v>1</v>
      </c>
      <c r="N74" s="237">
        <v>6</v>
      </c>
      <c r="O74" s="55">
        <v>0.65</v>
      </c>
      <c r="P74" s="55">
        <v>0.45</v>
      </c>
      <c r="Q74" s="57">
        <f t="shared" si="5"/>
        <v>0.55000000000000004</v>
      </c>
      <c r="R74" s="237">
        <v>16.100000000000001</v>
      </c>
      <c r="S74" s="55">
        <v>108</v>
      </c>
      <c r="T74" s="57">
        <f t="shared" si="4"/>
        <v>33</v>
      </c>
      <c r="U74" s="237">
        <v>419</v>
      </c>
      <c r="V74" s="58">
        <f t="shared" si="6"/>
        <v>2304.5</v>
      </c>
      <c r="W74" s="237">
        <v>2</v>
      </c>
      <c r="X74" s="55" t="s">
        <v>46</v>
      </c>
      <c r="Y74" s="55" t="s">
        <v>84</v>
      </c>
      <c r="Z74" s="55" t="s">
        <v>78</v>
      </c>
      <c r="AA74" s="55" t="s">
        <v>69</v>
      </c>
      <c r="AB74" s="55" t="s">
        <v>310</v>
      </c>
    </row>
    <row r="75" spans="1:28" x14ac:dyDescent="0.15">
      <c r="A75" s="55" t="s">
        <v>41</v>
      </c>
      <c r="B75" s="237" t="s">
        <v>308</v>
      </c>
      <c r="C75" s="152">
        <v>2018</v>
      </c>
      <c r="D75" s="56" t="s">
        <v>329</v>
      </c>
      <c r="E75" s="55" t="s">
        <v>277</v>
      </c>
      <c r="F75" s="237" t="s">
        <v>283</v>
      </c>
      <c r="G75" s="55" t="s">
        <v>42</v>
      </c>
      <c r="H75" s="55" t="s">
        <v>155</v>
      </c>
      <c r="I75" s="55" t="s">
        <v>153</v>
      </c>
      <c r="J75" s="55" t="s">
        <v>38</v>
      </c>
      <c r="K75" s="55" t="s">
        <v>154</v>
      </c>
      <c r="L75" s="237">
        <v>2</v>
      </c>
      <c r="N75" s="237">
        <v>6</v>
      </c>
      <c r="O75" s="55">
        <v>0.5</v>
      </c>
      <c r="P75" s="55">
        <v>0.5</v>
      </c>
      <c r="Q75" s="57">
        <f t="shared" si="5"/>
        <v>0.5</v>
      </c>
      <c r="R75" s="55">
        <v>15</v>
      </c>
      <c r="S75" s="55">
        <v>110</v>
      </c>
      <c r="T75" s="57">
        <f t="shared" si="4"/>
        <v>33</v>
      </c>
      <c r="U75" s="237">
        <v>419</v>
      </c>
      <c r="V75" s="58">
        <f t="shared" si="6"/>
        <v>2304.5</v>
      </c>
      <c r="W75" s="237">
        <v>2</v>
      </c>
      <c r="X75" s="55" t="s">
        <v>46</v>
      </c>
      <c r="Y75" s="55" t="s">
        <v>84</v>
      </c>
      <c r="Z75" s="55" t="s">
        <v>78</v>
      </c>
      <c r="AA75" s="55" t="s">
        <v>69</v>
      </c>
      <c r="AB75" s="55" t="s">
        <v>310</v>
      </c>
    </row>
    <row r="76" spans="1:28" x14ac:dyDescent="0.15">
      <c r="A76" s="55" t="s">
        <v>41</v>
      </c>
      <c r="B76" s="237" t="s">
        <v>308</v>
      </c>
      <c r="C76" s="152">
        <v>2018</v>
      </c>
      <c r="D76" s="56" t="s">
        <v>329</v>
      </c>
      <c r="E76" s="55" t="s">
        <v>277</v>
      </c>
      <c r="F76" s="237" t="s">
        <v>283</v>
      </c>
      <c r="G76" s="55" t="s">
        <v>42</v>
      </c>
      <c r="H76" s="55" t="s">
        <v>155</v>
      </c>
      <c r="I76" s="55" t="s">
        <v>153</v>
      </c>
      <c r="J76" s="55" t="s">
        <v>38</v>
      </c>
      <c r="K76" s="55" t="s">
        <v>154</v>
      </c>
      <c r="L76" s="237">
        <v>3</v>
      </c>
      <c r="N76" s="237">
        <v>6</v>
      </c>
      <c r="O76" s="237">
        <v>0.5</v>
      </c>
      <c r="P76" s="237">
        <v>0.65</v>
      </c>
      <c r="Q76" s="57">
        <f t="shared" si="5"/>
        <v>0.57499999999999996</v>
      </c>
      <c r="R76" s="237">
        <v>13.8</v>
      </c>
      <c r="S76" s="237">
        <v>109</v>
      </c>
      <c r="T76" s="57">
        <f t="shared" si="4"/>
        <v>33</v>
      </c>
      <c r="U76" s="237">
        <v>419</v>
      </c>
      <c r="V76" s="58">
        <f t="shared" si="6"/>
        <v>2304.5</v>
      </c>
      <c r="W76" s="237">
        <v>2</v>
      </c>
      <c r="X76" s="55" t="s">
        <v>46</v>
      </c>
      <c r="Y76" s="55" t="s">
        <v>84</v>
      </c>
      <c r="Z76" s="55" t="s">
        <v>78</v>
      </c>
      <c r="AA76" s="55" t="s">
        <v>69</v>
      </c>
      <c r="AB76" s="55" t="s">
        <v>310</v>
      </c>
    </row>
    <row r="77" spans="1:28" x14ac:dyDescent="0.15">
      <c r="A77" s="55" t="s">
        <v>41</v>
      </c>
      <c r="B77" s="237" t="s">
        <v>308</v>
      </c>
      <c r="C77" s="152">
        <v>2018</v>
      </c>
      <c r="D77" s="56" t="s">
        <v>329</v>
      </c>
      <c r="E77" s="55" t="s">
        <v>277</v>
      </c>
      <c r="F77" s="237" t="s">
        <v>283</v>
      </c>
      <c r="G77" s="55" t="s">
        <v>42</v>
      </c>
      <c r="H77" s="55" t="s">
        <v>155</v>
      </c>
      <c r="I77" s="55" t="s">
        <v>153</v>
      </c>
      <c r="J77" s="55" t="s">
        <v>38</v>
      </c>
      <c r="K77" s="55" t="s">
        <v>154</v>
      </c>
      <c r="L77" s="237">
        <v>1</v>
      </c>
      <c r="N77" s="237">
        <v>1</v>
      </c>
      <c r="O77" s="237">
        <v>1.2</v>
      </c>
      <c r="P77" s="237">
        <v>1.3</v>
      </c>
      <c r="Q77" s="57">
        <f t="shared" si="5"/>
        <v>1.25</v>
      </c>
      <c r="R77" s="237">
        <v>14.4</v>
      </c>
      <c r="S77" s="237">
        <v>126</v>
      </c>
      <c r="T77" s="57">
        <f t="shared" si="4"/>
        <v>27</v>
      </c>
      <c r="U77" s="237">
        <v>84</v>
      </c>
      <c r="V77" s="58">
        <f t="shared" si="6"/>
        <v>2268</v>
      </c>
      <c r="W77" s="237">
        <v>1</v>
      </c>
      <c r="X77" s="55" t="s">
        <v>46</v>
      </c>
      <c r="Y77" s="55" t="s">
        <v>84</v>
      </c>
      <c r="Z77" s="55" t="s">
        <v>78</v>
      </c>
      <c r="AA77" s="55" t="s">
        <v>69</v>
      </c>
      <c r="AB77" s="55" t="s">
        <v>310</v>
      </c>
    </row>
    <row r="78" spans="1:28" x14ac:dyDescent="0.15">
      <c r="A78" s="55" t="s">
        <v>41</v>
      </c>
      <c r="B78" s="237" t="s">
        <v>308</v>
      </c>
      <c r="C78" s="152">
        <v>2018</v>
      </c>
      <c r="D78" s="56" t="s">
        <v>329</v>
      </c>
      <c r="E78" s="55" t="s">
        <v>277</v>
      </c>
      <c r="F78" s="237" t="s">
        <v>283</v>
      </c>
      <c r="G78" s="55" t="s">
        <v>42</v>
      </c>
      <c r="H78" s="55" t="s">
        <v>155</v>
      </c>
      <c r="I78" s="55" t="s">
        <v>153</v>
      </c>
      <c r="J78" s="55" t="s">
        <v>38</v>
      </c>
      <c r="K78" s="55" t="s">
        <v>154</v>
      </c>
      <c r="L78" s="237">
        <v>2</v>
      </c>
      <c r="N78" s="237">
        <v>1</v>
      </c>
      <c r="O78" s="237">
        <v>1.3</v>
      </c>
      <c r="P78" s="237">
        <v>1.25</v>
      </c>
      <c r="Q78" s="57">
        <f t="shared" si="5"/>
        <v>1.2749999999999999</v>
      </c>
      <c r="R78" s="237">
        <v>12.9</v>
      </c>
      <c r="S78" s="237">
        <v>123</v>
      </c>
      <c r="T78" s="57">
        <f t="shared" si="4"/>
        <v>27</v>
      </c>
      <c r="U78" s="237">
        <v>84</v>
      </c>
      <c r="V78" s="58">
        <f t="shared" si="6"/>
        <v>2268</v>
      </c>
      <c r="W78" s="237">
        <v>1</v>
      </c>
      <c r="X78" s="55" t="s">
        <v>46</v>
      </c>
      <c r="Y78" s="55" t="s">
        <v>84</v>
      </c>
      <c r="Z78" s="55" t="s">
        <v>78</v>
      </c>
      <c r="AA78" s="55" t="s">
        <v>69</v>
      </c>
      <c r="AB78" s="55" t="s">
        <v>310</v>
      </c>
    </row>
    <row r="79" spans="1:28" x14ac:dyDescent="0.15">
      <c r="A79" s="55" t="s">
        <v>41</v>
      </c>
      <c r="B79" s="237" t="s">
        <v>308</v>
      </c>
      <c r="C79" s="152">
        <v>2018</v>
      </c>
      <c r="D79" s="56" t="s">
        <v>329</v>
      </c>
      <c r="E79" s="55" t="s">
        <v>277</v>
      </c>
      <c r="F79" s="237" t="s">
        <v>283</v>
      </c>
      <c r="G79" s="55" t="s">
        <v>42</v>
      </c>
      <c r="H79" s="55" t="s">
        <v>155</v>
      </c>
      <c r="I79" s="55" t="s">
        <v>153</v>
      </c>
      <c r="J79" s="55" t="s">
        <v>38</v>
      </c>
      <c r="K79" s="55" t="s">
        <v>154</v>
      </c>
      <c r="L79" s="237">
        <v>3</v>
      </c>
      <c r="N79" s="237">
        <v>1</v>
      </c>
      <c r="O79" s="55">
        <v>1.2</v>
      </c>
      <c r="P79" s="55">
        <v>1.1000000000000001</v>
      </c>
      <c r="Q79" s="82">
        <f t="shared" si="5"/>
        <v>1.1499999999999999</v>
      </c>
      <c r="R79" s="55">
        <v>16.399999999999999</v>
      </c>
      <c r="S79" s="55">
        <v>123</v>
      </c>
      <c r="T79" s="57">
        <f t="shared" si="4"/>
        <v>27</v>
      </c>
      <c r="U79" s="237">
        <v>84</v>
      </c>
      <c r="V79" s="58">
        <f t="shared" si="6"/>
        <v>2268</v>
      </c>
      <c r="W79" s="237">
        <v>1</v>
      </c>
      <c r="X79" s="55" t="s">
        <v>46</v>
      </c>
      <c r="Y79" s="55" t="s">
        <v>84</v>
      </c>
      <c r="Z79" s="55" t="s">
        <v>78</v>
      </c>
      <c r="AA79" s="55" t="s">
        <v>69</v>
      </c>
      <c r="AB79" s="55" t="s">
        <v>310</v>
      </c>
    </row>
    <row r="80" spans="1:28" x14ac:dyDescent="0.15">
      <c r="A80" s="55" t="s">
        <v>41</v>
      </c>
      <c r="B80" s="237" t="s">
        <v>308</v>
      </c>
      <c r="C80" s="152">
        <v>2018</v>
      </c>
      <c r="D80" s="56" t="s">
        <v>329</v>
      </c>
      <c r="E80" s="55" t="s">
        <v>277</v>
      </c>
      <c r="F80" s="237" t="s">
        <v>283</v>
      </c>
      <c r="G80" s="55" t="s">
        <v>42</v>
      </c>
      <c r="H80" s="55" t="s">
        <v>157</v>
      </c>
      <c r="I80" s="55" t="s">
        <v>153</v>
      </c>
      <c r="J80" s="55" t="s">
        <v>38</v>
      </c>
      <c r="K80" s="55" t="s">
        <v>154</v>
      </c>
      <c r="L80" s="237">
        <v>1</v>
      </c>
      <c r="N80" s="237">
        <v>1</v>
      </c>
      <c r="O80" s="237">
        <v>0.45</v>
      </c>
      <c r="P80" s="237">
        <v>0.6</v>
      </c>
      <c r="Q80" s="57">
        <f t="shared" si="5"/>
        <v>0.52500000000000002</v>
      </c>
      <c r="R80" s="237">
        <v>17.399999999999999</v>
      </c>
      <c r="S80" s="237">
        <v>124</v>
      </c>
      <c r="T80" s="57">
        <f t="shared" si="4"/>
        <v>27</v>
      </c>
      <c r="U80" s="237">
        <v>138</v>
      </c>
      <c r="V80" s="58">
        <f t="shared" si="6"/>
        <v>3726</v>
      </c>
      <c r="W80" s="237">
        <v>1</v>
      </c>
      <c r="X80" s="55" t="s">
        <v>46</v>
      </c>
      <c r="Y80" s="55" t="s">
        <v>84</v>
      </c>
      <c r="Z80" s="55" t="s">
        <v>78</v>
      </c>
      <c r="AA80" s="55" t="s">
        <v>69</v>
      </c>
      <c r="AB80" s="55" t="s">
        <v>310</v>
      </c>
    </row>
    <row r="81" spans="1:28" x14ac:dyDescent="0.15">
      <c r="A81" s="55" t="s">
        <v>41</v>
      </c>
      <c r="B81" s="237" t="s">
        <v>308</v>
      </c>
      <c r="C81" s="152">
        <v>2018</v>
      </c>
      <c r="D81" s="56" t="s">
        <v>329</v>
      </c>
      <c r="E81" s="55" t="s">
        <v>277</v>
      </c>
      <c r="F81" s="237" t="s">
        <v>283</v>
      </c>
      <c r="G81" s="55" t="s">
        <v>42</v>
      </c>
      <c r="H81" s="55" t="s">
        <v>157</v>
      </c>
      <c r="I81" s="55" t="s">
        <v>153</v>
      </c>
      <c r="J81" s="55" t="s">
        <v>38</v>
      </c>
      <c r="K81" s="55" t="s">
        <v>154</v>
      </c>
      <c r="L81" s="237">
        <v>2</v>
      </c>
      <c r="N81" s="237">
        <v>1</v>
      </c>
      <c r="O81" s="237">
        <v>0.6</v>
      </c>
      <c r="P81" s="237">
        <v>0.45</v>
      </c>
      <c r="Q81" s="57">
        <f t="shared" si="5"/>
        <v>0.52500000000000002</v>
      </c>
      <c r="R81" s="237">
        <v>14.8</v>
      </c>
      <c r="S81" s="237">
        <v>128</v>
      </c>
      <c r="T81" s="57">
        <f t="shared" si="4"/>
        <v>27</v>
      </c>
      <c r="U81" s="237">
        <v>138</v>
      </c>
      <c r="V81" s="58">
        <f t="shared" si="6"/>
        <v>3726</v>
      </c>
      <c r="W81" s="237">
        <v>1</v>
      </c>
      <c r="X81" s="55" t="s">
        <v>46</v>
      </c>
      <c r="Y81" s="55" t="s">
        <v>84</v>
      </c>
      <c r="Z81" s="55" t="s">
        <v>78</v>
      </c>
      <c r="AA81" s="55" t="s">
        <v>69</v>
      </c>
      <c r="AB81" s="55" t="s">
        <v>310</v>
      </c>
    </row>
    <row r="82" spans="1:28" x14ac:dyDescent="0.15">
      <c r="A82" s="55" t="s">
        <v>41</v>
      </c>
      <c r="B82" s="237" t="s">
        <v>308</v>
      </c>
      <c r="C82" s="152">
        <v>2018</v>
      </c>
      <c r="D82" s="56" t="s">
        <v>329</v>
      </c>
      <c r="E82" s="55" t="s">
        <v>277</v>
      </c>
      <c r="F82" s="237" t="s">
        <v>283</v>
      </c>
      <c r="G82" s="55" t="s">
        <v>42</v>
      </c>
      <c r="H82" s="55" t="s">
        <v>157</v>
      </c>
      <c r="I82" s="55" t="s">
        <v>153</v>
      </c>
      <c r="J82" s="55" t="s">
        <v>38</v>
      </c>
      <c r="K82" s="55" t="s">
        <v>154</v>
      </c>
      <c r="L82" s="237">
        <v>3</v>
      </c>
      <c r="N82" s="237">
        <v>1</v>
      </c>
      <c r="O82" s="55">
        <v>0.4</v>
      </c>
      <c r="P82" s="55">
        <v>0.5</v>
      </c>
      <c r="Q82" s="82">
        <f t="shared" si="5"/>
        <v>0.45</v>
      </c>
      <c r="R82" s="55">
        <v>15.8</v>
      </c>
      <c r="S82" s="55">
        <v>125</v>
      </c>
      <c r="T82" s="57">
        <f t="shared" si="4"/>
        <v>27</v>
      </c>
      <c r="U82" s="237">
        <v>138</v>
      </c>
      <c r="V82" s="58">
        <f t="shared" si="6"/>
        <v>3726</v>
      </c>
      <c r="W82" s="237">
        <v>1</v>
      </c>
      <c r="X82" s="55" t="s">
        <v>46</v>
      </c>
      <c r="Y82" s="55" t="s">
        <v>84</v>
      </c>
      <c r="Z82" s="55" t="s">
        <v>78</v>
      </c>
      <c r="AA82" s="55" t="s">
        <v>69</v>
      </c>
      <c r="AB82" s="55" t="s">
        <v>310</v>
      </c>
    </row>
    <row r="83" spans="1:28" x14ac:dyDescent="0.15">
      <c r="A83" s="55" t="s">
        <v>41</v>
      </c>
      <c r="B83" s="237" t="s">
        <v>308</v>
      </c>
      <c r="C83" s="152">
        <v>2018</v>
      </c>
      <c r="D83" s="56" t="s">
        <v>329</v>
      </c>
      <c r="E83" s="55" t="s">
        <v>277</v>
      </c>
      <c r="F83" s="237" t="s">
        <v>283</v>
      </c>
      <c r="G83" s="55" t="s">
        <v>42</v>
      </c>
      <c r="H83" s="55" t="s">
        <v>157</v>
      </c>
      <c r="I83" s="55" t="s">
        <v>153</v>
      </c>
      <c r="J83" s="55" t="s">
        <v>38</v>
      </c>
      <c r="K83" s="55" t="s">
        <v>154</v>
      </c>
      <c r="L83" s="237">
        <v>1</v>
      </c>
      <c r="N83" s="237">
        <v>3</v>
      </c>
      <c r="O83" s="55">
        <v>0.65</v>
      </c>
      <c r="P83" s="55">
        <v>0.45</v>
      </c>
      <c r="Q83" s="82">
        <f t="shared" si="5"/>
        <v>0.55000000000000004</v>
      </c>
      <c r="R83" s="55">
        <v>15.5</v>
      </c>
      <c r="S83" s="55">
        <v>130</v>
      </c>
      <c r="T83" s="57">
        <f t="shared" si="4"/>
        <v>25</v>
      </c>
      <c r="U83" s="237">
        <v>537</v>
      </c>
      <c r="V83" s="58">
        <f t="shared" si="6"/>
        <v>4475</v>
      </c>
      <c r="W83" s="237">
        <v>2</v>
      </c>
      <c r="X83" s="55" t="s">
        <v>46</v>
      </c>
      <c r="Y83" s="55" t="s">
        <v>84</v>
      </c>
      <c r="Z83" s="55" t="s">
        <v>78</v>
      </c>
      <c r="AA83" s="55" t="s">
        <v>69</v>
      </c>
      <c r="AB83" s="55" t="s">
        <v>310</v>
      </c>
    </row>
    <row r="84" spans="1:28" x14ac:dyDescent="0.15">
      <c r="A84" s="55" t="s">
        <v>41</v>
      </c>
      <c r="B84" s="237" t="s">
        <v>308</v>
      </c>
      <c r="C84" s="152">
        <v>2018</v>
      </c>
      <c r="D84" s="56" t="s">
        <v>329</v>
      </c>
      <c r="E84" s="55" t="s">
        <v>277</v>
      </c>
      <c r="F84" s="237" t="s">
        <v>283</v>
      </c>
      <c r="G84" s="55" t="s">
        <v>42</v>
      </c>
      <c r="H84" s="55" t="s">
        <v>157</v>
      </c>
      <c r="I84" s="55" t="s">
        <v>153</v>
      </c>
      <c r="J84" s="55" t="s">
        <v>38</v>
      </c>
      <c r="K84" s="55" t="s">
        <v>154</v>
      </c>
      <c r="L84" s="237">
        <v>2</v>
      </c>
      <c r="N84" s="237">
        <v>3</v>
      </c>
      <c r="O84" s="55">
        <v>0.45</v>
      </c>
      <c r="P84" s="55">
        <v>0.35</v>
      </c>
      <c r="Q84" s="82">
        <f t="shared" si="5"/>
        <v>0.4</v>
      </c>
      <c r="R84" s="55">
        <v>16.399999999999999</v>
      </c>
      <c r="S84" s="55">
        <v>128</v>
      </c>
      <c r="T84" s="57">
        <f t="shared" ref="T84:T115" si="7">IF(H84="","",IF(OR(H84="GREEN",H84="GK"),IF(S84&gt;=$AX$2,VLOOKUP(S84,$AX$2:$AY$10,2,1),""),IF(S84&gt;=$AZ$2,VLOOKUP(S84,$AZ$2:$BA$10,2,1),"")))</f>
        <v>27</v>
      </c>
      <c r="U84" s="237">
        <v>537</v>
      </c>
      <c r="V84" s="58">
        <f t="shared" si="6"/>
        <v>4833</v>
      </c>
      <c r="W84" s="237">
        <v>2</v>
      </c>
      <c r="X84" s="55" t="s">
        <v>46</v>
      </c>
      <c r="Y84" s="55" t="s">
        <v>84</v>
      </c>
      <c r="Z84" s="55" t="s">
        <v>78</v>
      </c>
      <c r="AA84" s="55" t="s">
        <v>69</v>
      </c>
      <c r="AB84" s="55" t="s">
        <v>310</v>
      </c>
    </row>
    <row r="85" spans="1:28" x14ac:dyDescent="0.15">
      <c r="A85" s="55" t="s">
        <v>41</v>
      </c>
      <c r="B85" s="237" t="s">
        <v>308</v>
      </c>
      <c r="C85" s="152">
        <v>2018</v>
      </c>
      <c r="D85" s="56" t="s">
        <v>329</v>
      </c>
      <c r="E85" s="55" t="s">
        <v>277</v>
      </c>
      <c r="F85" s="237" t="s">
        <v>283</v>
      </c>
      <c r="G85" s="55" t="s">
        <v>42</v>
      </c>
      <c r="H85" s="55" t="s">
        <v>157</v>
      </c>
      <c r="I85" s="55" t="s">
        <v>153</v>
      </c>
      <c r="J85" s="55" t="s">
        <v>38</v>
      </c>
      <c r="K85" s="55" t="s">
        <v>154</v>
      </c>
      <c r="L85" s="237">
        <v>3</v>
      </c>
      <c r="N85" s="237">
        <v>3</v>
      </c>
      <c r="O85" s="55">
        <v>0.35</v>
      </c>
      <c r="P85" s="55">
        <v>0.35</v>
      </c>
      <c r="Q85" s="57">
        <f t="shared" si="5"/>
        <v>0.35</v>
      </c>
      <c r="R85" s="237">
        <v>16.100000000000001</v>
      </c>
      <c r="S85" s="55">
        <v>126</v>
      </c>
      <c r="T85" s="57">
        <f t="shared" si="7"/>
        <v>27</v>
      </c>
      <c r="U85" s="237">
        <v>537</v>
      </c>
      <c r="V85" s="58">
        <f t="shared" si="6"/>
        <v>4833</v>
      </c>
      <c r="W85" s="237">
        <v>2</v>
      </c>
      <c r="X85" s="55" t="s">
        <v>46</v>
      </c>
      <c r="Y85" s="55" t="s">
        <v>84</v>
      </c>
      <c r="Z85" s="55" t="s">
        <v>78</v>
      </c>
      <c r="AA85" s="55" t="s">
        <v>69</v>
      </c>
      <c r="AB85" s="55" t="s">
        <v>310</v>
      </c>
    </row>
    <row r="86" spans="1:28" x14ac:dyDescent="0.15">
      <c r="A86" s="55" t="s">
        <v>41</v>
      </c>
      <c r="B86" s="237" t="s">
        <v>308</v>
      </c>
      <c r="C86" s="152">
        <v>2018</v>
      </c>
      <c r="D86" s="56" t="s">
        <v>329</v>
      </c>
      <c r="E86" s="237" t="s">
        <v>278</v>
      </c>
      <c r="F86" s="237" t="s">
        <v>284</v>
      </c>
      <c r="G86" s="55" t="s">
        <v>42</v>
      </c>
      <c r="H86" s="55" t="s">
        <v>157</v>
      </c>
      <c r="I86" s="55" t="s">
        <v>153</v>
      </c>
      <c r="J86" s="55" t="s">
        <v>38</v>
      </c>
      <c r="K86" s="55" t="s">
        <v>154</v>
      </c>
      <c r="L86" s="237">
        <v>1</v>
      </c>
      <c r="N86" s="237">
        <v>1</v>
      </c>
      <c r="O86" s="55">
        <v>0.4</v>
      </c>
      <c r="P86" s="55">
        <v>0.3</v>
      </c>
      <c r="Q86" s="57">
        <f t="shared" si="5"/>
        <v>0.35</v>
      </c>
      <c r="R86" s="237">
        <v>13</v>
      </c>
      <c r="S86" s="55">
        <v>130</v>
      </c>
      <c r="T86" s="57">
        <f t="shared" si="7"/>
        <v>25</v>
      </c>
      <c r="U86" s="237">
        <v>138</v>
      </c>
      <c r="V86" s="58">
        <f t="shared" si="6"/>
        <v>3450</v>
      </c>
      <c r="W86" s="237">
        <v>1</v>
      </c>
      <c r="X86" s="55" t="s">
        <v>46</v>
      </c>
      <c r="Y86" s="55" t="s">
        <v>90</v>
      </c>
      <c r="Z86" s="55" t="s">
        <v>84</v>
      </c>
      <c r="AA86" s="55" t="s">
        <v>50</v>
      </c>
      <c r="AB86" s="55" t="s">
        <v>310</v>
      </c>
    </row>
    <row r="87" spans="1:28" x14ac:dyDescent="0.15">
      <c r="A87" s="55" t="s">
        <v>41</v>
      </c>
      <c r="B87" s="237" t="s">
        <v>308</v>
      </c>
      <c r="C87" s="152">
        <v>2018</v>
      </c>
      <c r="D87" s="56" t="s">
        <v>329</v>
      </c>
      <c r="E87" s="237" t="s">
        <v>278</v>
      </c>
      <c r="F87" s="237" t="s">
        <v>284</v>
      </c>
      <c r="G87" s="55" t="s">
        <v>42</v>
      </c>
      <c r="H87" s="55" t="s">
        <v>157</v>
      </c>
      <c r="I87" s="55" t="s">
        <v>153</v>
      </c>
      <c r="J87" s="55" t="s">
        <v>38</v>
      </c>
      <c r="K87" s="55" t="s">
        <v>154</v>
      </c>
      <c r="L87" s="237">
        <v>2</v>
      </c>
      <c r="N87" s="237">
        <v>1</v>
      </c>
      <c r="O87" s="55">
        <v>0.25</v>
      </c>
      <c r="P87" s="55">
        <v>0.3</v>
      </c>
      <c r="Q87" s="57">
        <f t="shared" si="5"/>
        <v>0.27500000000000002</v>
      </c>
      <c r="R87" s="237">
        <v>14.6</v>
      </c>
      <c r="S87" s="55">
        <v>129</v>
      </c>
      <c r="T87" s="57">
        <f t="shared" si="7"/>
        <v>25</v>
      </c>
      <c r="U87" s="237">
        <v>138</v>
      </c>
      <c r="V87" s="58">
        <f t="shared" si="6"/>
        <v>3450</v>
      </c>
      <c r="W87" s="237">
        <v>1</v>
      </c>
      <c r="X87" s="55" t="s">
        <v>46</v>
      </c>
      <c r="Y87" s="55" t="s">
        <v>90</v>
      </c>
      <c r="Z87" s="55" t="s">
        <v>84</v>
      </c>
      <c r="AA87" s="55" t="s">
        <v>50</v>
      </c>
      <c r="AB87" s="55" t="s">
        <v>310</v>
      </c>
    </row>
    <row r="88" spans="1:28" x14ac:dyDescent="0.15">
      <c r="A88" s="55" t="s">
        <v>41</v>
      </c>
      <c r="B88" s="237" t="s">
        <v>308</v>
      </c>
      <c r="C88" s="152">
        <v>2018</v>
      </c>
      <c r="D88" s="56" t="s">
        <v>329</v>
      </c>
      <c r="E88" s="237" t="s">
        <v>278</v>
      </c>
      <c r="F88" s="237" t="s">
        <v>284</v>
      </c>
      <c r="G88" s="55" t="s">
        <v>42</v>
      </c>
      <c r="H88" s="55" t="s">
        <v>157</v>
      </c>
      <c r="I88" s="55" t="s">
        <v>153</v>
      </c>
      <c r="J88" s="55" t="s">
        <v>38</v>
      </c>
      <c r="K88" s="55" t="s">
        <v>154</v>
      </c>
      <c r="L88" s="237">
        <v>3</v>
      </c>
      <c r="N88" s="237">
        <v>1</v>
      </c>
      <c r="O88" s="55">
        <v>0.45</v>
      </c>
      <c r="P88" s="55">
        <v>0.5</v>
      </c>
      <c r="Q88" s="82">
        <f t="shared" si="5"/>
        <v>0.47499999999999998</v>
      </c>
      <c r="R88" s="55">
        <v>15.8</v>
      </c>
      <c r="S88" s="55">
        <v>133</v>
      </c>
      <c r="T88" s="57">
        <f t="shared" si="7"/>
        <v>25</v>
      </c>
      <c r="U88" s="237">
        <v>138</v>
      </c>
      <c r="V88" s="58">
        <f t="shared" si="6"/>
        <v>3450</v>
      </c>
      <c r="W88" s="237">
        <v>1</v>
      </c>
      <c r="X88" s="55" t="s">
        <v>46</v>
      </c>
      <c r="Y88" s="55" t="s">
        <v>90</v>
      </c>
      <c r="Z88" s="55" t="s">
        <v>84</v>
      </c>
      <c r="AA88" s="55" t="s">
        <v>50</v>
      </c>
      <c r="AB88" s="55" t="s">
        <v>310</v>
      </c>
    </row>
    <row r="89" spans="1:28" x14ac:dyDescent="0.15">
      <c r="A89" s="55" t="s">
        <v>41</v>
      </c>
      <c r="B89" s="237" t="s">
        <v>308</v>
      </c>
      <c r="C89" s="152">
        <v>2018</v>
      </c>
      <c r="D89" s="56" t="s">
        <v>329</v>
      </c>
      <c r="E89" s="237" t="s">
        <v>278</v>
      </c>
      <c r="F89" s="237" t="s">
        <v>284</v>
      </c>
      <c r="G89" s="55" t="s">
        <v>42</v>
      </c>
      <c r="H89" s="55" t="s">
        <v>157</v>
      </c>
      <c r="I89" s="55" t="s">
        <v>153</v>
      </c>
      <c r="J89" s="55" t="s">
        <v>38</v>
      </c>
      <c r="K89" s="55" t="s">
        <v>154</v>
      </c>
      <c r="L89" s="237">
        <v>1</v>
      </c>
      <c r="N89" s="237">
        <v>4</v>
      </c>
      <c r="O89" s="55">
        <v>0.4</v>
      </c>
      <c r="P89" s="55">
        <v>0.5</v>
      </c>
      <c r="Q89" s="82">
        <f t="shared" si="5"/>
        <v>0.45</v>
      </c>
      <c r="R89" s="55">
        <v>14.7</v>
      </c>
      <c r="S89" s="55">
        <v>125</v>
      </c>
      <c r="T89" s="57">
        <f t="shared" si="7"/>
        <v>27</v>
      </c>
      <c r="U89" s="237">
        <v>429</v>
      </c>
      <c r="V89" s="58">
        <f t="shared" si="6"/>
        <v>2895.75</v>
      </c>
      <c r="W89" s="237">
        <v>2</v>
      </c>
      <c r="X89" s="55" t="s">
        <v>46</v>
      </c>
      <c r="Y89" s="55" t="s">
        <v>90</v>
      </c>
      <c r="Z89" s="55" t="s">
        <v>84</v>
      </c>
      <c r="AA89" s="55" t="s">
        <v>50</v>
      </c>
      <c r="AB89" s="55" t="s">
        <v>310</v>
      </c>
    </row>
    <row r="90" spans="1:28" x14ac:dyDescent="0.15">
      <c r="A90" s="55" t="s">
        <v>41</v>
      </c>
      <c r="B90" s="237" t="s">
        <v>308</v>
      </c>
      <c r="C90" s="152">
        <v>2018</v>
      </c>
      <c r="D90" s="56" t="s">
        <v>329</v>
      </c>
      <c r="E90" s="237" t="s">
        <v>278</v>
      </c>
      <c r="F90" s="237" t="s">
        <v>284</v>
      </c>
      <c r="G90" s="55" t="s">
        <v>42</v>
      </c>
      <c r="H90" s="55" t="s">
        <v>157</v>
      </c>
      <c r="I90" s="55" t="s">
        <v>153</v>
      </c>
      <c r="J90" s="55" t="s">
        <v>38</v>
      </c>
      <c r="K90" s="55" t="s">
        <v>154</v>
      </c>
      <c r="L90" s="237">
        <v>2</v>
      </c>
      <c r="N90" s="237">
        <v>4</v>
      </c>
      <c r="O90" s="55">
        <v>0.3</v>
      </c>
      <c r="P90" s="55">
        <v>0.45</v>
      </c>
      <c r="Q90" s="82">
        <f t="shared" si="5"/>
        <v>0.375</v>
      </c>
      <c r="R90" s="55">
        <v>16</v>
      </c>
      <c r="S90" s="55">
        <v>126</v>
      </c>
      <c r="T90" s="57">
        <f t="shared" si="7"/>
        <v>27</v>
      </c>
      <c r="U90" s="237">
        <v>429</v>
      </c>
      <c r="V90" s="58">
        <f t="shared" si="6"/>
        <v>2895.75</v>
      </c>
      <c r="W90" s="237">
        <v>2</v>
      </c>
      <c r="X90" s="55" t="s">
        <v>46</v>
      </c>
      <c r="Y90" s="55" t="s">
        <v>90</v>
      </c>
      <c r="Z90" s="55" t="s">
        <v>84</v>
      </c>
      <c r="AA90" s="55" t="s">
        <v>50</v>
      </c>
      <c r="AB90" s="55" t="s">
        <v>310</v>
      </c>
    </row>
    <row r="91" spans="1:28" x14ac:dyDescent="0.15">
      <c r="A91" s="55" t="s">
        <v>41</v>
      </c>
      <c r="B91" s="237" t="s">
        <v>308</v>
      </c>
      <c r="C91" s="152">
        <v>2018</v>
      </c>
      <c r="D91" s="56" t="s">
        <v>329</v>
      </c>
      <c r="E91" s="237" t="s">
        <v>278</v>
      </c>
      <c r="F91" s="237" t="s">
        <v>284</v>
      </c>
      <c r="G91" s="55" t="s">
        <v>42</v>
      </c>
      <c r="H91" s="55" t="s">
        <v>157</v>
      </c>
      <c r="I91" s="55" t="s">
        <v>153</v>
      </c>
      <c r="J91" s="55" t="s">
        <v>38</v>
      </c>
      <c r="K91" s="55" t="s">
        <v>154</v>
      </c>
      <c r="L91" s="237">
        <v>3</v>
      </c>
      <c r="N91" s="237">
        <v>4</v>
      </c>
      <c r="O91" s="55">
        <v>0.5</v>
      </c>
      <c r="P91" s="55">
        <v>0.45</v>
      </c>
      <c r="Q91" s="57">
        <f t="shared" si="5"/>
        <v>0.47499999999999998</v>
      </c>
      <c r="R91" s="237">
        <v>15.4</v>
      </c>
      <c r="S91" s="237">
        <v>125</v>
      </c>
      <c r="T91" s="57">
        <f t="shared" si="7"/>
        <v>27</v>
      </c>
      <c r="U91" s="237">
        <v>429</v>
      </c>
      <c r="V91" s="58">
        <f t="shared" si="6"/>
        <v>2895.75</v>
      </c>
      <c r="W91" s="237">
        <v>2</v>
      </c>
      <c r="X91" s="55" t="s">
        <v>46</v>
      </c>
      <c r="Y91" s="55" t="s">
        <v>90</v>
      </c>
      <c r="Z91" s="55" t="s">
        <v>84</v>
      </c>
      <c r="AA91" s="55" t="s">
        <v>50</v>
      </c>
      <c r="AB91" s="55" t="s">
        <v>310</v>
      </c>
    </row>
    <row r="92" spans="1:28" x14ac:dyDescent="0.15">
      <c r="A92" s="55" t="s">
        <v>41</v>
      </c>
      <c r="B92" s="237" t="s">
        <v>308</v>
      </c>
      <c r="C92" s="152">
        <v>2018</v>
      </c>
      <c r="D92" s="56" t="s">
        <v>329</v>
      </c>
      <c r="E92" s="237" t="s">
        <v>278</v>
      </c>
      <c r="F92" s="237" t="s">
        <v>284</v>
      </c>
      <c r="G92" s="55" t="s">
        <v>42</v>
      </c>
      <c r="H92" s="55" t="s">
        <v>155</v>
      </c>
      <c r="I92" s="55" t="s">
        <v>153</v>
      </c>
      <c r="J92" s="55" t="s">
        <v>38</v>
      </c>
      <c r="K92" s="55" t="s">
        <v>154</v>
      </c>
      <c r="L92" s="237">
        <v>1</v>
      </c>
      <c r="N92" s="237">
        <v>1</v>
      </c>
      <c r="O92" s="237">
        <v>1</v>
      </c>
      <c r="P92" s="237">
        <v>1.1499999999999999</v>
      </c>
      <c r="Q92" s="82">
        <f t="shared" si="5"/>
        <v>1.075</v>
      </c>
      <c r="R92" s="55">
        <v>14.9</v>
      </c>
      <c r="S92" s="55">
        <v>126</v>
      </c>
      <c r="T92" s="57">
        <f t="shared" si="7"/>
        <v>27</v>
      </c>
      <c r="U92" s="237">
        <v>105</v>
      </c>
      <c r="V92" s="58">
        <f t="shared" si="6"/>
        <v>2835</v>
      </c>
      <c r="W92" s="237">
        <v>1</v>
      </c>
      <c r="X92" s="55" t="s">
        <v>46</v>
      </c>
      <c r="Y92" s="55" t="s">
        <v>90</v>
      </c>
      <c r="Z92" s="55" t="s">
        <v>84</v>
      </c>
      <c r="AA92" s="55" t="s">
        <v>50</v>
      </c>
      <c r="AB92" s="55" t="s">
        <v>310</v>
      </c>
    </row>
    <row r="93" spans="1:28" x14ac:dyDescent="0.15">
      <c r="A93" s="55" t="s">
        <v>41</v>
      </c>
      <c r="B93" s="237" t="s">
        <v>308</v>
      </c>
      <c r="C93" s="152">
        <v>2018</v>
      </c>
      <c r="D93" s="56" t="s">
        <v>329</v>
      </c>
      <c r="E93" s="237" t="s">
        <v>278</v>
      </c>
      <c r="F93" s="237" t="s">
        <v>284</v>
      </c>
      <c r="G93" s="55" t="s">
        <v>42</v>
      </c>
      <c r="H93" s="55" t="s">
        <v>155</v>
      </c>
      <c r="I93" s="55" t="s">
        <v>153</v>
      </c>
      <c r="J93" s="55" t="s">
        <v>38</v>
      </c>
      <c r="K93" s="55" t="s">
        <v>154</v>
      </c>
      <c r="L93" s="237">
        <v>2</v>
      </c>
      <c r="N93" s="237">
        <v>1</v>
      </c>
      <c r="O93" s="237">
        <v>1.05</v>
      </c>
      <c r="P93" s="237">
        <v>1</v>
      </c>
      <c r="Q93" s="82">
        <f t="shared" si="5"/>
        <v>1.0249999999999999</v>
      </c>
      <c r="R93" s="55">
        <v>14.5</v>
      </c>
      <c r="S93" s="55">
        <v>125</v>
      </c>
      <c r="T93" s="57">
        <f t="shared" si="7"/>
        <v>27</v>
      </c>
      <c r="U93" s="237">
        <v>105</v>
      </c>
      <c r="V93" s="58">
        <f t="shared" si="6"/>
        <v>2835</v>
      </c>
      <c r="W93" s="237">
        <v>1</v>
      </c>
      <c r="X93" s="55" t="s">
        <v>46</v>
      </c>
      <c r="Y93" s="55" t="s">
        <v>90</v>
      </c>
      <c r="Z93" s="55" t="s">
        <v>84</v>
      </c>
      <c r="AA93" s="55" t="s">
        <v>50</v>
      </c>
      <c r="AB93" s="55" t="s">
        <v>310</v>
      </c>
    </row>
    <row r="94" spans="1:28" x14ac:dyDescent="0.15">
      <c r="A94" s="55" t="s">
        <v>41</v>
      </c>
      <c r="B94" s="237" t="s">
        <v>308</v>
      </c>
      <c r="C94" s="152">
        <v>2018</v>
      </c>
      <c r="D94" s="56" t="s">
        <v>329</v>
      </c>
      <c r="E94" s="237" t="s">
        <v>278</v>
      </c>
      <c r="F94" s="237" t="s">
        <v>284</v>
      </c>
      <c r="G94" s="55" t="s">
        <v>42</v>
      </c>
      <c r="H94" s="55" t="s">
        <v>155</v>
      </c>
      <c r="I94" s="55" t="s">
        <v>153</v>
      </c>
      <c r="J94" s="55" t="s">
        <v>38</v>
      </c>
      <c r="K94" s="55" t="s">
        <v>154</v>
      </c>
      <c r="L94" s="237">
        <v>3</v>
      </c>
      <c r="N94" s="237">
        <v>1</v>
      </c>
      <c r="O94" s="55">
        <v>0.9</v>
      </c>
      <c r="P94" s="55">
        <v>0.85</v>
      </c>
      <c r="Q94" s="82">
        <f t="shared" si="5"/>
        <v>0.875</v>
      </c>
      <c r="R94" s="55">
        <v>13</v>
      </c>
      <c r="S94" s="55">
        <v>124</v>
      </c>
      <c r="T94" s="57">
        <f t="shared" si="7"/>
        <v>27</v>
      </c>
      <c r="U94" s="237">
        <v>105</v>
      </c>
      <c r="V94" s="58">
        <f t="shared" si="6"/>
        <v>2835</v>
      </c>
      <c r="W94" s="237">
        <v>1</v>
      </c>
      <c r="X94" s="55" t="s">
        <v>46</v>
      </c>
      <c r="Y94" s="55" t="s">
        <v>90</v>
      </c>
      <c r="Z94" s="55" t="s">
        <v>84</v>
      </c>
      <c r="AA94" s="55" t="s">
        <v>50</v>
      </c>
      <c r="AB94" s="55" t="s">
        <v>310</v>
      </c>
    </row>
    <row r="95" spans="1:28" x14ac:dyDescent="0.15">
      <c r="A95" s="55" t="s">
        <v>41</v>
      </c>
      <c r="B95" s="237" t="s">
        <v>308</v>
      </c>
      <c r="C95" s="152">
        <v>2018</v>
      </c>
      <c r="D95" s="56" t="s">
        <v>329</v>
      </c>
      <c r="E95" s="237" t="s">
        <v>278</v>
      </c>
      <c r="F95" s="237" t="s">
        <v>284</v>
      </c>
      <c r="G95" s="55" t="s">
        <v>42</v>
      </c>
      <c r="H95" s="55" t="s">
        <v>155</v>
      </c>
      <c r="I95" s="55" t="s">
        <v>153</v>
      </c>
      <c r="J95" s="55" t="s">
        <v>38</v>
      </c>
      <c r="K95" s="55" t="s">
        <v>154</v>
      </c>
      <c r="L95" s="237">
        <v>1</v>
      </c>
      <c r="N95" s="237">
        <v>4</v>
      </c>
      <c r="O95" s="55">
        <v>0.5</v>
      </c>
      <c r="P95" s="55">
        <v>0.45</v>
      </c>
      <c r="Q95" s="82">
        <f>IF(OR(O95="",P95=""),"",AVERAGE(O95,P95))</f>
        <v>0.47499999999999998</v>
      </c>
      <c r="R95" s="237">
        <v>14.3</v>
      </c>
      <c r="S95" s="55">
        <v>120</v>
      </c>
      <c r="T95" s="57">
        <f t="shared" si="7"/>
        <v>30</v>
      </c>
      <c r="U95" s="237">
        <v>321</v>
      </c>
      <c r="V95" s="58">
        <f t="shared" si="6"/>
        <v>2407.5</v>
      </c>
      <c r="W95" s="237">
        <v>2</v>
      </c>
      <c r="X95" s="55" t="s">
        <v>46</v>
      </c>
      <c r="Y95" s="55" t="s">
        <v>90</v>
      </c>
      <c r="Z95" s="55" t="s">
        <v>84</v>
      </c>
      <c r="AA95" s="55" t="s">
        <v>50</v>
      </c>
      <c r="AB95" s="55" t="s">
        <v>310</v>
      </c>
    </row>
    <row r="96" spans="1:28" x14ac:dyDescent="0.15">
      <c r="A96" s="55" t="s">
        <v>41</v>
      </c>
      <c r="B96" s="237" t="s">
        <v>308</v>
      </c>
      <c r="C96" s="152">
        <v>2018</v>
      </c>
      <c r="D96" s="56" t="s">
        <v>329</v>
      </c>
      <c r="E96" s="237" t="s">
        <v>278</v>
      </c>
      <c r="F96" s="237" t="s">
        <v>284</v>
      </c>
      <c r="G96" s="55" t="s">
        <v>42</v>
      </c>
      <c r="H96" s="55" t="s">
        <v>155</v>
      </c>
      <c r="I96" s="55" t="s">
        <v>153</v>
      </c>
      <c r="J96" s="55" t="s">
        <v>38</v>
      </c>
      <c r="K96" s="55" t="s">
        <v>154</v>
      </c>
      <c r="L96" s="237">
        <v>2</v>
      </c>
      <c r="N96" s="237">
        <v>4</v>
      </c>
      <c r="O96" s="55">
        <v>0.65</v>
      </c>
      <c r="P96" s="55">
        <v>0.55000000000000004</v>
      </c>
      <c r="Q96" s="82">
        <f>IF(OR(O96="",P96=""),"",AVERAGE(O96,P96))</f>
        <v>0.60000000000000009</v>
      </c>
      <c r="R96" s="237">
        <v>13.3</v>
      </c>
      <c r="S96" s="55">
        <v>119</v>
      </c>
      <c r="T96" s="57">
        <f t="shared" si="7"/>
        <v>30</v>
      </c>
      <c r="U96" s="237">
        <v>321</v>
      </c>
      <c r="V96" s="58">
        <f t="shared" si="6"/>
        <v>2407.5</v>
      </c>
      <c r="W96" s="237">
        <v>2</v>
      </c>
      <c r="X96" s="55" t="s">
        <v>46</v>
      </c>
      <c r="Y96" s="55" t="s">
        <v>90</v>
      </c>
      <c r="Z96" s="55" t="s">
        <v>84</v>
      </c>
      <c r="AA96" s="55" t="s">
        <v>50</v>
      </c>
      <c r="AB96" s="55" t="s">
        <v>310</v>
      </c>
    </row>
    <row r="97" spans="1:28" x14ac:dyDescent="0.15">
      <c r="A97" s="55" t="s">
        <v>41</v>
      </c>
      <c r="B97" s="237" t="s">
        <v>308</v>
      </c>
      <c r="C97" s="152">
        <v>2018</v>
      </c>
      <c r="D97" s="56" t="s">
        <v>329</v>
      </c>
      <c r="E97" s="237" t="s">
        <v>278</v>
      </c>
      <c r="F97" s="237" t="s">
        <v>284</v>
      </c>
      <c r="G97" s="55" t="s">
        <v>42</v>
      </c>
      <c r="H97" s="55" t="s">
        <v>155</v>
      </c>
      <c r="I97" s="55" t="s">
        <v>153</v>
      </c>
      <c r="J97" s="55" t="s">
        <v>38</v>
      </c>
      <c r="K97" s="55" t="s">
        <v>154</v>
      </c>
      <c r="L97" s="237">
        <v>3</v>
      </c>
      <c r="N97" s="237">
        <v>4</v>
      </c>
      <c r="O97" s="55">
        <v>0.5</v>
      </c>
      <c r="P97" s="55">
        <v>0.5</v>
      </c>
      <c r="Q97" s="82">
        <f>IF(OR(O97="",P97=""),"",AVERAGE(O97,P97))</f>
        <v>0.5</v>
      </c>
      <c r="R97" s="237">
        <v>15</v>
      </c>
      <c r="S97" s="55">
        <v>120</v>
      </c>
      <c r="T97" s="57">
        <f t="shared" si="7"/>
        <v>30</v>
      </c>
      <c r="U97" s="237">
        <v>321</v>
      </c>
      <c r="V97" s="58">
        <f t="shared" si="6"/>
        <v>2407.5</v>
      </c>
      <c r="W97" s="237">
        <v>2</v>
      </c>
      <c r="X97" s="55" t="s">
        <v>46</v>
      </c>
      <c r="Y97" s="55" t="s">
        <v>90</v>
      </c>
      <c r="Z97" s="55" t="s">
        <v>84</v>
      </c>
      <c r="AA97" s="55" t="s">
        <v>50</v>
      </c>
      <c r="AB97" s="55" t="s">
        <v>310</v>
      </c>
    </row>
    <row r="98" spans="1:28" x14ac:dyDescent="0.15">
      <c r="A98" s="55" t="s">
        <v>41</v>
      </c>
      <c r="B98" s="237" t="s">
        <v>308</v>
      </c>
      <c r="C98" s="152">
        <v>2018</v>
      </c>
      <c r="D98" s="56" t="s">
        <v>329</v>
      </c>
      <c r="E98" s="237" t="s">
        <v>160</v>
      </c>
      <c r="F98" s="237" t="s">
        <v>285</v>
      </c>
      <c r="G98" s="55" t="s">
        <v>42</v>
      </c>
      <c r="H98" s="55" t="s">
        <v>157</v>
      </c>
      <c r="I98" s="55" t="s">
        <v>153</v>
      </c>
      <c r="J98" s="55" t="s">
        <v>38</v>
      </c>
      <c r="K98" s="55" t="s">
        <v>154</v>
      </c>
      <c r="L98" s="237">
        <v>1</v>
      </c>
      <c r="N98" s="237">
        <v>1</v>
      </c>
      <c r="O98" s="237">
        <v>0.5</v>
      </c>
      <c r="P98" s="237">
        <v>0.45</v>
      </c>
      <c r="Q98" s="57">
        <f t="shared" ref="Q98:Q115" si="8">IF(OR(O98="",P98=""),"",AVERAGE(O98,P98))</f>
        <v>0.47499999999999998</v>
      </c>
      <c r="R98" s="237">
        <v>15.2</v>
      </c>
      <c r="S98" s="237">
        <v>130</v>
      </c>
      <c r="T98" s="57">
        <f t="shared" si="7"/>
        <v>25</v>
      </c>
      <c r="U98" s="237">
        <v>137</v>
      </c>
      <c r="V98" s="58">
        <f t="shared" si="6"/>
        <v>3425</v>
      </c>
      <c r="W98" s="237">
        <v>1</v>
      </c>
      <c r="X98" s="55" t="s">
        <v>39</v>
      </c>
      <c r="Y98" s="55" t="s">
        <v>84</v>
      </c>
      <c r="Z98" s="55" t="s">
        <v>90</v>
      </c>
      <c r="AA98" s="55" t="s">
        <v>78</v>
      </c>
      <c r="AB98" s="55" t="s">
        <v>310</v>
      </c>
    </row>
    <row r="99" spans="1:28" x14ac:dyDescent="0.15">
      <c r="A99" s="55" t="s">
        <v>41</v>
      </c>
      <c r="B99" s="237" t="s">
        <v>308</v>
      </c>
      <c r="C99" s="152">
        <v>2018</v>
      </c>
      <c r="D99" s="56" t="s">
        <v>329</v>
      </c>
      <c r="E99" s="237" t="s">
        <v>160</v>
      </c>
      <c r="F99" s="237" t="s">
        <v>285</v>
      </c>
      <c r="G99" s="55" t="s">
        <v>42</v>
      </c>
      <c r="H99" s="55" t="s">
        <v>157</v>
      </c>
      <c r="I99" s="55" t="s">
        <v>153</v>
      </c>
      <c r="J99" s="55" t="s">
        <v>38</v>
      </c>
      <c r="K99" s="55" t="s">
        <v>154</v>
      </c>
      <c r="L99" s="237">
        <v>2</v>
      </c>
      <c r="N99" s="237">
        <v>1</v>
      </c>
      <c r="O99" s="237">
        <v>0.65</v>
      </c>
      <c r="P99" s="237">
        <v>0.5</v>
      </c>
      <c r="Q99" s="57">
        <f t="shared" si="8"/>
        <v>0.57499999999999996</v>
      </c>
      <c r="R99" s="237">
        <v>16.5</v>
      </c>
      <c r="S99" s="237">
        <v>125</v>
      </c>
      <c r="T99" s="57">
        <f t="shared" si="7"/>
        <v>27</v>
      </c>
      <c r="U99" s="237">
        <v>137</v>
      </c>
      <c r="V99" s="58">
        <f t="shared" si="6"/>
        <v>3699</v>
      </c>
      <c r="W99" s="237">
        <v>1</v>
      </c>
      <c r="X99" s="55" t="s">
        <v>39</v>
      </c>
      <c r="Y99" s="55" t="s">
        <v>84</v>
      </c>
      <c r="Z99" s="55" t="s">
        <v>90</v>
      </c>
      <c r="AA99" s="55" t="s">
        <v>78</v>
      </c>
      <c r="AB99" s="55" t="s">
        <v>310</v>
      </c>
    </row>
    <row r="100" spans="1:28" x14ac:dyDescent="0.15">
      <c r="A100" s="55" t="s">
        <v>41</v>
      </c>
      <c r="B100" s="237" t="s">
        <v>308</v>
      </c>
      <c r="C100" s="152">
        <v>2018</v>
      </c>
      <c r="D100" s="56" t="s">
        <v>329</v>
      </c>
      <c r="E100" s="237" t="s">
        <v>160</v>
      </c>
      <c r="F100" s="237" t="s">
        <v>285</v>
      </c>
      <c r="G100" s="55" t="s">
        <v>42</v>
      </c>
      <c r="H100" s="55" t="s">
        <v>157</v>
      </c>
      <c r="I100" s="55" t="s">
        <v>153</v>
      </c>
      <c r="J100" s="55" t="s">
        <v>38</v>
      </c>
      <c r="K100" s="55" t="s">
        <v>154</v>
      </c>
      <c r="L100" s="237">
        <v>3</v>
      </c>
      <c r="N100" s="237">
        <v>1</v>
      </c>
      <c r="O100" s="237">
        <v>0.45</v>
      </c>
      <c r="P100" s="237">
        <v>0.4</v>
      </c>
      <c r="Q100" s="57">
        <f t="shared" si="8"/>
        <v>0.42500000000000004</v>
      </c>
      <c r="R100" s="237">
        <v>14.7</v>
      </c>
      <c r="S100" s="237">
        <v>126</v>
      </c>
      <c r="T100" s="57">
        <f t="shared" si="7"/>
        <v>27</v>
      </c>
      <c r="U100" s="237">
        <v>137</v>
      </c>
      <c r="V100" s="58">
        <f t="shared" si="6"/>
        <v>3699</v>
      </c>
      <c r="W100" s="237">
        <v>1</v>
      </c>
      <c r="X100" s="55" t="s">
        <v>39</v>
      </c>
      <c r="Y100" s="55" t="s">
        <v>84</v>
      </c>
      <c r="Z100" s="55" t="s">
        <v>90</v>
      </c>
      <c r="AA100" s="55" t="s">
        <v>78</v>
      </c>
      <c r="AB100" s="55" t="s">
        <v>310</v>
      </c>
    </row>
    <row r="101" spans="1:28" x14ac:dyDescent="0.15">
      <c r="A101" s="55" t="s">
        <v>41</v>
      </c>
      <c r="B101" s="237" t="s">
        <v>308</v>
      </c>
      <c r="C101" s="152">
        <v>2018</v>
      </c>
      <c r="D101" s="56" t="s">
        <v>329</v>
      </c>
      <c r="E101" s="237" t="s">
        <v>160</v>
      </c>
      <c r="F101" s="237" t="s">
        <v>285</v>
      </c>
      <c r="G101" s="55" t="s">
        <v>42</v>
      </c>
      <c r="H101" s="55" t="s">
        <v>157</v>
      </c>
      <c r="I101" s="55" t="s">
        <v>153</v>
      </c>
      <c r="J101" s="55" t="s">
        <v>38</v>
      </c>
      <c r="K101" s="55" t="s">
        <v>154</v>
      </c>
      <c r="L101" s="237">
        <v>1</v>
      </c>
      <c r="N101" s="237">
        <v>4</v>
      </c>
      <c r="O101" s="237">
        <v>0.25</v>
      </c>
      <c r="P101" s="237">
        <v>0.25</v>
      </c>
      <c r="Q101" s="57">
        <f t="shared" si="8"/>
        <v>0.25</v>
      </c>
      <c r="R101" s="237">
        <v>13.4</v>
      </c>
      <c r="S101" s="237">
        <v>127</v>
      </c>
      <c r="T101" s="57">
        <f t="shared" si="7"/>
        <v>27</v>
      </c>
      <c r="U101" s="237">
        <v>515</v>
      </c>
      <c r="V101" s="58">
        <f t="shared" si="6"/>
        <v>3476.25</v>
      </c>
      <c r="W101" s="237">
        <v>1</v>
      </c>
      <c r="X101" s="55" t="s">
        <v>39</v>
      </c>
      <c r="Y101" s="55" t="s">
        <v>84</v>
      </c>
      <c r="Z101" s="55" t="s">
        <v>90</v>
      </c>
      <c r="AA101" s="55" t="s">
        <v>78</v>
      </c>
      <c r="AB101" s="55" t="s">
        <v>310</v>
      </c>
    </row>
    <row r="102" spans="1:28" x14ac:dyDescent="0.15">
      <c r="A102" s="55" t="s">
        <v>41</v>
      </c>
      <c r="B102" s="237" t="s">
        <v>308</v>
      </c>
      <c r="C102" s="152">
        <v>2018</v>
      </c>
      <c r="D102" s="56" t="s">
        <v>329</v>
      </c>
      <c r="E102" s="237" t="s">
        <v>160</v>
      </c>
      <c r="F102" s="237" t="s">
        <v>285</v>
      </c>
      <c r="G102" s="55" t="s">
        <v>42</v>
      </c>
      <c r="H102" s="55" t="s">
        <v>157</v>
      </c>
      <c r="I102" s="55" t="s">
        <v>153</v>
      </c>
      <c r="J102" s="55" t="s">
        <v>38</v>
      </c>
      <c r="K102" s="55" t="s">
        <v>154</v>
      </c>
      <c r="L102" s="237">
        <v>2</v>
      </c>
      <c r="N102" s="237">
        <v>4</v>
      </c>
      <c r="O102" s="237">
        <v>0.25</v>
      </c>
      <c r="P102" s="237">
        <v>0.3</v>
      </c>
      <c r="Q102" s="57">
        <f t="shared" si="8"/>
        <v>0.27500000000000002</v>
      </c>
      <c r="R102" s="237">
        <v>16.7</v>
      </c>
      <c r="S102" s="237">
        <v>125</v>
      </c>
      <c r="T102" s="57">
        <f t="shared" si="7"/>
        <v>27</v>
      </c>
      <c r="U102" s="237">
        <v>515</v>
      </c>
      <c r="V102" s="58">
        <f t="shared" si="6"/>
        <v>3476.25</v>
      </c>
      <c r="W102" s="237">
        <v>1</v>
      </c>
      <c r="X102" s="55" t="s">
        <v>39</v>
      </c>
      <c r="Y102" s="55" t="s">
        <v>84</v>
      </c>
      <c r="Z102" s="55" t="s">
        <v>90</v>
      </c>
      <c r="AA102" s="55" t="s">
        <v>78</v>
      </c>
      <c r="AB102" s="55" t="s">
        <v>310</v>
      </c>
    </row>
    <row r="103" spans="1:28" x14ac:dyDescent="0.15">
      <c r="A103" s="55" t="s">
        <v>41</v>
      </c>
      <c r="B103" s="237" t="s">
        <v>308</v>
      </c>
      <c r="C103" s="152">
        <v>2018</v>
      </c>
      <c r="D103" s="56" t="s">
        <v>329</v>
      </c>
      <c r="E103" s="237" t="s">
        <v>160</v>
      </c>
      <c r="F103" s="237" t="s">
        <v>285</v>
      </c>
      <c r="G103" s="55" t="s">
        <v>42</v>
      </c>
      <c r="H103" s="55" t="s">
        <v>157</v>
      </c>
      <c r="I103" s="55" t="s">
        <v>153</v>
      </c>
      <c r="J103" s="55" t="s">
        <v>38</v>
      </c>
      <c r="K103" s="55" t="s">
        <v>154</v>
      </c>
      <c r="L103" s="237">
        <v>3</v>
      </c>
      <c r="N103" s="237">
        <v>4</v>
      </c>
      <c r="O103" s="237">
        <v>0.3</v>
      </c>
      <c r="P103" s="237">
        <v>0.25</v>
      </c>
      <c r="Q103" s="57">
        <f t="shared" si="8"/>
        <v>0.27500000000000002</v>
      </c>
      <c r="R103" s="237">
        <v>16.100000000000001</v>
      </c>
      <c r="S103" s="237">
        <v>129</v>
      </c>
      <c r="T103" s="57">
        <f t="shared" si="7"/>
        <v>25</v>
      </c>
      <c r="U103" s="237">
        <v>515</v>
      </c>
      <c r="V103" s="58">
        <f t="shared" si="6"/>
        <v>3218.75</v>
      </c>
      <c r="W103" s="237">
        <v>1</v>
      </c>
      <c r="X103" s="55" t="s">
        <v>39</v>
      </c>
      <c r="Y103" s="55" t="s">
        <v>84</v>
      </c>
      <c r="Z103" s="55" t="s">
        <v>90</v>
      </c>
      <c r="AA103" s="55" t="s">
        <v>78</v>
      </c>
      <c r="AB103" s="55" t="s">
        <v>310</v>
      </c>
    </row>
    <row r="104" spans="1:28" x14ac:dyDescent="0.15">
      <c r="A104" s="55" t="s">
        <v>41</v>
      </c>
      <c r="B104" s="237" t="s">
        <v>308</v>
      </c>
      <c r="C104" s="152">
        <v>2018</v>
      </c>
      <c r="D104" s="56" t="s">
        <v>329</v>
      </c>
      <c r="E104" s="237" t="s">
        <v>160</v>
      </c>
      <c r="F104" s="237" t="s">
        <v>285</v>
      </c>
      <c r="G104" s="55" t="s">
        <v>42</v>
      </c>
      <c r="H104" s="55" t="s">
        <v>155</v>
      </c>
      <c r="I104" s="55" t="s">
        <v>153</v>
      </c>
      <c r="J104" s="55" t="s">
        <v>38</v>
      </c>
      <c r="K104" s="55" t="s">
        <v>154</v>
      </c>
      <c r="L104" s="237">
        <v>1</v>
      </c>
      <c r="N104" s="237">
        <v>1</v>
      </c>
      <c r="O104" s="55">
        <v>1.3</v>
      </c>
      <c r="P104" s="55">
        <v>1.2</v>
      </c>
      <c r="Q104" s="57">
        <f t="shared" si="8"/>
        <v>1.25</v>
      </c>
      <c r="R104" s="237">
        <v>15.2</v>
      </c>
      <c r="S104" s="55">
        <v>131</v>
      </c>
      <c r="T104" s="57">
        <f t="shared" si="7"/>
        <v>25</v>
      </c>
      <c r="U104" s="237">
        <v>137</v>
      </c>
      <c r="V104" s="58">
        <f t="shared" si="6"/>
        <v>3425</v>
      </c>
      <c r="W104" s="237">
        <v>1</v>
      </c>
      <c r="X104" s="55" t="s">
        <v>39</v>
      </c>
      <c r="Y104" s="55" t="s">
        <v>84</v>
      </c>
      <c r="Z104" s="55" t="s">
        <v>90</v>
      </c>
      <c r="AA104" s="55" t="s">
        <v>78</v>
      </c>
      <c r="AB104" s="55" t="s">
        <v>310</v>
      </c>
    </row>
    <row r="105" spans="1:28" x14ac:dyDescent="0.15">
      <c r="A105" s="55" t="s">
        <v>41</v>
      </c>
      <c r="B105" s="237" t="s">
        <v>308</v>
      </c>
      <c r="C105" s="152">
        <v>2018</v>
      </c>
      <c r="D105" s="56" t="s">
        <v>329</v>
      </c>
      <c r="E105" s="237" t="s">
        <v>160</v>
      </c>
      <c r="F105" s="237" t="s">
        <v>285</v>
      </c>
      <c r="G105" s="55" t="s">
        <v>42</v>
      </c>
      <c r="H105" s="55" t="s">
        <v>155</v>
      </c>
      <c r="I105" s="55" t="s">
        <v>153</v>
      </c>
      <c r="J105" s="55" t="s">
        <v>38</v>
      </c>
      <c r="K105" s="55" t="s">
        <v>154</v>
      </c>
      <c r="L105" s="237">
        <v>2</v>
      </c>
      <c r="N105" s="237">
        <v>1</v>
      </c>
      <c r="O105" s="55">
        <v>1.1000000000000001</v>
      </c>
      <c r="P105" s="55">
        <v>1</v>
      </c>
      <c r="Q105" s="57">
        <f t="shared" si="8"/>
        <v>1.05</v>
      </c>
      <c r="R105" s="55">
        <v>13.3</v>
      </c>
      <c r="S105" s="55">
        <v>127</v>
      </c>
      <c r="T105" s="57">
        <f t="shared" si="7"/>
        <v>27</v>
      </c>
      <c r="U105" s="237">
        <v>137</v>
      </c>
      <c r="V105" s="58">
        <f t="shared" si="6"/>
        <v>3699</v>
      </c>
      <c r="W105" s="237">
        <v>1</v>
      </c>
      <c r="X105" s="55" t="s">
        <v>39</v>
      </c>
      <c r="Y105" s="55" t="s">
        <v>84</v>
      </c>
      <c r="Z105" s="55" t="s">
        <v>90</v>
      </c>
      <c r="AA105" s="55" t="s">
        <v>78</v>
      </c>
      <c r="AB105" s="55" t="s">
        <v>310</v>
      </c>
    </row>
    <row r="106" spans="1:28" x14ac:dyDescent="0.15">
      <c r="A106" s="55" t="s">
        <v>41</v>
      </c>
      <c r="B106" s="237" t="s">
        <v>308</v>
      </c>
      <c r="C106" s="152">
        <v>2018</v>
      </c>
      <c r="D106" s="56" t="s">
        <v>329</v>
      </c>
      <c r="E106" s="237" t="s">
        <v>160</v>
      </c>
      <c r="F106" s="237" t="s">
        <v>285</v>
      </c>
      <c r="G106" s="55" t="s">
        <v>42</v>
      </c>
      <c r="H106" s="55" t="s">
        <v>155</v>
      </c>
      <c r="I106" s="55" t="s">
        <v>153</v>
      </c>
      <c r="J106" s="55" t="s">
        <v>38</v>
      </c>
      <c r="K106" s="55" t="s">
        <v>154</v>
      </c>
      <c r="L106" s="237">
        <v>3</v>
      </c>
      <c r="N106" s="237">
        <v>1</v>
      </c>
      <c r="O106" s="55">
        <v>1</v>
      </c>
      <c r="P106" s="55">
        <v>0.95</v>
      </c>
      <c r="Q106" s="57">
        <f t="shared" si="8"/>
        <v>0.97499999999999998</v>
      </c>
      <c r="R106" s="55">
        <v>14.7</v>
      </c>
      <c r="S106" s="55">
        <v>129</v>
      </c>
      <c r="T106" s="57">
        <f t="shared" si="7"/>
        <v>25</v>
      </c>
      <c r="U106" s="237">
        <v>137</v>
      </c>
      <c r="V106" s="58">
        <f t="shared" si="6"/>
        <v>3425</v>
      </c>
      <c r="W106" s="237">
        <v>1</v>
      </c>
      <c r="X106" s="55" t="s">
        <v>39</v>
      </c>
      <c r="Y106" s="55" t="s">
        <v>84</v>
      </c>
      <c r="Z106" s="55" t="s">
        <v>90</v>
      </c>
      <c r="AA106" s="55" t="s">
        <v>78</v>
      </c>
      <c r="AB106" s="55" t="s">
        <v>310</v>
      </c>
    </row>
    <row r="107" spans="1:28" x14ac:dyDescent="0.15">
      <c r="A107" s="55" t="s">
        <v>41</v>
      </c>
      <c r="B107" s="237" t="s">
        <v>308</v>
      </c>
      <c r="C107" s="152">
        <v>2018</v>
      </c>
      <c r="D107" s="56" t="s">
        <v>329</v>
      </c>
      <c r="E107" s="237" t="s">
        <v>160</v>
      </c>
      <c r="F107" s="237" t="s">
        <v>285</v>
      </c>
      <c r="G107" s="55" t="s">
        <v>42</v>
      </c>
      <c r="H107" s="55" t="s">
        <v>155</v>
      </c>
      <c r="I107" s="55" t="s">
        <v>153</v>
      </c>
      <c r="J107" s="55" t="s">
        <v>38</v>
      </c>
      <c r="K107" s="55" t="s">
        <v>154</v>
      </c>
      <c r="L107" s="237">
        <v>1</v>
      </c>
      <c r="N107" s="237">
        <v>4</v>
      </c>
      <c r="O107" s="55">
        <v>0.95</v>
      </c>
      <c r="P107" s="55">
        <v>1</v>
      </c>
      <c r="Q107" s="57">
        <f t="shared" si="8"/>
        <v>0.97499999999999998</v>
      </c>
      <c r="R107" s="237">
        <v>16.5</v>
      </c>
      <c r="S107" s="237">
        <v>125</v>
      </c>
      <c r="T107" s="57">
        <f t="shared" si="7"/>
        <v>27</v>
      </c>
      <c r="U107" s="237">
        <v>515</v>
      </c>
      <c r="V107" s="58">
        <f t="shared" si="6"/>
        <v>3476.25</v>
      </c>
      <c r="W107" s="237">
        <v>1</v>
      </c>
      <c r="X107" s="55" t="s">
        <v>39</v>
      </c>
      <c r="Y107" s="55" t="s">
        <v>84</v>
      </c>
      <c r="Z107" s="55" t="s">
        <v>90</v>
      </c>
      <c r="AA107" s="55" t="s">
        <v>78</v>
      </c>
      <c r="AB107" s="55" t="s">
        <v>310</v>
      </c>
    </row>
    <row r="108" spans="1:28" x14ac:dyDescent="0.15">
      <c r="A108" s="55" t="s">
        <v>41</v>
      </c>
      <c r="B108" s="237" t="s">
        <v>308</v>
      </c>
      <c r="C108" s="152">
        <v>2018</v>
      </c>
      <c r="D108" s="56" t="s">
        <v>329</v>
      </c>
      <c r="E108" s="237" t="s">
        <v>160</v>
      </c>
      <c r="F108" s="237" t="s">
        <v>285</v>
      </c>
      <c r="G108" s="55" t="s">
        <v>42</v>
      </c>
      <c r="H108" s="55" t="s">
        <v>155</v>
      </c>
      <c r="I108" s="55" t="s">
        <v>153</v>
      </c>
      <c r="J108" s="55" t="s">
        <v>38</v>
      </c>
      <c r="K108" s="55" t="s">
        <v>154</v>
      </c>
      <c r="L108" s="237">
        <v>2</v>
      </c>
      <c r="N108" s="237">
        <v>4</v>
      </c>
      <c r="O108" s="55">
        <v>0.7</v>
      </c>
      <c r="P108" s="55">
        <v>0.85</v>
      </c>
      <c r="Q108" s="57">
        <f t="shared" si="8"/>
        <v>0.77499999999999991</v>
      </c>
      <c r="R108" s="237">
        <v>15.1</v>
      </c>
      <c r="S108" s="237">
        <v>124</v>
      </c>
      <c r="T108" s="57">
        <f t="shared" si="7"/>
        <v>27</v>
      </c>
      <c r="U108" s="237">
        <v>515</v>
      </c>
      <c r="V108" s="58">
        <f t="shared" si="6"/>
        <v>3476.25</v>
      </c>
      <c r="W108" s="237">
        <v>1</v>
      </c>
      <c r="X108" s="55" t="s">
        <v>39</v>
      </c>
      <c r="Y108" s="55" t="s">
        <v>84</v>
      </c>
      <c r="Z108" s="55" t="s">
        <v>90</v>
      </c>
      <c r="AA108" s="55" t="s">
        <v>78</v>
      </c>
      <c r="AB108" s="55" t="s">
        <v>310</v>
      </c>
    </row>
    <row r="109" spans="1:28" x14ac:dyDescent="0.15">
      <c r="A109" s="55" t="s">
        <v>41</v>
      </c>
      <c r="B109" s="237" t="s">
        <v>308</v>
      </c>
      <c r="C109" s="152">
        <v>2018</v>
      </c>
      <c r="D109" s="56" t="s">
        <v>329</v>
      </c>
      <c r="E109" s="237" t="s">
        <v>160</v>
      </c>
      <c r="F109" s="237" t="s">
        <v>285</v>
      </c>
      <c r="G109" s="55" t="s">
        <v>42</v>
      </c>
      <c r="H109" s="55" t="s">
        <v>155</v>
      </c>
      <c r="I109" s="55" t="s">
        <v>153</v>
      </c>
      <c r="J109" s="55" t="s">
        <v>38</v>
      </c>
      <c r="K109" s="55" t="s">
        <v>154</v>
      </c>
      <c r="L109" s="237">
        <v>3</v>
      </c>
      <c r="N109" s="237">
        <v>4</v>
      </c>
      <c r="O109" s="55">
        <v>1.05</v>
      </c>
      <c r="P109" s="55">
        <v>1</v>
      </c>
      <c r="Q109" s="57">
        <f t="shared" si="8"/>
        <v>1.0249999999999999</v>
      </c>
      <c r="R109" s="237">
        <v>14.7</v>
      </c>
      <c r="S109" s="237">
        <v>131</v>
      </c>
      <c r="T109" s="57">
        <f t="shared" si="7"/>
        <v>25</v>
      </c>
      <c r="U109" s="237">
        <v>515</v>
      </c>
      <c r="V109" s="58">
        <f t="shared" si="6"/>
        <v>3218.75</v>
      </c>
      <c r="W109" s="237">
        <v>1</v>
      </c>
      <c r="X109" s="55" t="s">
        <v>39</v>
      </c>
      <c r="Y109" s="55" t="s">
        <v>84</v>
      </c>
      <c r="Z109" s="55" t="s">
        <v>90</v>
      </c>
      <c r="AA109" s="55" t="s">
        <v>78</v>
      </c>
      <c r="AB109" s="55" t="s">
        <v>310</v>
      </c>
    </row>
    <row r="110" spans="1:28" x14ac:dyDescent="0.15">
      <c r="A110" s="55" t="s">
        <v>41</v>
      </c>
      <c r="B110" s="237" t="s">
        <v>308</v>
      </c>
      <c r="C110" s="152">
        <v>2018</v>
      </c>
      <c r="D110" s="56" t="s">
        <v>329</v>
      </c>
      <c r="E110" s="237" t="s">
        <v>276</v>
      </c>
      <c r="F110" s="237" t="s">
        <v>281</v>
      </c>
      <c r="G110" s="55" t="s">
        <v>42</v>
      </c>
      <c r="H110" s="55" t="s">
        <v>155</v>
      </c>
      <c r="I110" s="55" t="s">
        <v>153</v>
      </c>
      <c r="J110" s="55" t="s">
        <v>38</v>
      </c>
      <c r="K110" s="55" t="s">
        <v>154</v>
      </c>
      <c r="L110" s="237">
        <v>1</v>
      </c>
      <c r="N110" s="237">
        <v>1</v>
      </c>
      <c r="O110" s="55">
        <v>1.2</v>
      </c>
      <c r="P110" s="55">
        <v>1.3</v>
      </c>
      <c r="Q110" s="57">
        <f t="shared" si="8"/>
        <v>1.25</v>
      </c>
      <c r="R110" s="237">
        <v>13</v>
      </c>
      <c r="S110" s="237">
        <v>118</v>
      </c>
      <c r="T110" s="57">
        <f t="shared" si="7"/>
        <v>30</v>
      </c>
      <c r="U110" s="237">
        <v>104</v>
      </c>
      <c r="V110" s="58">
        <f t="shared" si="6"/>
        <v>3120</v>
      </c>
      <c r="W110" s="237">
        <v>2</v>
      </c>
      <c r="X110" s="55" t="s">
        <v>46</v>
      </c>
      <c r="Y110" s="55" t="s">
        <v>84</v>
      </c>
      <c r="Z110" s="55" t="s">
        <v>90</v>
      </c>
      <c r="AA110" s="55" t="s">
        <v>50</v>
      </c>
      <c r="AB110" s="55" t="s">
        <v>310</v>
      </c>
    </row>
    <row r="111" spans="1:28" x14ac:dyDescent="0.15">
      <c r="A111" s="55" t="s">
        <v>41</v>
      </c>
      <c r="B111" s="237" t="s">
        <v>308</v>
      </c>
      <c r="C111" s="152">
        <v>2018</v>
      </c>
      <c r="D111" s="56" t="s">
        <v>329</v>
      </c>
      <c r="E111" s="237" t="s">
        <v>276</v>
      </c>
      <c r="F111" s="237" t="s">
        <v>281</v>
      </c>
      <c r="G111" s="55" t="s">
        <v>42</v>
      </c>
      <c r="H111" s="55" t="s">
        <v>155</v>
      </c>
      <c r="I111" s="55" t="s">
        <v>153</v>
      </c>
      <c r="J111" s="55" t="s">
        <v>38</v>
      </c>
      <c r="K111" s="55" t="s">
        <v>154</v>
      </c>
      <c r="L111" s="237">
        <v>2</v>
      </c>
      <c r="N111" s="237">
        <v>1</v>
      </c>
      <c r="O111" s="55">
        <v>0.95</v>
      </c>
      <c r="P111" s="55">
        <v>1</v>
      </c>
      <c r="Q111" s="57">
        <f t="shared" si="8"/>
        <v>0.97499999999999998</v>
      </c>
      <c r="R111" s="237">
        <v>12.9</v>
      </c>
      <c r="S111" s="237">
        <v>121</v>
      </c>
      <c r="T111" s="57">
        <f t="shared" si="7"/>
        <v>27</v>
      </c>
      <c r="U111" s="237">
        <v>104</v>
      </c>
      <c r="V111" s="58">
        <f t="shared" si="6"/>
        <v>2808</v>
      </c>
      <c r="W111" s="237">
        <v>2</v>
      </c>
      <c r="X111" s="55" t="s">
        <v>46</v>
      </c>
      <c r="Y111" s="55" t="s">
        <v>84</v>
      </c>
      <c r="Z111" s="55" t="s">
        <v>90</v>
      </c>
      <c r="AA111" s="55" t="s">
        <v>50</v>
      </c>
      <c r="AB111" s="55" t="s">
        <v>310</v>
      </c>
    </row>
    <row r="112" spans="1:28" x14ac:dyDescent="0.15">
      <c r="A112" s="55" t="s">
        <v>41</v>
      </c>
      <c r="B112" s="237" t="s">
        <v>308</v>
      </c>
      <c r="C112" s="152">
        <v>2018</v>
      </c>
      <c r="D112" s="56" t="s">
        <v>329</v>
      </c>
      <c r="E112" s="237" t="s">
        <v>276</v>
      </c>
      <c r="F112" s="237" t="s">
        <v>281</v>
      </c>
      <c r="G112" s="55" t="s">
        <v>42</v>
      </c>
      <c r="H112" s="55" t="s">
        <v>155</v>
      </c>
      <c r="I112" s="55" t="s">
        <v>153</v>
      </c>
      <c r="J112" s="55" t="s">
        <v>38</v>
      </c>
      <c r="K112" s="55" t="s">
        <v>154</v>
      </c>
      <c r="L112" s="237">
        <v>3</v>
      </c>
      <c r="N112" s="237">
        <v>1</v>
      </c>
      <c r="O112" s="55">
        <v>0.9</v>
      </c>
      <c r="P112" s="55">
        <v>1.05</v>
      </c>
      <c r="Q112" s="57">
        <f t="shared" si="8"/>
        <v>0.97500000000000009</v>
      </c>
      <c r="R112" s="237">
        <v>15.9</v>
      </c>
      <c r="S112" s="237">
        <v>120</v>
      </c>
      <c r="T112" s="57">
        <f t="shared" si="7"/>
        <v>30</v>
      </c>
      <c r="U112" s="237">
        <v>104</v>
      </c>
      <c r="V112" s="58">
        <f t="shared" si="6"/>
        <v>3120</v>
      </c>
      <c r="W112" s="237">
        <v>2</v>
      </c>
      <c r="X112" s="55" t="s">
        <v>46</v>
      </c>
      <c r="Y112" s="55" t="s">
        <v>84</v>
      </c>
      <c r="Z112" s="55" t="s">
        <v>90</v>
      </c>
      <c r="AA112" s="55" t="s">
        <v>50</v>
      </c>
      <c r="AB112" s="55" t="s">
        <v>310</v>
      </c>
    </row>
    <row r="113" spans="1:28" x14ac:dyDescent="0.15">
      <c r="A113" s="55" t="s">
        <v>41</v>
      </c>
      <c r="B113" s="237" t="s">
        <v>308</v>
      </c>
      <c r="C113" s="152">
        <v>2018</v>
      </c>
      <c r="D113" s="56" t="s">
        <v>329</v>
      </c>
      <c r="E113" s="237" t="s">
        <v>276</v>
      </c>
      <c r="F113" s="237" t="s">
        <v>281</v>
      </c>
      <c r="G113" s="55" t="s">
        <v>42</v>
      </c>
      <c r="H113" s="55" t="s">
        <v>155</v>
      </c>
      <c r="I113" s="55" t="s">
        <v>153</v>
      </c>
      <c r="J113" s="55" t="s">
        <v>38</v>
      </c>
      <c r="K113" s="55" t="s">
        <v>154</v>
      </c>
      <c r="L113" s="237">
        <v>1</v>
      </c>
      <c r="N113" s="237">
        <v>5</v>
      </c>
      <c r="O113" s="55">
        <v>1</v>
      </c>
      <c r="P113" s="55">
        <v>0.95</v>
      </c>
      <c r="Q113" s="57">
        <f t="shared" si="8"/>
        <v>0.97499999999999998</v>
      </c>
      <c r="R113" s="237">
        <v>14.1</v>
      </c>
      <c r="S113" s="55">
        <v>108</v>
      </c>
      <c r="T113" s="57">
        <f t="shared" si="7"/>
        <v>33</v>
      </c>
      <c r="U113" s="237">
        <v>320</v>
      </c>
      <c r="V113" s="58">
        <f t="shared" si="6"/>
        <v>2112</v>
      </c>
      <c r="W113" s="237">
        <v>3</v>
      </c>
      <c r="X113" s="55" t="s">
        <v>46</v>
      </c>
      <c r="Y113" s="55" t="s">
        <v>84</v>
      </c>
      <c r="Z113" s="55" t="s">
        <v>90</v>
      </c>
      <c r="AA113" s="55" t="s">
        <v>50</v>
      </c>
      <c r="AB113" s="55" t="s">
        <v>310</v>
      </c>
    </row>
    <row r="114" spans="1:28" x14ac:dyDescent="0.15">
      <c r="A114" s="55" t="s">
        <v>41</v>
      </c>
      <c r="B114" s="237" t="s">
        <v>308</v>
      </c>
      <c r="C114" s="152">
        <v>2018</v>
      </c>
      <c r="D114" s="56" t="s">
        <v>329</v>
      </c>
      <c r="E114" s="237" t="s">
        <v>276</v>
      </c>
      <c r="F114" s="237" t="s">
        <v>281</v>
      </c>
      <c r="G114" s="55" t="s">
        <v>42</v>
      </c>
      <c r="H114" s="55" t="s">
        <v>155</v>
      </c>
      <c r="I114" s="55" t="s">
        <v>153</v>
      </c>
      <c r="J114" s="55" t="s">
        <v>38</v>
      </c>
      <c r="K114" s="55" t="s">
        <v>154</v>
      </c>
      <c r="L114" s="237">
        <v>2</v>
      </c>
      <c r="N114" s="237">
        <v>5</v>
      </c>
      <c r="O114" s="55">
        <v>0.85</v>
      </c>
      <c r="P114" s="55">
        <v>1</v>
      </c>
      <c r="Q114" s="57">
        <f t="shared" si="8"/>
        <v>0.92500000000000004</v>
      </c>
      <c r="R114" s="237">
        <v>14.3</v>
      </c>
      <c r="S114" s="55">
        <v>105</v>
      </c>
      <c r="T114" s="57">
        <f t="shared" si="7"/>
        <v>33</v>
      </c>
      <c r="U114" s="237">
        <v>320</v>
      </c>
      <c r="V114" s="58">
        <f t="shared" si="6"/>
        <v>2112</v>
      </c>
      <c r="W114" s="237">
        <v>3</v>
      </c>
      <c r="X114" s="55" t="s">
        <v>46</v>
      </c>
      <c r="Y114" s="55" t="s">
        <v>84</v>
      </c>
      <c r="Z114" s="55" t="s">
        <v>90</v>
      </c>
      <c r="AA114" s="55" t="s">
        <v>50</v>
      </c>
      <c r="AB114" s="55" t="s">
        <v>310</v>
      </c>
    </row>
    <row r="115" spans="1:28" x14ac:dyDescent="0.15">
      <c r="A115" s="55" t="s">
        <v>41</v>
      </c>
      <c r="B115" s="237" t="s">
        <v>308</v>
      </c>
      <c r="C115" s="152">
        <v>2018</v>
      </c>
      <c r="D115" s="56" t="s">
        <v>329</v>
      </c>
      <c r="E115" s="237" t="s">
        <v>276</v>
      </c>
      <c r="F115" s="237" t="s">
        <v>281</v>
      </c>
      <c r="G115" s="55" t="s">
        <v>42</v>
      </c>
      <c r="H115" s="55" t="s">
        <v>155</v>
      </c>
      <c r="I115" s="55" t="s">
        <v>153</v>
      </c>
      <c r="J115" s="55" t="s">
        <v>38</v>
      </c>
      <c r="K115" s="55" t="s">
        <v>154</v>
      </c>
      <c r="L115" s="237">
        <v>3</v>
      </c>
      <c r="N115" s="237">
        <v>5</v>
      </c>
      <c r="O115" s="55">
        <v>0.95</v>
      </c>
      <c r="P115" s="55">
        <v>0.95</v>
      </c>
      <c r="Q115" s="57">
        <f t="shared" si="8"/>
        <v>0.95</v>
      </c>
      <c r="R115" s="237">
        <v>15.1</v>
      </c>
      <c r="S115" s="55">
        <v>110</v>
      </c>
      <c r="T115" s="57">
        <f t="shared" si="7"/>
        <v>33</v>
      </c>
      <c r="U115" s="237">
        <v>320</v>
      </c>
      <c r="V115" s="58">
        <f t="shared" si="6"/>
        <v>2112</v>
      </c>
      <c r="W115" s="237">
        <v>3</v>
      </c>
      <c r="X115" s="55" t="s">
        <v>46</v>
      </c>
      <c r="Y115" s="55" t="s">
        <v>84</v>
      </c>
      <c r="Z115" s="55" t="s">
        <v>90</v>
      </c>
      <c r="AA115" s="55" t="s">
        <v>50</v>
      </c>
      <c r="AB115" s="55" t="s">
        <v>310</v>
      </c>
    </row>
  </sheetData>
  <autoFilter ref="A1:BA115"/>
  <dataConsolidate/>
  <phoneticPr fontId="3"/>
  <dataValidations count="13">
    <dataValidation operator="equal" allowBlank="1" showInputMessage="1" showErrorMessage="1" sqref="B2:B115"/>
    <dataValidation type="decimal" allowBlank="1" showInputMessage="1" showErrorMessage="1" error="硬度を正しく入力して下さい。" sqref="O2:P298">
      <formula1>0</formula1>
      <formula2>7</formula2>
    </dataValidation>
    <dataValidation type="list" allowBlank="1" showInputMessage="1" showErrorMessage="1" sqref="Y1:AA1048576">
      <formula1>$AV$2:$AV$21</formula1>
    </dataValidation>
    <dataValidation type="list" allowBlank="1" showInputMessage="1" showErrorMessage="1" sqref="F1:F1048576">
      <formula1>$AH$2:$AH$11</formula1>
    </dataValidation>
    <dataValidation type="list" allowBlank="1" showInputMessage="1" showErrorMessage="1" sqref="E1:E1048576">
      <formula1>$AG$2:$AG$11</formula1>
    </dataValidation>
    <dataValidation type="list" allowBlank="1" showInputMessage="1" showErrorMessage="1" sqref="K2:K115">
      <formula1>$AR$2:$AR$23</formula1>
    </dataValidation>
    <dataValidation type="list" allowBlank="1" showInputMessage="1" showErrorMessage="1" sqref="J2:J298">
      <formula1>$AP$2:$AP$19</formula1>
    </dataValidation>
    <dataValidation type="list" allowBlank="1" showInputMessage="1" showErrorMessage="1" sqref="A2:A298">
      <formula1>$AE$2:$AE$16</formula1>
    </dataValidation>
    <dataValidation type="list" allowBlank="1" showInputMessage="1" showErrorMessage="1" sqref="X2:X298">
      <formula1>$AT$2:$AT$3</formula1>
    </dataValidation>
    <dataValidation type="list" allowBlank="1" showInputMessage="1" showErrorMessage="1" sqref="I2:I298">
      <formula1>$AN$5:$AN$6</formula1>
    </dataValidation>
    <dataValidation type="list" allowBlank="1" showInputMessage="1" showErrorMessage="1" sqref="G2:G298">
      <formula1>$AJ$2:$AJ$4</formula1>
    </dataValidation>
    <dataValidation type="list" allowBlank="1" showInputMessage="1" showErrorMessage="1" sqref="H2:H298">
      <formula1>$AL$2:$AL$8</formula1>
    </dataValidation>
    <dataValidation type="list" allowBlank="1" showInputMessage="1" showErrorMessage="1" sqref="K116:K298">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70" zoomScaleNormal="70" workbookViewId="0">
      <selection activeCell="AG28" sqref="AG28"/>
    </sheetView>
  </sheetViews>
  <sheetFormatPr defaultRowHeight="13.5" x14ac:dyDescent="0.15"/>
  <cols>
    <col min="1" max="1" width="9" style="208"/>
    <col min="2" max="2" width="9" style="216"/>
    <col min="3" max="3" width="9" style="208"/>
    <col min="4" max="4" width="10.5" style="208" bestFit="1" customWidth="1"/>
    <col min="5" max="13" width="9" style="208"/>
    <col min="14" max="14" width="9.5" style="208" bestFit="1" customWidth="1"/>
    <col min="15" max="16" width="9" style="208"/>
    <col min="17" max="17" width="9" style="217"/>
    <col min="18" max="19" width="9" style="208"/>
    <col min="20" max="20" width="9" style="217"/>
    <col min="21" max="21" width="9" style="208"/>
    <col min="22" max="22" width="9" style="217"/>
    <col min="23" max="27" width="9" style="208"/>
    <col min="28" max="28" width="9" style="216"/>
    <col min="29" max="32" width="9" style="208"/>
    <col min="33" max="33" width="15.875" style="208" bestFit="1" customWidth="1"/>
    <col min="34" max="34" width="11.375" style="208" bestFit="1" customWidth="1"/>
    <col min="35" max="259" width="9" style="208"/>
    <col min="260" max="260" width="10.5" style="208" bestFit="1" customWidth="1"/>
    <col min="261" max="269" width="9" style="208"/>
    <col min="270" max="270" width="9.5" style="208" bestFit="1" customWidth="1"/>
    <col min="271" max="288" width="9" style="208"/>
    <col min="289" max="289" width="15.875" style="208" bestFit="1" customWidth="1"/>
    <col min="290" max="290" width="11.375" style="208" bestFit="1" customWidth="1"/>
    <col min="291" max="515" width="9" style="208"/>
    <col min="516" max="516" width="10.5" style="208" bestFit="1" customWidth="1"/>
    <col min="517" max="525" width="9" style="208"/>
    <col min="526" max="526" width="9.5" style="208" bestFit="1" customWidth="1"/>
    <col min="527" max="544" width="9" style="208"/>
    <col min="545" max="545" width="15.875" style="208" bestFit="1" customWidth="1"/>
    <col min="546" max="546" width="11.375" style="208" bestFit="1" customWidth="1"/>
    <col min="547" max="771" width="9" style="208"/>
    <col min="772" max="772" width="10.5" style="208" bestFit="1" customWidth="1"/>
    <col min="773" max="781" width="9" style="208"/>
    <col min="782" max="782" width="9.5" style="208" bestFit="1" customWidth="1"/>
    <col min="783" max="800" width="9" style="208"/>
    <col min="801" max="801" width="15.875" style="208" bestFit="1" customWidth="1"/>
    <col min="802" max="802" width="11.375" style="208" bestFit="1" customWidth="1"/>
    <col min="803" max="1027" width="9" style="208"/>
    <col min="1028" max="1028" width="10.5" style="208" bestFit="1" customWidth="1"/>
    <col min="1029" max="1037" width="9" style="208"/>
    <col min="1038" max="1038" width="9.5" style="208" bestFit="1" customWidth="1"/>
    <col min="1039" max="1056" width="9" style="208"/>
    <col min="1057" max="1057" width="15.875" style="208" bestFit="1" customWidth="1"/>
    <col min="1058" max="1058" width="11.375" style="208" bestFit="1" customWidth="1"/>
    <col min="1059" max="1283" width="9" style="208"/>
    <col min="1284" max="1284" width="10.5" style="208" bestFit="1" customWidth="1"/>
    <col min="1285" max="1293" width="9" style="208"/>
    <col min="1294" max="1294" width="9.5" style="208" bestFit="1" customWidth="1"/>
    <col min="1295" max="1312" width="9" style="208"/>
    <col min="1313" max="1313" width="15.875" style="208" bestFit="1" customWidth="1"/>
    <col min="1314" max="1314" width="11.375" style="208" bestFit="1" customWidth="1"/>
    <col min="1315" max="1539" width="9" style="208"/>
    <col min="1540" max="1540" width="10.5" style="208" bestFit="1" customWidth="1"/>
    <col min="1541" max="1549" width="9" style="208"/>
    <col min="1550" max="1550" width="9.5" style="208" bestFit="1" customWidth="1"/>
    <col min="1551" max="1568" width="9" style="208"/>
    <col min="1569" max="1569" width="15.875" style="208" bestFit="1" customWidth="1"/>
    <col min="1570" max="1570" width="11.375" style="208" bestFit="1" customWidth="1"/>
    <col min="1571" max="1795" width="9" style="208"/>
    <col min="1796" max="1796" width="10.5" style="208" bestFit="1" customWidth="1"/>
    <col min="1797" max="1805" width="9" style="208"/>
    <col min="1806" max="1806" width="9.5" style="208" bestFit="1" customWidth="1"/>
    <col min="1807" max="1824" width="9" style="208"/>
    <col min="1825" max="1825" width="15.875" style="208" bestFit="1" customWidth="1"/>
    <col min="1826" max="1826" width="11.375" style="208" bestFit="1" customWidth="1"/>
    <col min="1827" max="2051" width="9" style="208"/>
    <col min="2052" max="2052" width="10.5" style="208" bestFit="1" customWidth="1"/>
    <col min="2053" max="2061" width="9" style="208"/>
    <col min="2062" max="2062" width="9.5" style="208" bestFit="1" customWidth="1"/>
    <col min="2063" max="2080" width="9" style="208"/>
    <col min="2081" max="2081" width="15.875" style="208" bestFit="1" customWidth="1"/>
    <col min="2082" max="2082" width="11.375" style="208" bestFit="1" customWidth="1"/>
    <col min="2083" max="2307" width="9" style="208"/>
    <col min="2308" max="2308" width="10.5" style="208" bestFit="1" customWidth="1"/>
    <col min="2309" max="2317" width="9" style="208"/>
    <col min="2318" max="2318" width="9.5" style="208" bestFit="1" customWidth="1"/>
    <col min="2319" max="2336" width="9" style="208"/>
    <col min="2337" max="2337" width="15.875" style="208" bestFit="1" customWidth="1"/>
    <col min="2338" max="2338" width="11.375" style="208" bestFit="1" customWidth="1"/>
    <col min="2339" max="2563" width="9" style="208"/>
    <col min="2564" max="2564" width="10.5" style="208" bestFit="1" customWidth="1"/>
    <col min="2565" max="2573" width="9" style="208"/>
    <col min="2574" max="2574" width="9.5" style="208" bestFit="1" customWidth="1"/>
    <col min="2575" max="2592" width="9" style="208"/>
    <col min="2593" max="2593" width="15.875" style="208" bestFit="1" customWidth="1"/>
    <col min="2594" max="2594" width="11.375" style="208" bestFit="1" customWidth="1"/>
    <col min="2595" max="2819" width="9" style="208"/>
    <col min="2820" max="2820" width="10.5" style="208" bestFit="1" customWidth="1"/>
    <col min="2821" max="2829" width="9" style="208"/>
    <col min="2830" max="2830" width="9.5" style="208" bestFit="1" customWidth="1"/>
    <col min="2831" max="2848" width="9" style="208"/>
    <col min="2849" max="2849" width="15.875" style="208" bestFit="1" customWidth="1"/>
    <col min="2850" max="2850" width="11.375" style="208" bestFit="1" customWidth="1"/>
    <col min="2851" max="3075" width="9" style="208"/>
    <col min="3076" max="3076" width="10.5" style="208" bestFit="1" customWidth="1"/>
    <col min="3077" max="3085" width="9" style="208"/>
    <col min="3086" max="3086" width="9.5" style="208" bestFit="1" customWidth="1"/>
    <col min="3087" max="3104" width="9" style="208"/>
    <col min="3105" max="3105" width="15.875" style="208" bestFit="1" customWidth="1"/>
    <col min="3106" max="3106" width="11.375" style="208" bestFit="1" customWidth="1"/>
    <col min="3107" max="3331" width="9" style="208"/>
    <col min="3332" max="3332" width="10.5" style="208" bestFit="1" customWidth="1"/>
    <col min="3333" max="3341" width="9" style="208"/>
    <col min="3342" max="3342" width="9.5" style="208" bestFit="1" customWidth="1"/>
    <col min="3343" max="3360" width="9" style="208"/>
    <col min="3361" max="3361" width="15.875" style="208" bestFit="1" customWidth="1"/>
    <col min="3362" max="3362" width="11.375" style="208" bestFit="1" customWidth="1"/>
    <col min="3363" max="3587" width="9" style="208"/>
    <col min="3588" max="3588" width="10.5" style="208" bestFit="1" customWidth="1"/>
    <col min="3589" max="3597" width="9" style="208"/>
    <col min="3598" max="3598" width="9.5" style="208" bestFit="1" customWidth="1"/>
    <col min="3599" max="3616" width="9" style="208"/>
    <col min="3617" max="3617" width="15.875" style="208" bestFit="1" customWidth="1"/>
    <col min="3618" max="3618" width="11.375" style="208" bestFit="1" customWidth="1"/>
    <col min="3619" max="3843" width="9" style="208"/>
    <col min="3844" max="3844" width="10.5" style="208" bestFit="1" customWidth="1"/>
    <col min="3845" max="3853" width="9" style="208"/>
    <col min="3854" max="3854" width="9.5" style="208" bestFit="1" customWidth="1"/>
    <col min="3855" max="3872" width="9" style="208"/>
    <col min="3873" max="3873" width="15.875" style="208" bestFit="1" customWidth="1"/>
    <col min="3874" max="3874" width="11.375" style="208" bestFit="1" customWidth="1"/>
    <col min="3875" max="4099" width="9" style="208"/>
    <col min="4100" max="4100" width="10.5" style="208" bestFit="1" customWidth="1"/>
    <col min="4101" max="4109" width="9" style="208"/>
    <col min="4110" max="4110" width="9.5" style="208" bestFit="1" customWidth="1"/>
    <col min="4111" max="4128" width="9" style="208"/>
    <col min="4129" max="4129" width="15.875" style="208" bestFit="1" customWidth="1"/>
    <col min="4130" max="4130" width="11.375" style="208" bestFit="1" customWidth="1"/>
    <col min="4131" max="4355" width="9" style="208"/>
    <col min="4356" max="4356" width="10.5" style="208" bestFit="1" customWidth="1"/>
    <col min="4357" max="4365" width="9" style="208"/>
    <col min="4366" max="4366" width="9.5" style="208" bestFit="1" customWidth="1"/>
    <col min="4367" max="4384" width="9" style="208"/>
    <col min="4385" max="4385" width="15.875" style="208" bestFit="1" customWidth="1"/>
    <col min="4386" max="4386" width="11.375" style="208" bestFit="1" customWidth="1"/>
    <col min="4387" max="4611" width="9" style="208"/>
    <col min="4612" max="4612" width="10.5" style="208" bestFit="1" customWidth="1"/>
    <col min="4613" max="4621" width="9" style="208"/>
    <col min="4622" max="4622" width="9.5" style="208" bestFit="1" customWidth="1"/>
    <col min="4623" max="4640" width="9" style="208"/>
    <col min="4641" max="4641" width="15.875" style="208" bestFit="1" customWidth="1"/>
    <col min="4642" max="4642" width="11.375" style="208" bestFit="1" customWidth="1"/>
    <col min="4643" max="4867" width="9" style="208"/>
    <col min="4868" max="4868" width="10.5" style="208" bestFit="1" customWidth="1"/>
    <col min="4869" max="4877" width="9" style="208"/>
    <col min="4878" max="4878" width="9.5" style="208" bestFit="1" customWidth="1"/>
    <col min="4879" max="4896" width="9" style="208"/>
    <col min="4897" max="4897" width="15.875" style="208" bestFit="1" customWidth="1"/>
    <col min="4898" max="4898" width="11.375" style="208" bestFit="1" customWidth="1"/>
    <col min="4899" max="5123" width="9" style="208"/>
    <col min="5124" max="5124" width="10.5" style="208" bestFit="1" customWidth="1"/>
    <col min="5125" max="5133" width="9" style="208"/>
    <col min="5134" max="5134" width="9.5" style="208" bestFit="1" customWidth="1"/>
    <col min="5135" max="5152" width="9" style="208"/>
    <col min="5153" max="5153" width="15.875" style="208" bestFit="1" customWidth="1"/>
    <col min="5154" max="5154" width="11.375" style="208" bestFit="1" customWidth="1"/>
    <col min="5155" max="5379" width="9" style="208"/>
    <col min="5380" max="5380" width="10.5" style="208" bestFit="1" customWidth="1"/>
    <col min="5381" max="5389" width="9" style="208"/>
    <col min="5390" max="5390" width="9.5" style="208" bestFit="1" customWidth="1"/>
    <col min="5391" max="5408" width="9" style="208"/>
    <col min="5409" max="5409" width="15.875" style="208" bestFit="1" customWidth="1"/>
    <col min="5410" max="5410" width="11.375" style="208" bestFit="1" customWidth="1"/>
    <col min="5411" max="5635" width="9" style="208"/>
    <col min="5636" max="5636" width="10.5" style="208" bestFit="1" customWidth="1"/>
    <col min="5637" max="5645" width="9" style="208"/>
    <col min="5646" max="5646" width="9.5" style="208" bestFit="1" customWidth="1"/>
    <col min="5647" max="5664" width="9" style="208"/>
    <col min="5665" max="5665" width="15.875" style="208" bestFit="1" customWidth="1"/>
    <col min="5666" max="5666" width="11.375" style="208" bestFit="1" customWidth="1"/>
    <col min="5667" max="5891" width="9" style="208"/>
    <col min="5892" max="5892" width="10.5" style="208" bestFit="1" customWidth="1"/>
    <col min="5893" max="5901" width="9" style="208"/>
    <col min="5902" max="5902" width="9.5" style="208" bestFit="1" customWidth="1"/>
    <col min="5903" max="5920" width="9" style="208"/>
    <col min="5921" max="5921" width="15.875" style="208" bestFit="1" customWidth="1"/>
    <col min="5922" max="5922" width="11.375" style="208" bestFit="1" customWidth="1"/>
    <col min="5923" max="6147" width="9" style="208"/>
    <col min="6148" max="6148" width="10.5" style="208" bestFit="1" customWidth="1"/>
    <col min="6149" max="6157" width="9" style="208"/>
    <col min="6158" max="6158" width="9.5" style="208" bestFit="1" customWidth="1"/>
    <col min="6159" max="6176" width="9" style="208"/>
    <col min="6177" max="6177" width="15.875" style="208" bestFit="1" customWidth="1"/>
    <col min="6178" max="6178" width="11.375" style="208" bestFit="1" customWidth="1"/>
    <col min="6179" max="6403" width="9" style="208"/>
    <col min="6404" max="6404" width="10.5" style="208" bestFit="1" customWidth="1"/>
    <col min="6405" max="6413" width="9" style="208"/>
    <col min="6414" max="6414" width="9.5" style="208" bestFit="1" customWidth="1"/>
    <col min="6415" max="6432" width="9" style="208"/>
    <col min="6433" max="6433" width="15.875" style="208" bestFit="1" customWidth="1"/>
    <col min="6434" max="6434" width="11.375" style="208" bestFit="1" customWidth="1"/>
    <col min="6435" max="6659" width="9" style="208"/>
    <col min="6660" max="6660" width="10.5" style="208" bestFit="1" customWidth="1"/>
    <col min="6661" max="6669" width="9" style="208"/>
    <col min="6670" max="6670" width="9.5" style="208" bestFit="1" customWidth="1"/>
    <col min="6671" max="6688" width="9" style="208"/>
    <col min="6689" max="6689" width="15.875" style="208" bestFit="1" customWidth="1"/>
    <col min="6690" max="6690" width="11.375" style="208" bestFit="1" customWidth="1"/>
    <col min="6691" max="6915" width="9" style="208"/>
    <col min="6916" max="6916" width="10.5" style="208" bestFit="1" customWidth="1"/>
    <col min="6917" max="6925" width="9" style="208"/>
    <col min="6926" max="6926" width="9.5" style="208" bestFit="1" customWidth="1"/>
    <col min="6927" max="6944" width="9" style="208"/>
    <col min="6945" max="6945" width="15.875" style="208" bestFit="1" customWidth="1"/>
    <col min="6946" max="6946" width="11.375" style="208" bestFit="1" customWidth="1"/>
    <col min="6947" max="7171" width="9" style="208"/>
    <col min="7172" max="7172" width="10.5" style="208" bestFit="1" customWidth="1"/>
    <col min="7173" max="7181" width="9" style="208"/>
    <col min="7182" max="7182" width="9.5" style="208" bestFit="1" customWidth="1"/>
    <col min="7183" max="7200" width="9" style="208"/>
    <col min="7201" max="7201" width="15.875" style="208" bestFit="1" customWidth="1"/>
    <col min="7202" max="7202" width="11.375" style="208" bestFit="1" customWidth="1"/>
    <col min="7203" max="7427" width="9" style="208"/>
    <col min="7428" max="7428" width="10.5" style="208" bestFit="1" customWidth="1"/>
    <col min="7429" max="7437" width="9" style="208"/>
    <col min="7438" max="7438" width="9.5" style="208" bestFit="1" customWidth="1"/>
    <col min="7439" max="7456" width="9" style="208"/>
    <col min="7457" max="7457" width="15.875" style="208" bestFit="1" customWidth="1"/>
    <col min="7458" max="7458" width="11.375" style="208" bestFit="1" customWidth="1"/>
    <col min="7459" max="7683" width="9" style="208"/>
    <col min="7684" max="7684" width="10.5" style="208" bestFit="1" customWidth="1"/>
    <col min="7685" max="7693" width="9" style="208"/>
    <col min="7694" max="7694" width="9.5" style="208" bestFit="1" customWidth="1"/>
    <col min="7695" max="7712" width="9" style="208"/>
    <col min="7713" max="7713" width="15.875" style="208" bestFit="1" customWidth="1"/>
    <col min="7714" max="7714" width="11.375" style="208" bestFit="1" customWidth="1"/>
    <col min="7715" max="7939" width="9" style="208"/>
    <col min="7940" max="7940" width="10.5" style="208" bestFit="1" customWidth="1"/>
    <col min="7941" max="7949" width="9" style="208"/>
    <col min="7950" max="7950" width="9.5" style="208" bestFit="1" customWidth="1"/>
    <col min="7951" max="7968" width="9" style="208"/>
    <col min="7969" max="7969" width="15.875" style="208" bestFit="1" customWidth="1"/>
    <col min="7970" max="7970" width="11.375" style="208" bestFit="1" customWidth="1"/>
    <col min="7971" max="8195" width="9" style="208"/>
    <col min="8196" max="8196" width="10.5" style="208" bestFit="1" customWidth="1"/>
    <col min="8197" max="8205" width="9" style="208"/>
    <col min="8206" max="8206" width="9.5" style="208" bestFit="1" customWidth="1"/>
    <col min="8207" max="8224" width="9" style="208"/>
    <col min="8225" max="8225" width="15.875" style="208" bestFit="1" customWidth="1"/>
    <col min="8226" max="8226" width="11.375" style="208" bestFit="1" customWidth="1"/>
    <col min="8227" max="8451" width="9" style="208"/>
    <col min="8452" max="8452" width="10.5" style="208" bestFit="1" customWidth="1"/>
    <col min="8453" max="8461" width="9" style="208"/>
    <col min="8462" max="8462" width="9.5" style="208" bestFit="1" customWidth="1"/>
    <col min="8463" max="8480" width="9" style="208"/>
    <col min="8481" max="8481" width="15.875" style="208" bestFit="1" customWidth="1"/>
    <col min="8482" max="8482" width="11.375" style="208" bestFit="1" customWidth="1"/>
    <col min="8483" max="8707" width="9" style="208"/>
    <col min="8708" max="8708" width="10.5" style="208" bestFit="1" customWidth="1"/>
    <col min="8709" max="8717" width="9" style="208"/>
    <col min="8718" max="8718" width="9.5" style="208" bestFit="1" customWidth="1"/>
    <col min="8719" max="8736" width="9" style="208"/>
    <col min="8737" max="8737" width="15.875" style="208" bestFit="1" customWidth="1"/>
    <col min="8738" max="8738" width="11.375" style="208" bestFit="1" customWidth="1"/>
    <col min="8739" max="8963" width="9" style="208"/>
    <col min="8964" max="8964" width="10.5" style="208" bestFit="1" customWidth="1"/>
    <col min="8965" max="8973" width="9" style="208"/>
    <col min="8974" max="8974" width="9.5" style="208" bestFit="1" customWidth="1"/>
    <col min="8975" max="8992" width="9" style="208"/>
    <col min="8993" max="8993" width="15.875" style="208" bestFit="1" customWidth="1"/>
    <col min="8994" max="8994" width="11.375" style="208" bestFit="1" customWidth="1"/>
    <col min="8995" max="9219" width="9" style="208"/>
    <col min="9220" max="9220" width="10.5" style="208" bestFit="1" customWidth="1"/>
    <col min="9221" max="9229" width="9" style="208"/>
    <col min="9230" max="9230" width="9.5" style="208" bestFit="1" customWidth="1"/>
    <col min="9231" max="9248" width="9" style="208"/>
    <col min="9249" max="9249" width="15.875" style="208" bestFit="1" customWidth="1"/>
    <col min="9250" max="9250" width="11.375" style="208" bestFit="1" customWidth="1"/>
    <col min="9251" max="9475" width="9" style="208"/>
    <col min="9476" max="9476" width="10.5" style="208" bestFit="1" customWidth="1"/>
    <col min="9477" max="9485" width="9" style="208"/>
    <col min="9486" max="9486" width="9.5" style="208" bestFit="1" customWidth="1"/>
    <col min="9487" max="9504" width="9" style="208"/>
    <col min="9505" max="9505" width="15.875" style="208" bestFit="1" customWidth="1"/>
    <col min="9506" max="9506" width="11.375" style="208" bestFit="1" customWidth="1"/>
    <col min="9507" max="9731" width="9" style="208"/>
    <col min="9732" max="9732" width="10.5" style="208" bestFit="1" customWidth="1"/>
    <col min="9733" max="9741" width="9" style="208"/>
    <col min="9742" max="9742" width="9.5" style="208" bestFit="1" customWidth="1"/>
    <col min="9743" max="9760" width="9" style="208"/>
    <col min="9761" max="9761" width="15.875" style="208" bestFit="1" customWidth="1"/>
    <col min="9762" max="9762" width="11.375" style="208" bestFit="1" customWidth="1"/>
    <col min="9763" max="9987" width="9" style="208"/>
    <col min="9988" max="9988" width="10.5" style="208" bestFit="1" customWidth="1"/>
    <col min="9989" max="9997" width="9" style="208"/>
    <col min="9998" max="9998" width="9.5" style="208" bestFit="1" customWidth="1"/>
    <col min="9999" max="10016" width="9" style="208"/>
    <col min="10017" max="10017" width="15.875" style="208" bestFit="1" customWidth="1"/>
    <col min="10018" max="10018" width="11.375" style="208" bestFit="1" customWidth="1"/>
    <col min="10019" max="10243" width="9" style="208"/>
    <col min="10244" max="10244" width="10.5" style="208" bestFit="1" customWidth="1"/>
    <col min="10245" max="10253" width="9" style="208"/>
    <col min="10254" max="10254" width="9.5" style="208" bestFit="1" customWidth="1"/>
    <col min="10255" max="10272" width="9" style="208"/>
    <col min="10273" max="10273" width="15.875" style="208" bestFit="1" customWidth="1"/>
    <col min="10274" max="10274" width="11.375" style="208" bestFit="1" customWidth="1"/>
    <col min="10275" max="10499" width="9" style="208"/>
    <col min="10500" max="10500" width="10.5" style="208" bestFit="1" customWidth="1"/>
    <col min="10501" max="10509" width="9" style="208"/>
    <col min="10510" max="10510" width="9.5" style="208" bestFit="1" customWidth="1"/>
    <col min="10511" max="10528" width="9" style="208"/>
    <col min="10529" max="10529" width="15.875" style="208" bestFit="1" customWidth="1"/>
    <col min="10530" max="10530" width="11.375" style="208" bestFit="1" customWidth="1"/>
    <col min="10531" max="10755" width="9" style="208"/>
    <col min="10756" max="10756" width="10.5" style="208" bestFit="1" customWidth="1"/>
    <col min="10757" max="10765" width="9" style="208"/>
    <col min="10766" max="10766" width="9.5" style="208" bestFit="1" customWidth="1"/>
    <col min="10767" max="10784" width="9" style="208"/>
    <col min="10785" max="10785" width="15.875" style="208" bestFit="1" customWidth="1"/>
    <col min="10786" max="10786" width="11.375" style="208" bestFit="1" customWidth="1"/>
    <col min="10787" max="11011" width="9" style="208"/>
    <col min="11012" max="11012" width="10.5" style="208" bestFit="1" customWidth="1"/>
    <col min="11013" max="11021" width="9" style="208"/>
    <col min="11022" max="11022" width="9.5" style="208" bestFit="1" customWidth="1"/>
    <col min="11023" max="11040" width="9" style="208"/>
    <col min="11041" max="11041" width="15.875" style="208" bestFit="1" customWidth="1"/>
    <col min="11042" max="11042" width="11.375" style="208" bestFit="1" customWidth="1"/>
    <col min="11043" max="11267" width="9" style="208"/>
    <col min="11268" max="11268" width="10.5" style="208" bestFit="1" customWidth="1"/>
    <col min="11269" max="11277" width="9" style="208"/>
    <col min="11278" max="11278" width="9.5" style="208" bestFit="1" customWidth="1"/>
    <col min="11279" max="11296" width="9" style="208"/>
    <col min="11297" max="11297" width="15.875" style="208" bestFit="1" customWidth="1"/>
    <col min="11298" max="11298" width="11.375" style="208" bestFit="1" customWidth="1"/>
    <col min="11299" max="11523" width="9" style="208"/>
    <col min="11524" max="11524" width="10.5" style="208" bestFit="1" customWidth="1"/>
    <col min="11525" max="11533" width="9" style="208"/>
    <col min="11534" max="11534" width="9.5" style="208" bestFit="1" customWidth="1"/>
    <col min="11535" max="11552" width="9" style="208"/>
    <col min="11553" max="11553" width="15.875" style="208" bestFit="1" customWidth="1"/>
    <col min="11554" max="11554" width="11.375" style="208" bestFit="1" customWidth="1"/>
    <col min="11555" max="11779" width="9" style="208"/>
    <col min="11780" max="11780" width="10.5" style="208" bestFit="1" customWidth="1"/>
    <col min="11781" max="11789" width="9" style="208"/>
    <col min="11790" max="11790" width="9.5" style="208" bestFit="1" customWidth="1"/>
    <col min="11791" max="11808" width="9" style="208"/>
    <col min="11809" max="11809" width="15.875" style="208" bestFit="1" customWidth="1"/>
    <col min="11810" max="11810" width="11.375" style="208" bestFit="1" customWidth="1"/>
    <col min="11811" max="12035" width="9" style="208"/>
    <col min="12036" max="12036" width="10.5" style="208" bestFit="1" customWidth="1"/>
    <col min="12037" max="12045" width="9" style="208"/>
    <col min="12046" max="12046" width="9.5" style="208" bestFit="1" customWidth="1"/>
    <col min="12047" max="12064" width="9" style="208"/>
    <col min="12065" max="12065" width="15.875" style="208" bestFit="1" customWidth="1"/>
    <col min="12066" max="12066" width="11.375" style="208" bestFit="1" customWidth="1"/>
    <col min="12067" max="12291" width="9" style="208"/>
    <col min="12292" max="12292" width="10.5" style="208" bestFit="1" customWidth="1"/>
    <col min="12293" max="12301" width="9" style="208"/>
    <col min="12302" max="12302" width="9.5" style="208" bestFit="1" customWidth="1"/>
    <col min="12303" max="12320" width="9" style="208"/>
    <col min="12321" max="12321" width="15.875" style="208" bestFit="1" customWidth="1"/>
    <col min="12322" max="12322" width="11.375" style="208" bestFit="1" customWidth="1"/>
    <col min="12323" max="12547" width="9" style="208"/>
    <col min="12548" max="12548" width="10.5" style="208" bestFit="1" customWidth="1"/>
    <col min="12549" max="12557" width="9" style="208"/>
    <col min="12558" max="12558" width="9.5" style="208" bestFit="1" customWidth="1"/>
    <col min="12559" max="12576" width="9" style="208"/>
    <col min="12577" max="12577" width="15.875" style="208" bestFit="1" customWidth="1"/>
    <col min="12578" max="12578" width="11.375" style="208" bestFit="1" customWidth="1"/>
    <col min="12579" max="12803" width="9" style="208"/>
    <col min="12804" max="12804" width="10.5" style="208" bestFit="1" customWidth="1"/>
    <col min="12805" max="12813" width="9" style="208"/>
    <col min="12814" max="12814" width="9.5" style="208" bestFit="1" customWidth="1"/>
    <col min="12815" max="12832" width="9" style="208"/>
    <col min="12833" max="12833" width="15.875" style="208" bestFit="1" customWidth="1"/>
    <col min="12834" max="12834" width="11.375" style="208" bestFit="1" customWidth="1"/>
    <col min="12835" max="13059" width="9" style="208"/>
    <col min="13060" max="13060" width="10.5" style="208" bestFit="1" customWidth="1"/>
    <col min="13061" max="13069" width="9" style="208"/>
    <col min="13070" max="13070" width="9.5" style="208" bestFit="1" customWidth="1"/>
    <col min="13071" max="13088" width="9" style="208"/>
    <col min="13089" max="13089" width="15.875" style="208" bestFit="1" customWidth="1"/>
    <col min="13090" max="13090" width="11.375" style="208" bestFit="1" customWidth="1"/>
    <col min="13091" max="13315" width="9" style="208"/>
    <col min="13316" max="13316" width="10.5" style="208" bestFit="1" customWidth="1"/>
    <col min="13317" max="13325" width="9" style="208"/>
    <col min="13326" max="13326" width="9.5" style="208" bestFit="1" customWidth="1"/>
    <col min="13327" max="13344" width="9" style="208"/>
    <col min="13345" max="13345" width="15.875" style="208" bestFit="1" customWidth="1"/>
    <col min="13346" max="13346" width="11.375" style="208" bestFit="1" customWidth="1"/>
    <col min="13347" max="13571" width="9" style="208"/>
    <col min="13572" max="13572" width="10.5" style="208" bestFit="1" customWidth="1"/>
    <col min="13573" max="13581" width="9" style="208"/>
    <col min="13582" max="13582" width="9.5" style="208" bestFit="1" customWidth="1"/>
    <col min="13583" max="13600" width="9" style="208"/>
    <col min="13601" max="13601" width="15.875" style="208" bestFit="1" customWidth="1"/>
    <col min="13602" max="13602" width="11.375" style="208" bestFit="1" customWidth="1"/>
    <col min="13603" max="13827" width="9" style="208"/>
    <col min="13828" max="13828" width="10.5" style="208" bestFit="1" customWidth="1"/>
    <col min="13829" max="13837" width="9" style="208"/>
    <col min="13838" max="13838" width="9.5" style="208" bestFit="1" customWidth="1"/>
    <col min="13839" max="13856" width="9" style="208"/>
    <col min="13857" max="13857" width="15.875" style="208" bestFit="1" customWidth="1"/>
    <col min="13858" max="13858" width="11.375" style="208" bestFit="1" customWidth="1"/>
    <col min="13859" max="14083" width="9" style="208"/>
    <col min="14084" max="14084" width="10.5" style="208" bestFit="1" customWidth="1"/>
    <col min="14085" max="14093" width="9" style="208"/>
    <col min="14094" max="14094" width="9.5" style="208" bestFit="1" customWidth="1"/>
    <col min="14095" max="14112" width="9" style="208"/>
    <col min="14113" max="14113" width="15.875" style="208" bestFit="1" customWidth="1"/>
    <col min="14114" max="14114" width="11.375" style="208" bestFit="1" customWidth="1"/>
    <col min="14115" max="14339" width="9" style="208"/>
    <col min="14340" max="14340" width="10.5" style="208" bestFit="1" customWidth="1"/>
    <col min="14341" max="14349" width="9" style="208"/>
    <col min="14350" max="14350" width="9.5" style="208" bestFit="1" customWidth="1"/>
    <col min="14351" max="14368" width="9" style="208"/>
    <col min="14369" max="14369" width="15.875" style="208" bestFit="1" customWidth="1"/>
    <col min="14370" max="14370" width="11.375" style="208" bestFit="1" customWidth="1"/>
    <col min="14371" max="14595" width="9" style="208"/>
    <col min="14596" max="14596" width="10.5" style="208" bestFit="1" customWidth="1"/>
    <col min="14597" max="14605" width="9" style="208"/>
    <col min="14606" max="14606" width="9.5" style="208" bestFit="1" customWidth="1"/>
    <col min="14607" max="14624" width="9" style="208"/>
    <col min="14625" max="14625" width="15.875" style="208" bestFit="1" customWidth="1"/>
    <col min="14626" max="14626" width="11.375" style="208" bestFit="1" customWidth="1"/>
    <col min="14627" max="14851" width="9" style="208"/>
    <col min="14852" max="14852" width="10.5" style="208" bestFit="1" customWidth="1"/>
    <col min="14853" max="14861" width="9" style="208"/>
    <col min="14862" max="14862" width="9.5" style="208" bestFit="1" customWidth="1"/>
    <col min="14863" max="14880" width="9" style="208"/>
    <col min="14881" max="14881" width="15.875" style="208" bestFit="1" customWidth="1"/>
    <col min="14882" max="14882" width="11.375" style="208" bestFit="1" customWidth="1"/>
    <col min="14883" max="15107" width="9" style="208"/>
    <col min="15108" max="15108" width="10.5" style="208" bestFit="1" customWidth="1"/>
    <col min="15109" max="15117" width="9" style="208"/>
    <col min="15118" max="15118" width="9.5" style="208" bestFit="1" customWidth="1"/>
    <col min="15119" max="15136" width="9" style="208"/>
    <col min="15137" max="15137" width="15.875" style="208" bestFit="1" customWidth="1"/>
    <col min="15138" max="15138" width="11.375" style="208" bestFit="1" customWidth="1"/>
    <col min="15139" max="15363" width="9" style="208"/>
    <col min="15364" max="15364" width="10.5" style="208" bestFit="1" customWidth="1"/>
    <col min="15365" max="15373" width="9" style="208"/>
    <col min="15374" max="15374" width="9.5" style="208" bestFit="1" customWidth="1"/>
    <col min="15375" max="15392" width="9" style="208"/>
    <col min="15393" max="15393" width="15.875" style="208" bestFit="1" customWidth="1"/>
    <col min="15394" max="15394" width="11.375" style="208" bestFit="1" customWidth="1"/>
    <col min="15395" max="15619" width="9" style="208"/>
    <col min="15620" max="15620" width="10.5" style="208" bestFit="1" customWidth="1"/>
    <col min="15621" max="15629" width="9" style="208"/>
    <col min="15630" max="15630" width="9.5" style="208" bestFit="1" customWidth="1"/>
    <col min="15631" max="15648" width="9" style="208"/>
    <col min="15649" max="15649" width="15.875" style="208" bestFit="1" customWidth="1"/>
    <col min="15650" max="15650" width="11.375" style="208" bestFit="1" customWidth="1"/>
    <col min="15651" max="15875" width="9" style="208"/>
    <col min="15876" max="15876" width="10.5" style="208" bestFit="1" customWidth="1"/>
    <col min="15877" max="15885" width="9" style="208"/>
    <col min="15886" max="15886" width="9.5" style="208" bestFit="1" customWidth="1"/>
    <col min="15887" max="15904" width="9" style="208"/>
    <col min="15905" max="15905" width="15.875" style="208" bestFit="1" customWidth="1"/>
    <col min="15906" max="15906" width="11.375" style="208" bestFit="1" customWidth="1"/>
    <col min="15907" max="16131" width="9" style="208"/>
    <col min="16132" max="16132" width="10.5" style="208" bestFit="1" customWidth="1"/>
    <col min="16133" max="16141" width="9" style="208"/>
    <col min="16142" max="16142" width="9.5" style="208" bestFit="1" customWidth="1"/>
    <col min="16143" max="16160" width="9" style="208"/>
    <col min="16161" max="16161" width="15.875" style="208" bestFit="1" customWidth="1"/>
    <col min="16162" max="16162" width="11.375" style="208" bestFit="1" customWidth="1"/>
    <col min="16163" max="16384" width="9" style="208"/>
  </cols>
  <sheetData>
    <row r="1" spans="1:53" ht="45" x14ac:dyDescent="0.15">
      <c r="A1" s="83" t="s">
        <v>0</v>
      </c>
      <c r="B1" s="202" t="s">
        <v>1</v>
      </c>
      <c r="C1" s="202" t="s">
        <v>2</v>
      </c>
      <c r="D1" s="203" t="s">
        <v>3</v>
      </c>
      <c r="E1" s="84" t="s">
        <v>4</v>
      </c>
      <c r="F1" s="84" t="s">
        <v>5</v>
      </c>
      <c r="G1" s="84" t="s">
        <v>6</v>
      </c>
      <c r="H1" s="84" t="s">
        <v>7</v>
      </c>
      <c r="I1" s="84" t="s">
        <v>8</v>
      </c>
      <c r="J1" s="84" t="s">
        <v>9</v>
      </c>
      <c r="K1" s="84" t="s">
        <v>10</v>
      </c>
      <c r="L1" s="203" t="s">
        <v>303</v>
      </c>
      <c r="M1" s="203" t="s">
        <v>12</v>
      </c>
      <c r="N1" s="203" t="s">
        <v>13</v>
      </c>
      <c r="O1" s="203" t="s">
        <v>343</v>
      </c>
      <c r="P1" s="203" t="s">
        <v>15</v>
      </c>
      <c r="Q1" s="204" t="s">
        <v>16</v>
      </c>
      <c r="R1" s="203" t="s">
        <v>245</v>
      </c>
      <c r="S1" s="203" t="s">
        <v>344</v>
      </c>
      <c r="T1" s="204" t="s">
        <v>19</v>
      </c>
      <c r="U1" s="205" t="s">
        <v>108</v>
      </c>
      <c r="V1" s="206" t="s">
        <v>20</v>
      </c>
      <c r="W1" s="203" t="s">
        <v>21</v>
      </c>
      <c r="X1" s="84" t="s">
        <v>22</v>
      </c>
      <c r="Y1" s="84" t="s">
        <v>23</v>
      </c>
      <c r="Z1" s="84" t="s">
        <v>24</v>
      </c>
      <c r="AA1" s="85" t="s">
        <v>25</v>
      </c>
      <c r="AB1" s="207" t="s">
        <v>26</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30</v>
      </c>
      <c r="AY1" s="214" t="s">
        <v>31</v>
      </c>
      <c r="AZ1" s="214" t="s">
        <v>32</v>
      </c>
      <c r="BA1" s="215" t="s">
        <v>325</v>
      </c>
    </row>
    <row r="2" spans="1:53" s="216" customFormat="1" x14ac:dyDescent="0.15">
      <c r="A2" s="55" t="s">
        <v>56</v>
      </c>
      <c r="B2" s="55" t="s">
        <v>345</v>
      </c>
      <c r="C2" s="216">
        <v>2018</v>
      </c>
      <c r="D2" s="86" t="s">
        <v>346</v>
      </c>
      <c r="E2" s="216" t="s">
        <v>347</v>
      </c>
      <c r="F2" s="216" t="s">
        <v>161</v>
      </c>
      <c r="G2" s="55" t="s">
        <v>42</v>
      </c>
      <c r="H2" s="216" t="s">
        <v>155</v>
      </c>
      <c r="I2" s="55" t="s">
        <v>153</v>
      </c>
      <c r="J2" s="216" t="s">
        <v>38</v>
      </c>
      <c r="K2" s="216" t="s">
        <v>154</v>
      </c>
      <c r="L2" s="216">
        <v>1</v>
      </c>
      <c r="N2" s="208">
        <v>1</v>
      </c>
      <c r="O2" s="216">
        <v>0.7</v>
      </c>
      <c r="P2" s="208">
        <v>0.8</v>
      </c>
      <c r="Q2" s="245">
        <f t="shared" ref="Q2:Q52" si="0">IF(OR(O2="",P2=""),"",AVERAGE(O2,P2))</f>
        <v>0.75</v>
      </c>
      <c r="R2" s="216">
        <v>15</v>
      </c>
      <c r="S2" s="216">
        <v>136</v>
      </c>
      <c r="T2" s="217">
        <f t="shared" ref="T2:T52" si="1">IF(H2="","",IF(OR(H2="GREEN",H2="GK"),IF(S2&gt;=$AX$2,VLOOKUP(S2,$AX$2:$AY$10,2,1),""),IF(S2&gt;=$AZ$2,VLOOKUP(S2,$AZ$2:$BA$10,2,1),"")))</f>
        <v>25</v>
      </c>
      <c r="U2" s="216">
        <v>108</v>
      </c>
      <c r="V2" s="217">
        <f t="shared" ref="V2:V52" si="2">IF(OR(N2="",U2="",T2=""),"",U2/N2*T2)</f>
        <v>2700</v>
      </c>
      <c r="W2" s="216">
        <v>2</v>
      </c>
      <c r="X2" s="55" t="s">
        <v>46</v>
      </c>
      <c r="Y2" s="55" t="s">
        <v>84</v>
      </c>
      <c r="Z2" s="216" t="s">
        <v>90</v>
      </c>
      <c r="AA2" s="55" t="s">
        <v>102</v>
      </c>
      <c r="AB2" s="55" t="s">
        <v>310</v>
      </c>
      <c r="AE2" s="218" t="s">
        <v>35</v>
      </c>
      <c r="AG2" s="231" t="s">
        <v>348</v>
      </c>
      <c r="AH2" s="87" t="s">
        <v>161</v>
      </c>
      <c r="AJ2" s="219" t="s">
        <v>36</v>
      </c>
      <c r="AL2" s="219" t="s">
        <v>127</v>
      </c>
      <c r="AN2" s="219" t="s">
        <v>37</v>
      </c>
      <c r="AP2" s="219" t="s">
        <v>38</v>
      </c>
      <c r="AR2" s="219" t="s">
        <v>120</v>
      </c>
      <c r="AT2" s="219" t="s">
        <v>39</v>
      </c>
      <c r="AV2" s="219" t="s">
        <v>40</v>
      </c>
      <c r="AX2" s="220">
        <v>1</v>
      </c>
      <c r="AY2" s="221">
        <v>50</v>
      </c>
      <c r="AZ2" s="221">
        <v>1</v>
      </c>
      <c r="BA2" s="222">
        <v>50</v>
      </c>
    </row>
    <row r="3" spans="1:53" x14ac:dyDescent="0.15">
      <c r="A3" s="55" t="s">
        <v>56</v>
      </c>
      <c r="B3" s="55" t="s">
        <v>345</v>
      </c>
      <c r="C3" s="216">
        <v>2018</v>
      </c>
      <c r="D3" s="86" t="s">
        <v>346</v>
      </c>
      <c r="E3" s="216" t="s">
        <v>347</v>
      </c>
      <c r="F3" s="216" t="s">
        <v>161</v>
      </c>
      <c r="G3" s="55" t="s">
        <v>42</v>
      </c>
      <c r="H3" s="216" t="s">
        <v>155</v>
      </c>
      <c r="I3" s="55" t="s">
        <v>153</v>
      </c>
      <c r="J3" s="216" t="s">
        <v>38</v>
      </c>
      <c r="K3" s="216" t="s">
        <v>154</v>
      </c>
      <c r="L3" s="208">
        <v>2</v>
      </c>
      <c r="N3" s="208">
        <v>1</v>
      </c>
      <c r="O3" s="208">
        <v>0.65</v>
      </c>
      <c r="P3" s="208">
        <v>0.75</v>
      </c>
      <c r="Q3" s="245">
        <f t="shared" si="0"/>
        <v>0.7</v>
      </c>
      <c r="R3" s="208">
        <v>15.5</v>
      </c>
      <c r="S3" s="208">
        <v>135</v>
      </c>
      <c r="T3" s="217">
        <f t="shared" si="1"/>
        <v>25</v>
      </c>
      <c r="U3" s="208">
        <v>108</v>
      </c>
      <c r="V3" s="217">
        <f t="shared" si="2"/>
        <v>2700</v>
      </c>
      <c r="W3" s="208">
        <v>2</v>
      </c>
      <c r="X3" s="55" t="s">
        <v>46</v>
      </c>
      <c r="Y3" s="55" t="s">
        <v>84</v>
      </c>
      <c r="Z3" s="216" t="s">
        <v>90</v>
      </c>
      <c r="AA3" s="55" t="s">
        <v>102</v>
      </c>
      <c r="AB3" s="55" t="s">
        <v>310</v>
      </c>
      <c r="AE3" s="223" t="s">
        <v>41</v>
      </c>
      <c r="AG3" s="231" t="s">
        <v>348</v>
      </c>
      <c r="AH3" s="87" t="s">
        <v>162</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55" t="s">
        <v>56</v>
      </c>
      <c r="B4" s="55" t="s">
        <v>345</v>
      </c>
      <c r="C4" s="216">
        <v>2018</v>
      </c>
      <c r="D4" s="86" t="s">
        <v>346</v>
      </c>
      <c r="E4" s="216" t="s">
        <v>347</v>
      </c>
      <c r="F4" s="216" t="s">
        <v>161</v>
      </c>
      <c r="G4" s="55" t="s">
        <v>42</v>
      </c>
      <c r="H4" s="216" t="s">
        <v>155</v>
      </c>
      <c r="I4" s="55" t="s">
        <v>153</v>
      </c>
      <c r="J4" s="216" t="s">
        <v>38</v>
      </c>
      <c r="K4" s="216" t="s">
        <v>154</v>
      </c>
      <c r="L4" s="208">
        <v>3</v>
      </c>
      <c r="N4" s="208">
        <v>1</v>
      </c>
      <c r="O4" s="208">
        <v>0.65</v>
      </c>
      <c r="P4" s="208">
        <v>0.7</v>
      </c>
      <c r="Q4" s="245">
        <f t="shared" si="0"/>
        <v>0.67500000000000004</v>
      </c>
      <c r="R4" s="208">
        <v>15.1</v>
      </c>
      <c r="S4" s="208">
        <v>137</v>
      </c>
      <c r="T4" s="217">
        <f t="shared" si="1"/>
        <v>25</v>
      </c>
      <c r="U4" s="208">
        <v>108</v>
      </c>
      <c r="V4" s="217">
        <f t="shared" si="2"/>
        <v>2700</v>
      </c>
      <c r="W4" s="208">
        <v>2</v>
      </c>
      <c r="X4" s="55" t="s">
        <v>46</v>
      </c>
      <c r="Y4" s="55" t="s">
        <v>84</v>
      </c>
      <c r="Z4" s="216" t="s">
        <v>90</v>
      </c>
      <c r="AA4" s="55" t="s">
        <v>102</v>
      </c>
      <c r="AB4" s="55" t="s">
        <v>310</v>
      </c>
      <c r="AE4" s="223" t="s">
        <v>34</v>
      </c>
      <c r="AG4" s="231" t="s">
        <v>349</v>
      </c>
      <c r="AH4" s="87" t="s">
        <v>350</v>
      </c>
      <c r="AJ4" s="228" t="s">
        <v>48</v>
      </c>
      <c r="AL4" s="228" t="s">
        <v>163</v>
      </c>
      <c r="AN4" s="229" t="s">
        <v>49</v>
      </c>
      <c r="AP4" s="224" t="s">
        <v>93</v>
      </c>
      <c r="AR4" s="238" t="s">
        <v>304</v>
      </c>
      <c r="AT4" s="229"/>
      <c r="AV4" s="224" t="s">
        <v>50</v>
      </c>
      <c r="AX4" s="225">
        <v>75</v>
      </c>
      <c r="AY4" s="226">
        <v>42</v>
      </c>
      <c r="AZ4" s="226">
        <v>76</v>
      </c>
      <c r="BA4" s="227">
        <v>39</v>
      </c>
    </row>
    <row r="5" spans="1:53" x14ac:dyDescent="0.15">
      <c r="A5" s="55" t="s">
        <v>56</v>
      </c>
      <c r="B5" s="55" t="s">
        <v>345</v>
      </c>
      <c r="C5" s="216">
        <v>2018</v>
      </c>
      <c r="D5" s="86" t="s">
        <v>346</v>
      </c>
      <c r="E5" s="216" t="s">
        <v>347</v>
      </c>
      <c r="F5" s="216" t="s">
        <v>162</v>
      </c>
      <c r="G5" s="55" t="s">
        <v>42</v>
      </c>
      <c r="H5" s="216" t="s">
        <v>155</v>
      </c>
      <c r="I5" s="55" t="s">
        <v>153</v>
      </c>
      <c r="J5" s="216" t="s">
        <v>38</v>
      </c>
      <c r="K5" s="216" t="s">
        <v>154</v>
      </c>
      <c r="L5" s="208">
        <v>1</v>
      </c>
      <c r="N5" s="208">
        <v>1</v>
      </c>
      <c r="O5" s="208">
        <v>0.8</v>
      </c>
      <c r="P5" s="208">
        <v>0.85</v>
      </c>
      <c r="Q5" s="245">
        <f t="shared" si="0"/>
        <v>0.82499999999999996</v>
      </c>
      <c r="R5" s="208">
        <v>15</v>
      </c>
      <c r="S5" s="208">
        <v>142</v>
      </c>
      <c r="T5" s="217">
        <f t="shared" si="1"/>
        <v>22</v>
      </c>
      <c r="U5" s="208">
        <v>106</v>
      </c>
      <c r="V5" s="217">
        <f t="shared" si="2"/>
        <v>2332</v>
      </c>
      <c r="W5" s="208">
        <v>4</v>
      </c>
      <c r="X5" s="55" t="s">
        <v>46</v>
      </c>
      <c r="Y5" s="55" t="s">
        <v>84</v>
      </c>
      <c r="Z5" s="216" t="s">
        <v>90</v>
      </c>
      <c r="AA5" s="55" t="s">
        <v>78</v>
      </c>
      <c r="AB5" s="55" t="s">
        <v>310</v>
      </c>
      <c r="AE5" s="223" t="s">
        <v>51</v>
      </c>
      <c r="AG5" s="231" t="s">
        <v>351</v>
      </c>
      <c r="AH5" s="87" t="s">
        <v>352</v>
      </c>
      <c r="AJ5" s="229"/>
      <c r="AL5" s="230" t="s">
        <v>234</v>
      </c>
      <c r="AN5" s="230" t="s">
        <v>52</v>
      </c>
      <c r="AP5" s="224" t="s">
        <v>249</v>
      </c>
      <c r="AR5" s="238" t="s">
        <v>54</v>
      </c>
      <c r="AV5" s="224" t="s">
        <v>55</v>
      </c>
      <c r="AX5" s="225">
        <v>84</v>
      </c>
      <c r="AY5" s="226">
        <v>39</v>
      </c>
      <c r="AZ5" s="226">
        <v>84</v>
      </c>
      <c r="BA5" s="227">
        <v>36</v>
      </c>
    </row>
    <row r="6" spans="1:53" x14ac:dyDescent="0.15">
      <c r="A6" s="55" t="s">
        <v>56</v>
      </c>
      <c r="B6" s="55" t="s">
        <v>345</v>
      </c>
      <c r="C6" s="216">
        <v>2018</v>
      </c>
      <c r="D6" s="86" t="s">
        <v>346</v>
      </c>
      <c r="E6" s="216" t="s">
        <v>347</v>
      </c>
      <c r="F6" s="216" t="s">
        <v>162</v>
      </c>
      <c r="G6" s="55" t="s">
        <v>42</v>
      </c>
      <c r="H6" s="216" t="s">
        <v>155</v>
      </c>
      <c r="I6" s="55" t="s">
        <v>153</v>
      </c>
      <c r="J6" s="216" t="s">
        <v>38</v>
      </c>
      <c r="K6" s="216" t="s">
        <v>154</v>
      </c>
      <c r="L6" s="208">
        <v>2</v>
      </c>
      <c r="N6" s="208">
        <v>1</v>
      </c>
      <c r="O6" s="208">
        <v>0.75</v>
      </c>
      <c r="P6" s="208">
        <v>0.8</v>
      </c>
      <c r="Q6" s="245">
        <f t="shared" si="0"/>
        <v>0.77500000000000002</v>
      </c>
      <c r="R6" s="208">
        <v>14.3</v>
      </c>
      <c r="S6" s="208">
        <v>135</v>
      </c>
      <c r="T6" s="217">
        <f t="shared" si="1"/>
        <v>25</v>
      </c>
      <c r="U6" s="208">
        <v>106</v>
      </c>
      <c r="V6" s="217">
        <f t="shared" si="2"/>
        <v>2650</v>
      </c>
      <c r="W6" s="208">
        <v>4</v>
      </c>
      <c r="X6" s="55" t="s">
        <v>46</v>
      </c>
      <c r="Y6" s="55" t="s">
        <v>84</v>
      </c>
      <c r="Z6" s="216" t="s">
        <v>90</v>
      </c>
      <c r="AA6" s="55" t="s">
        <v>78</v>
      </c>
      <c r="AB6" s="55" t="s">
        <v>310</v>
      </c>
      <c r="AE6" s="223" t="s">
        <v>56</v>
      </c>
      <c r="AG6" s="231" t="s">
        <v>353</v>
      </c>
      <c r="AH6" s="87" t="s">
        <v>352</v>
      </c>
      <c r="AL6" s="230" t="s">
        <v>305</v>
      </c>
      <c r="AN6" s="230" t="s">
        <v>57</v>
      </c>
      <c r="AP6" s="224" t="s">
        <v>53</v>
      </c>
      <c r="AR6" s="238" t="s">
        <v>59</v>
      </c>
      <c r="AV6" s="224" t="s">
        <v>60</v>
      </c>
      <c r="AX6" s="225">
        <v>97</v>
      </c>
      <c r="AY6" s="226">
        <v>36</v>
      </c>
      <c r="AZ6" s="226">
        <v>99</v>
      </c>
      <c r="BA6" s="227">
        <v>33</v>
      </c>
    </row>
    <row r="7" spans="1:53" x14ac:dyDescent="0.15">
      <c r="A7" s="55" t="s">
        <v>56</v>
      </c>
      <c r="B7" s="55" t="s">
        <v>345</v>
      </c>
      <c r="C7" s="216">
        <v>2018</v>
      </c>
      <c r="D7" s="86" t="s">
        <v>346</v>
      </c>
      <c r="E7" s="216" t="s">
        <v>347</v>
      </c>
      <c r="F7" s="216" t="s">
        <v>162</v>
      </c>
      <c r="G7" s="55" t="s">
        <v>42</v>
      </c>
      <c r="H7" s="216" t="s">
        <v>155</v>
      </c>
      <c r="I7" s="55" t="s">
        <v>153</v>
      </c>
      <c r="J7" s="216" t="s">
        <v>38</v>
      </c>
      <c r="K7" s="216" t="s">
        <v>154</v>
      </c>
      <c r="L7" s="208">
        <v>3</v>
      </c>
      <c r="N7" s="208">
        <v>1</v>
      </c>
      <c r="O7" s="208">
        <v>0.85</v>
      </c>
      <c r="P7" s="208">
        <v>0.75</v>
      </c>
      <c r="Q7" s="245">
        <f t="shared" si="0"/>
        <v>0.8</v>
      </c>
      <c r="R7" s="237">
        <v>14.6</v>
      </c>
      <c r="S7" s="208">
        <v>141</v>
      </c>
      <c r="T7" s="217">
        <f t="shared" si="1"/>
        <v>22</v>
      </c>
      <c r="U7" s="208">
        <v>106</v>
      </c>
      <c r="V7" s="217">
        <f t="shared" si="2"/>
        <v>2332</v>
      </c>
      <c r="W7" s="208">
        <v>4</v>
      </c>
      <c r="X7" s="55" t="s">
        <v>46</v>
      </c>
      <c r="Y7" s="55" t="s">
        <v>84</v>
      </c>
      <c r="Z7" s="216" t="s">
        <v>90</v>
      </c>
      <c r="AA7" s="55" t="s">
        <v>78</v>
      </c>
      <c r="AB7" s="55" t="s">
        <v>310</v>
      </c>
      <c r="AE7" s="223" t="s">
        <v>61</v>
      </c>
      <c r="AG7" s="231" t="s">
        <v>354</v>
      </c>
      <c r="AH7" s="87" t="s">
        <v>164</v>
      </c>
      <c r="AL7" s="88" t="s">
        <v>355</v>
      </c>
      <c r="AP7" s="224" t="s">
        <v>58</v>
      </c>
      <c r="AR7" s="231" t="s">
        <v>122</v>
      </c>
      <c r="AV7" s="224" t="s">
        <v>64</v>
      </c>
      <c r="AX7" s="225">
        <v>109</v>
      </c>
      <c r="AY7" s="226">
        <v>33</v>
      </c>
      <c r="AZ7" s="226">
        <v>113</v>
      </c>
      <c r="BA7" s="227">
        <v>30</v>
      </c>
    </row>
    <row r="8" spans="1:53" x14ac:dyDescent="0.15">
      <c r="A8" s="55" t="s">
        <v>56</v>
      </c>
      <c r="B8" s="55" t="s">
        <v>356</v>
      </c>
      <c r="C8" s="216">
        <v>2018</v>
      </c>
      <c r="D8" s="86" t="s">
        <v>357</v>
      </c>
      <c r="E8" s="216" t="s">
        <v>347</v>
      </c>
      <c r="F8" s="216" t="s">
        <v>162</v>
      </c>
      <c r="G8" s="55" t="s">
        <v>42</v>
      </c>
      <c r="H8" s="216" t="s">
        <v>157</v>
      </c>
      <c r="I8" s="55" t="s">
        <v>153</v>
      </c>
      <c r="J8" s="216" t="s">
        <v>38</v>
      </c>
      <c r="K8" s="216" t="s">
        <v>154</v>
      </c>
      <c r="L8" s="208">
        <v>1</v>
      </c>
      <c r="N8" s="208">
        <v>1</v>
      </c>
      <c r="O8" s="208">
        <v>0.5</v>
      </c>
      <c r="P8" s="208">
        <v>0.5</v>
      </c>
      <c r="Q8" s="245">
        <f t="shared" si="0"/>
        <v>0.5</v>
      </c>
      <c r="R8" s="208">
        <v>15.2</v>
      </c>
      <c r="S8" s="208">
        <v>138</v>
      </c>
      <c r="T8" s="217">
        <f t="shared" si="1"/>
        <v>22</v>
      </c>
      <c r="U8" s="208">
        <v>106</v>
      </c>
      <c r="V8" s="217">
        <f t="shared" si="2"/>
        <v>2332</v>
      </c>
      <c r="W8" s="208">
        <v>6</v>
      </c>
      <c r="X8" s="55" t="s">
        <v>46</v>
      </c>
      <c r="Y8" s="55" t="s">
        <v>84</v>
      </c>
      <c r="Z8" s="216" t="s">
        <v>90</v>
      </c>
      <c r="AA8" s="55" t="s">
        <v>78</v>
      </c>
      <c r="AB8" s="55" t="s">
        <v>310</v>
      </c>
      <c r="AE8" s="223" t="s">
        <v>59</v>
      </c>
      <c r="AG8" s="231" t="s">
        <v>358</v>
      </c>
      <c r="AH8" s="87" t="s">
        <v>164</v>
      </c>
      <c r="AL8" s="88" t="s">
        <v>339</v>
      </c>
      <c r="AP8" s="224" t="s">
        <v>62</v>
      </c>
      <c r="AR8" s="238" t="s">
        <v>81</v>
      </c>
      <c r="AV8" s="224" t="s">
        <v>97</v>
      </c>
      <c r="AX8" s="225">
        <v>119</v>
      </c>
      <c r="AY8" s="226">
        <v>30</v>
      </c>
      <c r="AZ8" s="226">
        <v>121</v>
      </c>
      <c r="BA8" s="227">
        <v>27</v>
      </c>
    </row>
    <row r="9" spans="1:53" x14ac:dyDescent="0.15">
      <c r="A9" s="55" t="s">
        <v>56</v>
      </c>
      <c r="B9" s="55" t="s">
        <v>356</v>
      </c>
      <c r="C9" s="216">
        <v>2018</v>
      </c>
      <c r="D9" s="86" t="s">
        <v>357</v>
      </c>
      <c r="E9" s="216" t="s">
        <v>347</v>
      </c>
      <c r="F9" s="216" t="s">
        <v>162</v>
      </c>
      <c r="G9" s="55" t="s">
        <v>42</v>
      </c>
      <c r="H9" s="216" t="s">
        <v>157</v>
      </c>
      <c r="I9" s="55" t="s">
        <v>153</v>
      </c>
      <c r="J9" s="216" t="s">
        <v>38</v>
      </c>
      <c r="K9" s="216" t="s">
        <v>154</v>
      </c>
      <c r="L9" s="208">
        <v>2</v>
      </c>
      <c r="N9" s="208">
        <v>1</v>
      </c>
      <c r="O9" s="208">
        <v>0.5</v>
      </c>
      <c r="P9" s="208">
        <v>0.5</v>
      </c>
      <c r="Q9" s="245">
        <f t="shared" si="0"/>
        <v>0.5</v>
      </c>
      <c r="R9" s="208">
        <v>14.8</v>
      </c>
      <c r="S9" s="208">
        <v>137</v>
      </c>
      <c r="T9" s="217">
        <f t="shared" si="1"/>
        <v>25</v>
      </c>
      <c r="U9" s="208">
        <v>106</v>
      </c>
      <c r="V9" s="217">
        <f t="shared" si="2"/>
        <v>2650</v>
      </c>
      <c r="W9" s="208">
        <v>6</v>
      </c>
      <c r="X9" s="55" t="s">
        <v>46</v>
      </c>
      <c r="Y9" s="55" t="s">
        <v>84</v>
      </c>
      <c r="Z9" s="216" t="s">
        <v>90</v>
      </c>
      <c r="AA9" s="55" t="s">
        <v>78</v>
      </c>
      <c r="AB9" s="55" t="s">
        <v>310</v>
      </c>
      <c r="AE9" s="223" t="s">
        <v>98</v>
      </c>
      <c r="AG9" s="231" t="s">
        <v>165</v>
      </c>
      <c r="AH9" s="231" t="s">
        <v>162</v>
      </c>
      <c r="AL9" s="230"/>
      <c r="AP9" s="224" t="s">
        <v>95</v>
      </c>
      <c r="AR9" s="231" t="s">
        <v>89</v>
      </c>
      <c r="AV9" s="224" t="s">
        <v>102</v>
      </c>
      <c r="AX9" s="225">
        <v>128</v>
      </c>
      <c r="AY9" s="226">
        <v>27</v>
      </c>
      <c r="AZ9" s="226">
        <v>129</v>
      </c>
      <c r="BA9" s="227">
        <v>25</v>
      </c>
    </row>
    <row r="10" spans="1:53" x14ac:dyDescent="0.15">
      <c r="A10" s="55" t="s">
        <v>56</v>
      </c>
      <c r="B10" s="55" t="s">
        <v>359</v>
      </c>
      <c r="C10" s="216">
        <v>2018</v>
      </c>
      <c r="D10" s="86" t="s">
        <v>360</v>
      </c>
      <c r="E10" s="216" t="s">
        <v>347</v>
      </c>
      <c r="F10" s="216" t="s">
        <v>162</v>
      </c>
      <c r="G10" s="55" t="s">
        <v>42</v>
      </c>
      <c r="H10" s="216" t="s">
        <v>157</v>
      </c>
      <c r="I10" s="55" t="s">
        <v>153</v>
      </c>
      <c r="J10" s="216" t="s">
        <v>38</v>
      </c>
      <c r="K10" s="216" t="s">
        <v>154</v>
      </c>
      <c r="L10" s="208">
        <v>3</v>
      </c>
      <c r="N10" s="208">
        <v>1</v>
      </c>
      <c r="O10" s="208">
        <v>0.5</v>
      </c>
      <c r="P10" s="208">
        <v>0.5</v>
      </c>
      <c r="Q10" s="245">
        <f t="shared" si="0"/>
        <v>0.5</v>
      </c>
      <c r="R10" s="237">
        <v>16.100000000000001</v>
      </c>
      <c r="S10" s="208">
        <v>138</v>
      </c>
      <c r="T10" s="217">
        <f t="shared" si="1"/>
        <v>22</v>
      </c>
      <c r="U10" s="208">
        <v>106</v>
      </c>
      <c r="V10" s="217">
        <f t="shared" si="2"/>
        <v>2332</v>
      </c>
      <c r="W10" s="208">
        <v>6</v>
      </c>
      <c r="X10" s="55" t="s">
        <v>46</v>
      </c>
      <c r="Y10" s="55" t="s">
        <v>84</v>
      </c>
      <c r="Z10" s="216" t="s">
        <v>90</v>
      </c>
      <c r="AA10" s="55" t="s">
        <v>78</v>
      </c>
      <c r="AB10" s="55" t="s">
        <v>310</v>
      </c>
      <c r="AE10" s="223" t="s">
        <v>103</v>
      </c>
      <c r="AG10" s="231" t="s">
        <v>361</v>
      </c>
      <c r="AH10" s="87" t="s">
        <v>362</v>
      </c>
      <c r="AL10" s="88"/>
      <c r="AP10" s="224" t="s">
        <v>100</v>
      </c>
      <c r="AR10" s="231" t="s">
        <v>123</v>
      </c>
      <c r="AV10" s="224" t="s">
        <v>106</v>
      </c>
      <c r="AX10" s="225">
        <v>138</v>
      </c>
      <c r="AY10" s="226">
        <v>25</v>
      </c>
      <c r="AZ10" s="226">
        <v>138</v>
      </c>
      <c r="BA10" s="227">
        <v>22</v>
      </c>
    </row>
    <row r="11" spans="1:53" x14ac:dyDescent="0.15">
      <c r="A11" s="55" t="s">
        <v>56</v>
      </c>
      <c r="B11" s="55" t="s">
        <v>359</v>
      </c>
      <c r="C11" s="216">
        <v>2018</v>
      </c>
      <c r="D11" s="86" t="s">
        <v>360</v>
      </c>
      <c r="E11" s="216" t="s">
        <v>363</v>
      </c>
      <c r="F11" s="216" t="s">
        <v>364</v>
      </c>
      <c r="G11" s="55" t="s">
        <v>42</v>
      </c>
      <c r="H11" s="216" t="s">
        <v>155</v>
      </c>
      <c r="I11" s="55" t="s">
        <v>153</v>
      </c>
      <c r="J11" s="216" t="s">
        <v>38</v>
      </c>
      <c r="K11" s="216" t="s">
        <v>154</v>
      </c>
      <c r="L11" s="208">
        <v>1</v>
      </c>
      <c r="N11" s="208">
        <v>1</v>
      </c>
      <c r="O11" s="208">
        <v>0.8</v>
      </c>
      <c r="P11" s="208">
        <v>0.9</v>
      </c>
      <c r="Q11" s="245">
        <f t="shared" si="0"/>
        <v>0.85000000000000009</v>
      </c>
      <c r="R11" s="208">
        <v>13.4</v>
      </c>
      <c r="S11" s="208">
        <v>126</v>
      </c>
      <c r="T11" s="217">
        <f t="shared" si="1"/>
        <v>27</v>
      </c>
      <c r="U11" s="208">
        <v>106</v>
      </c>
      <c r="V11" s="217">
        <f t="shared" si="2"/>
        <v>2862</v>
      </c>
      <c r="W11" s="208">
        <v>4</v>
      </c>
      <c r="X11" s="55" t="s">
        <v>46</v>
      </c>
      <c r="Y11" s="55" t="s">
        <v>84</v>
      </c>
      <c r="Z11" s="216" t="s">
        <v>90</v>
      </c>
      <c r="AA11" s="55" t="s">
        <v>50</v>
      </c>
      <c r="AB11" s="55" t="s">
        <v>310</v>
      </c>
      <c r="AE11" s="223" t="s">
        <v>65</v>
      </c>
      <c r="AG11" s="231" t="s">
        <v>365</v>
      </c>
      <c r="AH11" s="87" t="s">
        <v>362</v>
      </c>
      <c r="AJ11" s="88"/>
      <c r="AP11" s="224" t="s">
        <v>104</v>
      </c>
      <c r="AR11" s="231" t="s">
        <v>87</v>
      </c>
      <c r="AV11" s="224" t="s">
        <v>69</v>
      </c>
    </row>
    <row r="12" spans="1:53" x14ac:dyDescent="0.15">
      <c r="A12" s="55" t="s">
        <v>56</v>
      </c>
      <c r="B12" s="55" t="s">
        <v>366</v>
      </c>
      <c r="C12" s="216">
        <v>2018</v>
      </c>
      <c r="D12" s="86" t="s">
        <v>367</v>
      </c>
      <c r="E12" s="216" t="s">
        <v>363</v>
      </c>
      <c r="F12" s="216" t="s">
        <v>364</v>
      </c>
      <c r="G12" s="55" t="s">
        <v>42</v>
      </c>
      <c r="H12" s="216" t="s">
        <v>155</v>
      </c>
      <c r="I12" s="55" t="s">
        <v>153</v>
      </c>
      <c r="J12" s="216" t="s">
        <v>38</v>
      </c>
      <c r="K12" s="216" t="s">
        <v>154</v>
      </c>
      <c r="L12" s="208">
        <v>2</v>
      </c>
      <c r="N12" s="208">
        <v>1</v>
      </c>
      <c r="O12" s="208">
        <v>0.85</v>
      </c>
      <c r="P12" s="208">
        <v>0.8</v>
      </c>
      <c r="Q12" s="245">
        <f t="shared" si="0"/>
        <v>0.82499999999999996</v>
      </c>
      <c r="R12" s="208">
        <v>14.5</v>
      </c>
      <c r="S12" s="208">
        <v>125</v>
      </c>
      <c r="T12" s="217">
        <f t="shared" si="1"/>
        <v>27</v>
      </c>
      <c r="U12" s="208">
        <v>106</v>
      </c>
      <c r="V12" s="217">
        <f t="shared" si="2"/>
        <v>2862</v>
      </c>
      <c r="W12" s="208">
        <v>4</v>
      </c>
      <c r="X12" s="55" t="s">
        <v>46</v>
      </c>
      <c r="Y12" s="55" t="s">
        <v>84</v>
      </c>
      <c r="Z12" s="216" t="s">
        <v>90</v>
      </c>
      <c r="AA12" s="55" t="s">
        <v>50</v>
      </c>
      <c r="AB12" s="55" t="s">
        <v>310</v>
      </c>
      <c r="AE12" s="223" t="s">
        <v>70</v>
      </c>
      <c r="AG12" s="231" t="s">
        <v>368</v>
      </c>
      <c r="AH12" s="87" t="s">
        <v>369</v>
      </c>
      <c r="AJ12" s="88"/>
      <c r="AP12" s="224" t="s">
        <v>67</v>
      </c>
      <c r="AR12" s="231" t="s">
        <v>124</v>
      </c>
      <c r="AV12" s="224" t="s">
        <v>72</v>
      </c>
    </row>
    <row r="13" spans="1:53" x14ac:dyDescent="0.15">
      <c r="A13" s="55" t="s">
        <v>56</v>
      </c>
      <c r="B13" s="55" t="s">
        <v>370</v>
      </c>
      <c r="C13" s="216">
        <v>2018</v>
      </c>
      <c r="D13" s="86" t="s">
        <v>371</v>
      </c>
      <c r="E13" s="216" t="s">
        <v>363</v>
      </c>
      <c r="F13" s="216" t="s">
        <v>364</v>
      </c>
      <c r="G13" s="55" t="s">
        <v>42</v>
      </c>
      <c r="H13" s="216" t="s">
        <v>155</v>
      </c>
      <c r="I13" s="55" t="s">
        <v>153</v>
      </c>
      <c r="J13" s="216" t="s">
        <v>38</v>
      </c>
      <c r="K13" s="216" t="s">
        <v>154</v>
      </c>
      <c r="L13" s="208">
        <v>3</v>
      </c>
      <c r="N13" s="208">
        <v>1</v>
      </c>
      <c r="O13" s="208">
        <v>0.6</v>
      </c>
      <c r="P13" s="208">
        <v>0.65</v>
      </c>
      <c r="Q13" s="245">
        <f t="shared" si="0"/>
        <v>0.625</v>
      </c>
      <c r="R13" s="237">
        <v>14.6</v>
      </c>
      <c r="S13" s="208">
        <v>124</v>
      </c>
      <c r="T13" s="217">
        <f t="shared" si="1"/>
        <v>27</v>
      </c>
      <c r="U13" s="208">
        <v>106</v>
      </c>
      <c r="V13" s="217">
        <f t="shared" si="2"/>
        <v>2862</v>
      </c>
      <c r="W13" s="208">
        <v>4</v>
      </c>
      <c r="X13" s="55" t="s">
        <v>46</v>
      </c>
      <c r="Y13" s="55" t="s">
        <v>84</v>
      </c>
      <c r="Z13" s="216" t="s">
        <v>90</v>
      </c>
      <c r="AA13" s="55" t="s">
        <v>50</v>
      </c>
      <c r="AB13" s="55" t="s">
        <v>310</v>
      </c>
      <c r="AE13" s="223" t="s">
        <v>73</v>
      </c>
      <c r="AP13" s="224" t="s">
        <v>71</v>
      </c>
      <c r="AR13" s="231" t="s">
        <v>103</v>
      </c>
      <c r="AV13" s="224" t="s">
        <v>75</v>
      </c>
    </row>
    <row r="14" spans="1:53" x14ac:dyDescent="0.15">
      <c r="A14" s="55" t="s">
        <v>56</v>
      </c>
      <c r="B14" s="55" t="s">
        <v>372</v>
      </c>
      <c r="C14" s="216">
        <v>2018</v>
      </c>
      <c r="D14" s="86" t="s">
        <v>373</v>
      </c>
      <c r="E14" s="216" t="s">
        <v>363</v>
      </c>
      <c r="F14" s="216" t="s">
        <v>364</v>
      </c>
      <c r="G14" s="55" t="s">
        <v>42</v>
      </c>
      <c r="H14" s="216" t="s">
        <v>157</v>
      </c>
      <c r="I14" s="55" t="s">
        <v>153</v>
      </c>
      <c r="J14" s="216" t="s">
        <v>38</v>
      </c>
      <c r="K14" s="216" t="s">
        <v>154</v>
      </c>
      <c r="L14" s="208">
        <v>1</v>
      </c>
      <c r="N14" s="208">
        <v>1</v>
      </c>
      <c r="O14" s="208">
        <v>0.65</v>
      </c>
      <c r="P14" s="208">
        <v>0.7</v>
      </c>
      <c r="Q14" s="245">
        <f t="shared" si="0"/>
        <v>0.67500000000000004</v>
      </c>
      <c r="R14" s="208">
        <v>16.2</v>
      </c>
      <c r="S14" s="208">
        <v>140</v>
      </c>
      <c r="T14" s="217">
        <f t="shared" si="1"/>
        <v>22</v>
      </c>
      <c r="U14" s="208">
        <v>138</v>
      </c>
      <c r="V14" s="217">
        <f t="shared" si="2"/>
        <v>3036</v>
      </c>
      <c r="W14" s="208">
        <v>2</v>
      </c>
      <c r="X14" s="55" t="s">
        <v>46</v>
      </c>
      <c r="Y14" s="55" t="s">
        <v>84</v>
      </c>
      <c r="Z14" s="216" t="s">
        <v>90</v>
      </c>
      <c r="AA14" s="55" t="s">
        <v>50</v>
      </c>
      <c r="AB14" s="55" t="s">
        <v>310</v>
      </c>
      <c r="AE14" s="223" t="s">
        <v>76</v>
      </c>
      <c r="AP14" s="224" t="s">
        <v>74</v>
      </c>
      <c r="AR14" s="231" t="s">
        <v>125</v>
      </c>
      <c r="AV14" s="224" t="s">
        <v>78</v>
      </c>
    </row>
    <row r="15" spans="1:53" x14ac:dyDescent="0.15">
      <c r="A15" s="55" t="s">
        <v>56</v>
      </c>
      <c r="B15" s="55" t="s">
        <v>372</v>
      </c>
      <c r="C15" s="216">
        <v>2018</v>
      </c>
      <c r="D15" s="86" t="s">
        <v>373</v>
      </c>
      <c r="E15" s="216" t="s">
        <v>363</v>
      </c>
      <c r="F15" s="216" t="s">
        <v>364</v>
      </c>
      <c r="G15" s="55" t="s">
        <v>42</v>
      </c>
      <c r="H15" s="216" t="s">
        <v>157</v>
      </c>
      <c r="I15" s="55" t="s">
        <v>153</v>
      </c>
      <c r="J15" s="216" t="s">
        <v>38</v>
      </c>
      <c r="K15" s="216" t="s">
        <v>154</v>
      </c>
      <c r="L15" s="208">
        <v>2</v>
      </c>
      <c r="N15" s="208">
        <v>1</v>
      </c>
      <c r="O15" s="208">
        <v>0.65</v>
      </c>
      <c r="P15" s="208">
        <v>0.7</v>
      </c>
      <c r="Q15" s="245">
        <f t="shared" si="0"/>
        <v>0.67500000000000004</v>
      </c>
      <c r="R15" s="208">
        <v>15.9</v>
      </c>
      <c r="S15" s="208">
        <v>144</v>
      </c>
      <c r="T15" s="217">
        <f t="shared" si="1"/>
        <v>22</v>
      </c>
      <c r="U15" s="208">
        <v>138</v>
      </c>
      <c r="V15" s="217">
        <f t="shared" si="2"/>
        <v>3036</v>
      </c>
      <c r="W15" s="208">
        <v>2</v>
      </c>
      <c r="X15" s="55" t="s">
        <v>46</v>
      </c>
      <c r="Y15" s="55" t="s">
        <v>84</v>
      </c>
      <c r="Z15" s="216" t="s">
        <v>90</v>
      </c>
      <c r="AA15" s="55" t="s">
        <v>50</v>
      </c>
      <c r="AB15" s="55" t="s">
        <v>310</v>
      </c>
      <c r="AE15" s="223" t="s">
        <v>79</v>
      </c>
      <c r="AP15" s="224" t="s">
        <v>77</v>
      </c>
      <c r="AR15" s="231" t="s">
        <v>94</v>
      </c>
      <c r="AV15" s="224" t="s">
        <v>107</v>
      </c>
    </row>
    <row r="16" spans="1:53" x14ac:dyDescent="0.15">
      <c r="A16" s="55" t="s">
        <v>56</v>
      </c>
      <c r="B16" s="55" t="s">
        <v>374</v>
      </c>
      <c r="C16" s="216">
        <v>2018</v>
      </c>
      <c r="D16" s="86" t="s">
        <v>375</v>
      </c>
      <c r="E16" s="216" t="s">
        <v>363</v>
      </c>
      <c r="F16" s="216" t="s">
        <v>364</v>
      </c>
      <c r="G16" s="55" t="s">
        <v>42</v>
      </c>
      <c r="H16" s="216" t="s">
        <v>157</v>
      </c>
      <c r="I16" s="55" t="s">
        <v>153</v>
      </c>
      <c r="J16" s="216" t="s">
        <v>38</v>
      </c>
      <c r="K16" s="216" t="s">
        <v>154</v>
      </c>
      <c r="L16" s="208">
        <v>3</v>
      </c>
      <c r="N16" s="208">
        <v>1</v>
      </c>
      <c r="O16" s="208">
        <v>0.65</v>
      </c>
      <c r="P16" s="208">
        <v>0.7</v>
      </c>
      <c r="Q16" s="245">
        <f t="shared" si="0"/>
        <v>0.67500000000000004</v>
      </c>
      <c r="R16" s="237">
        <v>15.6</v>
      </c>
      <c r="S16" s="208">
        <v>143</v>
      </c>
      <c r="T16" s="217">
        <f t="shared" si="1"/>
        <v>22</v>
      </c>
      <c r="U16" s="208">
        <v>138</v>
      </c>
      <c r="V16" s="217">
        <f t="shared" si="2"/>
        <v>3036</v>
      </c>
      <c r="W16" s="208">
        <v>2</v>
      </c>
      <c r="X16" s="55" t="s">
        <v>46</v>
      </c>
      <c r="Y16" s="55" t="s">
        <v>84</v>
      </c>
      <c r="Z16" s="216" t="s">
        <v>90</v>
      </c>
      <c r="AA16" s="55" t="s">
        <v>50</v>
      </c>
      <c r="AB16" s="55" t="s">
        <v>310</v>
      </c>
      <c r="AE16" s="223" t="s">
        <v>82</v>
      </c>
      <c r="AP16" s="224" t="s">
        <v>80</v>
      </c>
      <c r="AR16" s="238" t="s">
        <v>63</v>
      </c>
      <c r="AV16" s="224" t="s">
        <v>84</v>
      </c>
    </row>
    <row r="17" spans="1:48" x14ac:dyDescent="0.15">
      <c r="A17" s="55" t="s">
        <v>56</v>
      </c>
      <c r="B17" s="55" t="s">
        <v>374</v>
      </c>
      <c r="C17" s="216">
        <v>2018</v>
      </c>
      <c r="D17" s="86" t="s">
        <v>375</v>
      </c>
      <c r="E17" s="216" t="s">
        <v>376</v>
      </c>
      <c r="F17" s="216" t="s">
        <v>377</v>
      </c>
      <c r="G17" s="55" t="s">
        <v>42</v>
      </c>
      <c r="H17" s="216" t="s">
        <v>155</v>
      </c>
      <c r="I17" s="55" t="s">
        <v>153</v>
      </c>
      <c r="J17" s="216" t="s">
        <v>38</v>
      </c>
      <c r="K17" s="216" t="s">
        <v>154</v>
      </c>
      <c r="L17" s="208">
        <v>1</v>
      </c>
      <c r="N17" s="208">
        <v>1</v>
      </c>
      <c r="O17" s="208">
        <v>0.9</v>
      </c>
      <c r="P17" s="208">
        <v>1.1499999999999999</v>
      </c>
      <c r="Q17" s="245">
        <f t="shared" si="0"/>
        <v>1.0249999999999999</v>
      </c>
      <c r="R17" s="208">
        <v>12.5</v>
      </c>
      <c r="S17" s="208">
        <v>118</v>
      </c>
      <c r="T17" s="217">
        <f t="shared" si="1"/>
        <v>30</v>
      </c>
      <c r="U17" s="208">
        <v>83</v>
      </c>
      <c r="V17" s="217">
        <f t="shared" si="2"/>
        <v>2490</v>
      </c>
      <c r="W17" s="208">
        <v>2</v>
      </c>
      <c r="X17" s="55" t="s">
        <v>46</v>
      </c>
      <c r="Y17" s="55" t="s">
        <v>84</v>
      </c>
      <c r="Z17" s="216" t="s">
        <v>90</v>
      </c>
      <c r="AA17" s="55" t="s">
        <v>78</v>
      </c>
      <c r="AB17" s="55" t="s">
        <v>310</v>
      </c>
      <c r="AE17" s="223" t="s">
        <v>85</v>
      </c>
      <c r="AP17" s="239" t="s">
        <v>110</v>
      </c>
      <c r="AR17" s="238" t="s">
        <v>96</v>
      </c>
      <c r="AV17" s="224" t="s">
        <v>86</v>
      </c>
    </row>
    <row r="18" spans="1:48" x14ac:dyDescent="0.15">
      <c r="A18" s="55" t="s">
        <v>56</v>
      </c>
      <c r="B18" s="55" t="s">
        <v>374</v>
      </c>
      <c r="C18" s="216">
        <v>2018</v>
      </c>
      <c r="D18" s="86" t="s">
        <v>375</v>
      </c>
      <c r="E18" s="216" t="s">
        <v>376</v>
      </c>
      <c r="F18" s="216" t="s">
        <v>377</v>
      </c>
      <c r="G18" s="55" t="s">
        <v>42</v>
      </c>
      <c r="H18" s="216" t="s">
        <v>155</v>
      </c>
      <c r="I18" s="55" t="s">
        <v>153</v>
      </c>
      <c r="J18" s="216" t="s">
        <v>38</v>
      </c>
      <c r="K18" s="216" t="s">
        <v>154</v>
      </c>
      <c r="L18" s="208">
        <v>2</v>
      </c>
      <c r="N18" s="208">
        <v>1</v>
      </c>
      <c r="O18" s="208">
        <v>0.75</v>
      </c>
      <c r="P18" s="208">
        <v>0.8</v>
      </c>
      <c r="Q18" s="245">
        <f t="shared" si="0"/>
        <v>0.77500000000000002</v>
      </c>
      <c r="R18" s="208">
        <v>11.8</v>
      </c>
      <c r="S18" s="208">
        <v>117</v>
      </c>
      <c r="T18" s="217">
        <f t="shared" si="1"/>
        <v>30</v>
      </c>
      <c r="U18" s="208">
        <v>83</v>
      </c>
      <c r="V18" s="217">
        <f t="shared" si="2"/>
        <v>2490</v>
      </c>
      <c r="W18" s="208">
        <v>2</v>
      </c>
      <c r="X18" s="55" t="s">
        <v>46</v>
      </c>
      <c r="Y18" s="55" t="s">
        <v>84</v>
      </c>
      <c r="Z18" s="216" t="s">
        <v>90</v>
      </c>
      <c r="AA18" s="55" t="s">
        <v>78</v>
      </c>
      <c r="AB18" s="55" t="s">
        <v>310</v>
      </c>
      <c r="AE18" s="223" t="s">
        <v>87</v>
      </c>
      <c r="AP18" s="239" t="s">
        <v>111</v>
      </c>
      <c r="AR18" s="238" t="s">
        <v>101</v>
      </c>
      <c r="AV18" s="224" t="s">
        <v>88</v>
      </c>
    </row>
    <row r="19" spans="1:48" x14ac:dyDescent="0.15">
      <c r="A19" s="55" t="s">
        <v>56</v>
      </c>
      <c r="B19" s="55" t="s">
        <v>366</v>
      </c>
      <c r="C19" s="216">
        <v>2018</v>
      </c>
      <c r="D19" s="86" t="s">
        <v>367</v>
      </c>
      <c r="E19" s="216" t="s">
        <v>376</v>
      </c>
      <c r="F19" s="216" t="s">
        <v>377</v>
      </c>
      <c r="G19" s="55" t="s">
        <v>42</v>
      </c>
      <c r="H19" s="216" t="s">
        <v>155</v>
      </c>
      <c r="I19" s="55" t="s">
        <v>153</v>
      </c>
      <c r="J19" s="216" t="s">
        <v>38</v>
      </c>
      <c r="K19" s="216" t="s">
        <v>154</v>
      </c>
      <c r="L19" s="208">
        <v>3</v>
      </c>
      <c r="N19" s="208">
        <v>1</v>
      </c>
      <c r="O19" s="208">
        <v>0.8</v>
      </c>
      <c r="P19" s="208">
        <v>0.85</v>
      </c>
      <c r="Q19" s="245">
        <f t="shared" si="0"/>
        <v>0.82499999999999996</v>
      </c>
      <c r="R19" s="237">
        <v>14</v>
      </c>
      <c r="S19" s="208">
        <v>117</v>
      </c>
      <c r="T19" s="217">
        <f t="shared" si="1"/>
        <v>30</v>
      </c>
      <c r="U19" s="208">
        <v>83</v>
      </c>
      <c r="V19" s="217">
        <f t="shared" si="2"/>
        <v>2490</v>
      </c>
      <c r="W19" s="208">
        <v>2</v>
      </c>
      <c r="X19" s="55" t="s">
        <v>46</v>
      </c>
      <c r="Y19" s="55" t="s">
        <v>84</v>
      </c>
      <c r="Z19" s="216" t="s">
        <v>90</v>
      </c>
      <c r="AA19" s="55" t="s">
        <v>78</v>
      </c>
      <c r="AB19" s="55" t="s">
        <v>310</v>
      </c>
      <c r="AE19" s="236" t="s">
        <v>89</v>
      </c>
      <c r="AP19" s="239" t="s">
        <v>112</v>
      </c>
      <c r="AR19" s="231" t="s">
        <v>126</v>
      </c>
      <c r="AV19" s="224" t="s">
        <v>90</v>
      </c>
    </row>
    <row r="20" spans="1:48" x14ac:dyDescent="0.15">
      <c r="A20" s="55" t="s">
        <v>56</v>
      </c>
      <c r="B20" s="55" t="s">
        <v>366</v>
      </c>
      <c r="C20" s="216">
        <v>2018</v>
      </c>
      <c r="D20" s="86" t="s">
        <v>367</v>
      </c>
      <c r="E20" s="216" t="s">
        <v>299</v>
      </c>
      <c r="F20" s="216" t="s">
        <v>164</v>
      </c>
      <c r="G20" s="55" t="s">
        <v>42</v>
      </c>
      <c r="H20" s="216" t="s">
        <v>155</v>
      </c>
      <c r="I20" s="55" t="s">
        <v>153</v>
      </c>
      <c r="J20" s="216" t="s">
        <v>38</v>
      </c>
      <c r="K20" s="216" t="s">
        <v>154</v>
      </c>
      <c r="L20" s="208">
        <v>1</v>
      </c>
      <c r="N20" s="208">
        <v>1</v>
      </c>
      <c r="O20" s="208">
        <v>1.25</v>
      </c>
      <c r="P20" s="208">
        <v>1.3</v>
      </c>
      <c r="Q20" s="245">
        <f t="shared" si="0"/>
        <v>1.2749999999999999</v>
      </c>
      <c r="R20" s="208">
        <v>12</v>
      </c>
      <c r="S20" s="208">
        <v>126</v>
      </c>
      <c r="T20" s="217">
        <f t="shared" si="1"/>
        <v>27</v>
      </c>
      <c r="U20" s="208">
        <v>105</v>
      </c>
      <c r="V20" s="217">
        <f t="shared" si="2"/>
        <v>2835</v>
      </c>
      <c r="W20" s="208">
        <v>2</v>
      </c>
      <c r="X20" s="55" t="s">
        <v>39</v>
      </c>
      <c r="Y20" s="55" t="s">
        <v>84</v>
      </c>
      <c r="Z20" s="216" t="s">
        <v>90</v>
      </c>
      <c r="AA20" s="55" t="s">
        <v>50</v>
      </c>
      <c r="AB20" s="55" t="s">
        <v>310</v>
      </c>
      <c r="AP20" s="239" t="s">
        <v>113</v>
      </c>
      <c r="AR20" s="238" t="s">
        <v>105</v>
      </c>
      <c r="AV20" s="228" t="s">
        <v>340</v>
      </c>
    </row>
    <row r="21" spans="1:48" x14ac:dyDescent="0.15">
      <c r="A21" s="55" t="s">
        <v>56</v>
      </c>
      <c r="B21" s="55" t="s">
        <v>366</v>
      </c>
      <c r="C21" s="216">
        <v>2018</v>
      </c>
      <c r="D21" s="86" t="s">
        <v>367</v>
      </c>
      <c r="E21" s="216" t="s">
        <v>299</v>
      </c>
      <c r="F21" s="216" t="s">
        <v>164</v>
      </c>
      <c r="G21" s="55" t="s">
        <v>42</v>
      </c>
      <c r="H21" s="216" t="s">
        <v>155</v>
      </c>
      <c r="I21" s="55" t="s">
        <v>153</v>
      </c>
      <c r="J21" s="216" t="s">
        <v>38</v>
      </c>
      <c r="K21" s="216" t="s">
        <v>154</v>
      </c>
      <c r="L21" s="208">
        <v>2</v>
      </c>
      <c r="N21" s="208">
        <v>1</v>
      </c>
      <c r="O21" s="208">
        <v>0.85</v>
      </c>
      <c r="P21" s="208">
        <v>1.2</v>
      </c>
      <c r="Q21" s="245">
        <f t="shared" si="0"/>
        <v>1.0249999999999999</v>
      </c>
      <c r="R21" s="208">
        <v>12.4</v>
      </c>
      <c r="S21" s="208">
        <v>129</v>
      </c>
      <c r="T21" s="217">
        <f t="shared" si="1"/>
        <v>25</v>
      </c>
      <c r="U21" s="208">
        <v>105</v>
      </c>
      <c r="V21" s="217">
        <f t="shared" si="2"/>
        <v>2625</v>
      </c>
      <c r="W21" s="208">
        <v>2</v>
      </c>
      <c r="X21" s="55" t="s">
        <v>39</v>
      </c>
      <c r="Y21" s="55" t="s">
        <v>84</v>
      </c>
      <c r="Z21" s="216" t="s">
        <v>90</v>
      </c>
      <c r="AA21" s="55" t="s">
        <v>50</v>
      </c>
      <c r="AB21" s="55" t="s">
        <v>310</v>
      </c>
      <c r="AP21" s="239" t="s">
        <v>114</v>
      </c>
      <c r="AR21" s="238" t="s">
        <v>68</v>
      </c>
      <c r="AV21" s="229" t="s">
        <v>378</v>
      </c>
    </row>
    <row r="22" spans="1:48" x14ac:dyDescent="0.15">
      <c r="A22" s="55" t="s">
        <v>56</v>
      </c>
      <c r="B22" s="55" t="s">
        <v>366</v>
      </c>
      <c r="C22" s="216">
        <v>2018</v>
      </c>
      <c r="D22" s="86" t="s">
        <v>367</v>
      </c>
      <c r="E22" s="216" t="s">
        <v>299</v>
      </c>
      <c r="F22" s="216" t="s">
        <v>164</v>
      </c>
      <c r="G22" s="55" t="s">
        <v>42</v>
      </c>
      <c r="H22" s="216" t="s">
        <v>155</v>
      </c>
      <c r="I22" s="55" t="s">
        <v>153</v>
      </c>
      <c r="J22" s="216" t="s">
        <v>38</v>
      </c>
      <c r="K22" s="216" t="s">
        <v>154</v>
      </c>
      <c r="L22" s="208">
        <v>3</v>
      </c>
      <c r="N22" s="208">
        <v>1</v>
      </c>
      <c r="O22" s="208">
        <v>0.85</v>
      </c>
      <c r="P22" s="208">
        <v>0.85</v>
      </c>
      <c r="Q22" s="245">
        <f t="shared" si="0"/>
        <v>0.85</v>
      </c>
      <c r="R22" s="208">
        <v>12</v>
      </c>
      <c r="S22" s="208">
        <v>125</v>
      </c>
      <c r="T22" s="217">
        <f t="shared" si="1"/>
        <v>27</v>
      </c>
      <c r="U22" s="208">
        <v>105</v>
      </c>
      <c r="V22" s="217">
        <f t="shared" si="2"/>
        <v>2835</v>
      </c>
      <c r="W22" s="208">
        <v>2</v>
      </c>
      <c r="X22" s="55" t="s">
        <v>39</v>
      </c>
      <c r="Y22" s="55" t="s">
        <v>84</v>
      </c>
      <c r="Z22" s="216" t="s">
        <v>90</v>
      </c>
      <c r="AA22" s="55" t="s">
        <v>50</v>
      </c>
      <c r="AB22" s="55" t="s">
        <v>310</v>
      </c>
      <c r="AP22" s="239" t="s">
        <v>115</v>
      </c>
      <c r="AR22" s="238" t="s">
        <v>83</v>
      </c>
    </row>
    <row r="23" spans="1:48" x14ac:dyDescent="0.15">
      <c r="A23" s="55" t="s">
        <v>56</v>
      </c>
      <c r="B23" s="55" t="s">
        <v>366</v>
      </c>
      <c r="C23" s="216">
        <v>2018</v>
      </c>
      <c r="D23" s="86" t="s">
        <v>367</v>
      </c>
      <c r="E23" s="216" t="s">
        <v>299</v>
      </c>
      <c r="F23" s="216" t="s">
        <v>164</v>
      </c>
      <c r="G23" s="55" t="s">
        <v>42</v>
      </c>
      <c r="H23" s="216" t="s">
        <v>157</v>
      </c>
      <c r="I23" s="55" t="s">
        <v>153</v>
      </c>
      <c r="J23" s="216" t="s">
        <v>38</v>
      </c>
      <c r="K23" s="216" t="s">
        <v>154</v>
      </c>
      <c r="L23" s="208">
        <v>1</v>
      </c>
      <c r="N23" s="208">
        <v>1</v>
      </c>
      <c r="O23" s="208">
        <v>0.7</v>
      </c>
      <c r="P23" s="208">
        <v>0.75</v>
      </c>
      <c r="Q23" s="245">
        <f t="shared" si="0"/>
        <v>0.72499999999999998</v>
      </c>
      <c r="R23" s="208">
        <v>14.7</v>
      </c>
      <c r="S23" s="208">
        <v>131</v>
      </c>
      <c r="T23" s="217">
        <f t="shared" si="1"/>
        <v>25</v>
      </c>
      <c r="U23" s="208">
        <v>149</v>
      </c>
      <c r="V23" s="217">
        <f t="shared" si="2"/>
        <v>3725</v>
      </c>
      <c r="W23" s="208">
        <v>2</v>
      </c>
      <c r="X23" s="55" t="s">
        <v>39</v>
      </c>
      <c r="Y23" s="55" t="s">
        <v>84</v>
      </c>
      <c r="Z23" s="216" t="s">
        <v>90</v>
      </c>
      <c r="AA23" s="55" t="s">
        <v>50</v>
      </c>
      <c r="AB23" s="55" t="s">
        <v>310</v>
      </c>
      <c r="AP23" s="239" t="s">
        <v>379</v>
      </c>
      <c r="AR23" s="238" t="s">
        <v>61</v>
      </c>
    </row>
    <row r="24" spans="1:48" x14ac:dyDescent="0.15">
      <c r="A24" s="55" t="s">
        <v>56</v>
      </c>
      <c r="B24" s="55" t="s">
        <v>366</v>
      </c>
      <c r="C24" s="216">
        <v>2018</v>
      </c>
      <c r="D24" s="86" t="s">
        <v>367</v>
      </c>
      <c r="E24" s="216" t="s">
        <v>299</v>
      </c>
      <c r="F24" s="216" t="s">
        <v>164</v>
      </c>
      <c r="G24" s="55" t="s">
        <v>42</v>
      </c>
      <c r="H24" s="216" t="s">
        <v>157</v>
      </c>
      <c r="I24" s="55" t="s">
        <v>153</v>
      </c>
      <c r="J24" s="216" t="s">
        <v>38</v>
      </c>
      <c r="K24" s="216" t="s">
        <v>154</v>
      </c>
      <c r="L24" s="208">
        <v>2</v>
      </c>
      <c r="N24" s="208">
        <v>1</v>
      </c>
      <c r="O24" s="208">
        <v>0.7</v>
      </c>
      <c r="P24" s="208">
        <v>0.7</v>
      </c>
      <c r="Q24" s="245">
        <f t="shared" si="0"/>
        <v>0.7</v>
      </c>
      <c r="R24" s="208">
        <v>15.2</v>
      </c>
      <c r="S24" s="208">
        <v>127</v>
      </c>
      <c r="T24" s="217">
        <f t="shared" si="1"/>
        <v>27</v>
      </c>
      <c r="U24" s="208">
        <v>149</v>
      </c>
      <c r="V24" s="217">
        <f t="shared" si="2"/>
        <v>4023</v>
      </c>
      <c r="W24" s="208">
        <v>2</v>
      </c>
      <c r="X24" s="55" t="s">
        <v>39</v>
      </c>
      <c r="Y24" s="55" t="s">
        <v>84</v>
      </c>
      <c r="Z24" s="216" t="s">
        <v>90</v>
      </c>
      <c r="AA24" s="55" t="s">
        <v>50</v>
      </c>
      <c r="AB24" s="55" t="s">
        <v>310</v>
      </c>
      <c r="AP24" s="239" t="s">
        <v>380</v>
      </c>
      <c r="AR24" s="238" t="s">
        <v>91</v>
      </c>
    </row>
    <row r="25" spans="1:48" x14ac:dyDescent="0.15">
      <c r="A25" s="55" t="s">
        <v>56</v>
      </c>
      <c r="B25" s="55" t="s">
        <v>366</v>
      </c>
      <c r="C25" s="216">
        <v>2018</v>
      </c>
      <c r="D25" s="86" t="s">
        <v>367</v>
      </c>
      <c r="E25" s="216" t="s">
        <v>299</v>
      </c>
      <c r="F25" s="216" t="s">
        <v>164</v>
      </c>
      <c r="G25" s="55" t="s">
        <v>42</v>
      </c>
      <c r="H25" s="216" t="s">
        <v>157</v>
      </c>
      <c r="I25" s="55" t="s">
        <v>153</v>
      </c>
      <c r="J25" s="216" t="s">
        <v>38</v>
      </c>
      <c r="K25" s="216" t="s">
        <v>154</v>
      </c>
      <c r="L25" s="208">
        <v>3</v>
      </c>
      <c r="N25" s="208">
        <v>1</v>
      </c>
      <c r="O25" s="208">
        <v>0.75</v>
      </c>
      <c r="P25" s="208">
        <v>0.7</v>
      </c>
      <c r="Q25" s="245">
        <f t="shared" si="0"/>
        <v>0.72499999999999998</v>
      </c>
      <c r="R25" s="208">
        <v>14.3</v>
      </c>
      <c r="S25" s="208">
        <v>130</v>
      </c>
      <c r="T25" s="217">
        <f t="shared" si="1"/>
        <v>25</v>
      </c>
      <c r="U25" s="208">
        <v>149</v>
      </c>
      <c r="V25" s="217">
        <f t="shared" si="2"/>
        <v>3725</v>
      </c>
      <c r="W25" s="208">
        <v>2</v>
      </c>
      <c r="X25" s="55" t="s">
        <v>39</v>
      </c>
      <c r="Y25" s="55" t="s">
        <v>84</v>
      </c>
      <c r="Z25" s="216" t="s">
        <v>90</v>
      </c>
      <c r="AA25" s="55" t="s">
        <v>50</v>
      </c>
      <c r="AB25" s="55" t="s">
        <v>310</v>
      </c>
      <c r="AP25" s="239" t="s">
        <v>116</v>
      </c>
      <c r="AR25" s="42" t="s">
        <v>92</v>
      </c>
    </row>
    <row r="26" spans="1:48" x14ac:dyDescent="0.15">
      <c r="A26" s="55" t="s">
        <v>56</v>
      </c>
      <c r="B26" s="55" t="s">
        <v>366</v>
      </c>
      <c r="C26" s="216">
        <v>2018</v>
      </c>
      <c r="D26" s="86" t="s">
        <v>367</v>
      </c>
      <c r="E26" s="216" t="s">
        <v>381</v>
      </c>
      <c r="F26" s="216" t="s">
        <v>164</v>
      </c>
      <c r="G26" s="55" t="s">
        <v>42</v>
      </c>
      <c r="H26" s="216" t="s">
        <v>155</v>
      </c>
      <c r="I26" s="55" t="s">
        <v>153</v>
      </c>
      <c r="J26" s="216" t="s">
        <v>38</v>
      </c>
      <c r="K26" s="216" t="s">
        <v>154</v>
      </c>
      <c r="L26" s="208">
        <v>1</v>
      </c>
      <c r="N26" s="208">
        <v>1</v>
      </c>
      <c r="O26" s="208">
        <v>0.7</v>
      </c>
      <c r="P26" s="208">
        <v>0.75</v>
      </c>
      <c r="Q26" s="217">
        <f t="shared" si="0"/>
        <v>0.72499999999999998</v>
      </c>
      <c r="R26" s="208">
        <v>15.2</v>
      </c>
      <c r="S26" s="208">
        <v>126</v>
      </c>
      <c r="T26" s="217">
        <f t="shared" si="1"/>
        <v>27</v>
      </c>
      <c r="U26" s="208">
        <v>138</v>
      </c>
      <c r="V26" s="217">
        <f t="shared" si="2"/>
        <v>3726</v>
      </c>
      <c r="W26" s="208">
        <v>1</v>
      </c>
      <c r="X26" s="55" t="s">
        <v>39</v>
      </c>
      <c r="Y26" s="55" t="s">
        <v>84</v>
      </c>
      <c r="Z26" s="216" t="s">
        <v>90</v>
      </c>
      <c r="AA26" s="55" t="s">
        <v>69</v>
      </c>
      <c r="AB26" s="55" t="s">
        <v>310</v>
      </c>
      <c r="AP26" s="239" t="s">
        <v>117</v>
      </c>
      <c r="AR26" s="208" t="s">
        <v>273</v>
      </c>
    </row>
    <row r="27" spans="1:48" x14ac:dyDescent="0.15">
      <c r="A27" s="55" t="s">
        <v>56</v>
      </c>
      <c r="B27" s="55" t="s">
        <v>366</v>
      </c>
      <c r="C27" s="216">
        <v>2018</v>
      </c>
      <c r="D27" s="86" t="s">
        <v>367</v>
      </c>
      <c r="E27" s="216" t="s">
        <v>381</v>
      </c>
      <c r="F27" s="216" t="s">
        <v>164</v>
      </c>
      <c r="G27" s="55" t="s">
        <v>42</v>
      </c>
      <c r="H27" s="216" t="s">
        <v>155</v>
      </c>
      <c r="I27" s="55" t="s">
        <v>153</v>
      </c>
      <c r="J27" s="216" t="s">
        <v>38</v>
      </c>
      <c r="K27" s="216" t="s">
        <v>154</v>
      </c>
      <c r="L27" s="208">
        <v>2</v>
      </c>
      <c r="N27" s="208">
        <v>1</v>
      </c>
      <c r="O27" s="208">
        <v>0.95</v>
      </c>
      <c r="P27" s="208">
        <v>0.9</v>
      </c>
      <c r="Q27" s="217">
        <f t="shared" si="0"/>
        <v>0.92500000000000004</v>
      </c>
      <c r="R27" s="208">
        <v>12.4</v>
      </c>
      <c r="S27" s="208">
        <v>127</v>
      </c>
      <c r="T27" s="217">
        <f t="shared" si="1"/>
        <v>27</v>
      </c>
      <c r="U27" s="208">
        <v>138</v>
      </c>
      <c r="V27" s="217">
        <f t="shared" si="2"/>
        <v>3726</v>
      </c>
      <c r="W27" s="208">
        <v>1</v>
      </c>
      <c r="X27" s="55" t="s">
        <v>39</v>
      </c>
      <c r="Y27" s="55" t="s">
        <v>84</v>
      </c>
      <c r="Z27" s="216" t="s">
        <v>90</v>
      </c>
      <c r="AA27" s="55" t="s">
        <v>69</v>
      </c>
      <c r="AB27" s="55" t="s">
        <v>310</v>
      </c>
      <c r="AP27" s="239" t="s">
        <v>118</v>
      </c>
    </row>
    <row r="28" spans="1:48" x14ac:dyDescent="0.15">
      <c r="A28" s="55" t="s">
        <v>56</v>
      </c>
      <c r="B28" s="55" t="s">
        <v>366</v>
      </c>
      <c r="C28" s="216">
        <v>2018</v>
      </c>
      <c r="D28" s="86" t="s">
        <v>367</v>
      </c>
      <c r="E28" s="216" t="s">
        <v>381</v>
      </c>
      <c r="F28" s="216" t="s">
        <v>164</v>
      </c>
      <c r="G28" s="55" t="s">
        <v>42</v>
      </c>
      <c r="H28" s="216" t="s">
        <v>155</v>
      </c>
      <c r="I28" s="55" t="s">
        <v>153</v>
      </c>
      <c r="J28" s="216" t="s">
        <v>38</v>
      </c>
      <c r="K28" s="216" t="s">
        <v>154</v>
      </c>
      <c r="L28" s="208">
        <v>3</v>
      </c>
      <c r="N28" s="208">
        <v>1</v>
      </c>
      <c r="O28" s="208">
        <v>1.05</v>
      </c>
      <c r="P28" s="208">
        <v>1.1000000000000001</v>
      </c>
      <c r="Q28" s="217">
        <f t="shared" si="0"/>
        <v>1.0750000000000002</v>
      </c>
      <c r="R28" s="208">
        <v>13.6</v>
      </c>
      <c r="S28" s="208">
        <v>130</v>
      </c>
      <c r="T28" s="217">
        <f t="shared" si="1"/>
        <v>25</v>
      </c>
      <c r="U28" s="208">
        <v>138</v>
      </c>
      <c r="V28" s="217">
        <f t="shared" si="2"/>
        <v>3450</v>
      </c>
      <c r="W28" s="208">
        <v>1</v>
      </c>
      <c r="X28" s="55" t="s">
        <v>39</v>
      </c>
      <c r="Y28" s="55" t="s">
        <v>84</v>
      </c>
      <c r="Z28" s="216" t="s">
        <v>90</v>
      </c>
      <c r="AA28" s="55" t="s">
        <v>69</v>
      </c>
      <c r="AB28" s="55" t="s">
        <v>310</v>
      </c>
    </row>
    <row r="29" spans="1:48" x14ac:dyDescent="0.15">
      <c r="A29" s="55" t="s">
        <v>56</v>
      </c>
      <c r="B29" s="55" t="s">
        <v>366</v>
      </c>
      <c r="C29" s="216">
        <v>2018</v>
      </c>
      <c r="D29" s="86" t="s">
        <v>367</v>
      </c>
      <c r="E29" s="216" t="s">
        <v>381</v>
      </c>
      <c r="F29" s="216" t="s">
        <v>164</v>
      </c>
      <c r="G29" s="55" t="s">
        <v>42</v>
      </c>
      <c r="H29" s="216" t="s">
        <v>157</v>
      </c>
      <c r="I29" s="55" t="s">
        <v>153</v>
      </c>
      <c r="J29" s="216" t="s">
        <v>38</v>
      </c>
      <c r="K29" s="216" t="s">
        <v>154</v>
      </c>
      <c r="L29" s="208">
        <v>1</v>
      </c>
      <c r="N29" s="208">
        <v>1</v>
      </c>
      <c r="O29" s="208">
        <v>0.7</v>
      </c>
      <c r="P29" s="208">
        <v>0.7</v>
      </c>
      <c r="Q29" s="217">
        <f t="shared" si="0"/>
        <v>0.7</v>
      </c>
      <c r="R29" s="208">
        <v>16</v>
      </c>
      <c r="S29" s="208">
        <v>133</v>
      </c>
      <c r="T29" s="217">
        <f t="shared" si="1"/>
        <v>25</v>
      </c>
      <c r="U29" s="208">
        <v>177</v>
      </c>
      <c r="V29" s="217">
        <f t="shared" si="2"/>
        <v>4425</v>
      </c>
      <c r="W29" s="208">
        <v>1</v>
      </c>
      <c r="X29" s="55" t="s">
        <v>39</v>
      </c>
      <c r="Y29" s="55" t="s">
        <v>84</v>
      </c>
      <c r="Z29" s="216" t="s">
        <v>90</v>
      </c>
      <c r="AA29" s="55" t="s">
        <v>69</v>
      </c>
      <c r="AB29" s="55" t="s">
        <v>310</v>
      </c>
    </row>
    <row r="30" spans="1:48" x14ac:dyDescent="0.15">
      <c r="A30" s="55" t="s">
        <v>56</v>
      </c>
      <c r="B30" s="55" t="s">
        <v>366</v>
      </c>
      <c r="C30" s="216">
        <v>2018</v>
      </c>
      <c r="D30" s="86" t="s">
        <v>367</v>
      </c>
      <c r="E30" s="216" t="s">
        <v>381</v>
      </c>
      <c r="F30" s="216" t="s">
        <v>164</v>
      </c>
      <c r="G30" s="55" t="s">
        <v>42</v>
      </c>
      <c r="H30" s="216" t="s">
        <v>157</v>
      </c>
      <c r="I30" s="55" t="s">
        <v>153</v>
      </c>
      <c r="J30" s="216" t="s">
        <v>38</v>
      </c>
      <c r="K30" s="216" t="s">
        <v>154</v>
      </c>
      <c r="L30" s="208">
        <v>2</v>
      </c>
      <c r="N30" s="208">
        <v>1</v>
      </c>
      <c r="O30" s="208">
        <v>0.7</v>
      </c>
      <c r="P30" s="208">
        <v>0.7</v>
      </c>
      <c r="Q30" s="217">
        <f t="shared" si="0"/>
        <v>0.7</v>
      </c>
      <c r="R30" s="208">
        <v>15.5</v>
      </c>
      <c r="S30" s="208">
        <v>131</v>
      </c>
      <c r="T30" s="217">
        <f t="shared" si="1"/>
        <v>25</v>
      </c>
      <c r="U30" s="208">
        <v>177</v>
      </c>
      <c r="V30" s="217">
        <f t="shared" si="2"/>
        <v>4425</v>
      </c>
      <c r="W30" s="208">
        <v>1</v>
      </c>
      <c r="X30" s="55" t="s">
        <v>39</v>
      </c>
      <c r="Y30" s="55" t="s">
        <v>84</v>
      </c>
      <c r="Z30" s="216" t="s">
        <v>90</v>
      </c>
      <c r="AA30" s="55" t="s">
        <v>69</v>
      </c>
      <c r="AB30" s="55" t="s">
        <v>310</v>
      </c>
    </row>
    <row r="31" spans="1:48" x14ac:dyDescent="0.15">
      <c r="A31" s="55" t="s">
        <v>56</v>
      </c>
      <c r="B31" s="55" t="s">
        <v>366</v>
      </c>
      <c r="C31" s="216">
        <v>2018</v>
      </c>
      <c r="D31" s="86" t="s">
        <v>367</v>
      </c>
      <c r="E31" s="216" t="s">
        <v>381</v>
      </c>
      <c r="F31" s="216" t="s">
        <v>164</v>
      </c>
      <c r="G31" s="55" t="s">
        <v>42</v>
      </c>
      <c r="H31" s="216" t="s">
        <v>157</v>
      </c>
      <c r="I31" s="55" t="s">
        <v>153</v>
      </c>
      <c r="J31" s="216" t="s">
        <v>38</v>
      </c>
      <c r="K31" s="216" t="s">
        <v>154</v>
      </c>
      <c r="L31" s="208">
        <v>3</v>
      </c>
      <c r="N31" s="208">
        <v>1</v>
      </c>
      <c r="O31" s="208">
        <v>0.7</v>
      </c>
      <c r="P31" s="208">
        <v>0.7</v>
      </c>
      <c r="Q31" s="217">
        <f t="shared" si="0"/>
        <v>0.7</v>
      </c>
      <c r="R31" s="208">
        <v>15.8</v>
      </c>
      <c r="S31" s="208">
        <v>136</v>
      </c>
      <c r="T31" s="217">
        <f t="shared" si="1"/>
        <v>25</v>
      </c>
      <c r="U31" s="208">
        <v>177</v>
      </c>
      <c r="V31" s="217">
        <f t="shared" si="2"/>
        <v>4425</v>
      </c>
      <c r="W31" s="208">
        <v>1</v>
      </c>
      <c r="X31" s="55" t="s">
        <v>39</v>
      </c>
      <c r="Y31" s="55" t="s">
        <v>84</v>
      </c>
      <c r="Z31" s="216" t="s">
        <v>90</v>
      </c>
      <c r="AA31" s="55" t="s">
        <v>69</v>
      </c>
      <c r="AB31" s="55" t="s">
        <v>310</v>
      </c>
    </row>
    <row r="32" spans="1:48" x14ac:dyDescent="0.15">
      <c r="A32" s="55" t="s">
        <v>56</v>
      </c>
      <c r="B32" s="55" t="s">
        <v>366</v>
      </c>
      <c r="C32" s="216">
        <v>2018</v>
      </c>
      <c r="D32" s="86" t="s">
        <v>367</v>
      </c>
      <c r="E32" s="216" t="s">
        <v>165</v>
      </c>
      <c r="F32" s="216" t="s">
        <v>377</v>
      </c>
      <c r="G32" s="55" t="s">
        <v>42</v>
      </c>
      <c r="H32" s="216" t="s">
        <v>155</v>
      </c>
      <c r="I32" s="55" t="s">
        <v>156</v>
      </c>
      <c r="J32" s="216" t="s">
        <v>38</v>
      </c>
      <c r="K32" s="216" t="s">
        <v>154</v>
      </c>
      <c r="L32" s="208">
        <v>1</v>
      </c>
      <c r="N32" s="208">
        <v>4</v>
      </c>
      <c r="O32" s="208">
        <v>0.65</v>
      </c>
      <c r="P32" s="208">
        <v>0.7</v>
      </c>
      <c r="Q32" s="217">
        <f t="shared" si="0"/>
        <v>0.67500000000000004</v>
      </c>
      <c r="R32" s="208">
        <v>12.9</v>
      </c>
      <c r="S32" s="208">
        <v>101</v>
      </c>
      <c r="T32" s="217">
        <f t="shared" si="1"/>
        <v>33</v>
      </c>
      <c r="U32" s="208">
        <v>539</v>
      </c>
      <c r="V32" s="217">
        <f t="shared" si="2"/>
        <v>4446.75</v>
      </c>
      <c r="W32" s="208">
        <v>6</v>
      </c>
      <c r="X32" s="55" t="s">
        <v>39</v>
      </c>
      <c r="Y32" s="55" t="s">
        <v>84</v>
      </c>
      <c r="Z32" s="216" t="s">
        <v>90</v>
      </c>
      <c r="AA32" s="55" t="s">
        <v>55</v>
      </c>
      <c r="AB32" s="55" t="s">
        <v>310</v>
      </c>
    </row>
    <row r="33" spans="1:28" x14ac:dyDescent="0.15">
      <c r="A33" s="55" t="s">
        <v>56</v>
      </c>
      <c r="B33" s="55" t="s">
        <v>366</v>
      </c>
      <c r="C33" s="216">
        <v>2018</v>
      </c>
      <c r="D33" s="86" t="s">
        <v>367</v>
      </c>
      <c r="E33" s="216" t="s">
        <v>165</v>
      </c>
      <c r="F33" s="216" t="s">
        <v>377</v>
      </c>
      <c r="G33" s="55" t="s">
        <v>42</v>
      </c>
      <c r="H33" s="216" t="s">
        <v>155</v>
      </c>
      <c r="I33" s="55" t="s">
        <v>156</v>
      </c>
      <c r="J33" s="216" t="s">
        <v>38</v>
      </c>
      <c r="K33" s="216" t="s">
        <v>154</v>
      </c>
      <c r="L33" s="208">
        <v>2</v>
      </c>
      <c r="N33" s="208">
        <v>4</v>
      </c>
      <c r="O33" s="208">
        <v>0.75</v>
      </c>
      <c r="P33" s="208">
        <v>0.75</v>
      </c>
      <c r="Q33" s="217">
        <f t="shared" si="0"/>
        <v>0.75</v>
      </c>
      <c r="R33" s="208">
        <v>12.3</v>
      </c>
      <c r="S33" s="208">
        <v>94</v>
      </c>
      <c r="T33" s="217">
        <f t="shared" si="1"/>
        <v>36</v>
      </c>
      <c r="U33" s="208">
        <v>539</v>
      </c>
      <c r="V33" s="217">
        <f t="shared" si="2"/>
        <v>4851</v>
      </c>
      <c r="W33" s="208">
        <v>6</v>
      </c>
      <c r="X33" s="55" t="s">
        <v>39</v>
      </c>
      <c r="Y33" s="55" t="s">
        <v>84</v>
      </c>
      <c r="Z33" s="216" t="s">
        <v>90</v>
      </c>
      <c r="AA33" s="55" t="s">
        <v>55</v>
      </c>
      <c r="AB33" s="55" t="s">
        <v>310</v>
      </c>
    </row>
    <row r="34" spans="1:28" x14ac:dyDescent="0.15">
      <c r="A34" s="55" t="s">
        <v>56</v>
      </c>
      <c r="B34" s="55" t="s">
        <v>366</v>
      </c>
      <c r="C34" s="216">
        <v>2018</v>
      </c>
      <c r="D34" s="86" t="s">
        <v>367</v>
      </c>
      <c r="E34" s="216" t="s">
        <v>165</v>
      </c>
      <c r="F34" s="216" t="s">
        <v>377</v>
      </c>
      <c r="G34" s="55" t="s">
        <v>42</v>
      </c>
      <c r="H34" s="216" t="s">
        <v>155</v>
      </c>
      <c r="I34" s="55" t="s">
        <v>156</v>
      </c>
      <c r="J34" s="216" t="s">
        <v>38</v>
      </c>
      <c r="K34" s="216" t="s">
        <v>154</v>
      </c>
      <c r="L34" s="208">
        <v>3</v>
      </c>
      <c r="N34" s="208">
        <v>4</v>
      </c>
      <c r="O34" s="208">
        <v>0.75</v>
      </c>
      <c r="P34" s="208">
        <v>0.7</v>
      </c>
      <c r="Q34" s="217">
        <f t="shared" si="0"/>
        <v>0.72499999999999998</v>
      </c>
      <c r="R34" s="208">
        <v>13.2</v>
      </c>
      <c r="S34" s="208">
        <v>102</v>
      </c>
      <c r="T34" s="217">
        <f t="shared" si="1"/>
        <v>33</v>
      </c>
      <c r="U34" s="208">
        <v>539</v>
      </c>
      <c r="V34" s="217">
        <f t="shared" si="2"/>
        <v>4446.75</v>
      </c>
      <c r="W34" s="208">
        <v>6</v>
      </c>
      <c r="X34" s="55" t="s">
        <v>39</v>
      </c>
      <c r="Y34" s="55" t="s">
        <v>84</v>
      </c>
      <c r="Z34" s="216" t="s">
        <v>90</v>
      </c>
      <c r="AA34" s="55" t="s">
        <v>55</v>
      </c>
      <c r="AB34" s="55" t="s">
        <v>310</v>
      </c>
    </row>
    <row r="35" spans="1:28" x14ac:dyDescent="0.15">
      <c r="A35" s="55" t="s">
        <v>56</v>
      </c>
      <c r="B35" s="55" t="s">
        <v>366</v>
      </c>
      <c r="C35" s="216">
        <v>2018</v>
      </c>
      <c r="D35" s="86" t="s">
        <v>367</v>
      </c>
      <c r="E35" s="216" t="s">
        <v>299</v>
      </c>
      <c r="F35" s="216" t="s">
        <v>377</v>
      </c>
      <c r="G35" s="55" t="s">
        <v>42</v>
      </c>
      <c r="H35" s="216" t="s">
        <v>155</v>
      </c>
      <c r="I35" s="55" t="s">
        <v>153</v>
      </c>
      <c r="J35" s="216" t="s">
        <v>38</v>
      </c>
      <c r="K35" s="216" t="s">
        <v>154</v>
      </c>
      <c r="L35" s="208">
        <v>1</v>
      </c>
      <c r="N35" s="208">
        <v>10</v>
      </c>
      <c r="O35" s="208">
        <v>0.6</v>
      </c>
      <c r="P35" s="208">
        <v>0.6</v>
      </c>
      <c r="Q35" s="217">
        <f t="shared" si="0"/>
        <v>0.6</v>
      </c>
      <c r="R35" s="208">
        <v>15.2</v>
      </c>
      <c r="S35" s="208">
        <v>82</v>
      </c>
      <c r="T35" s="217">
        <f t="shared" si="1"/>
        <v>39</v>
      </c>
      <c r="U35" s="208">
        <v>537</v>
      </c>
      <c r="V35" s="217">
        <f t="shared" si="2"/>
        <v>2094.3000000000002</v>
      </c>
      <c r="W35" s="208">
        <v>2</v>
      </c>
      <c r="X35" s="55" t="s">
        <v>46</v>
      </c>
      <c r="Y35" s="55" t="s">
        <v>84</v>
      </c>
      <c r="Z35" s="208" t="s">
        <v>90</v>
      </c>
      <c r="AA35" s="55" t="s">
        <v>50</v>
      </c>
      <c r="AB35" s="55" t="s">
        <v>310</v>
      </c>
    </row>
    <row r="36" spans="1:28" x14ac:dyDescent="0.15">
      <c r="A36" s="55" t="s">
        <v>56</v>
      </c>
      <c r="B36" s="55" t="s">
        <v>366</v>
      </c>
      <c r="C36" s="216">
        <v>2018</v>
      </c>
      <c r="D36" s="86" t="s">
        <v>367</v>
      </c>
      <c r="E36" s="216" t="s">
        <v>299</v>
      </c>
      <c r="F36" s="216" t="s">
        <v>377</v>
      </c>
      <c r="G36" s="55" t="s">
        <v>42</v>
      </c>
      <c r="H36" s="216" t="s">
        <v>155</v>
      </c>
      <c r="I36" s="55" t="s">
        <v>153</v>
      </c>
      <c r="J36" s="216" t="s">
        <v>38</v>
      </c>
      <c r="K36" s="216" t="s">
        <v>154</v>
      </c>
      <c r="L36" s="208">
        <v>2</v>
      </c>
      <c r="N36" s="208">
        <v>10</v>
      </c>
      <c r="O36" s="208">
        <v>0.85</v>
      </c>
      <c r="P36" s="208">
        <v>0.7</v>
      </c>
      <c r="Q36" s="217">
        <f t="shared" si="0"/>
        <v>0.77499999999999991</v>
      </c>
      <c r="R36" s="208">
        <v>12.2</v>
      </c>
      <c r="S36" s="208">
        <v>87</v>
      </c>
      <c r="T36" s="217">
        <f t="shared" si="1"/>
        <v>36</v>
      </c>
      <c r="U36" s="208">
        <v>537</v>
      </c>
      <c r="V36" s="217">
        <f t="shared" si="2"/>
        <v>1933.2</v>
      </c>
      <c r="W36" s="208">
        <v>2</v>
      </c>
      <c r="X36" s="55" t="s">
        <v>46</v>
      </c>
      <c r="Y36" s="55" t="s">
        <v>84</v>
      </c>
      <c r="Z36" s="208" t="s">
        <v>90</v>
      </c>
      <c r="AA36" s="55" t="s">
        <v>50</v>
      </c>
      <c r="AB36" s="55" t="s">
        <v>310</v>
      </c>
    </row>
    <row r="37" spans="1:28" x14ac:dyDescent="0.15">
      <c r="A37" s="55" t="s">
        <v>56</v>
      </c>
      <c r="B37" s="55" t="s">
        <v>366</v>
      </c>
      <c r="C37" s="216">
        <v>2018</v>
      </c>
      <c r="D37" s="86" t="s">
        <v>367</v>
      </c>
      <c r="E37" s="216" t="s">
        <v>299</v>
      </c>
      <c r="F37" s="216" t="s">
        <v>377</v>
      </c>
      <c r="G37" s="55" t="s">
        <v>42</v>
      </c>
      <c r="H37" s="216" t="s">
        <v>155</v>
      </c>
      <c r="I37" s="55" t="s">
        <v>153</v>
      </c>
      <c r="J37" s="216" t="s">
        <v>38</v>
      </c>
      <c r="K37" s="216" t="s">
        <v>154</v>
      </c>
      <c r="L37" s="208">
        <v>3</v>
      </c>
      <c r="N37" s="208">
        <v>10</v>
      </c>
      <c r="O37" s="208">
        <v>0.6</v>
      </c>
      <c r="P37" s="208">
        <v>0.6</v>
      </c>
      <c r="Q37" s="217">
        <f t="shared" si="0"/>
        <v>0.6</v>
      </c>
      <c r="R37" s="208">
        <v>14</v>
      </c>
      <c r="S37" s="208">
        <v>81</v>
      </c>
      <c r="T37" s="217">
        <f t="shared" si="1"/>
        <v>39</v>
      </c>
      <c r="U37" s="208">
        <v>537</v>
      </c>
      <c r="V37" s="217">
        <f t="shared" si="2"/>
        <v>2094.3000000000002</v>
      </c>
      <c r="W37" s="208">
        <v>2</v>
      </c>
      <c r="X37" s="55" t="s">
        <v>46</v>
      </c>
      <c r="Y37" s="55" t="s">
        <v>84</v>
      </c>
      <c r="Z37" s="208" t="s">
        <v>90</v>
      </c>
      <c r="AA37" s="55" t="s">
        <v>50</v>
      </c>
      <c r="AB37" s="55" t="s">
        <v>310</v>
      </c>
    </row>
    <row r="38" spans="1:28" x14ac:dyDescent="0.15">
      <c r="A38" s="55" t="s">
        <v>56</v>
      </c>
      <c r="B38" s="55" t="s">
        <v>366</v>
      </c>
      <c r="C38" s="216">
        <v>2018</v>
      </c>
      <c r="D38" s="86" t="s">
        <v>367</v>
      </c>
      <c r="E38" s="216" t="s">
        <v>299</v>
      </c>
      <c r="F38" s="216" t="s">
        <v>377</v>
      </c>
      <c r="G38" s="55" t="s">
        <v>42</v>
      </c>
      <c r="H38" s="216" t="s">
        <v>157</v>
      </c>
      <c r="I38" s="55" t="s">
        <v>153</v>
      </c>
      <c r="J38" s="216" t="s">
        <v>38</v>
      </c>
      <c r="K38" s="216" t="s">
        <v>154</v>
      </c>
      <c r="L38" s="208">
        <v>1</v>
      </c>
      <c r="N38" s="208">
        <v>1</v>
      </c>
      <c r="O38" s="208">
        <v>0.7</v>
      </c>
      <c r="P38" s="208">
        <v>0.6</v>
      </c>
      <c r="Q38" s="217">
        <f t="shared" si="0"/>
        <v>0.64999999999999991</v>
      </c>
      <c r="R38" s="208">
        <v>16.399999999999999</v>
      </c>
      <c r="S38" s="208">
        <v>130</v>
      </c>
      <c r="T38" s="217">
        <f t="shared" si="1"/>
        <v>25</v>
      </c>
      <c r="U38" s="208">
        <v>149</v>
      </c>
      <c r="V38" s="217">
        <f t="shared" si="2"/>
        <v>3725</v>
      </c>
      <c r="W38" s="208">
        <v>2</v>
      </c>
      <c r="X38" s="55" t="s">
        <v>46</v>
      </c>
      <c r="Y38" s="55" t="s">
        <v>84</v>
      </c>
      <c r="Z38" s="208" t="s">
        <v>90</v>
      </c>
      <c r="AA38" s="55" t="s">
        <v>50</v>
      </c>
      <c r="AB38" s="55" t="s">
        <v>310</v>
      </c>
    </row>
    <row r="39" spans="1:28" x14ac:dyDescent="0.15">
      <c r="A39" s="55" t="s">
        <v>56</v>
      </c>
      <c r="B39" s="55" t="s">
        <v>366</v>
      </c>
      <c r="C39" s="216">
        <v>2018</v>
      </c>
      <c r="D39" s="86" t="s">
        <v>367</v>
      </c>
      <c r="E39" s="216" t="s">
        <v>299</v>
      </c>
      <c r="F39" s="216" t="s">
        <v>377</v>
      </c>
      <c r="G39" s="55" t="s">
        <v>42</v>
      </c>
      <c r="H39" s="216" t="s">
        <v>157</v>
      </c>
      <c r="I39" s="55" t="s">
        <v>153</v>
      </c>
      <c r="J39" s="216" t="s">
        <v>38</v>
      </c>
      <c r="K39" s="216" t="s">
        <v>154</v>
      </c>
      <c r="L39" s="208">
        <v>2</v>
      </c>
      <c r="N39" s="208">
        <v>1</v>
      </c>
      <c r="O39" s="208">
        <v>0.6</v>
      </c>
      <c r="P39" s="208">
        <v>0.6</v>
      </c>
      <c r="Q39" s="217">
        <f t="shared" si="0"/>
        <v>0.6</v>
      </c>
      <c r="R39" s="208">
        <v>16.399999999999999</v>
      </c>
      <c r="S39" s="208">
        <v>127</v>
      </c>
      <c r="T39" s="217">
        <f t="shared" si="1"/>
        <v>27</v>
      </c>
      <c r="U39" s="208">
        <v>149</v>
      </c>
      <c r="V39" s="217">
        <f t="shared" si="2"/>
        <v>4023</v>
      </c>
      <c r="W39" s="208">
        <v>2</v>
      </c>
      <c r="X39" s="55" t="s">
        <v>46</v>
      </c>
      <c r="Y39" s="55" t="s">
        <v>84</v>
      </c>
      <c r="Z39" s="208" t="s">
        <v>90</v>
      </c>
      <c r="AA39" s="55" t="s">
        <v>50</v>
      </c>
      <c r="AB39" s="55" t="s">
        <v>310</v>
      </c>
    </row>
    <row r="40" spans="1:28" x14ac:dyDescent="0.15">
      <c r="A40" s="55" t="s">
        <v>56</v>
      </c>
      <c r="B40" s="55" t="s">
        <v>366</v>
      </c>
      <c r="C40" s="216">
        <v>2018</v>
      </c>
      <c r="D40" s="86" t="s">
        <v>367</v>
      </c>
      <c r="E40" s="216" t="s">
        <v>299</v>
      </c>
      <c r="F40" s="216" t="s">
        <v>377</v>
      </c>
      <c r="G40" s="55" t="s">
        <v>42</v>
      </c>
      <c r="H40" s="216" t="s">
        <v>157</v>
      </c>
      <c r="I40" s="55" t="s">
        <v>153</v>
      </c>
      <c r="J40" s="216" t="s">
        <v>38</v>
      </c>
      <c r="K40" s="216" t="s">
        <v>154</v>
      </c>
      <c r="L40" s="208">
        <v>3</v>
      </c>
      <c r="N40" s="208">
        <v>1</v>
      </c>
      <c r="O40" s="208">
        <v>0.65</v>
      </c>
      <c r="P40" s="208">
        <v>0.7</v>
      </c>
      <c r="Q40" s="217">
        <f t="shared" si="0"/>
        <v>0.67500000000000004</v>
      </c>
      <c r="R40" s="208">
        <v>15.3</v>
      </c>
      <c r="S40" s="208">
        <v>129</v>
      </c>
      <c r="T40" s="217">
        <f t="shared" si="1"/>
        <v>25</v>
      </c>
      <c r="U40" s="208">
        <v>149</v>
      </c>
      <c r="V40" s="217">
        <f t="shared" si="2"/>
        <v>3725</v>
      </c>
      <c r="W40" s="208">
        <v>2</v>
      </c>
      <c r="X40" s="55" t="s">
        <v>46</v>
      </c>
      <c r="Y40" s="55" t="s">
        <v>84</v>
      </c>
      <c r="Z40" s="208" t="s">
        <v>90</v>
      </c>
      <c r="AA40" s="55" t="s">
        <v>50</v>
      </c>
      <c r="AB40" s="55" t="s">
        <v>310</v>
      </c>
    </row>
    <row r="41" spans="1:28" x14ac:dyDescent="0.15">
      <c r="A41" s="55" t="s">
        <v>56</v>
      </c>
      <c r="B41" s="55" t="s">
        <v>366</v>
      </c>
      <c r="C41" s="216">
        <v>2018</v>
      </c>
      <c r="D41" s="86" t="s">
        <v>367</v>
      </c>
      <c r="E41" s="216" t="s">
        <v>347</v>
      </c>
      <c r="F41" s="216" t="s">
        <v>377</v>
      </c>
      <c r="G41" s="55" t="s">
        <v>42</v>
      </c>
      <c r="H41" s="216" t="s">
        <v>155</v>
      </c>
      <c r="I41" s="55" t="s">
        <v>153</v>
      </c>
      <c r="J41" s="216" t="s">
        <v>38</v>
      </c>
      <c r="K41" s="216" t="s">
        <v>154</v>
      </c>
      <c r="L41" s="208">
        <v>1</v>
      </c>
      <c r="N41" s="208">
        <v>1</v>
      </c>
      <c r="O41" s="208">
        <v>1</v>
      </c>
      <c r="P41" s="208">
        <v>1</v>
      </c>
      <c r="Q41" s="217">
        <f t="shared" si="0"/>
        <v>1</v>
      </c>
      <c r="R41" s="208">
        <v>11.3</v>
      </c>
      <c r="S41" s="208">
        <v>139</v>
      </c>
      <c r="T41" s="217">
        <f t="shared" si="1"/>
        <v>22</v>
      </c>
      <c r="U41" s="208">
        <v>117</v>
      </c>
      <c r="V41" s="217">
        <f t="shared" si="2"/>
        <v>2574</v>
      </c>
      <c r="W41" s="208">
        <v>4</v>
      </c>
      <c r="X41" s="55" t="s">
        <v>46</v>
      </c>
      <c r="Y41" s="55" t="s">
        <v>84</v>
      </c>
      <c r="Z41" s="208" t="s">
        <v>90</v>
      </c>
      <c r="AA41" s="55" t="s">
        <v>102</v>
      </c>
      <c r="AB41" s="55" t="s">
        <v>310</v>
      </c>
    </row>
    <row r="42" spans="1:28" x14ac:dyDescent="0.15">
      <c r="A42" s="55" t="s">
        <v>56</v>
      </c>
      <c r="B42" s="55" t="s">
        <v>366</v>
      </c>
      <c r="C42" s="216">
        <v>2018</v>
      </c>
      <c r="D42" s="86" t="s">
        <v>367</v>
      </c>
      <c r="E42" s="216" t="s">
        <v>347</v>
      </c>
      <c r="F42" s="216" t="s">
        <v>377</v>
      </c>
      <c r="G42" s="55" t="s">
        <v>42</v>
      </c>
      <c r="H42" s="216" t="s">
        <v>155</v>
      </c>
      <c r="I42" s="55" t="s">
        <v>153</v>
      </c>
      <c r="J42" s="216" t="s">
        <v>38</v>
      </c>
      <c r="K42" s="216" t="s">
        <v>154</v>
      </c>
      <c r="L42" s="208">
        <v>2</v>
      </c>
      <c r="N42" s="208">
        <v>1</v>
      </c>
      <c r="O42" s="208">
        <v>1.35</v>
      </c>
      <c r="P42" s="208">
        <v>1.35</v>
      </c>
      <c r="Q42" s="217">
        <f t="shared" si="0"/>
        <v>1.35</v>
      </c>
      <c r="R42" s="208">
        <v>12.2</v>
      </c>
      <c r="S42" s="208">
        <v>141</v>
      </c>
      <c r="T42" s="217">
        <f t="shared" si="1"/>
        <v>22</v>
      </c>
      <c r="U42" s="208">
        <v>117</v>
      </c>
      <c r="V42" s="217">
        <f t="shared" si="2"/>
        <v>2574</v>
      </c>
      <c r="W42" s="208">
        <v>4</v>
      </c>
      <c r="X42" s="55" t="s">
        <v>46</v>
      </c>
      <c r="Y42" s="55" t="s">
        <v>84</v>
      </c>
      <c r="Z42" s="208" t="s">
        <v>90</v>
      </c>
      <c r="AA42" s="55" t="s">
        <v>102</v>
      </c>
      <c r="AB42" s="55" t="s">
        <v>310</v>
      </c>
    </row>
    <row r="43" spans="1:28" x14ac:dyDescent="0.15">
      <c r="A43" s="55" t="s">
        <v>56</v>
      </c>
      <c r="B43" s="55" t="s">
        <v>366</v>
      </c>
      <c r="C43" s="216">
        <v>2018</v>
      </c>
      <c r="D43" s="86" t="s">
        <v>367</v>
      </c>
      <c r="E43" s="216" t="s">
        <v>347</v>
      </c>
      <c r="F43" s="216" t="s">
        <v>377</v>
      </c>
      <c r="G43" s="55" t="s">
        <v>42</v>
      </c>
      <c r="H43" s="216" t="s">
        <v>155</v>
      </c>
      <c r="I43" s="55" t="s">
        <v>153</v>
      </c>
      <c r="J43" s="216" t="s">
        <v>38</v>
      </c>
      <c r="K43" s="216" t="s">
        <v>154</v>
      </c>
      <c r="L43" s="208">
        <v>3</v>
      </c>
      <c r="N43" s="208">
        <v>1</v>
      </c>
      <c r="O43" s="208">
        <v>0.95</v>
      </c>
      <c r="P43" s="208">
        <v>0.8</v>
      </c>
      <c r="Q43" s="217">
        <f t="shared" si="0"/>
        <v>0.875</v>
      </c>
      <c r="R43" s="208">
        <v>15.7</v>
      </c>
      <c r="S43" s="208">
        <v>138</v>
      </c>
      <c r="T43" s="217">
        <f t="shared" si="1"/>
        <v>22</v>
      </c>
      <c r="U43" s="208">
        <v>117</v>
      </c>
      <c r="V43" s="217">
        <f t="shared" si="2"/>
        <v>2574</v>
      </c>
      <c r="W43" s="208">
        <v>4</v>
      </c>
      <c r="X43" s="55" t="s">
        <v>46</v>
      </c>
      <c r="Y43" s="55" t="s">
        <v>84</v>
      </c>
      <c r="Z43" s="208" t="s">
        <v>90</v>
      </c>
      <c r="AA43" s="55" t="s">
        <v>102</v>
      </c>
      <c r="AB43" s="55" t="s">
        <v>310</v>
      </c>
    </row>
    <row r="44" spans="1:28" x14ac:dyDescent="0.15">
      <c r="A44" s="55" t="s">
        <v>56</v>
      </c>
      <c r="B44" s="55" t="s">
        <v>366</v>
      </c>
      <c r="C44" s="216">
        <v>2018</v>
      </c>
      <c r="D44" s="86" t="s">
        <v>367</v>
      </c>
      <c r="E44" s="216" t="s">
        <v>347</v>
      </c>
      <c r="F44" s="216" t="s">
        <v>377</v>
      </c>
      <c r="G44" s="55" t="s">
        <v>42</v>
      </c>
      <c r="H44" s="216" t="s">
        <v>157</v>
      </c>
      <c r="I44" s="55" t="s">
        <v>153</v>
      </c>
      <c r="J44" s="216" t="s">
        <v>38</v>
      </c>
      <c r="K44" s="216" t="s">
        <v>154</v>
      </c>
      <c r="L44" s="208">
        <v>1</v>
      </c>
      <c r="N44" s="208">
        <v>1</v>
      </c>
      <c r="O44" s="208">
        <v>0.65</v>
      </c>
      <c r="P44" s="208">
        <v>0.6</v>
      </c>
      <c r="Q44" s="217">
        <f t="shared" si="0"/>
        <v>0.625</v>
      </c>
      <c r="R44" s="208">
        <v>13.2</v>
      </c>
      <c r="S44" s="208">
        <v>144</v>
      </c>
      <c r="T44" s="217">
        <f t="shared" si="1"/>
        <v>22</v>
      </c>
      <c r="U44" s="208">
        <v>117</v>
      </c>
      <c r="V44" s="217">
        <f t="shared" si="2"/>
        <v>2574</v>
      </c>
      <c r="W44" s="208">
        <v>4</v>
      </c>
      <c r="X44" s="55" t="s">
        <v>46</v>
      </c>
      <c r="Y44" s="55" t="s">
        <v>84</v>
      </c>
      <c r="Z44" s="208" t="s">
        <v>90</v>
      </c>
      <c r="AA44" s="55" t="s">
        <v>102</v>
      </c>
      <c r="AB44" s="55" t="s">
        <v>310</v>
      </c>
    </row>
    <row r="45" spans="1:28" x14ac:dyDescent="0.15">
      <c r="A45" s="55" t="s">
        <v>56</v>
      </c>
      <c r="B45" s="55" t="s">
        <v>366</v>
      </c>
      <c r="C45" s="216">
        <v>2018</v>
      </c>
      <c r="D45" s="86" t="s">
        <v>367</v>
      </c>
      <c r="E45" s="216" t="s">
        <v>347</v>
      </c>
      <c r="F45" s="216" t="s">
        <v>377</v>
      </c>
      <c r="G45" s="55" t="s">
        <v>42</v>
      </c>
      <c r="H45" s="216" t="s">
        <v>157</v>
      </c>
      <c r="I45" s="55" t="s">
        <v>153</v>
      </c>
      <c r="J45" s="216" t="s">
        <v>38</v>
      </c>
      <c r="K45" s="216" t="s">
        <v>154</v>
      </c>
      <c r="L45" s="208">
        <v>2</v>
      </c>
      <c r="N45" s="208">
        <v>1</v>
      </c>
      <c r="O45" s="208">
        <v>0.75</v>
      </c>
      <c r="P45" s="208">
        <v>0.75</v>
      </c>
      <c r="Q45" s="217">
        <f t="shared" si="0"/>
        <v>0.75</v>
      </c>
      <c r="R45" s="208">
        <v>13.5</v>
      </c>
      <c r="S45" s="208">
        <v>137</v>
      </c>
      <c r="T45" s="217">
        <f t="shared" si="1"/>
        <v>25</v>
      </c>
      <c r="U45" s="208">
        <v>117</v>
      </c>
      <c r="V45" s="217">
        <f t="shared" si="2"/>
        <v>2925</v>
      </c>
      <c r="W45" s="208">
        <v>4</v>
      </c>
      <c r="X45" s="55" t="s">
        <v>46</v>
      </c>
      <c r="Y45" s="55" t="s">
        <v>84</v>
      </c>
      <c r="Z45" s="208" t="s">
        <v>90</v>
      </c>
      <c r="AA45" s="55" t="s">
        <v>102</v>
      </c>
      <c r="AB45" s="55" t="s">
        <v>310</v>
      </c>
    </row>
    <row r="46" spans="1:28" x14ac:dyDescent="0.15">
      <c r="A46" s="55" t="s">
        <v>56</v>
      </c>
      <c r="B46" s="55" t="s">
        <v>366</v>
      </c>
      <c r="C46" s="216">
        <v>2018</v>
      </c>
      <c r="D46" s="86" t="s">
        <v>367</v>
      </c>
      <c r="E46" s="216" t="s">
        <v>347</v>
      </c>
      <c r="F46" s="216" t="s">
        <v>377</v>
      </c>
      <c r="G46" s="55" t="s">
        <v>42</v>
      </c>
      <c r="H46" s="216" t="s">
        <v>157</v>
      </c>
      <c r="I46" s="55" t="s">
        <v>153</v>
      </c>
      <c r="J46" s="216" t="s">
        <v>38</v>
      </c>
      <c r="K46" s="216" t="s">
        <v>154</v>
      </c>
      <c r="L46" s="208">
        <v>3</v>
      </c>
      <c r="N46" s="208">
        <v>1</v>
      </c>
      <c r="O46" s="208">
        <v>0.65</v>
      </c>
      <c r="P46" s="208">
        <v>0.65</v>
      </c>
      <c r="Q46" s="217">
        <f t="shared" si="0"/>
        <v>0.65</v>
      </c>
      <c r="R46" s="208">
        <v>14.3</v>
      </c>
      <c r="S46" s="208">
        <v>142</v>
      </c>
      <c r="T46" s="217">
        <f t="shared" si="1"/>
        <v>22</v>
      </c>
      <c r="U46" s="208">
        <v>117</v>
      </c>
      <c r="V46" s="217">
        <f t="shared" si="2"/>
        <v>2574</v>
      </c>
      <c r="W46" s="208">
        <v>4</v>
      </c>
      <c r="X46" s="55" t="s">
        <v>46</v>
      </c>
      <c r="Y46" s="55" t="s">
        <v>84</v>
      </c>
      <c r="Z46" s="208" t="s">
        <v>90</v>
      </c>
      <c r="AA46" s="55" t="s">
        <v>102</v>
      </c>
      <c r="AB46" s="55" t="s">
        <v>310</v>
      </c>
    </row>
    <row r="47" spans="1:28" x14ac:dyDescent="0.15">
      <c r="A47" s="55" t="s">
        <v>56</v>
      </c>
      <c r="B47" s="55" t="s">
        <v>366</v>
      </c>
      <c r="C47" s="216">
        <v>2018</v>
      </c>
      <c r="D47" s="86" t="s">
        <v>367</v>
      </c>
      <c r="E47" s="216" t="s">
        <v>382</v>
      </c>
      <c r="F47" s="216" t="s">
        <v>377</v>
      </c>
      <c r="G47" s="55" t="s">
        <v>42</v>
      </c>
      <c r="H47" s="216" t="s">
        <v>155</v>
      </c>
      <c r="I47" s="55" t="s">
        <v>153</v>
      </c>
      <c r="J47" s="216" t="s">
        <v>38</v>
      </c>
      <c r="K47" s="216" t="s">
        <v>154</v>
      </c>
      <c r="L47" s="208">
        <v>1</v>
      </c>
      <c r="N47" s="208">
        <v>5</v>
      </c>
      <c r="O47" s="208">
        <v>0.6</v>
      </c>
      <c r="P47" s="208">
        <v>0.6</v>
      </c>
      <c r="Q47" s="217">
        <f t="shared" si="0"/>
        <v>0.6</v>
      </c>
      <c r="R47" s="208">
        <v>14.5</v>
      </c>
      <c r="S47" s="208">
        <v>95</v>
      </c>
      <c r="T47" s="217">
        <f t="shared" si="1"/>
        <v>36</v>
      </c>
      <c r="U47" s="208">
        <v>430</v>
      </c>
      <c r="V47" s="217">
        <f t="shared" si="2"/>
        <v>3096</v>
      </c>
      <c r="W47" s="208">
        <v>6</v>
      </c>
      <c r="X47" s="55" t="s">
        <v>46</v>
      </c>
      <c r="Y47" s="55" t="s">
        <v>84</v>
      </c>
      <c r="Z47" s="208" t="s">
        <v>90</v>
      </c>
      <c r="AA47" s="55" t="s">
        <v>50</v>
      </c>
      <c r="AB47" s="55" t="s">
        <v>310</v>
      </c>
    </row>
    <row r="48" spans="1:28" x14ac:dyDescent="0.15">
      <c r="A48" s="55" t="s">
        <v>56</v>
      </c>
      <c r="B48" s="55" t="s">
        <v>366</v>
      </c>
      <c r="C48" s="216">
        <v>2018</v>
      </c>
      <c r="D48" s="86" t="s">
        <v>367</v>
      </c>
      <c r="E48" s="216" t="s">
        <v>382</v>
      </c>
      <c r="F48" s="216" t="s">
        <v>377</v>
      </c>
      <c r="G48" s="55" t="s">
        <v>42</v>
      </c>
      <c r="H48" s="216" t="s">
        <v>155</v>
      </c>
      <c r="I48" s="55" t="s">
        <v>153</v>
      </c>
      <c r="J48" s="216" t="s">
        <v>38</v>
      </c>
      <c r="K48" s="216" t="s">
        <v>154</v>
      </c>
      <c r="L48" s="208">
        <v>2</v>
      </c>
      <c r="N48" s="208">
        <v>5</v>
      </c>
      <c r="O48" s="208">
        <v>0.7</v>
      </c>
      <c r="P48" s="208">
        <v>0.6</v>
      </c>
      <c r="Q48" s="217">
        <f t="shared" si="0"/>
        <v>0.64999999999999991</v>
      </c>
      <c r="R48" s="208">
        <v>11</v>
      </c>
      <c r="S48" s="208">
        <v>93</v>
      </c>
      <c r="T48" s="217">
        <f t="shared" si="1"/>
        <v>36</v>
      </c>
      <c r="U48" s="208">
        <v>430</v>
      </c>
      <c r="V48" s="217">
        <f t="shared" si="2"/>
        <v>3096</v>
      </c>
      <c r="W48" s="208">
        <v>6</v>
      </c>
      <c r="X48" s="55" t="s">
        <v>46</v>
      </c>
      <c r="Y48" s="55" t="s">
        <v>84</v>
      </c>
      <c r="Z48" s="208" t="s">
        <v>90</v>
      </c>
      <c r="AA48" s="55" t="s">
        <v>50</v>
      </c>
      <c r="AB48" s="55" t="s">
        <v>310</v>
      </c>
    </row>
    <row r="49" spans="1:28" x14ac:dyDescent="0.15">
      <c r="A49" s="55" t="s">
        <v>56</v>
      </c>
      <c r="B49" s="55" t="s">
        <v>366</v>
      </c>
      <c r="C49" s="216">
        <v>2018</v>
      </c>
      <c r="D49" s="86" t="s">
        <v>367</v>
      </c>
      <c r="E49" s="216" t="s">
        <v>382</v>
      </c>
      <c r="F49" s="216" t="s">
        <v>377</v>
      </c>
      <c r="G49" s="55" t="s">
        <v>42</v>
      </c>
      <c r="H49" s="216" t="s">
        <v>155</v>
      </c>
      <c r="I49" s="55" t="s">
        <v>153</v>
      </c>
      <c r="J49" s="216" t="s">
        <v>38</v>
      </c>
      <c r="K49" s="216" t="s">
        <v>154</v>
      </c>
      <c r="L49" s="208">
        <v>3</v>
      </c>
      <c r="N49" s="208">
        <v>5</v>
      </c>
      <c r="O49" s="208">
        <v>0.95</v>
      </c>
      <c r="P49" s="208">
        <v>1</v>
      </c>
      <c r="Q49" s="217">
        <f t="shared" si="0"/>
        <v>0.97499999999999998</v>
      </c>
      <c r="R49" s="208">
        <v>12.2</v>
      </c>
      <c r="S49" s="208">
        <v>98</v>
      </c>
      <c r="T49" s="217">
        <f t="shared" si="1"/>
        <v>36</v>
      </c>
      <c r="U49" s="208">
        <v>430</v>
      </c>
      <c r="V49" s="217">
        <f t="shared" si="2"/>
        <v>3096</v>
      </c>
      <c r="W49" s="208">
        <v>6</v>
      </c>
      <c r="X49" s="55" t="s">
        <v>46</v>
      </c>
      <c r="Y49" s="55" t="s">
        <v>84</v>
      </c>
      <c r="Z49" s="208" t="s">
        <v>90</v>
      </c>
      <c r="AA49" s="55" t="s">
        <v>50</v>
      </c>
      <c r="AB49" s="55" t="s">
        <v>310</v>
      </c>
    </row>
    <row r="50" spans="1:28" x14ac:dyDescent="0.15">
      <c r="A50" s="55" t="s">
        <v>56</v>
      </c>
      <c r="B50" s="55" t="s">
        <v>366</v>
      </c>
      <c r="C50" s="216">
        <v>2018</v>
      </c>
      <c r="D50" s="86" t="s">
        <v>367</v>
      </c>
      <c r="E50" s="216" t="s">
        <v>382</v>
      </c>
      <c r="F50" s="216" t="s">
        <v>377</v>
      </c>
      <c r="G50" s="55" t="s">
        <v>42</v>
      </c>
      <c r="H50" s="216" t="s">
        <v>157</v>
      </c>
      <c r="I50" s="55" t="s">
        <v>153</v>
      </c>
      <c r="J50" s="216" t="s">
        <v>38</v>
      </c>
      <c r="K50" s="216" t="s">
        <v>154</v>
      </c>
      <c r="L50" s="208">
        <v>1</v>
      </c>
      <c r="N50" s="208">
        <v>5</v>
      </c>
      <c r="O50" s="208">
        <v>0.55000000000000004</v>
      </c>
      <c r="P50" s="208">
        <v>0.6</v>
      </c>
      <c r="Q50" s="217">
        <f t="shared" si="0"/>
        <v>0.57499999999999996</v>
      </c>
      <c r="R50" s="208">
        <v>15.9</v>
      </c>
      <c r="S50" s="208">
        <v>128</v>
      </c>
      <c r="T50" s="217">
        <f t="shared" si="1"/>
        <v>27</v>
      </c>
      <c r="U50" s="208">
        <v>646</v>
      </c>
      <c r="V50" s="217">
        <f t="shared" si="2"/>
        <v>3488.3999999999996</v>
      </c>
      <c r="W50" s="208">
        <v>6</v>
      </c>
      <c r="X50" s="55" t="s">
        <v>46</v>
      </c>
      <c r="Y50" s="55" t="s">
        <v>84</v>
      </c>
      <c r="Z50" s="208" t="s">
        <v>90</v>
      </c>
      <c r="AA50" s="55" t="s">
        <v>50</v>
      </c>
      <c r="AB50" s="55" t="s">
        <v>310</v>
      </c>
    </row>
    <row r="51" spans="1:28" x14ac:dyDescent="0.15">
      <c r="A51" s="55" t="s">
        <v>56</v>
      </c>
      <c r="B51" s="55" t="s">
        <v>366</v>
      </c>
      <c r="C51" s="216">
        <v>2018</v>
      </c>
      <c r="D51" s="86" t="s">
        <v>367</v>
      </c>
      <c r="E51" s="216" t="s">
        <v>382</v>
      </c>
      <c r="F51" s="216" t="s">
        <v>377</v>
      </c>
      <c r="G51" s="55" t="s">
        <v>42</v>
      </c>
      <c r="H51" s="216" t="s">
        <v>157</v>
      </c>
      <c r="I51" s="55" t="s">
        <v>153</v>
      </c>
      <c r="J51" s="216" t="s">
        <v>38</v>
      </c>
      <c r="K51" s="216" t="s">
        <v>154</v>
      </c>
      <c r="L51" s="208">
        <v>2</v>
      </c>
      <c r="N51" s="208">
        <v>5</v>
      </c>
      <c r="O51" s="208">
        <v>0.55000000000000004</v>
      </c>
      <c r="P51" s="208">
        <v>0.55000000000000004</v>
      </c>
      <c r="Q51" s="217">
        <f t="shared" si="0"/>
        <v>0.55000000000000004</v>
      </c>
      <c r="R51" s="208">
        <v>15.8</v>
      </c>
      <c r="S51" s="208">
        <v>124</v>
      </c>
      <c r="T51" s="217">
        <f t="shared" si="1"/>
        <v>27</v>
      </c>
      <c r="U51" s="208">
        <v>646</v>
      </c>
      <c r="V51" s="217">
        <f t="shared" si="2"/>
        <v>3488.3999999999996</v>
      </c>
      <c r="W51" s="208">
        <v>6</v>
      </c>
      <c r="X51" s="55" t="s">
        <v>46</v>
      </c>
      <c r="Y51" s="55" t="s">
        <v>84</v>
      </c>
      <c r="Z51" s="208" t="s">
        <v>90</v>
      </c>
      <c r="AA51" s="55" t="s">
        <v>50</v>
      </c>
      <c r="AB51" s="55" t="s">
        <v>310</v>
      </c>
    </row>
    <row r="52" spans="1:28" x14ac:dyDescent="0.15">
      <c r="A52" s="55" t="s">
        <v>56</v>
      </c>
      <c r="B52" s="55" t="s">
        <v>366</v>
      </c>
      <c r="C52" s="216">
        <v>2018</v>
      </c>
      <c r="D52" s="86" t="s">
        <v>367</v>
      </c>
      <c r="E52" s="216" t="s">
        <v>382</v>
      </c>
      <c r="F52" s="216" t="s">
        <v>377</v>
      </c>
      <c r="G52" s="55" t="s">
        <v>42</v>
      </c>
      <c r="H52" s="216" t="s">
        <v>157</v>
      </c>
      <c r="I52" s="55" t="s">
        <v>153</v>
      </c>
      <c r="J52" s="216" t="s">
        <v>38</v>
      </c>
      <c r="K52" s="216" t="s">
        <v>154</v>
      </c>
      <c r="L52" s="208">
        <v>3</v>
      </c>
      <c r="N52" s="208">
        <v>5</v>
      </c>
      <c r="O52" s="208">
        <v>0.6</v>
      </c>
      <c r="P52" s="208">
        <v>0.6</v>
      </c>
      <c r="Q52" s="217">
        <f t="shared" si="0"/>
        <v>0.6</v>
      </c>
      <c r="R52" s="208">
        <v>14.5</v>
      </c>
      <c r="S52" s="208">
        <v>124</v>
      </c>
      <c r="T52" s="217">
        <f t="shared" si="1"/>
        <v>27</v>
      </c>
      <c r="U52" s="208">
        <v>646</v>
      </c>
      <c r="V52" s="217">
        <f t="shared" si="2"/>
        <v>3488.3999999999996</v>
      </c>
      <c r="W52" s="208">
        <v>6</v>
      </c>
      <c r="X52" s="55" t="s">
        <v>46</v>
      </c>
      <c r="Y52" s="55" t="s">
        <v>84</v>
      </c>
      <c r="Z52" s="208" t="s">
        <v>90</v>
      </c>
      <c r="AA52" s="55" t="s">
        <v>50</v>
      </c>
      <c r="AB52" s="55" t="s">
        <v>310</v>
      </c>
    </row>
    <row r="53" spans="1:28" x14ac:dyDescent="0.15">
      <c r="A53" s="55"/>
      <c r="B53" s="55"/>
      <c r="C53" s="216"/>
      <c r="D53" s="86"/>
      <c r="E53" s="216"/>
      <c r="F53" s="216"/>
      <c r="G53" s="55"/>
      <c r="H53" s="216"/>
      <c r="I53" s="55"/>
      <c r="J53" s="216"/>
      <c r="K53" s="216"/>
      <c r="X53" s="55"/>
      <c r="Y53" s="55"/>
      <c r="AA53" s="55"/>
    </row>
    <row r="54" spans="1:28" x14ac:dyDescent="0.15">
      <c r="A54" s="55"/>
      <c r="B54" s="55"/>
      <c r="C54" s="216"/>
      <c r="D54" s="86"/>
      <c r="E54" s="216"/>
      <c r="F54" s="216"/>
      <c r="G54" s="55"/>
      <c r="H54" s="216"/>
      <c r="I54" s="55"/>
      <c r="J54" s="216"/>
      <c r="K54" s="216"/>
      <c r="X54" s="55"/>
      <c r="Y54" s="55"/>
      <c r="AA54" s="55"/>
    </row>
    <row r="55" spans="1:28" x14ac:dyDescent="0.15">
      <c r="A55" s="55"/>
      <c r="B55" s="55"/>
      <c r="C55" s="216"/>
      <c r="D55" s="86"/>
      <c r="E55" s="216"/>
      <c r="F55" s="216"/>
      <c r="G55" s="55"/>
      <c r="H55" s="216"/>
      <c r="I55" s="55"/>
      <c r="J55" s="216"/>
      <c r="K55" s="216"/>
      <c r="X55" s="55"/>
      <c r="Y55" s="55"/>
      <c r="AA55" s="55"/>
    </row>
    <row r="56" spans="1:28" x14ac:dyDescent="0.15">
      <c r="A56" s="55"/>
      <c r="B56" s="55"/>
      <c r="C56" s="216"/>
      <c r="D56" s="86"/>
      <c r="E56" s="216"/>
      <c r="F56" s="216"/>
      <c r="G56" s="55"/>
      <c r="H56" s="216"/>
      <c r="I56" s="55"/>
      <c r="J56" s="216"/>
      <c r="K56" s="216"/>
      <c r="X56" s="55"/>
      <c r="Y56" s="55"/>
      <c r="AA56" s="55"/>
    </row>
    <row r="57" spans="1:28" x14ac:dyDescent="0.15">
      <c r="A57" s="55"/>
      <c r="B57" s="55"/>
      <c r="C57" s="216"/>
      <c r="D57" s="86"/>
      <c r="E57" s="216"/>
      <c r="F57" s="216"/>
      <c r="G57" s="55"/>
      <c r="H57" s="216"/>
      <c r="I57" s="55"/>
      <c r="J57" s="216"/>
      <c r="K57" s="216"/>
      <c r="X57" s="55"/>
      <c r="Y57" s="55"/>
      <c r="AA57" s="55"/>
    </row>
    <row r="58" spans="1:28" x14ac:dyDescent="0.15">
      <c r="A58" s="55"/>
      <c r="B58" s="55"/>
      <c r="C58" s="216"/>
      <c r="D58" s="86"/>
      <c r="E58" s="216"/>
      <c r="F58" s="216"/>
      <c r="G58" s="55"/>
      <c r="H58" s="216"/>
      <c r="I58" s="55"/>
      <c r="J58" s="216"/>
      <c r="K58" s="216"/>
      <c r="X58" s="55"/>
      <c r="Y58" s="55"/>
      <c r="AA58" s="55"/>
    </row>
    <row r="59" spans="1:28" x14ac:dyDescent="0.15">
      <c r="A59" s="55"/>
      <c r="B59" s="55"/>
      <c r="C59" s="216"/>
      <c r="D59" s="86"/>
      <c r="E59" s="216"/>
      <c r="F59" s="216"/>
      <c r="G59" s="55"/>
      <c r="H59" s="216"/>
      <c r="I59" s="55"/>
      <c r="J59" s="216"/>
      <c r="K59" s="216"/>
      <c r="X59" s="55"/>
      <c r="Y59" s="55"/>
      <c r="AA59" s="55"/>
    </row>
    <row r="60" spans="1:28" x14ac:dyDescent="0.15">
      <c r="A60" s="55"/>
      <c r="B60" s="55"/>
      <c r="C60" s="216"/>
      <c r="D60" s="86"/>
      <c r="E60" s="216"/>
      <c r="F60" s="216"/>
      <c r="G60" s="55"/>
      <c r="H60" s="216"/>
      <c r="I60" s="55"/>
      <c r="J60" s="216"/>
      <c r="K60" s="216"/>
      <c r="X60" s="55"/>
      <c r="Y60" s="55"/>
      <c r="AA60" s="55"/>
    </row>
    <row r="61" spans="1:28" x14ac:dyDescent="0.15">
      <c r="A61" s="55"/>
      <c r="B61" s="55"/>
      <c r="C61" s="216"/>
      <c r="D61" s="86"/>
      <c r="E61" s="216"/>
      <c r="F61" s="216"/>
      <c r="G61" s="55"/>
      <c r="H61" s="216"/>
      <c r="I61" s="55"/>
      <c r="J61" s="216"/>
      <c r="K61" s="216"/>
      <c r="X61" s="55"/>
      <c r="Y61" s="55"/>
      <c r="AA61" s="55"/>
    </row>
    <row r="62" spans="1:28" x14ac:dyDescent="0.15">
      <c r="A62" s="55"/>
      <c r="B62" s="55"/>
      <c r="C62" s="216"/>
      <c r="D62" s="86"/>
      <c r="E62" s="216"/>
      <c r="F62" s="216"/>
      <c r="G62" s="55"/>
      <c r="H62" s="216"/>
      <c r="I62" s="55"/>
      <c r="J62" s="216"/>
      <c r="K62" s="216"/>
      <c r="X62" s="55"/>
      <c r="Y62" s="55"/>
      <c r="AA62" s="55"/>
    </row>
    <row r="63" spans="1:28" x14ac:dyDescent="0.15">
      <c r="A63" s="55"/>
      <c r="B63" s="55"/>
      <c r="C63" s="216"/>
      <c r="D63" s="86"/>
      <c r="E63" s="216"/>
      <c r="F63" s="216"/>
      <c r="G63" s="55"/>
      <c r="H63" s="216"/>
      <c r="I63" s="55"/>
      <c r="J63" s="216"/>
      <c r="K63" s="216"/>
      <c r="X63" s="55"/>
      <c r="Y63" s="55"/>
      <c r="AA63" s="55"/>
    </row>
    <row r="64" spans="1:28" x14ac:dyDescent="0.15">
      <c r="A64" s="55"/>
      <c r="B64" s="55"/>
      <c r="C64" s="216"/>
      <c r="D64" s="86"/>
      <c r="E64" s="216"/>
      <c r="F64" s="216"/>
      <c r="G64" s="55"/>
      <c r="H64" s="216"/>
      <c r="I64" s="55"/>
      <c r="J64" s="216"/>
      <c r="K64" s="216"/>
      <c r="X64" s="55"/>
      <c r="Y64" s="55"/>
      <c r="AA64" s="55"/>
    </row>
    <row r="65" spans="1:27" x14ac:dyDescent="0.15">
      <c r="A65" s="55"/>
      <c r="B65" s="55"/>
      <c r="C65" s="216"/>
      <c r="D65" s="86"/>
      <c r="E65" s="216"/>
      <c r="F65" s="216"/>
      <c r="G65" s="55"/>
      <c r="H65" s="216"/>
      <c r="I65" s="55"/>
      <c r="J65" s="216"/>
      <c r="K65" s="216"/>
      <c r="X65" s="55"/>
      <c r="Y65" s="55"/>
      <c r="AA65" s="55"/>
    </row>
    <row r="66" spans="1:27" x14ac:dyDescent="0.15">
      <c r="A66" s="55"/>
      <c r="B66" s="55"/>
      <c r="C66" s="216"/>
      <c r="D66" s="86"/>
      <c r="E66" s="216"/>
      <c r="F66" s="216"/>
      <c r="G66" s="55"/>
      <c r="H66" s="216"/>
      <c r="I66" s="55"/>
      <c r="J66" s="216"/>
      <c r="K66" s="216"/>
      <c r="X66" s="55"/>
      <c r="Y66" s="55"/>
      <c r="AA66" s="55"/>
    </row>
    <row r="67" spans="1:27" x14ac:dyDescent="0.15">
      <c r="A67" s="55"/>
      <c r="B67" s="55"/>
      <c r="C67" s="216"/>
      <c r="D67" s="86"/>
      <c r="E67" s="216"/>
      <c r="F67" s="216"/>
      <c r="G67" s="55"/>
      <c r="H67" s="216"/>
      <c r="I67" s="55"/>
      <c r="J67" s="216"/>
      <c r="K67" s="216"/>
      <c r="X67" s="55"/>
      <c r="Y67" s="55"/>
      <c r="AA67" s="55"/>
    </row>
    <row r="68" spans="1:27" x14ac:dyDescent="0.15">
      <c r="A68" s="55"/>
      <c r="B68" s="55"/>
      <c r="C68" s="216"/>
      <c r="D68" s="86"/>
      <c r="E68" s="216"/>
      <c r="F68" s="216"/>
      <c r="G68" s="55"/>
      <c r="H68" s="216"/>
      <c r="I68" s="55"/>
      <c r="J68" s="216"/>
      <c r="K68" s="216"/>
      <c r="X68" s="55"/>
      <c r="Y68" s="55"/>
      <c r="AA68" s="55"/>
    </row>
    <row r="69" spans="1:27" x14ac:dyDescent="0.15">
      <c r="A69" s="55"/>
      <c r="B69" s="55"/>
      <c r="C69" s="216"/>
      <c r="D69" s="86"/>
      <c r="E69" s="216"/>
      <c r="F69" s="216"/>
      <c r="G69" s="55"/>
      <c r="H69" s="216"/>
      <c r="I69" s="55"/>
      <c r="J69" s="216"/>
      <c r="K69" s="216"/>
      <c r="X69" s="55"/>
      <c r="Y69" s="55"/>
      <c r="AA69" s="55"/>
    </row>
    <row r="70" spans="1:27" x14ac:dyDescent="0.15">
      <c r="A70" s="55"/>
      <c r="B70" s="55"/>
      <c r="C70" s="216"/>
      <c r="D70" s="86"/>
      <c r="E70" s="216"/>
      <c r="F70" s="216"/>
      <c r="G70" s="55"/>
      <c r="H70" s="216"/>
      <c r="I70" s="55"/>
      <c r="J70" s="216"/>
      <c r="K70" s="216"/>
      <c r="X70" s="55"/>
      <c r="Y70" s="55"/>
      <c r="AA70" s="55"/>
    </row>
    <row r="71" spans="1:27" x14ac:dyDescent="0.15">
      <c r="A71" s="55"/>
      <c r="B71" s="55"/>
      <c r="C71" s="216"/>
      <c r="D71" s="86"/>
      <c r="E71" s="216"/>
      <c r="F71" s="216"/>
      <c r="G71" s="55"/>
      <c r="H71" s="216"/>
      <c r="I71" s="55"/>
      <c r="J71" s="216"/>
      <c r="K71" s="216"/>
      <c r="X71" s="55"/>
      <c r="Y71" s="55"/>
      <c r="AA71" s="55"/>
    </row>
    <row r="72" spans="1:27" x14ac:dyDescent="0.15">
      <c r="A72" s="55"/>
      <c r="B72" s="55"/>
      <c r="C72" s="216"/>
      <c r="D72" s="86"/>
      <c r="E72" s="216"/>
      <c r="F72" s="216"/>
      <c r="G72" s="55"/>
      <c r="H72" s="216"/>
      <c r="I72" s="55"/>
      <c r="J72" s="216"/>
      <c r="K72" s="216"/>
      <c r="X72" s="55"/>
      <c r="Y72" s="55"/>
      <c r="AA72" s="55"/>
    </row>
    <row r="73" spans="1:27" x14ac:dyDescent="0.15">
      <c r="A73" s="55"/>
      <c r="B73" s="55"/>
      <c r="C73" s="216"/>
      <c r="D73" s="86"/>
      <c r="E73" s="216"/>
      <c r="F73" s="216"/>
      <c r="G73" s="55"/>
      <c r="H73" s="216"/>
      <c r="I73" s="55"/>
      <c r="J73" s="216"/>
      <c r="K73" s="216"/>
      <c r="X73" s="55"/>
      <c r="Y73" s="55"/>
      <c r="AA73" s="55"/>
    </row>
    <row r="74" spans="1:27" x14ac:dyDescent="0.15">
      <c r="A74" s="55"/>
      <c r="B74" s="55"/>
      <c r="C74" s="216"/>
      <c r="D74" s="86"/>
      <c r="E74" s="216"/>
      <c r="F74" s="216"/>
      <c r="G74" s="55"/>
      <c r="H74" s="216"/>
      <c r="I74" s="55"/>
      <c r="J74" s="216"/>
      <c r="K74" s="216"/>
      <c r="X74" s="55"/>
      <c r="Y74" s="55"/>
      <c r="AA74" s="55"/>
    </row>
    <row r="75" spans="1:27" x14ac:dyDescent="0.15">
      <c r="A75" s="55"/>
      <c r="B75" s="55"/>
      <c r="C75" s="216"/>
      <c r="D75" s="86"/>
      <c r="E75" s="216"/>
      <c r="F75" s="216"/>
      <c r="G75" s="55"/>
      <c r="H75" s="216"/>
      <c r="I75" s="55"/>
      <c r="J75" s="216"/>
      <c r="K75" s="216"/>
      <c r="X75" s="55"/>
      <c r="Y75" s="55"/>
      <c r="AA75" s="55"/>
    </row>
    <row r="76" spans="1:27" x14ac:dyDescent="0.15">
      <c r="A76" s="55"/>
      <c r="B76" s="55"/>
      <c r="C76" s="216"/>
      <c r="D76" s="86"/>
      <c r="E76" s="216"/>
      <c r="F76" s="216"/>
      <c r="G76" s="55"/>
      <c r="H76" s="216"/>
      <c r="I76" s="55"/>
      <c r="J76" s="216"/>
      <c r="K76" s="216"/>
      <c r="X76" s="55"/>
      <c r="Y76" s="55"/>
      <c r="AA76" s="55"/>
    </row>
    <row r="77" spans="1:27" x14ac:dyDescent="0.15">
      <c r="A77" s="55"/>
      <c r="B77" s="55"/>
      <c r="C77" s="216"/>
      <c r="D77" s="86"/>
      <c r="E77" s="216"/>
      <c r="F77" s="216"/>
      <c r="G77" s="55"/>
      <c r="H77" s="216"/>
      <c r="I77" s="55"/>
      <c r="J77" s="216"/>
      <c r="K77" s="216"/>
      <c r="X77" s="55"/>
      <c r="Y77" s="55"/>
      <c r="AA77" s="55"/>
    </row>
    <row r="78" spans="1:27" x14ac:dyDescent="0.15">
      <c r="A78" s="55"/>
      <c r="B78" s="55"/>
      <c r="C78" s="216"/>
      <c r="D78" s="86"/>
      <c r="E78" s="216"/>
      <c r="F78" s="216"/>
      <c r="G78" s="55"/>
      <c r="H78" s="216"/>
      <c r="I78" s="55"/>
      <c r="J78" s="216"/>
      <c r="K78" s="216"/>
      <c r="X78" s="55"/>
      <c r="Y78" s="55"/>
      <c r="AA78" s="55"/>
    </row>
    <row r="79" spans="1:27" x14ac:dyDescent="0.15">
      <c r="A79" s="55"/>
      <c r="B79" s="55"/>
      <c r="C79" s="216"/>
      <c r="D79" s="86"/>
      <c r="E79" s="216"/>
      <c r="F79" s="216"/>
      <c r="G79" s="55"/>
      <c r="H79" s="216"/>
      <c r="I79" s="55"/>
      <c r="J79" s="216"/>
      <c r="K79" s="216"/>
      <c r="X79" s="55"/>
      <c r="Y79" s="55"/>
      <c r="AA79" s="55"/>
    </row>
    <row r="80" spans="1:27" x14ac:dyDescent="0.15">
      <c r="A80" s="55"/>
      <c r="B80" s="55"/>
      <c r="C80" s="216"/>
      <c r="D80" s="86"/>
      <c r="E80" s="216"/>
      <c r="F80" s="216"/>
      <c r="G80" s="55"/>
      <c r="H80" s="216"/>
      <c r="I80" s="55"/>
      <c r="J80" s="216"/>
      <c r="K80" s="216"/>
      <c r="X80" s="55"/>
      <c r="Y80" s="55"/>
      <c r="AA80" s="55"/>
    </row>
    <row r="81" spans="1:27" x14ac:dyDescent="0.15">
      <c r="A81" s="55"/>
      <c r="B81" s="55"/>
      <c r="C81" s="216"/>
      <c r="D81" s="86"/>
      <c r="E81" s="216"/>
      <c r="F81" s="216"/>
      <c r="G81" s="55"/>
      <c r="H81" s="216"/>
      <c r="I81" s="55"/>
      <c r="J81" s="216"/>
      <c r="K81" s="216"/>
      <c r="X81" s="55"/>
      <c r="Y81" s="55"/>
      <c r="AA81" s="55"/>
    </row>
    <row r="82" spans="1:27" x14ac:dyDescent="0.15">
      <c r="A82" s="55"/>
      <c r="B82" s="55"/>
      <c r="C82" s="216"/>
      <c r="D82" s="86"/>
      <c r="E82" s="216"/>
      <c r="F82" s="216"/>
      <c r="G82" s="55"/>
      <c r="H82" s="216"/>
      <c r="I82" s="55"/>
      <c r="J82" s="216"/>
      <c r="K82" s="216"/>
      <c r="X82" s="55"/>
      <c r="Y82" s="55"/>
      <c r="AA82" s="55"/>
    </row>
    <row r="83" spans="1:27" x14ac:dyDescent="0.15">
      <c r="E83" s="216"/>
      <c r="F83" s="216"/>
      <c r="G83" s="55"/>
      <c r="H83" s="216"/>
      <c r="I83" s="55"/>
      <c r="J83" s="216"/>
      <c r="K83" s="216"/>
      <c r="X83" s="55"/>
      <c r="Y83" s="55"/>
      <c r="AA83" s="55"/>
    </row>
    <row r="84" spans="1:27" x14ac:dyDescent="0.15">
      <c r="E84" s="216"/>
      <c r="F84" s="216"/>
      <c r="G84" s="55"/>
      <c r="H84" s="216"/>
      <c r="I84" s="55"/>
      <c r="J84" s="216"/>
      <c r="K84" s="216"/>
      <c r="X84" s="55"/>
      <c r="Y84" s="55"/>
      <c r="AA84" s="55"/>
    </row>
    <row r="85" spans="1:27" x14ac:dyDescent="0.15">
      <c r="E85" s="216"/>
      <c r="F85" s="216"/>
      <c r="G85" s="55"/>
      <c r="H85" s="216"/>
      <c r="I85" s="55"/>
      <c r="J85" s="216"/>
      <c r="K85" s="216"/>
      <c r="X85" s="55"/>
      <c r="Y85" s="55"/>
      <c r="AA85" s="55"/>
    </row>
    <row r="86" spans="1:27" x14ac:dyDescent="0.15">
      <c r="J86" s="216"/>
      <c r="K86" s="216"/>
    </row>
    <row r="87" spans="1:27" x14ac:dyDescent="0.15">
      <c r="J87" s="216"/>
      <c r="K87" s="216"/>
    </row>
    <row r="88" spans="1:27" x14ac:dyDescent="0.15">
      <c r="J88" s="216"/>
      <c r="K88" s="216"/>
    </row>
    <row r="89" spans="1:27" x14ac:dyDescent="0.15">
      <c r="J89" s="216"/>
      <c r="K89" s="216"/>
    </row>
    <row r="90" spans="1:27" x14ac:dyDescent="0.15">
      <c r="J90" s="216"/>
      <c r="K90" s="216"/>
    </row>
    <row r="91" spans="1:27" x14ac:dyDescent="0.15">
      <c r="J91" s="216"/>
      <c r="K91" s="216"/>
    </row>
    <row r="92" spans="1:27" x14ac:dyDescent="0.15">
      <c r="J92" s="216"/>
      <c r="K92" s="216"/>
    </row>
    <row r="93" spans="1:27" x14ac:dyDescent="0.15">
      <c r="J93" s="216"/>
      <c r="K93" s="216"/>
    </row>
    <row r="94" spans="1:27" x14ac:dyDescent="0.15">
      <c r="J94" s="216"/>
      <c r="K94" s="216"/>
    </row>
    <row r="95" spans="1:27" x14ac:dyDescent="0.15">
      <c r="J95" s="216"/>
      <c r="K95" s="216"/>
    </row>
    <row r="96" spans="1:27" x14ac:dyDescent="0.15">
      <c r="J96" s="216"/>
      <c r="K96" s="216"/>
    </row>
    <row r="97" spans="10:11" x14ac:dyDescent="0.15">
      <c r="J97" s="216"/>
      <c r="K97" s="216"/>
    </row>
    <row r="98" spans="10:11" x14ac:dyDescent="0.15">
      <c r="J98" s="216"/>
      <c r="K98" s="216"/>
    </row>
    <row r="99" spans="10:11" x14ac:dyDescent="0.15">
      <c r="J99" s="216"/>
      <c r="K99" s="216"/>
    </row>
    <row r="100" spans="10:11" x14ac:dyDescent="0.15">
      <c r="J100" s="216"/>
      <c r="K100" s="216"/>
    </row>
    <row r="101" spans="10:11" x14ac:dyDescent="0.15">
      <c r="K101" s="216"/>
    </row>
    <row r="102" spans="10:11" x14ac:dyDescent="0.15">
      <c r="K102" s="216"/>
    </row>
    <row r="103" spans="10:11" x14ac:dyDescent="0.15">
      <c r="K103" s="216"/>
    </row>
    <row r="104" spans="10:11" x14ac:dyDescent="0.15">
      <c r="K104" s="216"/>
    </row>
    <row r="105" spans="10:11" x14ac:dyDescent="0.15">
      <c r="K105" s="216"/>
    </row>
    <row r="106" spans="10:11" x14ac:dyDescent="0.15">
      <c r="K106" s="216"/>
    </row>
    <row r="107" spans="10:11" x14ac:dyDescent="0.15">
      <c r="K107" s="216"/>
    </row>
    <row r="108" spans="10:11" x14ac:dyDescent="0.15">
      <c r="K108" s="216"/>
    </row>
    <row r="109" spans="10:11" x14ac:dyDescent="0.15">
      <c r="K109" s="216"/>
    </row>
    <row r="110" spans="10:11" x14ac:dyDescent="0.15">
      <c r="K110" s="216"/>
    </row>
    <row r="111" spans="10:11" x14ac:dyDescent="0.15">
      <c r="K111" s="216"/>
    </row>
    <row r="112" spans="10: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29"/>
  <sheetViews>
    <sheetView zoomScale="85" zoomScaleNormal="85" workbookViewId="0">
      <selection activeCell="J25" sqref="J25"/>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166</v>
      </c>
      <c r="C1" s="90" t="s">
        <v>167</v>
      </c>
      <c r="D1" s="91" t="s">
        <v>3</v>
      </c>
      <c r="E1" s="92" t="s">
        <v>4</v>
      </c>
      <c r="F1" s="92" t="s">
        <v>5</v>
      </c>
      <c r="G1" s="92" t="s">
        <v>6</v>
      </c>
      <c r="H1" s="92" t="s">
        <v>7</v>
      </c>
      <c r="I1" s="92" t="s">
        <v>8</v>
      </c>
      <c r="J1" s="92" t="s">
        <v>9</v>
      </c>
      <c r="K1" s="92" t="s">
        <v>10</v>
      </c>
      <c r="L1" s="91" t="s">
        <v>168</v>
      </c>
      <c r="M1" s="91" t="s">
        <v>169</v>
      </c>
      <c r="N1" s="91" t="s">
        <v>13</v>
      </c>
      <c r="O1" s="91" t="s">
        <v>170</v>
      </c>
      <c r="P1" s="91" t="s">
        <v>171</v>
      </c>
      <c r="Q1" s="93" t="s">
        <v>172</v>
      </c>
      <c r="R1" s="91" t="s">
        <v>173</v>
      </c>
      <c r="S1" s="91" t="s">
        <v>174</v>
      </c>
      <c r="T1" s="93" t="s">
        <v>19</v>
      </c>
      <c r="U1" s="94" t="s">
        <v>108</v>
      </c>
      <c r="V1" s="95" t="s">
        <v>20</v>
      </c>
      <c r="W1" s="91" t="s">
        <v>175</v>
      </c>
      <c r="X1" s="92" t="s">
        <v>22</v>
      </c>
      <c r="Y1" s="92" t="s">
        <v>23</v>
      </c>
      <c r="Z1" s="92" t="s">
        <v>24</v>
      </c>
      <c r="AA1" s="96" t="s">
        <v>25</v>
      </c>
      <c r="AB1" s="97" t="s">
        <v>176</v>
      </c>
      <c r="AE1" s="99" t="s">
        <v>0</v>
      </c>
      <c r="AF1" s="100"/>
      <c r="AG1" s="99" t="s">
        <v>4</v>
      </c>
      <c r="AH1" s="99" t="s">
        <v>5</v>
      </c>
      <c r="AI1" s="100"/>
      <c r="AJ1" s="99" t="s">
        <v>6</v>
      </c>
      <c r="AK1" s="100"/>
      <c r="AL1" s="101" t="s">
        <v>7</v>
      </c>
      <c r="AM1" s="100"/>
      <c r="AN1" s="101" t="s">
        <v>8</v>
      </c>
      <c r="AO1" s="100"/>
      <c r="AP1" s="101" t="s">
        <v>27</v>
      </c>
      <c r="AQ1" s="100"/>
      <c r="AR1" s="101" t="s">
        <v>10</v>
      </c>
      <c r="AS1" s="100"/>
      <c r="AT1" s="102" t="s">
        <v>177</v>
      </c>
      <c r="AU1" s="100"/>
      <c r="AV1" s="101" t="s">
        <v>29</v>
      </c>
      <c r="AX1" s="103" t="s">
        <v>178</v>
      </c>
      <c r="AY1" s="104" t="s">
        <v>179</v>
      </c>
      <c r="AZ1" s="104" t="s">
        <v>180</v>
      </c>
      <c r="BA1" s="105" t="s">
        <v>181</v>
      </c>
    </row>
    <row r="2" spans="1:53" s="246" customFormat="1" x14ac:dyDescent="0.15">
      <c r="A2" s="246" t="s">
        <v>51</v>
      </c>
      <c r="B2" s="246" t="s">
        <v>308</v>
      </c>
      <c r="C2" s="246">
        <v>2018</v>
      </c>
      <c r="D2" s="106" t="s">
        <v>383</v>
      </c>
      <c r="E2" s="246" t="s">
        <v>182</v>
      </c>
      <c r="F2" s="246" t="s">
        <v>183</v>
      </c>
      <c r="G2" s="246" t="s">
        <v>42</v>
      </c>
      <c r="H2" s="246" t="s">
        <v>155</v>
      </c>
      <c r="I2" s="246" t="s">
        <v>153</v>
      </c>
      <c r="J2" s="246" t="s">
        <v>38</v>
      </c>
      <c r="K2" s="246" t="s">
        <v>154</v>
      </c>
      <c r="L2" s="246">
        <v>1</v>
      </c>
      <c r="N2" s="246">
        <v>1</v>
      </c>
      <c r="O2" s="246">
        <v>1</v>
      </c>
      <c r="P2" s="246">
        <v>1</v>
      </c>
      <c r="Q2" s="107">
        <f t="shared" ref="Q2:Q65" si="0">IF(OR(O2="",P2=""),"",AVERAGE(O2,P2))</f>
        <v>1</v>
      </c>
      <c r="R2" s="246">
        <v>13.9</v>
      </c>
      <c r="S2" s="246">
        <v>128</v>
      </c>
      <c r="T2" s="108">
        <f t="shared" ref="T2:T65" si="1">IF(H2="","",IF(OR(H2="GREEN",H2="GK"),IF(S2&gt;=$AX$2,VLOOKUP(S2,$AX$2:$AY$12,2,1),""),IF(S2&gt;=$AZ$2,VLOOKUP(S2,$AZ$2:$BA$12,2,1),"")))</f>
        <v>27</v>
      </c>
      <c r="U2" s="246">
        <v>98</v>
      </c>
      <c r="V2" s="109">
        <f t="shared" ref="V2:V65" si="2">IF(OR(N2="",U2="",T2=""),"",U2/N2*T2)</f>
        <v>2646</v>
      </c>
      <c r="W2" s="246">
        <v>6</v>
      </c>
      <c r="X2" s="246" t="s">
        <v>39</v>
      </c>
      <c r="Y2" s="246" t="s">
        <v>84</v>
      </c>
      <c r="Z2" s="246" t="s">
        <v>69</v>
      </c>
      <c r="AA2" s="246" t="s">
        <v>90</v>
      </c>
      <c r="AB2" s="246" t="s">
        <v>310</v>
      </c>
      <c r="AE2" s="110" t="s">
        <v>35</v>
      </c>
      <c r="AG2" s="111" t="s">
        <v>160</v>
      </c>
      <c r="AH2" s="111" t="s">
        <v>184</v>
      </c>
      <c r="AJ2" s="111" t="s">
        <v>36</v>
      </c>
      <c r="AL2" s="111" t="s">
        <v>185</v>
      </c>
      <c r="AN2" s="111" t="s">
        <v>37</v>
      </c>
      <c r="AP2" s="111" t="s">
        <v>38</v>
      </c>
      <c r="AR2" s="111" t="s">
        <v>154</v>
      </c>
      <c r="AT2" s="111" t="s">
        <v>39</v>
      </c>
      <c r="AV2" s="111" t="s">
        <v>40</v>
      </c>
      <c r="AX2" s="112">
        <v>1</v>
      </c>
      <c r="AY2" s="113">
        <v>50</v>
      </c>
      <c r="AZ2" s="113">
        <v>1</v>
      </c>
      <c r="BA2" s="114">
        <v>50</v>
      </c>
    </row>
    <row r="3" spans="1:53" s="115" customFormat="1" x14ac:dyDescent="0.15">
      <c r="A3" s="246" t="s">
        <v>51</v>
      </c>
      <c r="B3" s="246" t="s">
        <v>308</v>
      </c>
      <c r="C3" s="246">
        <v>2018</v>
      </c>
      <c r="D3" s="106" t="s">
        <v>383</v>
      </c>
      <c r="E3" s="246" t="s">
        <v>182</v>
      </c>
      <c r="F3" s="246" t="s">
        <v>183</v>
      </c>
      <c r="G3" s="246" t="s">
        <v>42</v>
      </c>
      <c r="H3" s="246" t="s">
        <v>155</v>
      </c>
      <c r="I3" s="246" t="s">
        <v>153</v>
      </c>
      <c r="J3" s="246" t="s">
        <v>38</v>
      </c>
      <c r="K3" s="246" t="s">
        <v>154</v>
      </c>
      <c r="L3" s="246">
        <v>2</v>
      </c>
      <c r="M3" s="246"/>
      <c r="N3" s="246">
        <v>1</v>
      </c>
      <c r="O3" s="246">
        <v>0.95</v>
      </c>
      <c r="P3" s="246">
        <v>1.1000000000000001</v>
      </c>
      <c r="Q3" s="107">
        <f t="shared" si="0"/>
        <v>1.0249999999999999</v>
      </c>
      <c r="R3" s="246">
        <v>14.5</v>
      </c>
      <c r="S3" s="246">
        <v>134</v>
      </c>
      <c r="T3" s="108">
        <f t="shared" si="1"/>
        <v>25</v>
      </c>
      <c r="U3" s="246">
        <v>98</v>
      </c>
      <c r="V3" s="109">
        <f t="shared" si="2"/>
        <v>2450</v>
      </c>
      <c r="W3" s="246">
        <v>6</v>
      </c>
      <c r="X3" s="246" t="s">
        <v>39</v>
      </c>
      <c r="Y3" s="246" t="s">
        <v>84</v>
      </c>
      <c r="Z3" s="246" t="s">
        <v>69</v>
      </c>
      <c r="AA3" s="246" t="s">
        <v>90</v>
      </c>
      <c r="AB3" s="246" t="s">
        <v>310</v>
      </c>
      <c r="AE3" s="116" t="s">
        <v>41</v>
      </c>
      <c r="AG3" s="111" t="s">
        <v>186</v>
      </c>
      <c r="AH3" s="111" t="s">
        <v>187</v>
      </c>
      <c r="AJ3" s="117" t="s">
        <v>42</v>
      </c>
      <c r="AL3" s="117" t="s">
        <v>188</v>
      </c>
      <c r="AN3" s="117" t="s">
        <v>43</v>
      </c>
      <c r="AP3" s="117" t="s">
        <v>44</v>
      </c>
      <c r="AR3" s="118" t="s">
        <v>45</v>
      </c>
      <c r="AT3" s="117" t="s">
        <v>46</v>
      </c>
      <c r="AV3" s="117" t="s">
        <v>47</v>
      </c>
      <c r="AX3" s="119">
        <v>72</v>
      </c>
      <c r="AY3" s="120">
        <v>46</v>
      </c>
      <c r="AZ3" s="120">
        <v>71</v>
      </c>
      <c r="BA3" s="121">
        <v>42</v>
      </c>
    </row>
    <row r="4" spans="1:53" s="115" customFormat="1" x14ac:dyDescent="0.15">
      <c r="A4" s="246" t="s">
        <v>51</v>
      </c>
      <c r="B4" s="246" t="s">
        <v>308</v>
      </c>
      <c r="C4" s="246">
        <v>2018</v>
      </c>
      <c r="D4" s="106" t="s">
        <v>383</v>
      </c>
      <c r="E4" s="246" t="s">
        <v>182</v>
      </c>
      <c r="F4" s="246" t="s">
        <v>183</v>
      </c>
      <c r="G4" s="246" t="s">
        <v>42</v>
      </c>
      <c r="H4" s="246" t="s">
        <v>155</v>
      </c>
      <c r="I4" s="246" t="s">
        <v>153</v>
      </c>
      <c r="J4" s="246" t="s">
        <v>38</v>
      </c>
      <c r="K4" s="246" t="s">
        <v>154</v>
      </c>
      <c r="L4" s="246">
        <v>3</v>
      </c>
      <c r="M4" s="246"/>
      <c r="N4" s="246">
        <v>1</v>
      </c>
      <c r="O4" s="246">
        <v>1.1499999999999999</v>
      </c>
      <c r="P4" s="246">
        <v>1.05</v>
      </c>
      <c r="Q4" s="107">
        <f t="shared" si="0"/>
        <v>1.1000000000000001</v>
      </c>
      <c r="R4" s="246">
        <v>14.3</v>
      </c>
      <c r="S4" s="246">
        <v>134</v>
      </c>
      <c r="T4" s="108">
        <f t="shared" si="1"/>
        <v>25</v>
      </c>
      <c r="U4" s="246">
        <v>98</v>
      </c>
      <c r="V4" s="109">
        <f t="shared" si="2"/>
        <v>2450</v>
      </c>
      <c r="W4" s="246">
        <v>6</v>
      </c>
      <c r="X4" s="246" t="s">
        <v>39</v>
      </c>
      <c r="Y4" s="246" t="s">
        <v>84</v>
      </c>
      <c r="Z4" s="246" t="s">
        <v>69</v>
      </c>
      <c r="AA4" s="246" t="s">
        <v>90</v>
      </c>
      <c r="AB4" s="246" t="s">
        <v>310</v>
      </c>
      <c r="AE4" s="116" t="s">
        <v>34</v>
      </c>
      <c r="AG4" s="111" t="s">
        <v>189</v>
      </c>
      <c r="AH4" s="111" t="s">
        <v>190</v>
      </c>
      <c r="AJ4" s="122" t="s">
        <v>48</v>
      </c>
      <c r="AL4" s="122" t="s">
        <v>191</v>
      </c>
      <c r="AN4" s="123" t="s">
        <v>192</v>
      </c>
      <c r="AP4" s="117" t="s">
        <v>193</v>
      </c>
      <c r="AR4" s="118" t="s">
        <v>194</v>
      </c>
      <c r="AT4" s="123"/>
      <c r="AV4" s="117" t="s">
        <v>50</v>
      </c>
      <c r="AX4" s="119">
        <v>75</v>
      </c>
      <c r="AY4" s="120">
        <v>42</v>
      </c>
      <c r="AZ4" s="120">
        <v>76</v>
      </c>
      <c r="BA4" s="121">
        <v>39</v>
      </c>
    </row>
    <row r="5" spans="1:53" s="115" customFormat="1" x14ac:dyDescent="0.15">
      <c r="A5" s="246" t="s">
        <v>51</v>
      </c>
      <c r="B5" s="246" t="s">
        <v>308</v>
      </c>
      <c r="C5" s="246">
        <v>2018</v>
      </c>
      <c r="D5" s="106" t="s">
        <v>383</v>
      </c>
      <c r="E5" s="246" t="s">
        <v>182</v>
      </c>
      <c r="F5" s="246" t="s">
        <v>183</v>
      </c>
      <c r="G5" s="246" t="s">
        <v>42</v>
      </c>
      <c r="H5" s="246" t="s">
        <v>188</v>
      </c>
      <c r="I5" s="246" t="s">
        <v>153</v>
      </c>
      <c r="J5" s="246" t="s">
        <v>58</v>
      </c>
      <c r="K5" s="246" t="s">
        <v>59</v>
      </c>
      <c r="L5" s="246">
        <v>1</v>
      </c>
      <c r="M5" s="246"/>
      <c r="N5" s="246">
        <v>1</v>
      </c>
      <c r="O5" s="246">
        <v>0.65</v>
      </c>
      <c r="P5" s="246">
        <v>0.7</v>
      </c>
      <c r="Q5" s="107">
        <f t="shared" si="0"/>
        <v>0.67500000000000004</v>
      </c>
      <c r="R5" s="246">
        <v>15.3</v>
      </c>
      <c r="S5" s="246">
        <v>138</v>
      </c>
      <c r="T5" s="108">
        <f t="shared" si="1"/>
        <v>22</v>
      </c>
      <c r="U5" s="246">
        <v>158</v>
      </c>
      <c r="V5" s="109">
        <f t="shared" si="2"/>
        <v>3476</v>
      </c>
      <c r="W5" s="246">
        <v>6</v>
      </c>
      <c r="X5" s="246" t="s">
        <v>39</v>
      </c>
      <c r="Y5" s="246" t="s">
        <v>84</v>
      </c>
      <c r="Z5" s="246" t="s">
        <v>69</v>
      </c>
      <c r="AA5" s="246" t="s">
        <v>90</v>
      </c>
      <c r="AB5" s="246" t="s">
        <v>310</v>
      </c>
      <c r="AE5" s="116"/>
      <c r="AG5" s="111"/>
      <c r="AH5" s="111"/>
      <c r="AJ5" s="122"/>
      <c r="AL5" s="254"/>
      <c r="AN5" s="254"/>
      <c r="AP5" s="117"/>
      <c r="AR5" s="118"/>
      <c r="AV5" s="117"/>
      <c r="AX5" s="119"/>
      <c r="AY5" s="120"/>
      <c r="AZ5" s="120"/>
      <c r="BA5" s="121"/>
    </row>
    <row r="6" spans="1:53" s="115" customFormat="1" x14ac:dyDescent="0.15">
      <c r="A6" s="246" t="s">
        <v>51</v>
      </c>
      <c r="B6" s="246" t="s">
        <v>308</v>
      </c>
      <c r="C6" s="246">
        <v>2018</v>
      </c>
      <c r="D6" s="106" t="s">
        <v>383</v>
      </c>
      <c r="E6" s="246" t="s">
        <v>182</v>
      </c>
      <c r="F6" s="246" t="s">
        <v>183</v>
      </c>
      <c r="G6" s="246" t="s">
        <v>42</v>
      </c>
      <c r="H6" s="246" t="s">
        <v>188</v>
      </c>
      <c r="I6" s="246" t="s">
        <v>153</v>
      </c>
      <c r="J6" s="246" t="s">
        <v>58</v>
      </c>
      <c r="K6" s="246" t="s">
        <v>59</v>
      </c>
      <c r="L6" s="246">
        <v>2</v>
      </c>
      <c r="M6" s="246"/>
      <c r="N6" s="246">
        <v>1</v>
      </c>
      <c r="O6" s="246">
        <v>0.75</v>
      </c>
      <c r="P6" s="246">
        <v>0.75</v>
      </c>
      <c r="Q6" s="107">
        <f t="shared" si="0"/>
        <v>0.75</v>
      </c>
      <c r="R6" s="246">
        <v>16.5</v>
      </c>
      <c r="S6" s="246">
        <v>136</v>
      </c>
      <c r="T6" s="108">
        <f t="shared" si="1"/>
        <v>25</v>
      </c>
      <c r="U6" s="246">
        <v>158</v>
      </c>
      <c r="V6" s="109">
        <f t="shared" si="2"/>
        <v>3950</v>
      </c>
      <c r="W6" s="246">
        <v>6</v>
      </c>
      <c r="X6" s="246" t="s">
        <v>39</v>
      </c>
      <c r="Y6" s="246" t="s">
        <v>84</v>
      </c>
      <c r="Z6" s="246" t="s">
        <v>69</v>
      </c>
      <c r="AA6" s="246" t="s">
        <v>90</v>
      </c>
      <c r="AB6" s="246" t="s">
        <v>310</v>
      </c>
      <c r="AE6" s="116"/>
      <c r="AG6" s="111"/>
      <c r="AH6" s="111"/>
      <c r="AJ6" s="122"/>
      <c r="AL6" s="254"/>
      <c r="AN6" s="254"/>
      <c r="AP6" s="117"/>
      <c r="AR6" s="118"/>
      <c r="AV6" s="117"/>
      <c r="AX6" s="119"/>
      <c r="AY6" s="120"/>
      <c r="AZ6" s="120"/>
      <c r="BA6" s="121"/>
    </row>
    <row r="7" spans="1:53" s="115" customFormat="1" x14ac:dyDescent="0.15">
      <c r="A7" s="246" t="s">
        <v>51</v>
      </c>
      <c r="B7" s="246" t="s">
        <v>308</v>
      </c>
      <c r="C7" s="246">
        <v>2018</v>
      </c>
      <c r="D7" s="106" t="s">
        <v>383</v>
      </c>
      <c r="E7" s="246" t="s">
        <v>182</v>
      </c>
      <c r="F7" s="246" t="s">
        <v>183</v>
      </c>
      <c r="G7" s="246" t="s">
        <v>42</v>
      </c>
      <c r="H7" s="246" t="s">
        <v>188</v>
      </c>
      <c r="I7" s="246" t="s">
        <v>153</v>
      </c>
      <c r="J7" s="246" t="s">
        <v>58</v>
      </c>
      <c r="K7" s="246" t="s">
        <v>59</v>
      </c>
      <c r="L7" s="246">
        <v>3</v>
      </c>
      <c r="M7" s="246"/>
      <c r="N7" s="246">
        <v>1</v>
      </c>
      <c r="O7" s="246">
        <v>0.55000000000000004</v>
      </c>
      <c r="P7" s="246">
        <v>0.6</v>
      </c>
      <c r="Q7" s="107">
        <f t="shared" si="0"/>
        <v>0.57499999999999996</v>
      </c>
      <c r="R7" s="246">
        <v>13.4</v>
      </c>
      <c r="S7" s="246">
        <v>130</v>
      </c>
      <c r="T7" s="108">
        <f t="shared" si="1"/>
        <v>25</v>
      </c>
      <c r="U7" s="246">
        <v>158</v>
      </c>
      <c r="V7" s="109">
        <f t="shared" si="2"/>
        <v>3950</v>
      </c>
      <c r="W7" s="246">
        <v>6</v>
      </c>
      <c r="X7" s="246" t="s">
        <v>39</v>
      </c>
      <c r="Y7" s="246" t="s">
        <v>84</v>
      </c>
      <c r="Z7" s="246" t="s">
        <v>69</v>
      </c>
      <c r="AA7" s="246" t="s">
        <v>90</v>
      </c>
      <c r="AB7" s="246" t="s">
        <v>310</v>
      </c>
      <c r="AE7" s="116"/>
      <c r="AG7" s="111"/>
      <c r="AH7" s="111"/>
      <c r="AJ7" s="122"/>
      <c r="AL7" s="254"/>
      <c r="AN7" s="254"/>
      <c r="AP7" s="117"/>
      <c r="AR7" s="118"/>
      <c r="AV7" s="117"/>
      <c r="AX7" s="119"/>
      <c r="AY7" s="120"/>
      <c r="AZ7" s="120"/>
      <c r="BA7" s="121"/>
    </row>
    <row r="8" spans="1:53" s="115" customFormat="1" x14ac:dyDescent="0.15">
      <c r="A8" s="246" t="s">
        <v>51</v>
      </c>
      <c r="B8" s="246" t="s">
        <v>308</v>
      </c>
      <c r="C8" s="246">
        <v>2018</v>
      </c>
      <c r="D8" s="106" t="s">
        <v>383</v>
      </c>
      <c r="E8" s="246" t="s">
        <v>186</v>
      </c>
      <c r="F8" s="246" t="s">
        <v>187</v>
      </c>
      <c r="G8" s="246" t="s">
        <v>36</v>
      </c>
      <c r="H8" s="246" t="s">
        <v>155</v>
      </c>
      <c r="I8" s="246" t="s">
        <v>153</v>
      </c>
      <c r="J8" s="246" t="s">
        <v>38</v>
      </c>
      <c r="K8" s="246" t="s">
        <v>154</v>
      </c>
      <c r="L8" s="246">
        <v>1</v>
      </c>
      <c r="M8" s="246"/>
      <c r="N8" s="246">
        <v>1</v>
      </c>
      <c r="O8" s="246">
        <v>0.55000000000000004</v>
      </c>
      <c r="P8" s="246">
        <v>0.6</v>
      </c>
      <c r="Q8" s="107">
        <f t="shared" si="0"/>
        <v>0.57499999999999996</v>
      </c>
      <c r="R8" s="246">
        <v>16.2</v>
      </c>
      <c r="S8" s="246">
        <v>132</v>
      </c>
      <c r="T8" s="108">
        <f t="shared" si="1"/>
        <v>25</v>
      </c>
      <c r="U8" s="246">
        <v>138</v>
      </c>
      <c r="V8" s="109">
        <f t="shared" si="2"/>
        <v>3450</v>
      </c>
      <c r="W8" s="246">
        <v>5</v>
      </c>
      <c r="X8" s="246" t="s">
        <v>46</v>
      </c>
      <c r="Y8" s="246" t="s">
        <v>84</v>
      </c>
      <c r="Z8" s="246" t="s">
        <v>50</v>
      </c>
      <c r="AA8" s="246" t="s">
        <v>69</v>
      </c>
      <c r="AB8" s="246" t="s">
        <v>310</v>
      </c>
      <c r="AE8" s="116" t="s">
        <v>59</v>
      </c>
      <c r="AG8" s="111" t="s">
        <v>199</v>
      </c>
      <c r="AH8" s="111" t="s">
        <v>200</v>
      </c>
      <c r="AL8" s="115" t="s">
        <v>157</v>
      </c>
      <c r="AP8" s="117" t="s">
        <v>62</v>
      </c>
      <c r="AR8" s="118" t="s">
        <v>81</v>
      </c>
      <c r="AV8" s="117" t="s">
        <v>97</v>
      </c>
      <c r="AX8" s="119">
        <v>119</v>
      </c>
      <c r="AY8" s="120">
        <v>30</v>
      </c>
      <c r="AZ8" s="120">
        <v>121</v>
      </c>
      <c r="BA8" s="121">
        <v>27</v>
      </c>
    </row>
    <row r="9" spans="1:53" s="115" customFormat="1" x14ac:dyDescent="0.15">
      <c r="A9" s="246" t="s">
        <v>51</v>
      </c>
      <c r="B9" s="246" t="s">
        <v>308</v>
      </c>
      <c r="C9" s="246">
        <v>2018</v>
      </c>
      <c r="D9" s="106" t="s">
        <v>383</v>
      </c>
      <c r="E9" s="246" t="s">
        <v>186</v>
      </c>
      <c r="F9" s="246" t="s">
        <v>187</v>
      </c>
      <c r="G9" s="246" t="s">
        <v>36</v>
      </c>
      <c r="H9" s="246" t="s">
        <v>155</v>
      </c>
      <c r="I9" s="246" t="s">
        <v>153</v>
      </c>
      <c r="J9" s="246" t="s">
        <v>38</v>
      </c>
      <c r="K9" s="246" t="s">
        <v>154</v>
      </c>
      <c r="L9" s="246">
        <v>2</v>
      </c>
      <c r="M9" s="246"/>
      <c r="N9" s="246">
        <v>1</v>
      </c>
      <c r="O9" s="246">
        <v>0.65</v>
      </c>
      <c r="P9" s="246">
        <v>0.65</v>
      </c>
      <c r="Q9" s="107">
        <f t="shared" si="0"/>
        <v>0.65</v>
      </c>
      <c r="R9" s="246">
        <v>15.6</v>
      </c>
      <c r="S9" s="246">
        <v>128</v>
      </c>
      <c r="T9" s="108">
        <f t="shared" si="1"/>
        <v>27</v>
      </c>
      <c r="U9" s="246">
        <v>138</v>
      </c>
      <c r="V9" s="109">
        <f t="shared" si="2"/>
        <v>3726</v>
      </c>
      <c r="W9" s="246">
        <v>5</v>
      </c>
      <c r="X9" s="246" t="s">
        <v>46</v>
      </c>
      <c r="Y9" s="246" t="s">
        <v>84</v>
      </c>
      <c r="Z9" s="246" t="s">
        <v>50</v>
      </c>
      <c r="AA9" s="246" t="s">
        <v>69</v>
      </c>
      <c r="AB9" s="246" t="s">
        <v>310</v>
      </c>
      <c r="AE9" s="116" t="s">
        <v>201</v>
      </c>
      <c r="AG9" s="111" t="s">
        <v>202</v>
      </c>
      <c r="AH9" s="111" t="s">
        <v>183</v>
      </c>
      <c r="AL9" s="124"/>
      <c r="AP9" s="117" t="s">
        <v>95</v>
      </c>
      <c r="AR9" s="118" t="s">
        <v>203</v>
      </c>
      <c r="AV9" s="117" t="s">
        <v>102</v>
      </c>
      <c r="AX9" s="119">
        <v>128</v>
      </c>
      <c r="AY9" s="120">
        <v>27</v>
      </c>
      <c r="AZ9" s="120">
        <v>129</v>
      </c>
      <c r="BA9" s="121">
        <v>25</v>
      </c>
    </row>
    <row r="10" spans="1:53" s="115" customFormat="1" x14ac:dyDescent="0.15">
      <c r="A10" s="246" t="s">
        <v>51</v>
      </c>
      <c r="B10" s="246" t="s">
        <v>308</v>
      </c>
      <c r="C10" s="246">
        <v>2018</v>
      </c>
      <c r="D10" s="106" t="s">
        <v>383</v>
      </c>
      <c r="E10" s="246" t="s">
        <v>186</v>
      </c>
      <c r="F10" s="246" t="s">
        <v>187</v>
      </c>
      <c r="G10" s="246" t="s">
        <v>36</v>
      </c>
      <c r="H10" s="246" t="s">
        <v>155</v>
      </c>
      <c r="I10" s="246" t="s">
        <v>153</v>
      </c>
      <c r="J10" s="246" t="s">
        <v>38</v>
      </c>
      <c r="K10" s="246" t="s">
        <v>154</v>
      </c>
      <c r="L10" s="246">
        <v>3</v>
      </c>
      <c r="M10" s="246"/>
      <c r="N10" s="246">
        <v>1</v>
      </c>
      <c r="O10" s="246">
        <v>0.6</v>
      </c>
      <c r="P10" s="246">
        <v>0.7</v>
      </c>
      <c r="Q10" s="107">
        <f t="shared" si="0"/>
        <v>0.64999999999999991</v>
      </c>
      <c r="R10" s="246">
        <v>15.8</v>
      </c>
      <c r="S10" s="246">
        <v>130</v>
      </c>
      <c r="T10" s="108">
        <f t="shared" si="1"/>
        <v>25</v>
      </c>
      <c r="U10" s="246">
        <v>138</v>
      </c>
      <c r="V10" s="109">
        <f t="shared" si="2"/>
        <v>3450</v>
      </c>
      <c r="W10" s="246">
        <v>5</v>
      </c>
      <c r="X10" s="246" t="s">
        <v>46</v>
      </c>
      <c r="Y10" s="246" t="s">
        <v>84</v>
      </c>
      <c r="Z10" s="246" t="s">
        <v>50</v>
      </c>
      <c r="AA10" s="246" t="s">
        <v>69</v>
      </c>
      <c r="AB10" s="246" t="s">
        <v>310</v>
      </c>
      <c r="AE10" s="116" t="s">
        <v>204</v>
      </c>
      <c r="AG10" s="111" t="s">
        <v>182</v>
      </c>
      <c r="AH10" s="117" t="s">
        <v>183</v>
      </c>
      <c r="AP10" s="117" t="s">
        <v>100</v>
      </c>
      <c r="AR10" s="118" t="s">
        <v>205</v>
      </c>
      <c r="AV10" s="117" t="s">
        <v>106</v>
      </c>
      <c r="AX10" s="119">
        <v>138</v>
      </c>
      <c r="AY10" s="120">
        <v>25</v>
      </c>
      <c r="AZ10" s="120">
        <v>138</v>
      </c>
      <c r="BA10" s="121">
        <v>22</v>
      </c>
    </row>
    <row r="11" spans="1:53" s="115" customFormat="1" x14ac:dyDescent="0.15">
      <c r="A11" s="246" t="s">
        <v>51</v>
      </c>
      <c r="B11" s="246" t="s">
        <v>308</v>
      </c>
      <c r="C11" s="246">
        <v>2018</v>
      </c>
      <c r="D11" s="106" t="s">
        <v>383</v>
      </c>
      <c r="E11" s="246" t="s">
        <v>186</v>
      </c>
      <c r="F11" s="246" t="s">
        <v>187</v>
      </c>
      <c r="G11" s="246" t="s">
        <v>36</v>
      </c>
      <c r="H11" s="246" t="s">
        <v>157</v>
      </c>
      <c r="I11" s="246" t="s">
        <v>153</v>
      </c>
      <c r="J11" s="246" t="s">
        <v>38</v>
      </c>
      <c r="K11" s="246" t="s">
        <v>154</v>
      </c>
      <c r="L11" s="246">
        <v>1</v>
      </c>
      <c r="M11" s="246"/>
      <c r="N11" s="246">
        <v>1</v>
      </c>
      <c r="O11" s="246">
        <v>0.6</v>
      </c>
      <c r="P11" s="246">
        <v>0.6</v>
      </c>
      <c r="Q11" s="107">
        <f t="shared" si="0"/>
        <v>0.6</v>
      </c>
      <c r="R11" s="246">
        <v>15.1</v>
      </c>
      <c r="S11" s="246">
        <v>130</v>
      </c>
      <c r="T11" s="108">
        <f t="shared" si="1"/>
        <v>25</v>
      </c>
      <c r="U11" s="246">
        <v>138</v>
      </c>
      <c r="V11" s="109">
        <f t="shared" si="2"/>
        <v>3450</v>
      </c>
      <c r="W11" s="246">
        <v>5</v>
      </c>
      <c r="X11" s="246" t="s">
        <v>46</v>
      </c>
      <c r="Y11" s="246" t="s">
        <v>84</v>
      </c>
      <c r="Z11" s="246" t="s">
        <v>50</v>
      </c>
      <c r="AA11" s="246" t="s">
        <v>69</v>
      </c>
      <c r="AB11" s="246" t="s">
        <v>310</v>
      </c>
      <c r="AE11" s="116" t="s">
        <v>68</v>
      </c>
      <c r="AG11" s="111" t="s">
        <v>139</v>
      </c>
      <c r="AH11" s="117" t="s">
        <v>384</v>
      </c>
      <c r="AP11" s="117" t="s">
        <v>104</v>
      </c>
      <c r="AR11" s="118" t="s">
        <v>206</v>
      </c>
      <c r="AV11" s="117" t="s">
        <v>69</v>
      </c>
      <c r="AX11" s="119">
        <v>151</v>
      </c>
      <c r="AY11" s="120">
        <v>22</v>
      </c>
      <c r="AZ11" s="120">
        <v>152</v>
      </c>
      <c r="BA11" s="121">
        <v>18</v>
      </c>
    </row>
    <row r="12" spans="1:53" s="115" customFormat="1" x14ac:dyDescent="0.15">
      <c r="A12" s="246" t="s">
        <v>51</v>
      </c>
      <c r="B12" s="246" t="s">
        <v>308</v>
      </c>
      <c r="C12" s="246">
        <v>2018</v>
      </c>
      <c r="D12" s="106" t="s">
        <v>383</v>
      </c>
      <c r="E12" s="246" t="s">
        <v>186</v>
      </c>
      <c r="F12" s="246" t="s">
        <v>187</v>
      </c>
      <c r="G12" s="246" t="s">
        <v>36</v>
      </c>
      <c r="H12" s="246" t="s">
        <v>157</v>
      </c>
      <c r="I12" s="246" t="s">
        <v>153</v>
      </c>
      <c r="J12" s="246" t="s">
        <v>38</v>
      </c>
      <c r="K12" s="246" t="s">
        <v>154</v>
      </c>
      <c r="L12" s="246">
        <v>2</v>
      </c>
      <c r="M12" s="246"/>
      <c r="N12" s="246">
        <v>1</v>
      </c>
      <c r="O12" s="246">
        <v>0.5</v>
      </c>
      <c r="P12" s="246">
        <v>0.5</v>
      </c>
      <c r="Q12" s="107">
        <f t="shared" si="0"/>
        <v>0.5</v>
      </c>
      <c r="R12" s="246">
        <v>14.6</v>
      </c>
      <c r="S12" s="246">
        <v>126</v>
      </c>
      <c r="T12" s="108">
        <f t="shared" si="1"/>
        <v>27</v>
      </c>
      <c r="U12" s="246">
        <v>138</v>
      </c>
      <c r="V12" s="109">
        <f t="shared" si="2"/>
        <v>3726</v>
      </c>
      <c r="W12" s="246">
        <v>5</v>
      </c>
      <c r="X12" s="246" t="s">
        <v>46</v>
      </c>
      <c r="Y12" s="246" t="s">
        <v>84</v>
      </c>
      <c r="Z12" s="246" t="s">
        <v>50</v>
      </c>
      <c r="AA12" s="246" t="s">
        <v>69</v>
      </c>
      <c r="AB12" s="246" t="s">
        <v>310</v>
      </c>
      <c r="AE12" s="116" t="s">
        <v>207</v>
      </c>
      <c r="AG12" s="117"/>
      <c r="AH12" s="117"/>
      <c r="AP12" s="117" t="s">
        <v>67</v>
      </c>
      <c r="AR12" s="118" t="s">
        <v>208</v>
      </c>
      <c r="AV12" s="117" t="s">
        <v>72</v>
      </c>
      <c r="AX12" s="125">
        <v>180</v>
      </c>
      <c r="AY12" s="126">
        <v>18</v>
      </c>
      <c r="AZ12" s="126">
        <v>181</v>
      </c>
      <c r="BA12" s="127">
        <v>16</v>
      </c>
    </row>
    <row r="13" spans="1:53" s="115" customFormat="1" x14ac:dyDescent="0.15">
      <c r="A13" s="246" t="s">
        <v>51</v>
      </c>
      <c r="B13" s="246" t="s">
        <v>308</v>
      </c>
      <c r="C13" s="246">
        <v>2018</v>
      </c>
      <c r="D13" s="106" t="s">
        <v>383</v>
      </c>
      <c r="E13" s="246" t="s">
        <v>186</v>
      </c>
      <c r="F13" s="246" t="s">
        <v>187</v>
      </c>
      <c r="G13" s="246" t="s">
        <v>36</v>
      </c>
      <c r="H13" s="246" t="s">
        <v>157</v>
      </c>
      <c r="I13" s="246" t="s">
        <v>153</v>
      </c>
      <c r="J13" s="246" t="s">
        <v>38</v>
      </c>
      <c r="K13" s="246" t="s">
        <v>154</v>
      </c>
      <c r="L13" s="246">
        <v>3</v>
      </c>
      <c r="M13" s="246"/>
      <c r="N13" s="246">
        <v>1</v>
      </c>
      <c r="O13" s="246">
        <v>0.55000000000000004</v>
      </c>
      <c r="P13" s="246">
        <v>0.5</v>
      </c>
      <c r="Q13" s="107">
        <f t="shared" si="0"/>
        <v>0.52500000000000002</v>
      </c>
      <c r="R13" s="246">
        <v>15</v>
      </c>
      <c r="S13" s="246">
        <v>126</v>
      </c>
      <c r="T13" s="108">
        <f t="shared" si="1"/>
        <v>27</v>
      </c>
      <c r="U13" s="246">
        <v>138</v>
      </c>
      <c r="V13" s="109">
        <f t="shared" si="2"/>
        <v>3726</v>
      </c>
      <c r="W13" s="246">
        <v>5</v>
      </c>
      <c r="X13" s="246" t="s">
        <v>46</v>
      </c>
      <c r="Y13" s="246" t="s">
        <v>84</v>
      </c>
      <c r="Z13" s="246" t="s">
        <v>50</v>
      </c>
      <c r="AA13" s="246" t="s">
        <v>69</v>
      </c>
      <c r="AB13" s="246" t="s">
        <v>310</v>
      </c>
      <c r="AE13" s="116" t="s">
        <v>209</v>
      </c>
      <c r="AG13" s="117"/>
      <c r="AH13" s="117"/>
      <c r="AP13" s="117" t="s">
        <v>71</v>
      </c>
      <c r="AR13" s="118" t="s">
        <v>204</v>
      </c>
      <c r="AV13" s="117" t="s">
        <v>75</v>
      </c>
    </row>
    <row r="14" spans="1:53" s="115" customFormat="1" x14ac:dyDescent="0.15">
      <c r="A14" s="246" t="s">
        <v>51</v>
      </c>
      <c r="B14" s="246" t="s">
        <v>308</v>
      </c>
      <c r="C14" s="246">
        <v>2018</v>
      </c>
      <c r="D14" s="106" t="s">
        <v>383</v>
      </c>
      <c r="E14" s="246" t="s">
        <v>139</v>
      </c>
      <c r="F14" s="246" t="s">
        <v>384</v>
      </c>
      <c r="G14" s="246" t="s">
        <v>42</v>
      </c>
      <c r="H14" s="246" t="s">
        <v>155</v>
      </c>
      <c r="I14" s="246" t="s">
        <v>153</v>
      </c>
      <c r="J14" s="246" t="s">
        <v>38</v>
      </c>
      <c r="K14" s="246" t="s">
        <v>154</v>
      </c>
      <c r="L14" s="246">
        <v>1</v>
      </c>
      <c r="M14" s="246"/>
      <c r="N14" s="246">
        <v>1</v>
      </c>
      <c r="O14" s="246">
        <v>0.8</v>
      </c>
      <c r="P14" s="246">
        <v>0.65</v>
      </c>
      <c r="Q14" s="107">
        <f t="shared" si="0"/>
        <v>0.72500000000000009</v>
      </c>
      <c r="R14" s="246">
        <v>15.8</v>
      </c>
      <c r="S14" s="246">
        <v>146</v>
      </c>
      <c r="T14" s="108">
        <f t="shared" si="1"/>
        <v>22</v>
      </c>
      <c r="U14" s="246">
        <v>98</v>
      </c>
      <c r="V14" s="109">
        <f t="shared" si="2"/>
        <v>2156</v>
      </c>
      <c r="W14" s="246">
        <v>8</v>
      </c>
      <c r="X14" s="246" t="s">
        <v>46</v>
      </c>
      <c r="Y14" s="246" t="s">
        <v>84</v>
      </c>
      <c r="Z14" s="246" t="s">
        <v>50</v>
      </c>
      <c r="AA14" s="246" t="s">
        <v>69</v>
      </c>
      <c r="AB14" s="246" t="s">
        <v>310</v>
      </c>
      <c r="AE14" s="116" t="s">
        <v>96</v>
      </c>
      <c r="AG14" s="117"/>
      <c r="AH14" s="117"/>
      <c r="AP14" s="117" t="s">
        <v>74</v>
      </c>
      <c r="AR14" s="118" t="s">
        <v>210</v>
      </c>
      <c r="AV14" s="117" t="s">
        <v>78</v>
      </c>
    </row>
    <row r="15" spans="1:53" s="115" customFormat="1" x14ac:dyDescent="0.15">
      <c r="A15" s="246" t="s">
        <v>51</v>
      </c>
      <c r="B15" s="246" t="s">
        <v>308</v>
      </c>
      <c r="C15" s="246">
        <v>2018</v>
      </c>
      <c r="D15" s="106" t="s">
        <v>383</v>
      </c>
      <c r="E15" s="246" t="s">
        <v>139</v>
      </c>
      <c r="F15" s="246" t="s">
        <v>384</v>
      </c>
      <c r="G15" s="246" t="s">
        <v>42</v>
      </c>
      <c r="H15" s="246" t="s">
        <v>155</v>
      </c>
      <c r="I15" s="246" t="s">
        <v>153</v>
      </c>
      <c r="J15" s="246" t="s">
        <v>38</v>
      </c>
      <c r="K15" s="246" t="s">
        <v>154</v>
      </c>
      <c r="L15" s="246">
        <v>2</v>
      </c>
      <c r="M15" s="246"/>
      <c r="N15" s="246">
        <v>1</v>
      </c>
      <c r="O15" s="246">
        <v>0.7</v>
      </c>
      <c r="P15" s="246">
        <v>0.8</v>
      </c>
      <c r="Q15" s="107">
        <f t="shared" si="0"/>
        <v>0.75</v>
      </c>
      <c r="R15" s="246">
        <v>15.6</v>
      </c>
      <c r="S15" s="246">
        <v>148</v>
      </c>
      <c r="T15" s="108">
        <f t="shared" si="1"/>
        <v>22</v>
      </c>
      <c r="U15" s="246">
        <v>98</v>
      </c>
      <c r="V15" s="109">
        <f t="shared" si="2"/>
        <v>2156</v>
      </c>
      <c r="W15" s="246">
        <v>8</v>
      </c>
      <c r="X15" s="246" t="s">
        <v>46</v>
      </c>
      <c r="Y15" s="246" t="s">
        <v>84</v>
      </c>
      <c r="Z15" s="246" t="s">
        <v>50</v>
      </c>
      <c r="AA15" s="246" t="s">
        <v>69</v>
      </c>
      <c r="AB15" s="246" t="s">
        <v>310</v>
      </c>
      <c r="AE15" s="116" t="s">
        <v>211</v>
      </c>
      <c r="AG15" s="117"/>
      <c r="AH15" s="117"/>
      <c r="AP15" s="117" t="s">
        <v>77</v>
      </c>
      <c r="AR15" s="118" t="s">
        <v>80</v>
      </c>
      <c r="AV15" s="117" t="s">
        <v>107</v>
      </c>
    </row>
    <row r="16" spans="1:53" s="115" customFormat="1" x14ac:dyDescent="0.15">
      <c r="A16" s="246" t="s">
        <v>51</v>
      </c>
      <c r="B16" s="246" t="s">
        <v>308</v>
      </c>
      <c r="C16" s="246">
        <v>2018</v>
      </c>
      <c r="D16" s="106" t="s">
        <v>383</v>
      </c>
      <c r="E16" s="246" t="s">
        <v>139</v>
      </c>
      <c r="F16" s="246" t="s">
        <v>384</v>
      </c>
      <c r="G16" s="246" t="s">
        <v>42</v>
      </c>
      <c r="H16" s="246" t="s">
        <v>155</v>
      </c>
      <c r="I16" s="246" t="s">
        <v>153</v>
      </c>
      <c r="J16" s="246" t="s">
        <v>38</v>
      </c>
      <c r="K16" s="246" t="s">
        <v>154</v>
      </c>
      <c r="L16" s="246">
        <v>3</v>
      </c>
      <c r="M16" s="246"/>
      <c r="N16" s="246">
        <v>1</v>
      </c>
      <c r="O16" s="246">
        <v>0.75</v>
      </c>
      <c r="P16" s="246">
        <v>0.75</v>
      </c>
      <c r="Q16" s="107">
        <f t="shared" si="0"/>
        <v>0.75</v>
      </c>
      <c r="R16" s="246">
        <v>15.5</v>
      </c>
      <c r="S16" s="246">
        <v>134</v>
      </c>
      <c r="T16" s="108">
        <f t="shared" si="1"/>
        <v>25</v>
      </c>
      <c r="U16" s="246">
        <v>98</v>
      </c>
      <c r="V16" s="109">
        <f t="shared" si="2"/>
        <v>2450</v>
      </c>
      <c r="W16" s="246">
        <v>8</v>
      </c>
      <c r="X16" s="246" t="s">
        <v>46</v>
      </c>
      <c r="Y16" s="246" t="s">
        <v>84</v>
      </c>
      <c r="Z16" s="246" t="s">
        <v>50</v>
      </c>
      <c r="AA16" s="246" t="s">
        <v>69</v>
      </c>
      <c r="AB16" s="246" t="s">
        <v>310</v>
      </c>
      <c r="AE16" s="116" t="s">
        <v>212</v>
      </c>
      <c r="AG16" s="123"/>
      <c r="AH16" s="123"/>
      <c r="AP16" s="117" t="s">
        <v>80</v>
      </c>
      <c r="AR16" s="118" t="s">
        <v>63</v>
      </c>
      <c r="AV16" s="117" t="s">
        <v>84</v>
      </c>
    </row>
    <row r="17" spans="1:48" s="115" customFormat="1" x14ac:dyDescent="0.15">
      <c r="A17" s="246" t="s">
        <v>51</v>
      </c>
      <c r="B17" s="246" t="s">
        <v>308</v>
      </c>
      <c r="C17" s="246">
        <v>2018</v>
      </c>
      <c r="D17" s="106" t="s">
        <v>383</v>
      </c>
      <c r="E17" s="246" t="s">
        <v>139</v>
      </c>
      <c r="F17" s="246" t="s">
        <v>384</v>
      </c>
      <c r="G17" s="246" t="s">
        <v>42</v>
      </c>
      <c r="H17" s="246" t="s">
        <v>157</v>
      </c>
      <c r="I17" s="246" t="s">
        <v>153</v>
      </c>
      <c r="J17" s="246" t="s">
        <v>38</v>
      </c>
      <c r="K17" s="246" t="s">
        <v>154</v>
      </c>
      <c r="L17" s="246">
        <v>1</v>
      </c>
      <c r="M17" s="246"/>
      <c r="N17" s="246">
        <v>1</v>
      </c>
      <c r="O17" s="246">
        <v>0.55000000000000004</v>
      </c>
      <c r="P17" s="246">
        <v>0.6</v>
      </c>
      <c r="Q17" s="107">
        <f t="shared" si="0"/>
        <v>0.57499999999999996</v>
      </c>
      <c r="R17" s="246">
        <v>16.399999999999999</v>
      </c>
      <c r="S17" s="246">
        <v>126</v>
      </c>
      <c r="T17" s="108">
        <f t="shared" si="1"/>
        <v>27</v>
      </c>
      <c r="U17" s="246">
        <v>98</v>
      </c>
      <c r="V17" s="109">
        <f t="shared" si="2"/>
        <v>2646</v>
      </c>
      <c r="W17" s="246">
        <v>8</v>
      </c>
      <c r="X17" s="246" t="s">
        <v>46</v>
      </c>
      <c r="Y17" s="246" t="s">
        <v>84</v>
      </c>
      <c r="Z17" s="246" t="s">
        <v>50</v>
      </c>
      <c r="AA17" s="246" t="s">
        <v>69</v>
      </c>
      <c r="AB17" s="246" t="s">
        <v>310</v>
      </c>
      <c r="AE17" s="116" t="s">
        <v>213</v>
      </c>
      <c r="AP17" s="128" t="s">
        <v>214</v>
      </c>
      <c r="AR17" s="118" t="s">
        <v>96</v>
      </c>
      <c r="AV17" s="117" t="s">
        <v>86</v>
      </c>
    </row>
    <row r="18" spans="1:48" s="115" customFormat="1" x14ac:dyDescent="0.15">
      <c r="A18" s="246" t="s">
        <v>51</v>
      </c>
      <c r="B18" s="246" t="s">
        <v>308</v>
      </c>
      <c r="C18" s="246">
        <v>2018</v>
      </c>
      <c r="D18" s="106" t="s">
        <v>383</v>
      </c>
      <c r="E18" s="246" t="s">
        <v>139</v>
      </c>
      <c r="F18" s="246" t="s">
        <v>384</v>
      </c>
      <c r="G18" s="246" t="s">
        <v>42</v>
      </c>
      <c r="H18" s="246" t="s">
        <v>157</v>
      </c>
      <c r="I18" s="246" t="s">
        <v>153</v>
      </c>
      <c r="J18" s="246" t="s">
        <v>38</v>
      </c>
      <c r="K18" s="246" t="s">
        <v>154</v>
      </c>
      <c r="L18" s="246">
        <v>2</v>
      </c>
      <c r="M18" s="246"/>
      <c r="N18" s="246">
        <v>1</v>
      </c>
      <c r="O18" s="246">
        <v>0.6</v>
      </c>
      <c r="P18" s="246">
        <v>0.5</v>
      </c>
      <c r="Q18" s="107">
        <f t="shared" si="0"/>
        <v>0.55000000000000004</v>
      </c>
      <c r="R18" s="246">
        <v>15.6</v>
      </c>
      <c r="S18" s="246">
        <v>118</v>
      </c>
      <c r="T18" s="108">
        <f t="shared" si="1"/>
        <v>39</v>
      </c>
      <c r="U18" s="246">
        <v>98</v>
      </c>
      <c r="V18" s="109">
        <f t="shared" si="2"/>
        <v>3822</v>
      </c>
      <c r="W18" s="246">
        <v>8</v>
      </c>
      <c r="X18" s="246" t="s">
        <v>46</v>
      </c>
      <c r="Y18" s="246" t="s">
        <v>84</v>
      </c>
      <c r="Z18" s="246" t="s">
        <v>50</v>
      </c>
      <c r="AA18" s="246" t="s">
        <v>69</v>
      </c>
      <c r="AB18" s="246" t="s">
        <v>310</v>
      </c>
      <c r="AE18" s="116" t="s">
        <v>206</v>
      </c>
      <c r="AP18" s="128" t="s">
        <v>215</v>
      </c>
      <c r="AR18" s="118" t="s">
        <v>101</v>
      </c>
      <c r="AV18" s="117" t="s">
        <v>88</v>
      </c>
    </row>
    <row r="19" spans="1:48" s="115" customFormat="1" x14ac:dyDescent="0.15">
      <c r="A19" s="246" t="s">
        <v>51</v>
      </c>
      <c r="B19" s="246" t="s">
        <v>308</v>
      </c>
      <c r="C19" s="246">
        <v>2018</v>
      </c>
      <c r="D19" s="106" t="s">
        <v>383</v>
      </c>
      <c r="E19" s="246" t="s">
        <v>139</v>
      </c>
      <c r="F19" s="246" t="s">
        <v>384</v>
      </c>
      <c r="G19" s="246" t="s">
        <v>42</v>
      </c>
      <c r="H19" s="246" t="s">
        <v>157</v>
      </c>
      <c r="I19" s="246" t="s">
        <v>153</v>
      </c>
      <c r="J19" s="246" t="s">
        <v>38</v>
      </c>
      <c r="K19" s="246" t="s">
        <v>154</v>
      </c>
      <c r="L19" s="246">
        <v>3</v>
      </c>
      <c r="M19" s="246"/>
      <c r="N19" s="246">
        <v>1</v>
      </c>
      <c r="O19" s="246">
        <v>0.55000000000000004</v>
      </c>
      <c r="P19" s="246">
        <v>0.65</v>
      </c>
      <c r="Q19" s="107">
        <f t="shared" si="0"/>
        <v>0.60000000000000009</v>
      </c>
      <c r="R19" s="246">
        <v>16.2</v>
      </c>
      <c r="S19" s="246">
        <v>120</v>
      </c>
      <c r="T19" s="108">
        <f t="shared" si="1"/>
        <v>39</v>
      </c>
      <c r="U19" s="246">
        <v>98</v>
      </c>
      <c r="V19" s="109">
        <f t="shared" si="2"/>
        <v>3822</v>
      </c>
      <c r="W19" s="246">
        <v>8</v>
      </c>
      <c r="X19" s="246" t="s">
        <v>46</v>
      </c>
      <c r="Y19" s="246" t="s">
        <v>84</v>
      </c>
      <c r="Z19" s="246" t="s">
        <v>50</v>
      </c>
      <c r="AA19" s="246" t="s">
        <v>69</v>
      </c>
      <c r="AB19" s="246" t="s">
        <v>310</v>
      </c>
      <c r="AE19" s="129" t="s">
        <v>203</v>
      </c>
      <c r="AP19" s="128" t="s">
        <v>216</v>
      </c>
      <c r="AR19" s="118" t="s">
        <v>217</v>
      </c>
      <c r="AV19" s="117" t="s">
        <v>90</v>
      </c>
    </row>
    <row r="20" spans="1:48" s="115" customFormat="1" x14ac:dyDescent="0.15">
      <c r="A20" s="246" t="s">
        <v>51</v>
      </c>
      <c r="B20" s="246" t="s">
        <v>308</v>
      </c>
      <c r="C20" s="246">
        <v>2018</v>
      </c>
      <c r="D20" s="106" t="s">
        <v>383</v>
      </c>
      <c r="E20" s="246" t="s">
        <v>196</v>
      </c>
      <c r="F20" s="246" t="s">
        <v>197</v>
      </c>
      <c r="G20" s="246" t="s">
        <v>36</v>
      </c>
      <c r="H20" s="246" t="s">
        <v>155</v>
      </c>
      <c r="I20" s="246" t="s">
        <v>153</v>
      </c>
      <c r="J20" s="246" t="s">
        <v>38</v>
      </c>
      <c r="K20" s="246" t="s">
        <v>154</v>
      </c>
      <c r="L20" s="246">
        <v>1</v>
      </c>
      <c r="M20" s="246"/>
      <c r="N20" s="246">
        <v>1</v>
      </c>
      <c r="O20" s="246">
        <v>0.85</v>
      </c>
      <c r="P20" s="246">
        <v>1</v>
      </c>
      <c r="Q20" s="107">
        <f t="shared" si="0"/>
        <v>0.92500000000000004</v>
      </c>
      <c r="R20" s="246">
        <v>14</v>
      </c>
      <c r="S20" s="246">
        <v>142</v>
      </c>
      <c r="T20" s="108">
        <f t="shared" si="1"/>
        <v>22</v>
      </c>
      <c r="U20" s="246">
        <v>98</v>
      </c>
      <c r="V20" s="109">
        <f t="shared" si="2"/>
        <v>2156</v>
      </c>
      <c r="W20" s="246">
        <v>5</v>
      </c>
      <c r="X20" s="246" t="s">
        <v>39</v>
      </c>
      <c r="Y20" s="246" t="s">
        <v>84</v>
      </c>
      <c r="Z20" s="246" t="s">
        <v>50</v>
      </c>
      <c r="AA20" s="246" t="s">
        <v>69</v>
      </c>
      <c r="AB20" s="246" t="s">
        <v>310</v>
      </c>
      <c r="AE20" s="129"/>
      <c r="AP20" s="128" t="s">
        <v>218</v>
      </c>
      <c r="AR20" s="118" t="s">
        <v>105</v>
      </c>
      <c r="AV20" s="122" t="s">
        <v>219</v>
      </c>
    </row>
    <row r="21" spans="1:48" s="115" customFormat="1" x14ac:dyDescent="0.15">
      <c r="A21" s="246" t="s">
        <v>51</v>
      </c>
      <c r="B21" s="246" t="s">
        <v>308</v>
      </c>
      <c r="C21" s="246">
        <v>2018</v>
      </c>
      <c r="D21" s="106" t="s">
        <v>383</v>
      </c>
      <c r="E21" s="246" t="s">
        <v>196</v>
      </c>
      <c r="F21" s="246" t="s">
        <v>197</v>
      </c>
      <c r="G21" s="246" t="s">
        <v>36</v>
      </c>
      <c r="H21" s="246" t="s">
        <v>155</v>
      </c>
      <c r="I21" s="246" t="s">
        <v>153</v>
      </c>
      <c r="J21" s="246" t="s">
        <v>38</v>
      </c>
      <c r="K21" s="246" t="s">
        <v>154</v>
      </c>
      <c r="L21" s="246">
        <v>2</v>
      </c>
      <c r="M21" s="246"/>
      <c r="N21" s="246">
        <v>1</v>
      </c>
      <c r="O21" s="246">
        <v>0.95</v>
      </c>
      <c r="P21" s="246">
        <v>0.9</v>
      </c>
      <c r="Q21" s="107">
        <f t="shared" si="0"/>
        <v>0.92500000000000004</v>
      </c>
      <c r="R21" s="246">
        <v>14.8</v>
      </c>
      <c r="S21" s="246">
        <v>144</v>
      </c>
      <c r="T21" s="108">
        <f t="shared" si="1"/>
        <v>22</v>
      </c>
      <c r="U21" s="246">
        <v>98</v>
      </c>
      <c r="V21" s="109">
        <f t="shared" si="2"/>
        <v>2156</v>
      </c>
      <c r="W21" s="246">
        <v>5</v>
      </c>
      <c r="X21" s="246" t="s">
        <v>39</v>
      </c>
      <c r="Y21" s="246" t="s">
        <v>84</v>
      </c>
      <c r="Z21" s="246" t="s">
        <v>50</v>
      </c>
      <c r="AA21" s="246" t="s">
        <v>69</v>
      </c>
      <c r="AB21" s="246" t="s">
        <v>310</v>
      </c>
      <c r="AE21" s="123"/>
      <c r="AP21" s="128" t="s">
        <v>220</v>
      </c>
      <c r="AR21" s="118" t="s">
        <v>68</v>
      </c>
      <c r="AV21" s="122" t="s">
        <v>159</v>
      </c>
    </row>
    <row r="22" spans="1:48" s="115" customFormat="1" x14ac:dyDescent="0.15">
      <c r="A22" s="246" t="s">
        <v>51</v>
      </c>
      <c r="B22" s="246" t="s">
        <v>308</v>
      </c>
      <c r="C22" s="246">
        <v>2018</v>
      </c>
      <c r="D22" s="106" t="s">
        <v>383</v>
      </c>
      <c r="E22" s="246" t="s">
        <v>196</v>
      </c>
      <c r="F22" s="246" t="s">
        <v>197</v>
      </c>
      <c r="G22" s="246" t="s">
        <v>36</v>
      </c>
      <c r="H22" s="246" t="s">
        <v>155</v>
      </c>
      <c r="I22" s="246" t="s">
        <v>153</v>
      </c>
      <c r="J22" s="246" t="s">
        <v>38</v>
      </c>
      <c r="K22" s="246" t="s">
        <v>154</v>
      </c>
      <c r="L22" s="246">
        <v>3</v>
      </c>
      <c r="M22" s="246"/>
      <c r="N22" s="246">
        <v>1</v>
      </c>
      <c r="O22" s="246">
        <v>0.8</v>
      </c>
      <c r="P22" s="246">
        <v>0.9</v>
      </c>
      <c r="Q22" s="107">
        <f t="shared" si="0"/>
        <v>0.85000000000000009</v>
      </c>
      <c r="R22" s="246">
        <v>15.1</v>
      </c>
      <c r="S22" s="246">
        <v>142</v>
      </c>
      <c r="T22" s="108">
        <f t="shared" si="1"/>
        <v>22</v>
      </c>
      <c r="U22" s="246">
        <v>98</v>
      </c>
      <c r="V22" s="109">
        <f t="shared" si="2"/>
        <v>2156</v>
      </c>
      <c r="W22" s="246">
        <v>5</v>
      </c>
      <c r="X22" s="246" t="s">
        <v>39</v>
      </c>
      <c r="Y22" s="246" t="s">
        <v>84</v>
      </c>
      <c r="Z22" s="246" t="s">
        <v>50</v>
      </c>
      <c r="AA22" s="246" t="s">
        <v>69</v>
      </c>
      <c r="AB22" s="246" t="s">
        <v>310</v>
      </c>
      <c r="AP22" s="128" t="s">
        <v>221</v>
      </c>
      <c r="AR22" s="118" t="s">
        <v>83</v>
      </c>
      <c r="AV22" s="122"/>
    </row>
    <row r="23" spans="1:48" s="115" customFormat="1" x14ac:dyDescent="0.15">
      <c r="A23" s="246" t="s">
        <v>51</v>
      </c>
      <c r="B23" s="246" t="s">
        <v>308</v>
      </c>
      <c r="C23" s="246">
        <v>2018</v>
      </c>
      <c r="D23" s="106" t="s">
        <v>383</v>
      </c>
      <c r="E23" s="246" t="s">
        <v>160</v>
      </c>
      <c r="F23" s="246" t="s">
        <v>184</v>
      </c>
      <c r="G23" s="246" t="s">
        <v>42</v>
      </c>
      <c r="H23" s="246" t="s">
        <v>155</v>
      </c>
      <c r="I23" s="246" t="s">
        <v>153</v>
      </c>
      <c r="J23" s="246" t="s">
        <v>38</v>
      </c>
      <c r="K23" s="246" t="s">
        <v>154</v>
      </c>
      <c r="L23" s="246">
        <v>1</v>
      </c>
      <c r="M23" s="246"/>
      <c r="N23" s="246">
        <v>1</v>
      </c>
      <c r="O23" s="246">
        <v>0.6</v>
      </c>
      <c r="P23" s="246">
        <v>0.55000000000000004</v>
      </c>
      <c r="Q23" s="107">
        <f t="shared" si="0"/>
        <v>0.57499999999999996</v>
      </c>
      <c r="R23" s="246">
        <v>16.3</v>
      </c>
      <c r="S23" s="246">
        <v>138</v>
      </c>
      <c r="T23" s="108">
        <f t="shared" si="1"/>
        <v>22</v>
      </c>
      <c r="U23" s="246">
        <v>97</v>
      </c>
      <c r="V23" s="109">
        <f t="shared" si="2"/>
        <v>2134</v>
      </c>
      <c r="W23" s="246">
        <v>12</v>
      </c>
      <c r="X23" s="246" t="s">
        <v>46</v>
      </c>
      <c r="Y23" s="246" t="s">
        <v>84</v>
      </c>
      <c r="Z23" s="246" t="s">
        <v>90</v>
      </c>
      <c r="AA23" s="246" t="s">
        <v>50</v>
      </c>
      <c r="AB23" s="246" t="s">
        <v>310</v>
      </c>
      <c r="AP23" s="128" t="s">
        <v>223</v>
      </c>
      <c r="AR23" s="115" t="s">
        <v>385</v>
      </c>
    </row>
    <row r="24" spans="1:48" s="115" customFormat="1" x14ac:dyDescent="0.15">
      <c r="A24" s="246" t="s">
        <v>51</v>
      </c>
      <c r="B24" s="246" t="s">
        <v>308</v>
      </c>
      <c r="C24" s="246">
        <v>2018</v>
      </c>
      <c r="D24" s="106" t="s">
        <v>383</v>
      </c>
      <c r="E24" s="246" t="s">
        <v>160</v>
      </c>
      <c r="F24" s="246" t="s">
        <v>184</v>
      </c>
      <c r="G24" s="246" t="s">
        <v>42</v>
      </c>
      <c r="H24" s="246" t="s">
        <v>155</v>
      </c>
      <c r="I24" s="246" t="s">
        <v>153</v>
      </c>
      <c r="J24" s="246" t="s">
        <v>38</v>
      </c>
      <c r="K24" s="246" t="s">
        <v>154</v>
      </c>
      <c r="L24" s="246">
        <v>2</v>
      </c>
      <c r="M24" s="246"/>
      <c r="N24" s="246">
        <v>1</v>
      </c>
      <c r="O24" s="246">
        <v>0.6</v>
      </c>
      <c r="P24" s="246">
        <v>0.65</v>
      </c>
      <c r="Q24" s="107">
        <f t="shared" si="0"/>
        <v>0.625</v>
      </c>
      <c r="R24" s="246">
        <v>16</v>
      </c>
      <c r="S24" s="246">
        <v>136</v>
      </c>
      <c r="T24" s="108">
        <f t="shared" si="1"/>
        <v>25</v>
      </c>
      <c r="U24" s="246">
        <v>97</v>
      </c>
      <c r="V24" s="109">
        <f t="shared" si="2"/>
        <v>2425</v>
      </c>
      <c r="W24" s="246">
        <v>12</v>
      </c>
      <c r="X24" s="246" t="s">
        <v>46</v>
      </c>
      <c r="Y24" s="246" t="s">
        <v>84</v>
      </c>
      <c r="Z24" s="246" t="s">
        <v>90</v>
      </c>
      <c r="AA24" s="246" t="s">
        <v>50</v>
      </c>
      <c r="AB24" s="246" t="s">
        <v>310</v>
      </c>
      <c r="AP24" s="128" t="s">
        <v>224</v>
      </c>
    </row>
    <row r="25" spans="1:48" s="115" customFormat="1" x14ac:dyDescent="0.15">
      <c r="A25" s="246" t="s">
        <v>51</v>
      </c>
      <c r="B25" s="246" t="s">
        <v>308</v>
      </c>
      <c r="C25" s="246">
        <v>2018</v>
      </c>
      <c r="D25" s="106" t="s">
        <v>383</v>
      </c>
      <c r="E25" s="246" t="s">
        <v>160</v>
      </c>
      <c r="F25" s="246" t="s">
        <v>184</v>
      </c>
      <c r="G25" s="246" t="s">
        <v>42</v>
      </c>
      <c r="H25" s="246" t="s">
        <v>155</v>
      </c>
      <c r="I25" s="246" t="s">
        <v>153</v>
      </c>
      <c r="J25" s="246" t="s">
        <v>38</v>
      </c>
      <c r="K25" s="246" t="s">
        <v>154</v>
      </c>
      <c r="L25" s="246">
        <v>3</v>
      </c>
      <c r="M25" s="246"/>
      <c r="N25" s="246">
        <v>1</v>
      </c>
      <c r="O25" s="246">
        <v>0.7</v>
      </c>
      <c r="P25" s="246">
        <v>0.65</v>
      </c>
      <c r="Q25" s="107">
        <f t="shared" si="0"/>
        <v>0.67500000000000004</v>
      </c>
      <c r="R25" s="246">
        <v>15.8</v>
      </c>
      <c r="S25" s="246">
        <v>138</v>
      </c>
      <c r="T25" s="108">
        <f t="shared" si="1"/>
        <v>22</v>
      </c>
      <c r="U25" s="246">
        <v>97</v>
      </c>
      <c r="V25" s="109">
        <f t="shared" si="2"/>
        <v>2134</v>
      </c>
      <c r="W25" s="246">
        <v>12</v>
      </c>
      <c r="X25" s="246" t="s">
        <v>46</v>
      </c>
      <c r="Y25" s="246" t="s">
        <v>84</v>
      </c>
      <c r="Z25" s="246" t="s">
        <v>90</v>
      </c>
      <c r="AA25" s="246" t="s">
        <v>50</v>
      </c>
      <c r="AB25" s="246" t="s">
        <v>310</v>
      </c>
    </row>
    <row r="26" spans="1:48" s="115" customFormat="1" x14ac:dyDescent="0.15">
      <c r="A26" s="246" t="s">
        <v>51</v>
      </c>
      <c r="B26" s="246" t="s">
        <v>308</v>
      </c>
      <c r="C26" s="246">
        <v>2018</v>
      </c>
      <c r="D26" s="106" t="s">
        <v>383</v>
      </c>
      <c r="E26" s="246" t="s">
        <v>160</v>
      </c>
      <c r="F26" s="246" t="s">
        <v>184</v>
      </c>
      <c r="G26" s="246" t="s">
        <v>42</v>
      </c>
      <c r="H26" s="246" t="s">
        <v>157</v>
      </c>
      <c r="I26" s="246" t="s">
        <v>153</v>
      </c>
      <c r="J26" s="246" t="s">
        <v>38</v>
      </c>
      <c r="K26" s="246" t="s">
        <v>154</v>
      </c>
      <c r="L26" s="246">
        <v>1</v>
      </c>
      <c r="M26" s="246"/>
      <c r="N26" s="246">
        <v>1</v>
      </c>
      <c r="O26" s="246">
        <v>0.5</v>
      </c>
      <c r="P26" s="246">
        <v>0.6</v>
      </c>
      <c r="Q26" s="107">
        <f t="shared" si="0"/>
        <v>0.55000000000000004</v>
      </c>
      <c r="R26" s="246">
        <v>16.2</v>
      </c>
      <c r="S26" s="246">
        <v>156</v>
      </c>
      <c r="T26" s="108">
        <f t="shared" si="1"/>
        <v>18</v>
      </c>
      <c r="U26" s="246">
        <v>97</v>
      </c>
      <c r="V26" s="109">
        <f t="shared" si="2"/>
        <v>1746</v>
      </c>
      <c r="W26" s="246">
        <v>12</v>
      </c>
      <c r="X26" s="246" t="s">
        <v>46</v>
      </c>
      <c r="Y26" s="246" t="s">
        <v>84</v>
      </c>
      <c r="Z26" s="246" t="s">
        <v>90</v>
      </c>
      <c r="AA26" s="246" t="s">
        <v>50</v>
      </c>
      <c r="AB26" s="246" t="s">
        <v>310</v>
      </c>
    </row>
    <row r="27" spans="1:48" s="115" customFormat="1" x14ac:dyDescent="0.15">
      <c r="A27" s="246" t="s">
        <v>51</v>
      </c>
      <c r="B27" s="246" t="s">
        <v>308</v>
      </c>
      <c r="C27" s="246">
        <v>2018</v>
      </c>
      <c r="D27" s="106" t="s">
        <v>383</v>
      </c>
      <c r="E27" s="246" t="s">
        <v>160</v>
      </c>
      <c r="F27" s="246" t="s">
        <v>184</v>
      </c>
      <c r="G27" s="246" t="s">
        <v>42</v>
      </c>
      <c r="H27" s="246" t="s">
        <v>157</v>
      </c>
      <c r="I27" s="246" t="s">
        <v>153</v>
      </c>
      <c r="J27" s="246" t="s">
        <v>38</v>
      </c>
      <c r="K27" s="246" t="s">
        <v>154</v>
      </c>
      <c r="L27" s="246">
        <v>2</v>
      </c>
      <c r="M27" s="246"/>
      <c r="N27" s="246">
        <v>1</v>
      </c>
      <c r="O27" s="246">
        <v>0.6</v>
      </c>
      <c r="P27" s="246">
        <v>0.65</v>
      </c>
      <c r="Q27" s="107">
        <f t="shared" si="0"/>
        <v>0.625</v>
      </c>
      <c r="R27" s="246">
        <v>16.8</v>
      </c>
      <c r="S27" s="246">
        <v>162</v>
      </c>
      <c r="T27" s="108">
        <f t="shared" si="1"/>
        <v>18</v>
      </c>
      <c r="U27" s="246">
        <v>97</v>
      </c>
      <c r="V27" s="109">
        <f t="shared" si="2"/>
        <v>1746</v>
      </c>
      <c r="W27" s="246">
        <v>12</v>
      </c>
      <c r="X27" s="246" t="s">
        <v>46</v>
      </c>
      <c r="Y27" s="246" t="s">
        <v>84</v>
      </c>
      <c r="Z27" s="246" t="s">
        <v>90</v>
      </c>
      <c r="AA27" s="246" t="s">
        <v>50</v>
      </c>
      <c r="AB27" s="246" t="s">
        <v>310</v>
      </c>
    </row>
    <row r="28" spans="1:48" s="115" customFormat="1" x14ac:dyDescent="0.15">
      <c r="A28" s="246" t="s">
        <v>51</v>
      </c>
      <c r="B28" s="246" t="s">
        <v>308</v>
      </c>
      <c r="C28" s="246">
        <v>2018</v>
      </c>
      <c r="D28" s="106" t="s">
        <v>383</v>
      </c>
      <c r="E28" s="246" t="s">
        <v>160</v>
      </c>
      <c r="F28" s="246" t="s">
        <v>184</v>
      </c>
      <c r="G28" s="246" t="s">
        <v>42</v>
      </c>
      <c r="H28" s="246" t="s">
        <v>157</v>
      </c>
      <c r="I28" s="246" t="s">
        <v>153</v>
      </c>
      <c r="J28" s="246" t="s">
        <v>38</v>
      </c>
      <c r="K28" s="246" t="s">
        <v>154</v>
      </c>
      <c r="L28" s="246">
        <v>3</v>
      </c>
      <c r="M28" s="246"/>
      <c r="N28" s="246">
        <v>1</v>
      </c>
      <c r="O28" s="246">
        <v>0.55000000000000004</v>
      </c>
      <c r="P28" s="246">
        <v>0.55000000000000004</v>
      </c>
      <c r="Q28" s="107">
        <f t="shared" si="0"/>
        <v>0.55000000000000004</v>
      </c>
      <c r="R28" s="246">
        <v>16.5</v>
      </c>
      <c r="S28" s="246">
        <v>156</v>
      </c>
      <c r="T28" s="108">
        <f t="shared" si="1"/>
        <v>18</v>
      </c>
      <c r="U28" s="246">
        <v>97</v>
      </c>
      <c r="V28" s="109">
        <f t="shared" si="2"/>
        <v>1746</v>
      </c>
      <c r="W28" s="246">
        <v>12</v>
      </c>
      <c r="X28" s="246" t="s">
        <v>46</v>
      </c>
      <c r="Y28" s="246" t="s">
        <v>84</v>
      </c>
      <c r="Z28" s="246" t="s">
        <v>90</v>
      </c>
      <c r="AA28" s="246" t="s">
        <v>50</v>
      </c>
      <c r="AB28" s="246" t="s">
        <v>310</v>
      </c>
    </row>
    <row r="29" spans="1:48" s="115" customFormat="1" x14ac:dyDescent="0.15">
      <c r="A29" s="246" t="s">
        <v>51</v>
      </c>
      <c r="B29" s="246" t="s">
        <v>308</v>
      </c>
      <c r="C29" s="246">
        <v>2018</v>
      </c>
      <c r="D29" s="106" t="s">
        <v>383</v>
      </c>
      <c r="E29" s="246" t="s">
        <v>198</v>
      </c>
      <c r="F29" s="246" t="s">
        <v>184</v>
      </c>
      <c r="G29" s="246" t="s">
        <v>42</v>
      </c>
      <c r="H29" s="246" t="s">
        <v>155</v>
      </c>
      <c r="I29" s="246" t="s">
        <v>153</v>
      </c>
      <c r="J29" s="246" t="s">
        <v>38</v>
      </c>
      <c r="K29" s="246" t="s">
        <v>154</v>
      </c>
      <c r="L29" s="246">
        <v>1</v>
      </c>
      <c r="M29" s="246"/>
      <c r="N29" s="246">
        <v>1</v>
      </c>
      <c r="O29" s="246">
        <v>1</v>
      </c>
      <c r="P29" s="246">
        <v>1.1000000000000001</v>
      </c>
      <c r="Q29" s="107">
        <f t="shared" si="0"/>
        <v>1.05</v>
      </c>
      <c r="R29" s="246">
        <v>13.6</v>
      </c>
      <c r="S29" s="246">
        <v>140</v>
      </c>
      <c r="T29" s="108">
        <f t="shared" si="1"/>
        <v>22</v>
      </c>
      <c r="U29" s="246">
        <v>78</v>
      </c>
      <c r="V29" s="109">
        <f t="shared" si="2"/>
        <v>1716</v>
      </c>
      <c r="W29" s="246">
        <v>13</v>
      </c>
      <c r="X29" s="246" t="s">
        <v>46</v>
      </c>
      <c r="Y29" s="246" t="s">
        <v>84</v>
      </c>
      <c r="Z29" s="246" t="s">
        <v>90</v>
      </c>
      <c r="AA29" s="246" t="s">
        <v>69</v>
      </c>
      <c r="AB29" s="246" t="s">
        <v>310</v>
      </c>
    </row>
    <row r="30" spans="1:48" s="115" customFormat="1" x14ac:dyDescent="0.15">
      <c r="A30" s="246" t="s">
        <v>51</v>
      </c>
      <c r="B30" s="246" t="s">
        <v>308</v>
      </c>
      <c r="C30" s="246">
        <v>2018</v>
      </c>
      <c r="D30" s="106" t="s">
        <v>383</v>
      </c>
      <c r="E30" s="246" t="s">
        <v>198</v>
      </c>
      <c r="F30" s="246" t="s">
        <v>184</v>
      </c>
      <c r="G30" s="246" t="s">
        <v>42</v>
      </c>
      <c r="H30" s="246" t="s">
        <v>155</v>
      </c>
      <c r="I30" s="246" t="s">
        <v>153</v>
      </c>
      <c r="J30" s="246" t="s">
        <v>38</v>
      </c>
      <c r="K30" s="246" t="s">
        <v>154</v>
      </c>
      <c r="L30" s="246">
        <v>2</v>
      </c>
      <c r="M30" s="246"/>
      <c r="N30" s="246">
        <v>1</v>
      </c>
      <c r="O30" s="246">
        <v>0.95</v>
      </c>
      <c r="P30" s="246">
        <v>1.05</v>
      </c>
      <c r="Q30" s="107">
        <f t="shared" si="0"/>
        <v>1</v>
      </c>
      <c r="R30" s="246">
        <v>14.8</v>
      </c>
      <c r="S30" s="246">
        <v>152</v>
      </c>
      <c r="T30" s="108">
        <f t="shared" si="1"/>
        <v>18</v>
      </c>
      <c r="U30" s="246">
        <v>78</v>
      </c>
      <c r="V30" s="109">
        <f t="shared" si="2"/>
        <v>1404</v>
      </c>
      <c r="W30" s="246">
        <v>13</v>
      </c>
      <c r="X30" s="246" t="s">
        <v>46</v>
      </c>
      <c r="Y30" s="246" t="s">
        <v>84</v>
      </c>
      <c r="Z30" s="246" t="s">
        <v>90</v>
      </c>
      <c r="AA30" s="246" t="s">
        <v>69</v>
      </c>
      <c r="AB30" s="246" t="s">
        <v>310</v>
      </c>
    </row>
    <row r="31" spans="1:48" s="115" customFormat="1" x14ac:dyDescent="0.15">
      <c r="A31" s="246" t="s">
        <v>51</v>
      </c>
      <c r="B31" s="246" t="s">
        <v>308</v>
      </c>
      <c r="C31" s="246">
        <v>2018</v>
      </c>
      <c r="D31" s="106" t="s">
        <v>383</v>
      </c>
      <c r="E31" s="246" t="s">
        <v>198</v>
      </c>
      <c r="F31" s="246" t="s">
        <v>184</v>
      </c>
      <c r="G31" s="246" t="s">
        <v>42</v>
      </c>
      <c r="H31" s="246" t="s">
        <v>155</v>
      </c>
      <c r="I31" s="246" t="s">
        <v>153</v>
      </c>
      <c r="J31" s="246" t="s">
        <v>38</v>
      </c>
      <c r="K31" s="246" t="s">
        <v>154</v>
      </c>
      <c r="L31" s="246">
        <v>3</v>
      </c>
      <c r="M31" s="246"/>
      <c r="N31" s="246">
        <v>1</v>
      </c>
      <c r="O31" s="246">
        <v>1</v>
      </c>
      <c r="P31" s="246">
        <v>1.1000000000000001</v>
      </c>
      <c r="Q31" s="107">
        <f t="shared" si="0"/>
        <v>1.05</v>
      </c>
      <c r="R31" s="246">
        <v>14.4</v>
      </c>
      <c r="S31" s="246">
        <v>152</v>
      </c>
      <c r="T31" s="108">
        <f t="shared" si="1"/>
        <v>18</v>
      </c>
      <c r="U31" s="246">
        <v>78</v>
      </c>
      <c r="V31" s="109">
        <f t="shared" si="2"/>
        <v>1404</v>
      </c>
      <c r="W31" s="246">
        <v>13</v>
      </c>
      <c r="X31" s="246" t="s">
        <v>46</v>
      </c>
      <c r="Y31" s="246" t="s">
        <v>84</v>
      </c>
      <c r="Z31" s="246" t="s">
        <v>90</v>
      </c>
      <c r="AA31" s="246" t="s">
        <v>69</v>
      </c>
      <c r="AB31" s="246" t="s">
        <v>310</v>
      </c>
    </row>
    <row r="32" spans="1:48" s="115" customFormat="1" x14ac:dyDescent="0.15">
      <c r="A32" s="246" t="s">
        <v>51</v>
      </c>
      <c r="B32" s="246" t="s">
        <v>308</v>
      </c>
      <c r="C32" s="246">
        <v>2018</v>
      </c>
      <c r="D32" s="106" t="s">
        <v>383</v>
      </c>
      <c r="E32" s="246" t="s">
        <v>198</v>
      </c>
      <c r="F32" s="246" t="s">
        <v>184</v>
      </c>
      <c r="G32" s="246" t="s">
        <v>42</v>
      </c>
      <c r="H32" s="246" t="s">
        <v>157</v>
      </c>
      <c r="I32" s="246" t="s">
        <v>153</v>
      </c>
      <c r="J32" s="246" t="s">
        <v>38</v>
      </c>
      <c r="K32" s="246" t="s">
        <v>154</v>
      </c>
      <c r="L32" s="246">
        <v>1</v>
      </c>
      <c r="M32" s="246"/>
      <c r="N32" s="246">
        <v>4</v>
      </c>
      <c r="O32" s="246">
        <v>0.55000000000000004</v>
      </c>
      <c r="P32" s="246">
        <v>0.6</v>
      </c>
      <c r="Q32" s="107">
        <f t="shared" si="0"/>
        <v>0.57499999999999996</v>
      </c>
      <c r="R32" s="246">
        <v>16.8</v>
      </c>
      <c r="S32" s="246">
        <v>136</v>
      </c>
      <c r="T32" s="108">
        <f t="shared" si="1"/>
        <v>25</v>
      </c>
      <c r="U32" s="246">
        <v>498</v>
      </c>
      <c r="V32" s="109">
        <f t="shared" si="2"/>
        <v>3112.5</v>
      </c>
      <c r="W32" s="246">
        <v>13</v>
      </c>
      <c r="X32" s="246" t="s">
        <v>46</v>
      </c>
      <c r="Y32" s="246" t="s">
        <v>84</v>
      </c>
      <c r="Z32" s="246" t="s">
        <v>90</v>
      </c>
      <c r="AA32" s="246" t="s">
        <v>69</v>
      </c>
      <c r="AB32" s="246" t="s">
        <v>310</v>
      </c>
    </row>
    <row r="33" spans="1:28" s="115" customFormat="1" x14ac:dyDescent="0.15">
      <c r="A33" s="246" t="s">
        <v>51</v>
      </c>
      <c r="B33" s="246" t="s">
        <v>308</v>
      </c>
      <c r="C33" s="246">
        <v>2018</v>
      </c>
      <c r="D33" s="106" t="s">
        <v>383</v>
      </c>
      <c r="E33" s="246" t="s">
        <v>198</v>
      </c>
      <c r="F33" s="246" t="s">
        <v>184</v>
      </c>
      <c r="G33" s="246" t="s">
        <v>42</v>
      </c>
      <c r="H33" s="246" t="s">
        <v>157</v>
      </c>
      <c r="I33" s="246" t="s">
        <v>153</v>
      </c>
      <c r="J33" s="246" t="s">
        <v>38</v>
      </c>
      <c r="K33" s="246" t="s">
        <v>154</v>
      </c>
      <c r="L33" s="246">
        <v>2</v>
      </c>
      <c r="M33" s="246"/>
      <c r="N33" s="246">
        <v>4</v>
      </c>
      <c r="O33" s="246">
        <v>0.65</v>
      </c>
      <c r="P33" s="246">
        <v>0.6</v>
      </c>
      <c r="Q33" s="107">
        <f t="shared" si="0"/>
        <v>0.625</v>
      </c>
      <c r="R33" s="246">
        <v>17.100000000000001</v>
      </c>
      <c r="S33" s="246">
        <v>144</v>
      </c>
      <c r="T33" s="108">
        <f t="shared" si="1"/>
        <v>22</v>
      </c>
      <c r="U33" s="246">
        <v>498</v>
      </c>
      <c r="V33" s="109">
        <f t="shared" si="2"/>
        <v>2739</v>
      </c>
      <c r="W33" s="246">
        <v>13</v>
      </c>
      <c r="X33" s="246" t="s">
        <v>46</v>
      </c>
      <c r="Y33" s="246" t="s">
        <v>84</v>
      </c>
      <c r="Z33" s="246" t="s">
        <v>90</v>
      </c>
      <c r="AA33" s="246" t="s">
        <v>69</v>
      </c>
      <c r="AB33" s="246" t="s">
        <v>310</v>
      </c>
    </row>
    <row r="34" spans="1:28" s="115" customFormat="1" x14ac:dyDescent="0.15">
      <c r="A34" s="246" t="s">
        <v>51</v>
      </c>
      <c r="B34" s="246" t="s">
        <v>308</v>
      </c>
      <c r="C34" s="246">
        <v>2018</v>
      </c>
      <c r="D34" s="106" t="s">
        <v>383</v>
      </c>
      <c r="E34" s="246" t="s">
        <v>198</v>
      </c>
      <c r="F34" s="246" t="s">
        <v>184</v>
      </c>
      <c r="G34" s="246" t="s">
        <v>42</v>
      </c>
      <c r="H34" s="246" t="s">
        <v>157</v>
      </c>
      <c r="I34" s="246" t="s">
        <v>153</v>
      </c>
      <c r="J34" s="246" t="s">
        <v>38</v>
      </c>
      <c r="K34" s="246" t="s">
        <v>154</v>
      </c>
      <c r="L34" s="246">
        <v>3</v>
      </c>
      <c r="M34" s="246"/>
      <c r="N34" s="246">
        <v>4</v>
      </c>
      <c r="O34" s="246">
        <v>0.7</v>
      </c>
      <c r="P34" s="246">
        <v>0.65</v>
      </c>
      <c r="Q34" s="107">
        <f t="shared" si="0"/>
        <v>0.67500000000000004</v>
      </c>
      <c r="R34" s="246">
        <v>17.3</v>
      </c>
      <c r="S34" s="246">
        <v>148</v>
      </c>
      <c r="T34" s="108">
        <f t="shared" si="1"/>
        <v>22</v>
      </c>
      <c r="U34" s="246">
        <v>498</v>
      </c>
      <c r="V34" s="109">
        <f t="shared" si="2"/>
        <v>2739</v>
      </c>
      <c r="W34" s="246">
        <v>13</v>
      </c>
      <c r="X34" s="246" t="s">
        <v>46</v>
      </c>
      <c r="Y34" s="246" t="s">
        <v>84</v>
      </c>
      <c r="Z34" s="246" t="s">
        <v>90</v>
      </c>
      <c r="AA34" s="246" t="s">
        <v>69</v>
      </c>
      <c r="AB34" s="246" t="s">
        <v>310</v>
      </c>
    </row>
    <row r="35" spans="1:28" s="115" customFormat="1" x14ac:dyDescent="0.15">
      <c r="A35" s="246" t="s">
        <v>51</v>
      </c>
      <c r="B35" s="246" t="s">
        <v>308</v>
      </c>
      <c r="C35" s="246">
        <v>2018</v>
      </c>
      <c r="D35" s="106" t="s">
        <v>383</v>
      </c>
      <c r="E35" s="246" t="s">
        <v>189</v>
      </c>
      <c r="F35" s="246" t="s">
        <v>190</v>
      </c>
      <c r="G35" s="246" t="s">
        <v>42</v>
      </c>
      <c r="H35" s="246" t="s">
        <v>155</v>
      </c>
      <c r="I35" s="246" t="s">
        <v>153</v>
      </c>
      <c r="J35" s="246" t="s">
        <v>38</v>
      </c>
      <c r="K35" s="246" t="s">
        <v>154</v>
      </c>
      <c r="L35" s="246">
        <v>1</v>
      </c>
      <c r="M35" s="246"/>
      <c r="N35" s="246">
        <v>1</v>
      </c>
      <c r="O35" s="246">
        <v>0.75</v>
      </c>
      <c r="P35" s="246">
        <v>0.6</v>
      </c>
      <c r="Q35" s="107">
        <f t="shared" si="0"/>
        <v>0.67500000000000004</v>
      </c>
      <c r="R35" s="246">
        <v>15.7</v>
      </c>
      <c r="S35" s="246">
        <v>144</v>
      </c>
      <c r="T35" s="108">
        <f t="shared" si="1"/>
        <v>22</v>
      </c>
      <c r="U35" s="246">
        <v>138</v>
      </c>
      <c r="V35" s="109">
        <f t="shared" si="2"/>
        <v>3036</v>
      </c>
      <c r="W35" s="246">
        <v>4</v>
      </c>
      <c r="X35" s="246" t="s">
        <v>39</v>
      </c>
      <c r="Y35" s="246" t="s">
        <v>69</v>
      </c>
      <c r="Z35" s="246" t="s">
        <v>90</v>
      </c>
      <c r="AA35" s="246" t="s">
        <v>84</v>
      </c>
      <c r="AB35" s="246" t="s">
        <v>310</v>
      </c>
    </row>
    <row r="36" spans="1:28" s="115" customFormat="1" x14ac:dyDescent="0.15">
      <c r="A36" s="246" t="s">
        <v>51</v>
      </c>
      <c r="B36" s="246" t="s">
        <v>308</v>
      </c>
      <c r="C36" s="246">
        <v>2018</v>
      </c>
      <c r="D36" s="106" t="s">
        <v>383</v>
      </c>
      <c r="E36" s="246" t="s">
        <v>189</v>
      </c>
      <c r="F36" s="246" t="s">
        <v>190</v>
      </c>
      <c r="G36" s="246" t="s">
        <v>42</v>
      </c>
      <c r="H36" s="246" t="s">
        <v>155</v>
      </c>
      <c r="I36" s="246" t="s">
        <v>153</v>
      </c>
      <c r="J36" s="246" t="s">
        <v>38</v>
      </c>
      <c r="K36" s="246" t="s">
        <v>154</v>
      </c>
      <c r="L36" s="246">
        <v>2</v>
      </c>
      <c r="M36" s="246"/>
      <c r="N36" s="246">
        <v>1</v>
      </c>
      <c r="O36" s="246">
        <v>0.7</v>
      </c>
      <c r="P36" s="246">
        <v>0.7</v>
      </c>
      <c r="Q36" s="107">
        <f t="shared" si="0"/>
        <v>0.7</v>
      </c>
      <c r="R36" s="246">
        <v>16.100000000000001</v>
      </c>
      <c r="S36" s="246">
        <v>146</v>
      </c>
      <c r="T36" s="108">
        <f t="shared" si="1"/>
        <v>22</v>
      </c>
      <c r="U36" s="246">
        <v>138</v>
      </c>
      <c r="V36" s="109">
        <f t="shared" si="2"/>
        <v>3036</v>
      </c>
      <c r="W36" s="246">
        <v>4</v>
      </c>
      <c r="X36" s="246" t="s">
        <v>39</v>
      </c>
      <c r="Y36" s="246" t="s">
        <v>69</v>
      </c>
      <c r="Z36" s="246" t="s">
        <v>90</v>
      </c>
      <c r="AA36" s="246" t="s">
        <v>84</v>
      </c>
      <c r="AB36" s="246" t="s">
        <v>310</v>
      </c>
    </row>
    <row r="37" spans="1:28" s="115" customFormat="1" x14ac:dyDescent="0.15">
      <c r="A37" s="246" t="s">
        <v>51</v>
      </c>
      <c r="B37" s="246" t="s">
        <v>308</v>
      </c>
      <c r="C37" s="246">
        <v>2018</v>
      </c>
      <c r="D37" s="106" t="s">
        <v>383</v>
      </c>
      <c r="E37" s="246" t="s">
        <v>189</v>
      </c>
      <c r="F37" s="246" t="s">
        <v>190</v>
      </c>
      <c r="G37" s="246" t="s">
        <v>42</v>
      </c>
      <c r="H37" s="246" t="s">
        <v>155</v>
      </c>
      <c r="I37" s="246" t="s">
        <v>153</v>
      </c>
      <c r="J37" s="246" t="s">
        <v>38</v>
      </c>
      <c r="K37" s="246" t="s">
        <v>154</v>
      </c>
      <c r="L37" s="246">
        <v>3</v>
      </c>
      <c r="M37" s="246"/>
      <c r="N37" s="246">
        <v>1</v>
      </c>
      <c r="O37" s="246">
        <v>0.8</v>
      </c>
      <c r="P37" s="246">
        <v>0.75</v>
      </c>
      <c r="Q37" s="107">
        <f t="shared" si="0"/>
        <v>0.77500000000000002</v>
      </c>
      <c r="R37" s="246">
        <v>16.3</v>
      </c>
      <c r="S37" s="246">
        <v>146</v>
      </c>
      <c r="T37" s="108">
        <f t="shared" si="1"/>
        <v>22</v>
      </c>
      <c r="U37" s="246">
        <v>138</v>
      </c>
      <c r="V37" s="109">
        <f t="shared" si="2"/>
        <v>3036</v>
      </c>
      <c r="W37" s="246">
        <v>4</v>
      </c>
      <c r="X37" s="246" t="s">
        <v>39</v>
      </c>
      <c r="Y37" s="246" t="s">
        <v>69</v>
      </c>
      <c r="Z37" s="246" t="s">
        <v>90</v>
      </c>
      <c r="AA37" s="246" t="s">
        <v>84</v>
      </c>
      <c r="AB37" s="246" t="s">
        <v>310</v>
      </c>
    </row>
    <row r="38" spans="1:28" s="115" customFormat="1" x14ac:dyDescent="0.15">
      <c r="A38" s="246" t="s">
        <v>51</v>
      </c>
      <c r="B38" s="246" t="s">
        <v>308</v>
      </c>
      <c r="C38" s="246">
        <v>2018</v>
      </c>
      <c r="D38" s="106" t="s">
        <v>383</v>
      </c>
      <c r="E38" s="246" t="s">
        <v>189</v>
      </c>
      <c r="F38" s="246" t="s">
        <v>190</v>
      </c>
      <c r="G38" s="246" t="s">
        <v>42</v>
      </c>
      <c r="H38" s="246" t="s">
        <v>157</v>
      </c>
      <c r="I38" s="246" t="s">
        <v>153</v>
      </c>
      <c r="J38" s="246" t="s">
        <v>38</v>
      </c>
      <c r="K38" s="246" t="s">
        <v>154</v>
      </c>
      <c r="L38" s="246">
        <v>1</v>
      </c>
      <c r="M38" s="246"/>
      <c r="N38" s="246">
        <v>1</v>
      </c>
      <c r="O38" s="246">
        <v>0.7</v>
      </c>
      <c r="P38" s="246">
        <v>0.6</v>
      </c>
      <c r="Q38" s="107">
        <f t="shared" si="0"/>
        <v>0.64999999999999991</v>
      </c>
      <c r="R38" s="246">
        <v>16.399999999999999</v>
      </c>
      <c r="S38" s="246">
        <v>148</v>
      </c>
      <c r="T38" s="108">
        <f t="shared" si="1"/>
        <v>22</v>
      </c>
      <c r="U38" s="246">
        <v>138</v>
      </c>
      <c r="V38" s="109">
        <f t="shared" si="2"/>
        <v>3036</v>
      </c>
      <c r="W38" s="246">
        <v>4</v>
      </c>
      <c r="X38" s="246" t="s">
        <v>39</v>
      </c>
      <c r="Y38" s="246" t="s">
        <v>69</v>
      </c>
      <c r="Z38" s="246" t="s">
        <v>90</v>
      </c>
      <c r="AA38" s="246" t="s">
        <v>84</v>
      </c>
      <c r="AB38" s="246" t="s">
        <v>310</v>
      </c>
    </row>
    <row r="39" spans="1:28" s="115" customFormat="1" x14ac:dyDescent="0.15">
      <c r="A39" s="246" t="s">
        <v>51</v>
      </c>
      <c r="B39" s="246" t="s">
        <v>308</v>
      </c>
      <c r="C39" s="246">
        <v>2018</v>
      </c>
      <c r="D39" s="106" t="s">
        <v>383</v>
      </c>
      <c r="E39" s="246" t="s">
        <v>189</v>
      </c>
      <c r="F39" s="246" t="s">
        <v>190</v>
      </c>
      <c r="G39" s="246" t="s">
        <v>42</v>
      </c>
      <c r="H39" s="246" t="s">
        <v>157</v>
      </c>
      <c r="I39" s="246" t="s">
        <v>153</v>
      </c>
      <c r="J39" s="246" t="s">
        <v>38</v>
      </c>
      <c r="K39" s="246" t="s">
        <v>154</v>
      </c>
      <c r="L39" s="246">
        <v>2</v>
      </c>
      <c r="M39" s="246"/>
      <c r="N39" s="246">
        <v>1</v>
      </c>
      <c r="O39" s="246">
        <v>0.55000000000000004</v>
      </c>
      <c r="P39" s="246">
        <v>0.55000000000000004</v>
      </c>
      <c r="Q39" s="107">
        <f t="shared" si="0"/>
        <v>0.55000000000000004</v>
      </c>
      <c r="R39" s="246">
        <v>15.6</v>
      </c>
      <c r="S39" s="246">
        <v>144</v>
      </c>
      <c r="T39" s="108">
        <f t="shared" si="1"/>
        <v>22</v>
      </c>
      <c r="U39" s="246">
        <v>138</v>
      </c>
      <c r="V39" s="109">
        <f t="shared" si="2"/>
        <v>3036</v>
      </c>
      <c r="W39" s="246">
        <v>4</v>
      </c>
      <c r="X39" s="246" t="s">
        <v>39</v>
      </c>
      <c r="Y39" s="246" t="s">
        <v>69</v>
      </c>
      <c r="Z39" s="246" t="s">
        <v>90</v>
      </c>
      <c r="AA39" s="246" t="s">
        <v>84</v>
      </c>
      <c r="AB39" s="246" t="s">
        <v>310</v>
      </c>
    </row>
    <row r="40" spans="1:28" s="115" customFormat="1" x14ac:dyDescent="0.15">
      <c r="A40" s="246" t="s">
        <v>51</v>
      </c>
      <c r="B40" s="246" t="s">
        <v>308</v>
      </c>
      <c r="C40" s="246">
        <v>2018</v>
      </c>
      <c r="D40" s="106" t="s">
        <v>383</v>
      </c>
      <c r="E40" s="246" t="s">
        <v>189</v>
      </c>
      <c r="F40" s="246" t="s">
        <v>190</v>
      </c>
      <c r="G40" s="246" t="s">
        <v>42</v>
      </c>
      <c r="H40" s="246" t="s">
        <v>157</v>
      </c>
      <c r="I40" s="246" t="s">
        <v>153</v>
      </c>
      <c r="J40" s="246" t="s">
        <v>38</v>
      </c>
      <c r="K40" s="246" t="s">
        <v>154</v>
      </c>
      <c r="L40" s="246">
        <v>3</v>
      </c>
      <c r="M40" s="246"/>
      <c r="N40" s="246">
        <v>1</v>
      </c>
      <c r="O40" s="246">
        <v>0.6</v>
      </c>
      <c r="P40" s="246">
        <v>0.65</v>
      </c>
      <c r="Q40" s="107">
        <f t="shared" si="0"/>
        <v>0.625</v>
      </c>
      <c r="R40" s="246">
        <v>16</v>
      </c>
      <c r="S40" s="246">
        <v>148</v>
      </c>
      <c r="T40" s="108">
        <f t="shared" si="1"/>
        <v>22</v>
      </c>
      <c r="U40" s="246">
        <v>138</v>
      </c>
      <c r="V40" s="109">
        <f t="shared" si="2"/>
        <v>3036</v>
      </c>
      <c r="W40" s="246">
        <v>4</v>
      </c>
      <c r="X40" s="246" t="s">
        <v>39</v>
      </c>
      <c r="Y40" s="246" t="s">
        <v>69</v>
      </c>
      <c r="Z40" s="246" t="s">
        <v>90</v>
      </c>
      <c r="AA40" s="246" t="s">
        <v>84</v>
      </c>
      <c r="AB40" s="246" t="s">
        <v>310</v>
      </c>
    </row>
    <row r="41" spans="1:28" s="115" customFormat="1" x14ac:dyDescent="0.15">
      <c r="A41" s="246" t="s">
        <v>51</v>
      </c>
      <c r="B41" s="246" t="s">
        <v>308</v>
      </c>
      <c r="C41" s="246">
        <v>2018</v>
      </c>
      <c r="D41" s="106" t="s">
        <v>383</v>
      </c>
      <c r="E41" s="246" t="s">
        <v>195</v>
      </c>
      <c r="F41" s="246" t="s">
        <v>183</v>
      </c>
      <c r="G41" s="246" t="s">
        <v>36</v>
      </c>
      <c r="H41" s="246" t="s">
        <v>155</v>
      </c>
      <c r="I41" s="246" t="s">
        <v>153</v>
      </c>
      <c r="J41" s="246" t="s">
        <v>38</v>
      </c>
      <c r="K41" s="246" t="s">
        <v>154</v>
      </c>
      <c r="L41" s="246">
        <v>1</v>
      </c>
      <c r="M41" s="246"/>
      <c r="N41" s="246">
        <v>3</v>
      </c>
      <c r="O41" s="246">
        <v>1</v>
      </c>
      <c r="P41" s="246">
        <v>1.05</v>
      </c>
      <c r="Q41" s="107">
        <f t="shared" si="0"/>
        <v>1.0249999999999999</v>
      </c>
      <c r="R41" s="246">
        <v>15.5</v>
      </c>
      <c r="S41" s="246">
        <v>120</v>
      </c>
      <c r="T41" s="108">
        <f t="shared" si="1"/>
        <v>39</v>
      </c>
      <c r="U41" s="246">
        <v>398</v>
      </c>
      <c r="V41" s="109">
        <f t="shared" si="2"/>
        <v>5174</v>
      </c>
      <c r="W41" s="246">
        <v>4</v>
      </c>
      <c r="X41" s="246" t="s">
        <v>46</v>
      </c>
      <c r="Y41" s="246" t="s">
        <v>90</v>
      </c>
      <c r="Z41" s="246" t="s">
        <v>84</v>
      </c>
      <c r="AA41" s="246" t="s">
        <v>69</v>
      </c>
      <c r="AB41" s="246" t="s">
        <v>310</v>
      </c>
    </row>
    <row r="42" spans="1:28" s="115" customFormat="1" x14ac:dyDescent="0.15">
      <c r="A42" s="246" t="s">
        <v>51</v>
      </c>
      <c r="B42" s="246" t="s">
        <v>308</v>
      </c>
      <c r="C42" s="246">
        <v>2018</v>
      </c>
      <c r="D42" s="106" t="s">
        <v>383</v>
      </c>
      <c r="E42" s="246" t="s">
        <v>195</v>
      </c>
      <c r="F42" s="246" t="s">
        <v>183</v>
      </c>
      <c r="G42" s="246" t="s">
        <v>36</v>
      </c>
      <c r="H42" s="246" t="s">
        <v>155</v>
      </c>
      <c r="I42" s="246" t="s">
        <v>153</v>
      </c>
      <c r="J42" s="246" t="s">
        <v>38</v>
      </c>
      <c r="K42" s="246" t="s">
        <v>154</v>
      </c>
      <c r="L42" s="246">
        <v>2</v>
      </c>
      <c r="M42" s="246"/>
      <c r="N42" s="246">
        <v>3</v>
      </c>
      <c r="O42" s="246">
        <v>1.1499999999999999</v>
      </c>
      <c r="P42" s="246">
        <v>1.05</v>
      </c>
      <c r="Q42" s="107">
        <f t="shared" si="0"/>
        <v>1.1000000000000001</v>
      </c>
      <c r="R42" s="246">
        <v>16.2</v>
      </c>
      <c r="S42" s="246">
        <v>118</v>
      </c>
      <c r="T42" s="108">
        <f t="shared" si="1"/>
        <v>39</v>
      </c>
      <c r="U42" s="246">
        <v>398</v>
      </c>
      <c r="V42" s="109">
        <f t="shared" si="2"/>
        <v>5174</v>
      </c>
      <c r="W42" s="246">
        <v>4</v>
      </c>
      <c r="X42" s="246" t="s">
        <v>46</v>
      </c>
      <c r="Y42" s="246" t="s">
        <v>90</v>
      </c>
      <c r="Z42" s="246" t="s">
        <v>84</v>
      </c>
      <c r="AA42" s="246" t="s">
        <v>69</v>
      </c>
      <c r="AB42" s="246" t="s">
        <v>310</v>
      </c>
    </row>
    <row r="43" spans="1:28" s="115" customFormat="1" x14ac:dyDescent="0.15">
      <c r="A43" s="246" t="s">
        <v>51</v>
      </c>
      <c r="B43" s="246" t="s">
        <v>308</v>
      </c>
      <c r="C43" s="246">
        <v>2018</v>
      </c>
      <c r="D43" s="106" t="s">
        <v>383</v>
      </c>
      <c r="E43" s="246" t="s">
        <v>195</v>
      </c>
      <c r="F43" s="246" t="s">
        <v>183</v>
      </c>
      <c r="G43" s="246" t="s">
        <v>36</v>
      </c>
      <c r="H43" s="246" t="s">
        <v>155</v>
      </c>
      <c r="I43" s="246" t="s">
        <v>153</v>
      </c>
      <c r="J43" s="246" t="s">
        <v>38</v>
      </c>
      <c r="K43" s="246" t="s">
        <v>154</v>
      </c>
      <c r="L43" s="246">
        <v>3</v>
      </c>
      <c r="M43" s="246"/>
      <c r="N43" s="246">
        <v>3</v>
      </c>
      <c r="O43" s="246">
        <v>1.1000000000000001</v>
      </c>
      <c r="P43" s="246">
        <v>1.1000000000000001</v>
      </c>
      <c r="Q43" s="107">
        <f t="shared" si="0"/>
        <v>1.1000000000000001</v>
      </c>
      <c r="R43" s="246">
        <v>15.9</v>
      </c>
      <c r="S43" s="246">
        <v>118</v>
      </c>
      <c r="T43" s="108">
        <f t="shared" si="1"/>
        <v>39</v>
      </c>
      <c r="U43" s="246">
        <v>398</v>
      </c>
      <c r="V43" s="109">
        <f t="shared" si="2"/>
        <v>5174</v>
      </c>
      <c r="W43" s="246">
        <v>4</v>
      </c>
      <c r="X43" s="246" t="s">
        <v>46</v>
      </c>
      <c r="Y43" s="246" t="s">
        <v>90</v>
      </c>
      <c r="Z43" s="246" t="s">
        <v>84</v>
      </c>
      <c r="AA43" s="246" t="s">
        <v>69</v>
      </c>
      <c r="AB43" s="246" t="s">
        <v>310</v>
      </c>
    </row>
    <row r="44" spans="1:28" s="115" customFormat="1" x14ac:dyDescent="0.15">
      <c r="A44" s="246" t="s">
        <v>51</v>
      </c>
      <c r="B44" s="246" t="s">
        <v>308</v>
      </c>
      <c r="C44" s="246">
        <v>2018</v>
      </c>
      <c r="D44" s="106" t="s">
        <v>383</v>
      </c>
      <c r="E44" s="246" t="s">
        <v>195</v>
      </c>
      <c r="F44" s="246" t="s">
        <v>183</v>
      </c>
      <c r="G44" s="246" t="s">
        <v>36</v>
      </c>
      <c r="H44" s="246" t="s">
        <v>157</v>
      </c>
      <c r="I44" s="246" t="s">
        <v>153</v>
      </c>
      <c r="J44" s="246" t="s">
        <v>38</v>
      </c>
      <c r="K44" s="246" t="s">
        <v>154</v>
      </c>
      <c r="L44" s="246">
        <v>1</v>
      </c>
      <c r="M44" s="246"/>
      <c r="N44" s="246">
        <v>3</v>
      </c>
      <c r="O44" s="246">
        <v>0.65</v>
      </c>
      <c r="P44" s="246">
        <v>0.6</v>
      </c>
      <c r="Q44" s="107">
        <f t="shared" si="0"/>
        <v>0.625</v>
      </c>
      <c r="R44" s="246">
        <v>16.8</v>
      </c>
      <c r="S44" s="246">
        <v>156</v>
      </c>
      <c r="T44" s="108">
        <f t="shared" si="1"/>
        <v>18</v>
      </c>
      <c r="U44" s="246">
        <v>398</v>
      </c>
      <c r="V44" s="109">
        <f t="shared" si="2"/>
        <v>2388</v>
      </c>
      <c r="W44" s="246">
        <v>4</v>
      </c>
      <c r="X44" s="246" t="s">
        <v>46</v>
      </c>
      <c r="Y44" s="246" t="s">
        <v>90</v>
      </c>
      <c r="Z44" s="246" t="s">
        <v>84</v>
      </c>
      <c r="AA44" s="246" t="s">
        <v>69</v>
      </c>
      <c r="AB44" s="246" t="s">
        <v>310</v>
      </c>
    </row>
    <row r="45" spans="1:28" s="115" customFormat="1" x14ac:dyDescent="0.15">
      <c r="A45" s="246" t="s">
        <v>51</v>
      </c>
      <c r="B45" s="246" t="s">
        <v>308</v>
      </c>
      <c r="C45" s="246">
        <v>2018</v>
      </c>
      <c r="D45" s="106" t="s">
        <v>383</v>
      </c>
      <c r="E45" s="246" t="s">
        <v>195</v>
      </c>
      <c r="F45" s="246" t="s">
        <v>183</v>
      </c>
      <c r="G45" s="246" t="s">
        <v>36</v>
      </c>
      <c r="H45" s="246" t="s">
        <v>157</v>
      </c>
      <c r="I45" s="246" t="s">
        <v>153</v>
      </c>
      <c r="J45" s="246" t="s">
        <v>38</v>
      </c>
      <c r="K45" s="246" t="s">
        <v>154</v>
      </c>
      <c r="L45" s="246">
        <v>2</v>
      </c>
      <c r="M45" s="246"/>
      <c r="N45" s="246">
        <v>3</v>
      </c>
      <c r="O45" s="246">
        <v>0.6</v>
      </c>
      <c r="P45" s="246">
        <v>0.55000000000000004</v>
      </c>
      <c r="Q45" s="107">
        <f t="shared" si="0"/>
        <v>0.57499999999999996</v>
      </c>
      <c r="R45" s="246">
        <v>17.600000000000001</v>
      </c>
      <c r="S45" s="246">
        <v>174</v>
      </c>
      <c r="T45" s="108">
        <f t="shared" si="1"/>
        <v>18</v>
      </c>
      <c r="U45" s="246">
        <v>398</v>
      </c>
      <c r="V45" s="109">
        <f t="shared" si="2"/>
        <v>2388</v>
      </c>
      <c r="W45" s="246">
        <v>4</v>
      </c>
      <c r="X45" s="246" t="s">
        <v>46</v>
      </c>
      <c r="Y45" s="246" t="s">
        <v>90</v>
      </c>
      <c r="Z45" s="246" t="s">
        <v>84</v>
      </c>
      <c r="AA45" s="246" t="s">
        <v>69</v>
      </c>
      <c r="AB45" s="246" t="s">
        <v>310</v>
      </c>
    </row>
    <row r="46" spans="1:28" s="115" customFormat="1" x14ac:dyDescent="0.15">
      <c r="A46" s="246" t="s">
        <v>51</v>
      </c>
      <c r="B46" s="246" t="s">
        <v>308</v>
      </c>
      <c r="C46" s="246">
        <v>2018</v>
      </c>
      <c r="D46" s="106" t="s">
        <v>383</v>
      </c>
      <c r="E46" s="246" t="s">
        <v>195</v>
      </c>
      <c r="F46" s="246" t="s">
        <v>183</v>
      </c>
      <c r="G46" s="246" t="s">
        <v>36</v>
      </c>
      <c r="H46" s="246" t="s">
        <v>157</v>
      </c>
      <c r="I46" s="246" t="s">
        <v>153</v>
      </c>
      <c r="J46" s="246" t="s">
        <v>38</v>
      </c>
      <c r="K46" s="246" t="s">
        <v>154</v>
      </c>
      <c r="L46" s="246">
        <v>3</v>
      </c>
      <c r="M46" s="246"/>
      <c r="N46" s="246">
        <v>3</v>
      </c>
      <c r="O46" s="246">
        <v>0.5</v>
      </c>
      <c r="P46" s="246">
        <v>0.25</v>
      </c>
      <c r="Q46" s="107">
        <f t="shared" si="0"/>
        <v>0.375</v>
      </c>
      <c r="R46" s="246">
        <v>17.3</v>
      </c>
      <c r="S46" s="246">
        <v>172</v>
      </c>
      <c r="T46" s="108">
        <f t="shared" si="1"/>
        <v>18</v>
      </c>
      <c r="U46" s="246">
        <v>398</v>
      </c>
      <c r="V46" s="109">
        <f t="shared" si="2"/>
        <v>2388</v>
      </c>
      <c r="W46" s="246">
        <v>4</v>
      </c>
      <c r="X46" s="246" t="s">
        <v>46</v>
      </c>
      <c r="Y46" s="246" t="s">
        <v>90</v>
      </c>
      <c r="Z46" s="246" t="s">
        <v>84</v>
      </c>
      <c r="AA46" s="246" t="s">
        <v>69</v>
      </c>
      <c r="AB46" s="246" t="s">
        <v>310</v>
      </c>
    </row>
    <row r="47" spans="1:28" s="115" customFormat="1" x14ac:dyDescent="0.15">
      <c r="A47" s="246" t="s">
        <v>51</v>
      </c>
      <c r="B47" s="246" t="s">
        <v>308</v>
      </c>
      <c r="C47" s="246">
        <v>2018</v>
      </c>
      <c r="D47" s="106" t="s">
        <v>383</v>
      </c>
      <c r="E47" s="246" t="s">
        <v>202</v>
      </c>
      <c r="F47" s="246" t="s">
        <v>183</v>
      </c>
      <c r="G47" s="246" t="s">
        <v>42</v>
      </c>
      <c r="H47" s="246" t="s">
        <v>155</v>
      </c>
      <c r="I47" s="246" t="s">
        <v>153</v>
      </c>
      <c r="J47" s="246" t="s">
        <v>38</v>
      </c>
      <c r="K47" s="246" t="s">
        <v>154</v>
      </c>
      <c r="L47" s="246">
        <v>1</v>
      </c>
      <c r="M47" s="246"/>
      <c r="N47" s="246">
        <v>1</v>
      </c>
      <c r="O47" s="246">
        <v>0.75</v>
      </c>
      <c r="P47" s="246">
        <v>0.75</v>
      </c>
      <c r="Q47" s="107">
        <f t="shared" si="0"/>
        <v>0.75</v>
      </c>
      <c r="R47" s="246">
        <v>15.8</v>
      </c>
      <c r="S47" s="246">
        <v>134</v>
      </c>
      <c r="T47" s="108">
        <f t="shared" si="1"/>
        <v>25</v>
      </c>
      <c r="U47" s="246">
        <v>78</v>
      </c>
      <c r="V47" s="109">
        <f t="shared" si="2"/>
        <v>1950</v>
      </c>
      <c r="W47" s="246">
        <v>5</v>
      </c>
      <c r="X47" s="246" t="s">
        <v>46</v>
      </c>
      <c r="Y47" s="246" t="s">
        <v>84</v>
      </c>
      <c r="Z47" s="246" t="s">
        <v>69</v>
      </c>
      <c r="AA47" s="246" t="s">
        <v>50</v>
      </c>
      <c r="AB47" s="246" t="s">
        <v>310</v>
      </c>
    </row>
    <row r="48" spans="1:28" s="115" customFormat="1" x14ac:dyDescent="0.15">
      <c r="A48" s="246" t="s">
        <v>51</v>
      </c>
      <c r="B48" s="246" t="s">
        <v>308</v>
      </c>
      <c r="C48" s="246">
        <v>2018</v>
      </c>
      <c r="D48" s="106" t="s">
        <v>383</v>
      </c>
      <c r="E48" s="246" t="s">
        <v>202</v>
      </c>
      <c r="F48" s="246" t="s">
        <v>183</v>
      </c>
      <c r="G48" s="246" t="s">
        <v>42</v>
      </c>
      <c r="H48" s="246" t="s">
        <v>155</v>
      </c>
      <c r="I48" s="246" t="s">
        <v>153</v>
      </c>
      <c r="J48" s="246" t="s">
        <v>38</v>
      </c>
      <c r="K48" s="246" t="s">
        <v>154</v>
      </c>
      <c r="L48" s="246">
        <v>2</v>
      </c>
      <c r="M48" s="246"/>
      <c r="N48" s="246">
        <v>1</v>
      </c>
      <c r="O48" s="246">
        <v>0.8</v>
      </c>
      <c r="P48" s="246">
        <v>0.7</v>
      </c>
      <c r="Q48" s="107">
        <f t="shared" si="0"/>
        <v>0.75</v>
      </c>
      <c r="R48" s="246">
        <v>15.5</v>
      </c>
      <c r="S48" s="246">
        <v>136</v>
      </c>
      <c r="T48" s="108">
        <f t="shared" si="1"/>
        <v>25</v>
      </c>
      <c r="U48" s="246">
        <v>78</v>
      </c>
      <c r="V48" s="109">
        <f t="shared" si="2"/>
        <v>1950</v>
      </c>
      <c r="W48" s="246">
        <v>5</v>
      </c>
      <c r="X48" s="246" t="s">
        <v>46</v>
      </c>
      <c r="Y48" s="246" t="s">
        <v>84</v>
      </c>
      <c r="Z48" s="246" t="s">
        <v>69</v>
      </c>
      <c r="AA48" s="246" t="s">
        <v>50</v>
      </c>
      <c r="AB48" s="246" t="s">
        <v>310</v>
      </c>
    </row>
    <row r="49" spans="1:28" s="115" customFormat="1" x14ac:dyDescent="0.15">
      <c r="A49" s="246" t="s">
        <v>51</v>
      </c>
      <c r="B49" s="246" t="s">
        <v>308</v>
      </c>
      <c r="C49" s="246">
        <v>2018</v>
      </c>
      <c r="D49" s="106" t="s">
        <v>383</v>
      </c>
      <c r="E49" s="246" t="s">
        <v>202</v>
      </c>
      <c r="F49" s="246" t="s">
        <v>183</v>
      </c>
      <c r="G49" s="246" t="s">
        <v>42</v>
      </c>
      <c r="H49" s="246" t="s">
        <v>155</v>
      </c>
      <c r="I49" s="246" t="s">
        <v>153</v>
      </c>
      <c r="J49" s="246" t="s">
        <v>38</v>
      </c>
      <c r="K49" s="246" t="s">
        <v>154</v>
      </c>
      <c r="L49" s="246">
        <v>3</v>
      </c>
      <c r="M49" s="246"/>
      <c r="N49" s="246">
        <v>1</v>
      </c>
      <c r="O49" s="246">
        <v>0.7</v>
      </c>
      <c r="P49" s="246">
        <v>0.75</v>
      </c>
      <c r="Q49" s="107">
        <f t="shared" si="0"/>
        <v>0.72499999999999998</v>
      </c>
      <c r="R49" s="246">
        <v>15.3</v>
      </c>
      <c r="S49" s="246">
        <v>128</v>
      </c>
      <c r="T49" s="108">
        <f t="shared" si="1"/>
        <v>27</v>
      </c>
      <c r="U49" s="246">
        <v>78</v>
      </c>
      <c r="V49" s="109">
        <f t="shared" si="2"/>
        <v>2106</v>
      </c>
      <c r="W49" s="246">
        <v>5</v>
      </c>
      <c r="X49" s="246" t="s">
        <v>46</v>
      </c>
      <c r="Y49" s="246" t="s">
        <v>84</v>
      </c>
      <c r="Z49" s="246" t="s">
        <v>69</v>
      </c>
      <c r="AA49" s="246" t="s">
        <v>50</v>
      </c>
      <c r="AB49" s="246" t="s">
        <v>310</v>
      </c>
    </row>
    <row r="50" spans="1:28" s="115" customFormat="1" x14ac:dyDescent="0.15">
      <c r="A50" s="246" t="s">
        <v>51</v>
      </c>
      <c r="B50" s="246" t="s">
        <v>308</v>
      </c>
      <c r="C50" s="246">
        <v>2018</v>
      </c>
      <c r="D50" s="106" t="s">
        <v>383</v>
      </c>
      <c r="E50" s="246" t="s">
        <v>202</v>
      </c>
      <c r="F50" s="246" t="s">
        <v>183</v>
      </c>
      <c r="G50" s="246" t="s">
        <v>42</v>
      </c>
      <c r="H50" s="246" t="s">
        <v>157</v>
      </c>
      <c r="I50" s="246" t="s">
        <v>153</v>
      </c>
      <c r="J50" s="246" t="s">
        <v>38</v>
      </c>
      <c r="K50" s="246" t="s">
        <v>154</v>
      </c>
      <c r="L50" s="246">
        <v>1</v>
      </c>
      <c r="M50" s="246"/>
      <c r="N50" s="246">
        <v>1</v>
      </c>
      <c r="O50" s="246">
        <v>0.55000000000000004</v>
      </c>
      <c r="P50" s="246">
        <v>0.5</v>
      </c>
      <c r="Q50" s="107">
        <f t="shared" si="0"/>
        <v>0.52500000000000002</v>
      </c>
      <c r="R50" s="246">
        <v>15.2</v>
      </c>
      <c r="S50" s="246">
        <v>128</v>
      </c>
      <c r="T50" s="108">
        <f t="shared" si="1"/>
        <v>27</v>
      </c>
      <c r="U50" s="246">
        <v>128</v>
      </c>
      <c r="V50" s="109">
        <f t="shared" si="2"/>
        <v>3456</v>
      </c>
      <c r="W50" s="246">
        <v>5</v>
      </c>
      <c r="X50" s="246" t="s">
        <v>46</v>
      </c>
      <c r="Y50" s="246" t="s">
        <v>84</v>
      </c>
      <c r="Z50" s="246" t="s">
        <v>69</v>
      </c>
      <c r="AA50" s="246" t="s">
        <v>50</v>
      </c>
      <c r="AB50" s="246" t="s">
        <v>310</v>
      </c>
    </row>
    <row r="51" spans="1:28" s="115" customFormat="1" x14ac:dyDescent="0.15">
      <c r="A51" s="246" t="s">
        <v>51</v>
      </c>
      <c r="B51" s="246" t="s">
        <v>308</v>
      </c>
      <c r="C51" s="246">
        <v>2018</v>
      </c>
      <c r="D51" s="106" t="s">
        <v>383</v>
      </c>
      <c r="E51" s="246" t="s">
        <v>202</v>
      </c>
      <c r="F51" s="246" t="s">
        <v>183</v>
      </c>
      <c r="G51" s="246" t="s">
        <v>42</v>
      </c>
      <c r="H51" s="246" t="s">
        <v>157</v>
      </c>
      <c r="I51" s="246" t="s">
        <v>153</v>
      </c>
      <c r="J51" s="246" t="s">
        <v>38</v>
      </c>
      <c r="K51" s="246" t="s">
        <v>154</v>
      </c>
      <c r="L51" s="246">
        <v>2</v>
      </c>
      <c r="M51" s="246"/>
      <c r="N51" s="246">
        <v>1</v>
      </c>
      <c r="O51" s="246">
        <v>0.6</v>
      </c>
      <c r="P51" s="246">
        <v>0.55000000000000004</v>
      </c>
      <c r="Q51" s="107">
        <f t="shared" si="0"/>
        <v>0.57499999999999996</v>
      </c>
      <c r="R51" s="246">
        <v>15.6</v>
      </c>
      <c r="S51" s="246">
        <v>130</v>
      </c>
      <c r="T51" s="108">
        <f t="shared" si="1"/>
        <v>25</v>
      </c>
      <c r="U51" s="246">
        <v>128</v>
      </c>
      <c r="V51" s="109">
        <f t="shared" si="2"/>
        <v>3200</v>
      </c>
      <c r="W51" s="246">
        <v>5</v>
      </c>
      <c r="X51" s="246" t="s">
        <v>46</v>
      </c>
      <c r="Y51" s="246" t="s">
        <v>84</v>
      </c>
      <c r="Z51" s="246" t="s">
        <v>69</v>
      </c>
      <c r="AA51" s="246" t="s">
        <v>50</v>
      </c>
      <c r="AB51" s="246" t="s">
        <v>310</v>
      </c>
    </row>
    <row r="52" spans="1:28" s="115" customFormat="1" x14ac:dyDescent="0.15">
      <c r="A52" s="246" t="s">
        <v>51</v>
      </c>
      <c r="B52" s="246" t="s">
        <v>308</v>
      </c>
      <c r="C52" s="246">
        <v>2018</v>
      </c>
      <c r="D52" s="106" t="s">
        <v>383</v>
      </c>
      <c r="E52" s="246" t="s">
        <v>202</v>
      </c>
      <c r="F52" s="246" t="s">
        <v>183</v>
      </c>
      <c r="G52" s="246" t="s">
        <v>42</v>
      </c>
      <c r="H52" s="246" t="s">
        <v>157</v>
      </c>
      <c r="I52" s="246" t="s">
        <v>153</v>
      </c>
      <c r="J52" s="246" t="s">
        <v>38</v>
      </c>
      <c r="K52" s="246" t="s">
        <v>154</v>
      </c>
      <c r="L52" s="246">
        <v>3</v>
      </c>
      <c r="M52" s="246"/>
      <c r="N52" s="246">
        <v>1</v>
      </c>
      <c r="O52" s="246">
        <v>0.6</v>
      </c>
      <c r="P52" s="246">
        <v>0.6</v>
      </c>
      <c r="Q52" s="107">
        <f t="shared" si="0"/>
        <v>0.6</v>
      </c>
      <c r="R52" s="246">
        <v>16</v>
      </c>
      <c r="S52" s="246">
        <v>134</v>
      </c>
      <c r="T52" s="108">
        <f t="shared" si="1"/>
        <v>25</v>
      </c>
      <c r="U52" s="246">
        <v>128</v>
      </c>
      <c r="V52" s="109">
        <f t="shared" si="2"/>
        <v>3200</v>
      </c>
      <c r="W52" s="246">
        <v>5</v>
      </c>
      <c r="X52" s="246" t="s">
        <v>46</v>
      </c>
      <c r="Y52" s="246" t="s">
        <v>84</v>
      </c>
      <c r="Z52" s="246" t="s">
        <v>69</v>
      </c>
      <c r="AA52" s="246" t="s">
        <v>50</v>
      </c>
      <c r="AB52" s="246" t="s">
        <v>310</v>
      </c>
    </row>
    <row r="53" spans="1:28" s="115" customFormat="1" x14ac:dyDescent="0.15">
      <c r="A53" s="246" t="s">
        <v>51</v>
      </c>
      <c r="B53" s="246" t="s">
        <v>308</v>
      </c>
      <c r="C53" s="246">
        <v>2018</v>
      </c>
      <c r="D53" s="106" t="s">
        <v>383</v>
      </c>
      <c r="E53" s="246" t="s">
        <v>199</v>
      </c>
      <c r="F53" s="246" t="s">
        <v>200</v>
      </c>
      <c r="G53" s="246" t="s">
        <v>36</v>
      </c>
      <c r="H53" s="246" t="s">
        <v>155</v>
      </c>
      <c r="I53" s="246" t="s">
        <v>153</v>
      </c>
      <c r="J53" s="246" t="s">
        <v>38</v>
      </c>
      <c r="K53" s="246" t="s">
        <v>154</v>
      </c>
      <c r="L53" s="246">
        <v>1</v>
      </c>
      <c r="M53" s="246"/>
      <c r="N53" s="246">
        <v>1</v>
      </c>
      <c r="O53" s="246">
        <v>0.6</v>
      </c>
      <c r="P53" s="246">
        <v>0.7</v>
      </c>
      <c r="Q53" s="107">
        <f t="shared" si="0"/>
        <v>0.64999999999999991</v>
      </c>
      <c r="R53" s="246">
        <v>16.2</v>
      </c>
      <c r="S53" s="246">
        <v>138</v>
      </c>
      <c r="T53" s="108">
        <f t="shared" si="1"/>
        <v>22</v>
      </c>
      <c r="U53" s="246">
        <v>158</v>
      </c>
      <c r="V53" s="109">
        <f t="shared" si="2"/>
        <v>3476</v>
      </c>
      <c r="W53" s="246">
        <v>1</v>
      </c>
      <c r="X53" s="246" t="s">
        <v>39</v>
      </c>
      <c r="Y53" s="246" t="s">
        <v>84</v>
      </c>
      <c r="Z53" s="246" t="s">
        <v>90</v>
      </c>
      <c r="AA53" s="246" t="s">
        <v>50</v>
      </c>
      <c r="AB53" s="246" t="s">
        <v>310</v>
      </c>
    </row>
    <row r="54" spans="1:28" s="115" customFormat="1" x14ac:dyDescent="0.15">
      <c r="A54" s="246" t="s">
        <v>51</v>
      </c>
      <c r="B54" s="246" t="s">
        <v>308</v>
      </c>
      <c r="C54" s="246">
        <v>2018</v>
      </c>
      <c r="D54" s="106" t="s">
        <v>383</v>
      </c>
      <c r="E54" s="246" t="s">
        <v>199</v>
      </c>
      <c r="F54" s="246" t="s">
        <v>200</v>
      </c>
      <c r="G54" s="246" t="s">
        <v>36</v>
      </c>
      <c r="H54" s="246" t="s">
        <v>155</v>
      </c>
      <c r="I54" s="246" t="s">
        <v>153</v>
      </c>
      <c r="J54" s="246" t="s">
        <v>38</v>
      </c>
      <c r="K54" s="246" t="s">
        <v>154</v>
      </c>
      <c r="L54" s="246">
        <v>2</v>
      </c>
      <c r="M54" s="246"/>
      <c r="N54" s="246">
        <v>1</v>
      </c>
      <c r="O54" s="246">
        <v>0.25</v>
      </c>
      <c r="P54" s="246">
        <v>0.25</v>
      </c>
      <c r="Q54" s="107">
        <f t="shared" si="0"/>
        <v>0.25</v>
      </c>
      <c r="R54" s="246">
        <v>15.9</v>
      </c>
      <c r="S54" s="246">
        <v>142</v>
      </c>
      <c r="T54" s="108">
        <f t="shared" si="1"/>
        <v>22</v>
      </c>
      <c r="U54" s="246">
        <v>158</v>
      </c>
      <c r="V54" s="109">
        <f t="shared" si="2"/>
        <v>3476</v>
      </c>
      <c r="W54" s="246">
        <v>1</v>
      </c>
      <c r="X54" s="246" t="s">
        <v>39</v>
      </c>
      <c r="Y54" s="246" t="s">
        <v>84</v>
      </c>
      <c r="Z54" s="246" t="s">
        <v>90</v>
      </c>
      <c r="AA54" s="246" t="s">
        <v>50</v>
      </c>
      <c r="AB54" s="246" t="s">
        <v>310</v>
      </c>
    </row>
    <row r="55" spans="1:28" s="115" customFormat="1" x14ac:dyDescent="0.15">
      <c r="A55" s="246" t="s">
        <v>51</v>
      </c>
      <c r="B55" s="246" t="s">
        <v>308</v>
      </c>
      <c r="C55" s="246">
        <v>2018</v>
      </c>
      <c r="D55" s="106" t="s">
        <v>383</v>
      </c>
      <c r="E55" s="246" t="s">
        <v>199</v>
      </c>
      <c r="F55" s="246" t="s">
        <v>200</v>
      </c>
      <c r="G55" s="246" t="s">
        <v>36</v>
      </c>
      <c r="H55" s="246" t="s">
        <v>155</v>
      </c>
      <c r="I55" s="246" t="s">
        <v>153</v>
      </c>
      <c r="J55" s="246" t="s">
        <v>38</v>
      </c>
      <c r="K55" s="246" t="s">
        <v>154</v>
      </c>
      <c r="L55" s="246">
        <v>3</v>
      </c>
      <c r="M55" s="246"/>
      <c r="N55" s="246">
        <v>1</v>
      </c>
      <c r="O55" s="246">
        <v>0.75</v>
      </c>
      <c r="P55" s="246">
        <v>0.6</v>
      </c>
      <c r="Q55" s="107">
        <f t="shared" si="0"/>
        <v>0.67500000000000004</v>
      </c>
      <c r="R55" s="246">
        <v>16.399999999999999</v>
      </c>
      <c r="S55" s="246">
        <v>142</v>
      </c>
      <c r="T55" s="108">
        <f t="shared" si="1"/>
        <v>22</v>
      </c>
      <c r="U55" s="246">
        <v>158</v>
      </c>
      <c r="V55" s="109">
        <f t="shared" si="2"/>
        <v>3476</v>
      </c>
      <c r="W55" s="246">
        <v>1</v>
      </c>
      <c r="X55" s="246" t="s">
        <v>39</v>
      </c>
      <c r="Y55" s="246" t="s">
        <v>84</v>
      </c>
      <c r="Z55" s="246" t="s">
        <v>90</v>
      </c>
      <c r="AA55" s="246" t="s">
        <v>50</v>
      </c>
      <c r="AB55" s="246" t="s">
        <v>310</v>
      </c>
    </row>
    <row r="56" spans="1:28" s="115" customFormat="1" x14ac:dyDescent="0.15">
      <c r="A56" s="246"/>
      <c r="B56" s="246"/>
      <c r="C56" s="246"/>
      <c r="D56" s="106"/>
      <c r="E56" s="246"/>
      <c r="F56" s="246"/>
      <c r="G56" s="246"/>
      <c r="H56" s="246"/>
      <c r="I56" s="246"/>
      <c r="J56" s="246"/>
      <c r="K56" s="246"/>
      <c r="N56" s="246"/>
      <c r="Q56" s="107" t="str">
        <f t="shared" si="0"/>
        <v/>
      </c>
      <c r="T56" s="108" t="str">
        <f t="shared" si="1"/>
        <v/>
      </c>
      <c r="U56" s="246"/>
      <c r="V56" s="109" t="str">
        <f t="shared" si="2"/>
        <v/>
      </c>
      <c r="W56" s="246"/>
      <c r="X56" s="246"/>
      <c r="Y56" s="246"/>
      <c r="Z56" s="246"/>
      <c r="AA56" s="246"/>
      <c r="AB56" s="246"/>
    </row>
    <row r="57" spans="1:28" s="115" customFormat="1" x14ac:dyDescent="0.15">
      <c r="A57" s="246"/>
      <c r="B57" s="246"/>
      <c r="C57" s="246"/>
      <c r="D57" s="106"/>
      <c r="E57" s="246"/>
      <c r="F57" s="246"/>
      <c r="G57" s="246"/>
      <c r="H57" s="246"/>
      <c r="I57" s="246"/>
      <c r="J57" s="246"/>
      <c r="K57" s="246"/>
      <c r="N57" s="246"/>
      <c r="Q57" s="107" t="str">
        <f t="shared" si="0"/>
        <v/>
      </c>
      <c r="T57" s="108" t="str">
        <f t="shared" si="1"/>
        <v/>
      </c>
      <c r="U57" s="246"/>
      <c r="V57" s="109" t="str">
        <f t="shared" si="2"/>
        <v/>
      </c>
      <c r="W57" s="246"/>
      <c r="X57" s="246"/>
      <c r="Y57" s="246"/>
      <c r="Z57" s="246"/>
      <c r="AA57" s="246"/>
      <c r="AB57" s="246"/>
    </row>
    <row r="58" spans="1:28" s="115" customFormat="1" x14ac:dyDescent="0.15">
      <c r="A58" s="246"/>
      <c r="B58" s="246"/>
      <c r="C58" s="246"/>
      <c r="D58" s="106"/>
      <c r="E58" s="246"/>
      <c r="F58" s="246"/>
      <c r="G58" s="246"/>
      <c r="H58" s="246"/>
      <c r="I58" s="246"/>
      <c r="J58" s="246"/>
      <c r="K58" s="246"/>
      <c r="N58" s="246"/>
      <c r="Q58" s="107" t="str">
        <f t="shared" si="0"/>
        <v/>
      </c>
      <c r="T58" s="108" t="str">
        <f t="shared" si="1"/>
        <v/>
      </c>
      <c r="U58" s="246"/>
      <c r="V58" s="109" t="str">
        <f t="shared" si="2"/>
        <v/>
      </c>
      <c r="W58" s="246"/>
      <c r="X58" s="246"/>
      <c r="Y58" s="246"/>
      <c r="Z58" s="246"/>
      <c r="AA58" s="246"/>
      <c r="AB58" s="246"/>
    </row>
    <row r="59" spans="1:28" s="115" customFormat="1" x14ac:dyDescent="0.15">
      <c r="A59" s="246"/>
      <c r="B59" s="246"/>
      <c r="C59" s="246"/>
      <c r="D59" s="106"/>
      <c r="E59" s="246"/>
      <c r="F59" s="246"/>
      <c r="G59" s="246"/>
      <c r="H59" s="246"/>
      <c r="I59" s="246"/>
      <c r="J59" s="246"/>
      <c r="K59" s="246"/>
      <c r="N59" s="246"/>
      <c r="Q59" s="107" t="str">
        <f t="shared" si="0"/>
        <v/>
      </c>
      <c r="T59" s="108" t="str">
        <f t="shared" si="1"/>
        <v/>
      </c>
      <c r="U59" s="246"/>
      <c r="V59" s="109" t="str">
        <f t="shared" si="2"/>
        <v/>
      </c>
      <c r="W59" s="246"/>
      <c r="X59" s="246"/>
      <c r="Y59" s="246"/>
      <c r="Z59" s="246"/>
      <c r="AA59" s="246"/>
      <c r="AB59" s="246"/>
    </row>
    <row r="60" spans="1:28" s="115" customFormat="1" x14ac:dyDescent="0.15">
      <c r="A60" s="246"/>
      <c r="B60" s="246"/>
      <c r="C60" s="246"/>
      <c r="D60" s="106"/>
      <c r="E60" s="246"/>
      <c r="F60" s="246"/>
      <c r="G60" s="246"/>
      <c r="H60" s="246"/>
      <c r="I60" s="246"/>
      <c r="J60" s="246"/>
      <c r="K60" s="246"/>
      <c r="N60" s="246"/>
      <c r="Q60" s="107" t="str">
        <f t="shared" si="0"/>
        <v/>
      </c>
      <c r="T60" s="108" t="str">
        <f t="shared" si="1"/>
        <v/>
      </c>
      <c r="U60" s="246"/>
      <c r="V60" s="109" t="str">
        <f t="shared" si="2"/>
        <v/>
      </c>
      <c r="W60" s="246"/>
      <c r="X60" s="246"/>
      <c r="Y60" s="246"/>
      <c r="Z60" s="246"/>
      <c r="AA60" s="246"/>
      <c r="AB60" s="246"/>
    </row>
    <row r="61" spans="1:28" s="115" customFormat="1" x14ac:dyDescent="0.15">
      <c r="A61" s="246"/>
      <c r="B61" s="246"/>
      <c r="C61" s="246"/>
      <c r="D61" s="106"/>
      <c r="E61" s="246"/>
      <c r="F61" s="246"/>
      <c r="G61" s="246"/>
      <c r="H61" s="246"/>
      <c r="I61" s="246"/>
      <c r="J61" s="246"/>
      <c r="K61" s="246"/>
      <c r="N61" s="246"/>
      <c r="Q61" s="107" t="str">
        <f t="shared" si="0"/>
        <v/>
      </c>
      <c r="T61" s="108" t="str">
        <f t="shared" si="1"/>
        <v/>
      </c>
      <c r="U61" s="246"/>
      <c r="V61" s="109" t="str">
        <f t="shared" si="2"/>
        <v/>
      </c>
      <c r="W61" s="246"/>
      <c r="X61" s="246"/>
      <c r="Y61" s="246"/>
      <c r="Z61" s="246"/>
      <c r="AA61" s="246"/>
      <c r="AB61" s="246"/>
    </row>
    <row r="62" spans="1:28" s="115" customFormat="1" x14ac:dyDescent="0.15">
      <c r="A62" s="246"/>
      <c r="B62" s="246"/>
      <c r="C62" s="246"/>
      <c r="D62" s="106"/>
      <c r="E62" s="246"/>
      <c r="F62" s="246"/>
      <c r="G62" s="246"/>
      <c r="H62" s="246"/>
      <c r="I62" s="246"/>
      <c r="J62" s="246"/>
      <c r="K62" s="246"/>
      <c r="N62" s="246"/>
      <c r="Q62" s="108" t="str">
        <f t="shared" si="0"/>
        <v/>
      </c>
      <c r="T62" s="108" t="str">
        <f t="shared" si="1"/>
        <v/>
      </c>
      <c r="U62" s="246"/>
      <c r="V62" s="108" t="str">
        <f t="shared" si="2"/>
        <v/>
      </c>
      <c r="W62" s="246"/>
      <c r="X62" s="246"/>
      <c r="Y62" s="246"/>
      <c r="Z62" s="246"/>
      <c r="AA62" s="246"/>
      <c r="AB62" s="246"/>
    </row>
    <row r="63" spans="1:28" x14ac:dyDescent="0.15">
      <c r="A63" s="246"/>
      <c r="B63" s="246"/>
      <c r="C63" s="130"/>
      <c r="D63" s="131"/>
      <c r="E63" s="246"/>
      <c r="F63" s="246"/>
      <c r="G63" s="130"/>
      <c r="H63" s="130"/>
      <c r="I63" s="130"/>
      <c r="J63" s="130"/>
      <c r="K63" s="246"/>
      <c r="N63" s="130"/>
      <c r="Q63" s="132" t="str">
        <f t="shared" si="0"/>
        <v/>
      </c>
      <c r="T63" s="132" t="str">
        <f t="shared" si="1"/>
        <v/>
      </c>
      <c r="U63" s="130"/>
      <c r="V63" s="132" t="str">
        <f t="shared" si="2"/>
        <v/>
      </c>
      <c r="W63" s="130"/>
      <c r="X63" s="130"/>
      <c r="Y63" s="130"/>
      <c r="Z63" s="130"/>
      <c r="AA63" s="130"/>
      <c r="AB63" s="246"/>
    </row>
    <row r="64" spans="1:28" x14ac:dyDescent="0.15">
      <c r="A64" s="246"/>
      <c r="B64" s="246"/>
      <c r="C64" s="130"/>
      <c r="D64" s="131"/>
      <c r="E64" s="246"/>
      <c r="F64" s="246"/>
      <c r="G64" s="130"/>
      <c r="H64" s="130"/>
      <c r="I64" s="130"/>
      <c r="J64" s="130"/>
      <c r="K64" s="246"/>
      <c r="N64" s="130"/>
      <c r="O64" s="115"/>
      <c r="Q64" s="132" t="str">
        <f t="shared" si="0"/>
        <v/>
      </c>
      <c r="T64" s="132" t="str">
        <f t="shared" si="1"/>
        <v/>
      </c>
      <c r="U64" s="130"/>
      <c r="V64" s="132" t="str">
        <f t="shared" si="2"/>
        <v/>
      </c>
      <c r="W64" s="130"/>
      <c r="X64" s="130"/>
      <c r="Y64" s="130"/>
      <c r="Z64" s="130"/>
      <c r="AA64" s="130"/>
      <c r="AB64" s="246"/>
    </row>
    <row r="65" spans="1:28" x14ac:dyDescent="0.15">
      <c r="A65" s="246"/>
      <c r="B65" s="246"/>
      <c r="C65" s="130"/>
      <c r="D65" s="131"/>
      <c r="E65" s="246"/>
      <c r="F65" s="246"/>
      <c r="G65" s="130"/>
      <c r="H65" s="130"/>
      <c r="I65" s="130"/>
      <c r="J65" s="130"/>
      <c r="K65" s="246"/>
      <c r="N65" s="130"/>
      <c r="Q65" s="132" t="str">
        <f t="shared" si="0"/>
        <v/>
      </c>
      <c r="T65" s="132" t="str">
        <f t="shared" si="1"/>
        <v/>
      </c>
      <c r="V65" s="132" t="str">
        <f t="shared" si="2"/>
        <v/>
      </c>
      <c r="W65" s="130"/>
      <c r="X65" s="130"/>
      <c r="Y65" s="130"/>
      <c r="Z65" s="130"/>
      <c r="AA65" s="130"/>
      <c r="AB65" s="246"/>
    </row>
    <row r="66" spans="1:28" x14ac:dyDescent="0.15">
      <c r="A66" s="246"/>
      <c r="B66" s="246"/>
      <c r="C66" s="130"/>
      <c r="D66" s="131"/>
      <c r="E66" s="246"/>
      <c r="F66" s="246"/>
      <c r="G66" s="130"/>
      <c r="H66" s="130"/>
      <c r="I66" s="130"/>
      <c r="J66" s="130"/>
      <c r="K66" s="246"/>
      <c r="N66" s="130"/>
      <c r="O66" s="115"/>
      <c r="Q66" s="132" t="str">
        <f t="shared" ref="Q66:Q82" si="3">IF(OR(O66="",P66=""),"",AVERAGE(O66,P66))</f>
        <v/>
      </c>
      <c r="T66" s="132" t="str">
        <f t="shared" ref="T66:T82" si="4">IF(H66="","",IF(OR(H66="GREEN",H66="GK"),IF(S66&gt;=$AX$2,VLOOKUP(S66,$AX$2:$AY$12,2,1),""),IF(S66&gt;=$AZ$2,VLOOKUP(S66,$AZ$2:$BA$12,2,1),"")))</f>
        <v/>
      </c>
      <c r="V66" s="132" t="str">
        <f t="shared" ref="V66:V82" si="5">IF(OR(N66="",U66="",T66=""),"",U66/N66*T66)</f>
        <v/>
      </c>
      <c r="W66" s="130"/>
      <c r="X66" s="130"/>
      <c r="Y66" s="130"/>
      <c r="Z66" s="130"/>
      <c r="AA66" s="130"/>
      <c r="AB66" s="246"/>
    </row>
    <row r="67" spans="1:28" x14ac:dyDescent="0.15">
      <c r="A67" s="246"/>
      <c r="B67" s="246"/>
      <c r="C67" s="130"/>
      <c r="D67" s="131"/>
      <c r="E67" s="246"/>
      <c r="F67" s="246"/>
      <c r="G67" s="130"/>
      <c r="H67" s="130"/>
      <c r="I67" s="130"/>
      <c r="J67" s="130"/>
      <c r="K67" s="246"/>
      <c r="N67" s="130"/>
      <c r="Q67" s="132" t="str">
        <f t="shared" si="3"/>
        <v/>
      </c>
      <c r="T67" s="132" t="str">
        <f t="shared" si="4"/>
        <v/>
      </c>
      <c r="V67" s="132" t="str">
        <f t="shared" si="5"/>
        <v/>
      </c>
      <c r="W67" s="130"/>
      <c r="X67" s="130"/>
      <c r="Y67" s="130"/>
      <c r="Z67" s="130"/>
      <c r="AA67" s="130"/>
      <c r="AB67" s="246"/>
    </row>
    <row r="68" spans="1:28" x14ac:dyDescent="0.15">
      <c r="A68" s="246"/>
      <c r="B68" s="246"/>
      <c r="C68" s="130"/>
      <c r="D68" s="131"/>
      <c r="E68" s="246"/>
      <c r="F68" s="246"/>
      <c r="G68" s="130"/>
      <c r="H68" s="130"/>
      <c r="I68" s="130"/>
      <c r="J68" s="130"/>
      <c r="K68" s="246"/>
      <c r="N68" s="130"/>
      <c r="Q68" s="132" t="str">
        <f t="shared" si="3"/>
        <v/>
      </c>
      <c r="T68" s="132" t="str">
        <f t="shared" si="4"/>
        <v/>
      </c>
      <c r="V68" s="132" t="str">
        <f t="shared" si="5"/>
        <v/>
      </c>
      <c r="W68" s="130"/>
      <c r="X68" s="130"/>
      <c r="Y68" s="130"/>
      <c r="Z68" s="130"/>
      <c r="AA68" s="130"/>
      <c r="AB68" s="246"/>
    </row>
    <row r="69" spans="1:28" x14ac:dyDescent="0.15">
      <c r="A69" s="246"/>
      <c r="B69" s="246"/>
      <c r="C69" s="130"/>
      <c r="D69" s="131"/>
      <c r="E69" s="246"/>
      <c r="F69" s="246"/>
      <c r="G69" s="130"/>
      <c r="H69" s="130"/>
      <c r="I69" s="130"/>
      <c r="J69" s="130"/>
      <c r="K69" s="246"/>
      <c r="N69" s="130"/>
      <c r="Q69" s="132" t="str">
        <f t="shared" si="3"/>
        <v/>
      </c>
      <c r="T69" s="132" t="str">
        <f t="shared" si="4"/>
        <v/>
      </c>
      <c r="V69" s="132" t="str">
        <f t="shared" si="5"/>
        <v/>
      </c>
      <c r="W69" s="130"/>
      <c r="X69" s="130"/>
      <c r="Y69" s="130"/>
      <c r="Z69" s="130"/>
      <c r="AA69" s="130"/>
      <c r="AB69" s="246"/>
    </row>
    <row r="70" spans="1:28" x14ac:dyDescent="0.15">
      <c r="A70" s="246"/>
      <c r="B70" s="246"/>
      <c r="C70" s="130"/>
      <c r="D70" s="131"/>
      <c r="E70" s="246"/>
      <c r="F70" s="246"/>
      <c r="G70" s="130"/>
      <c r="H70" s="130"/>
      <c r="I70" s="130"/>
      <c r="J70" s="130"/>
      <c r="K70" s="246"/>
      <c r="N70" s="130"/>
      <c r="P70" s="115"/>
      <c r="Q70" s="132" t="str">
        <f t="shared" si="3"/>
        <v/>
      </c>
      <c r="T70" s="132" t="str">
        <f t="shared" si="4"/>
        <v/>
      </c>
      <c r="V70" s="132" t="str">
        <f t="shared" si="5"/>
        <v/>
      </c>
      <c r="W70" s="130"/>
      <c r="X70" s="130"/>
      <c r="Y70" s="130"/>
      <c r="Z70" s="130"/>
      <c r="AA70" s="130"/>
      <c r="AB70" s="246"/>
    </row>
    <row r="71" spans="1:28" x14ac:dyDescent="0.15">
      <c r="A71" s="246"/>
      <c r="B71" s="246"/>
      <c r="C71" s="130"/>
      <c r="D71" s="131"/>
      <c r="E71" s="246"/>
      <c r="F71" s="246"/>
      <c r="G71" s="130"/>
      <c r="H71" s="130"/>
      <c r="I71" s="130"/>
      <c r="J71" s="130"/>
      <c r="K71" s="246"/>
      <c r="N71" s="130"/>
      <c r="Q71" s="132" t="str">
        <f t="shared" si="3"/>
        <v/>
      </c>
      <c r="T71" s="132" t="str">
        <f t="shared" si="4"/>
        <v/>
      </c>
      <c r="V71" s="132" t="str">
        <f t="shared" si="5"/>
        <v/>
      </c>
      <c r="W71" s="130"/>
      <c r="X71" s="130"/>
      <c r="Y71" s="130"/>
      <c r="Z71" s="130"/>
      <c r="AA71" s="130"/>
      <c r="AB71" s="246"/>
    </row>
    <row r="72" spans="1:28" x14ac:dyDescent="0.15">
      <c r="A72" s="246"/>
      <c r="B72" s="246"/>
      <c r="C72" s="130"/>
      <c r="D72" s="131"/>
      <c r="E72" s="246"/>
      <c r="F72" s="246"/>
      <c r="G72" s="130"/>
      <c r="H72" s="130"/>
      <c r="I72" s="130"/>
      <c r="J72" s="130"/>
      <c r="K72" s="246"/>
      <c r="N72" s="130"/>
      <c r="Q72" s="132" t="str">
        <f t="shared" si="3"/>
        <v/>
      </c>
      <c r="T72" s="132" t="str">
        <f t="shared" si="4"/>
        <v/>
      </c>
      <c r="V72" s="132" t="str">
        <f t="shared" si="5"/>
        <v/>
      </c>
      <c r="W72" s="130"/>
      <c r="X72" s="130"/>
      <c r="Y72" s="130"/>
      <c r="Z72" s="130"/>
      <c r="AA72" s="130"/>
      <c r="AB72" s="246"/>
    </row>
    <row r="73" spans="1:28" x14ac:dyDescent="0.15">
      <c r="A73" s="246"/>
      <c r="B73" s="246"/>
      <c r="C73" s="130"/>
      <c r="D73" s="131"/>
      <c r="E73" s="246"/>
      <c r="F73" s="246"/>
      <c r="G73" s="130"/>
      <c r="H73" s="130"/>
      <c r="I73" s="130"/>
      <c r="J73" s="130"/>
      <c r="K73" s="246"/>
      <c r="N73" s="130"/>
      <c r="Q73" s="132" t="str">
        <f t="shared" si="3"/>
        <v/>
      </c>
      <c r="T73" s="132" t="str">
        <f t="shared" si="4"/>
        <v/>
      </c>
      <c r="V73" s="132" t="str">
        <f t="shared" si="5"/>
        <v/>
      </c>
      <c r="W73" s="130"/>
      <c r="X73" s="130"/>
      <c r="Y73" s="130"/>
      <c r="Z73" s="130"/>
      <c r="AA73" s="130"/>
      <c r="AB73" s="246"/>
    </row>
    <row r="74" spans="1:28" x14ac:dyDescent="0.15">
      <c r="A74" s="246"/>
      <c r="B74" s="246"/>
      <c r="C74" s="130"/>
      <c r="D74" s="131"/>
      <c r="E74" s="246"/>
      <c r="F74" s="246"/>
      <c r="G74" s="130"/>
      <c r="H74" s="130"/>
      <c r="I74" s="130"/>
      <c r="J74" s="130"/>
      <c r="K74" s="246"/>
      <c r="N74" s="130"/>
      <c r="Q74" s="132" t="str">
        <f t="shared" si="3"/>
        <v/>
      </c>
      <c r="T74" s="132" t="str">
        <f t="shared" si="4"/>
        <v/>
      </c>
      <c r="V74" s="132" t="str">
        <f t="shared" si="5"/>
        <v/>
      </c>
      <c r="W74" s="130"/>
      <c r="X74" s="130"/>
      <c r="Y74" s="130"/>
      <c r="Z74" s="130"/>
      <c r="AA74" s="130"/>
      <c r="AB74" s="246"/>
    </row>
    <row r="75" spans="1:28" x14ac:dyDescent="0.15">
      <c r="A75" s="246"/>
      <c r="B75" s="246"/>
      <c r="C75" s="130"/>
      <c r="D75" s="131"/>
      <c r="E75" s="246"/>
      <c r="F75" s="246"/>
      <c r="G75" s="130"/>
      <c r="H75" s="130"/>
      <c r="I75" s="130"/>
      <c r="J75" s="130"/>
      <c r="K75" s="246"/>
      <c r="N75" s="130"/>
      <c r="Q75" s="132" t="str">
        <f t="shared" si="3"/>
        <v/>
      </c>
      <c r="T75" s="132" t="str">
        <f t="shared" si="4"/>
        <v/>
      </c>
      <c r="V75" s="132" t="str">
        <f t="shared" si="5"/>
        <v/>
      </c>
      <c r="W75" s="130"/>
      <c r="X75" s="130"/>
      <c r="Y75" s="130"/>
      <c r="Z75" s="130"/>
      <c r="AA75" s="130"/>
      <c r="AB75" s="246"/>
    </row>
    <row r="76" spans="1:28" x14ac:dyDescent="0.15">
      <c r="A76" s="246"/>
      <c r="B76" s="246"/>
      <c r="C76" s="130"/>
      <c r="D76" s="131"/>
      <c r="E76" s="246"/>
      <c r="F76" s="246"/>
      <c r="G76" s="130"/>
      <c r="H76" s="130"/>
      <c r="I76" s="130"/>
      <c r="J76" s="130"/>
      <c r="K76" s="246"/>
      <c r="N76" s="130"/>
      <c r="Q76" s="132" t="str">
        <f t="shared" si="3"/>
        <v/>
      </c>
      <c r="R76" s="115"/>
      <c r="T76" s="132" t="str">
        <f t="shared" si="4"/>
        <v/>
      </c>
      <c r="V76" s="132" t="str">
        <f t="shared" si="5"/>
        <v/>
      </c>
      <c r="W76" s="130"/>
      <c r="X76" s="130"/>
      <c r="Y76" s="130"/>
      <c r="Z76" s="130"/>
      <c r="AA76" s="130"/>
      <c r="AB76" s="246"/>
    </row>
    <row r="77" spans="1:28" x14ac:dyDescent="0.15">
      <c r="A77" s="246"/>
      <c r="B77" s="246"/>
      <c r="C77" s="130"/>
      <c r="D77" s="131"/>
      <c r="E77" s="246"/>
      <c r="F77" s="246"/>
      <c r="G77" s="130"/>
      <c r="H77" s="130"/>
      <c r="I77" s="130"/>
      <c r="J77" s="130"/>
      <c r="K77" s="246"/>
      <c r="N77" s="130"/>
      <c r="Q77" s="132" t="str">
        <f t="shared" si="3"/>
        <v/>
      </c>
      <c r="T77" s="132" t="str">
        <f t="shared" si="4"/>
        <v/>
      </c>
      <c r="V77" s="132" t="str">
        <f t="shared" si="5"/>
        <v/>
      </c>
      <c r="W77" s="130"/>
      <c r="X77" s="130"/>
      <c r="Y77" s="130"/>
      <c r="Z77" s="130"/>
      <c r="AA77" s="130"/>
      <c r="AB77" s="246"/>
    </row>
    <row r="78" spans="1:28" x14ac:dyDescent="0.15">
      <c r="A78" s="246"/>
      <c r="B78" s="246"/>
      <c r="C78" s="130"/>
      <c r="D78" s="131"/>
      <c r="E78" s="246"/>
      <c r="F78" s="246"/>
      <c r="G78" s="130"/>
      <c r="H78" s="130"/>
      <c r="I78" s="130"/>
      <c r="J78" s="130"/>
      <c r="K78" s="246"/>
      <c r="N78" s="130"/>
      <c r="Q78" s="132" t="str">
        <f t="shared" si="3"/>
        <v/>
      </c>
      <c r="T78" s="132" t="str">
        <f t="shared" si="4"/>
        <v/>
      </c>
      <c r="V78" s="132" t="str">
        <f t="shared" si="5"/>
        <v/>
      </c>
      <c r="W78" s="130"/>
      <c r="X78" s="130"/>
      <c r="Y78" s="130"/>
      <c r="Z78" s="130"/>
      <c r="AA78" s="130"/>
      <c r="AB78" s="246"/>
    </row>
    <row r="79" spans="1:28" x14ac:dyDescent="0.15">
      <c r="A79" s="246"/>
      <c r="B79" s="246"/>
      <c r="C79" s="130"/>
      <c r="D79" s="131"/>
      <c r="E79" s="246"/>
      <c r="F79" s="246"/>
      <c r="G79" s="130"/>
      <c r="H79" s="130"/>
      <c r="I79" s="130"/>
      <c r="J79" s="130"/>
      <c r="K79" s="246"/>
      <c r="N79" s="130"/>
      <c r="Q79" s="132" t="str">
        <f t="shared" si="3"/>
        <v/>
      </c>
      <c r="T79" s="132" t="str">
        <f t="shared" si="4"/>
        <v/>
      </c>
      <c r="V79" s="132" t="str">
        <f t="shared" si="5"/>
        <v/>
      </c>
      <c r="W79" s="130"/>
      <c r="X79" s="130"/>
      <c r="Y79" s="130"/>
      <c r="Z79" s="130"/>
      <c r="AA79" s="130"/>
      <c r="AB79" s="246"/>
    </row>
    <row r="80" spans="1:28" x14ac:dyDescent="0.15">
      <c r="A80" s="246"/>
      <c r="B80" s="246"/>
      <c r="C80" s="130"/>
      <c r="D80" s="131"/>
      <c r="E80" s="246"/>
      <c r="F80" s="246"/>
      <c r="G80" s="130"/>
      <c r="H80" s="130"/>
      <c r="I80" s="130"/>
      <c r="J80" s="130"/>
      <c r="K80" s="246"/>
      <c r="N80" s="130"/>
      <c r="Q80" s="132" t="str">
        <f t="shared" si="3"/>
        <v/>
      </c>
      <c r="T80" s="132" t="str">
        <f t="shared" si="4"/>
        <v/>
      </c>
      <c r="V80" s="132" t="str">
        <f t="shared" si="5"/>
        <v/>
      </c>
      <c r="W80" s="130"/>
      <c r="X80" s="130"/>
      <c r="Y80" s="130"/>
      <c r="Z80" s="130"/>
      <c r="AA80" s="130"/>
      <c r="AB80" s="246"/>
    </row>
    <row r="81" spans="1:28" x14ac:dyDescent="0.15">
      <c r="A81" s="246"/>
      <c r="B81" s="246"/>
      <c r="C81" s="130"/>
      <c r="D81" s="131"/>
      <c r="E81" s="246"/>
      <c r="F81" s="246"/>
      <c r="G81" s="130"/>
      <c r="H81" s="130"/>
      <c r="I81" s="130"/>
      <c r="J81" s="130"/>
      <c r="K81" s="246"/>
      <c r="N81" s="130"/>
      <c r="Q81" s="132" t="str">
        <f t="shared" si="3"/>
        <v/>
      </c>
      <c r="T81" s="132" t="str">
        <f t="shared" si="4"/>
        <v/>
      </c>
      <c r="V81" s="132" t="str">
        <f t="shared" si="5"/>
        <v/>
      </c>
      <c r="W81" s="130"/>
      <c r="X81" s="130"/>
      <c r="Y81" s="130"/>
      <c r="Z81" s="130"/>
      <c r="AA81" s="130"/>
      <c r="AB81" s="246"/>
    </row>
    <row r="82" spans="1:28" x14ac:dyDescent="0.15">
      <c r="A82" s="246"/>
      <c r="B82" s="246"/>
      <c r="C82" s="130"/>
      <c r="D82" s="131"/>
      <c r="E82" s="246"/>
      <c r="F82" s="246"/>
      <c r="G82" s="130"/>
      <c r="H82" s="130"/>
      <c r="I82" s="130"/>
      <c r="J82" s="130"/>
      <c r="K82" s="246"/>
      <c r="N82" s="130"/>
      <c r="Q82" s="132" t="str">
        <f t="shared" si="3"/>
        <v/>
      </c>
      <c r="T82" s="132" t="str">
        <f t="shared" si="4"/>
        <v/>
      </c>
      <c r="V82" s="132" t="str">
        <f t="shared" si="5"/>
        <v/>
      </c>
      <c r="W82" s="130"/>
      <c r="X82" s="130"/>
      <c r="Y82" s="130"/>
      <c r="Z82" s="130"/>
      <c r="AA82" s="130"/>
      <c r="AB82" s="246"/>
    </row>
    <row r="83" spans="1:28" x14ac:dyDescent="0.15">
      <c r="A83" s="246"/>
      <c r="B83" s="246"/>
      <c r="C83" s="130"/>
      <c r="D83" s="131"/>
      <c r="E83" s="246"/>
      <c r="F83" s="246"/>
      <c r="G83" s="130"/>
      <c r="H83" s="130"/>
      <c r="I83" s="130"/>
      <c r="J83" s="130"/>
      <c r="K83" s="246"/>
      <c r="N83" s="130"/>
      <c r="W83" s="130"/>
      <c r="X83" s="130"/>
      <c r="Y83" s="130"/>
      <c r="Z83" s="130"/>
      <c r="AA83" s="130"/>
      <c r="AB83" s="246"/>
    </row>
    <row r="84" spans="1:28" x14ac:dyDescent="0.15">
      <c r="A84" s="246"/>
      <c r="B84" s="246"/>
      <c r="C84" s="130"/>
      <c r="D84" s="131"/>
      <c r="E84" s="246"/>
      <c r="F84" s="246"/>
      <c r="G84" s="130"/>
      <c r="H84" s="130"/>
      <c r="I84" s="130"/>
      <c r="J84" s="130"/>
      <c r="K84" s="246"/>
      <c r="N84" s="130"/>
      <c r="W84" s="130"/>
      <c r="X84" s="130"/>
      <c r="Y84" s="130"/>
      <c r="Z84" s="130"/>
      <c r="AA84" s="130"/>
      <c r="AB84" s="246"/>
    </row>
    <row r="85" spans="1:28" x14ac:dyDescent="0.15">
      <c r="A85" s="246"/>
      <c r="B85" s="246"/>
      <c r="C85" s="130"/>
      <c r="D85" s="131"/>
      <c r="E85" s="246"/>
      <c r="F85" s="246"/>
      <c r="G85" s="130"/>
      <c r="H85" s="130"/>
      <c r="I85" s="130"/>
      <c r="J85" s="130"/>
      <c r="K85" s="246"/>
      <c r="N85" s="130"/>
      <c r="W85" s="130"/>
      <c r="X85" s="130"/>
      <c r="Y85" s="130"/>
      <c r="Z85" s="130"/>
      <c r="AA85" s="130"/>
      <c r="AB85" s="246"/>
    </row>
    <row r="86" spans="1:28" x14ac:dyDescent="0.15">
      <c r="A86" s="246"/>
      <c r="B86" s="246"/>
      <c r="C86" s="130"/>
      <c r="D86" s="131"/>
      <c r="E86" s="246"/>
      <c r="F86" s="246"/>
      <c r="G86" s="130"/>
      <c r="H86" s="130"/>
      <c r="I86" s="130"/>
      <c r="J86" s="130"/>
      <c r="K86" s="246"/>
      <c r="N86" s="130"/>
      <c r="W86" s="130"/>
      <c r="X86" s="130"/>
      <c r="Y86" s="130"/>
      <c r="Z86" s="130"/>
      <c r="AA86" s="130"/>
      <c r="AB86" s="246"/>
    </row>
    <row r="87" spans="1:28" x14ac:dyDescent="0.15">
      <c r="A87" s="246"/>
      <c r="B87" s="246"/>
      <c r="C87" s="130"/>
      <c r="D87" s="131"/>
      <c r="E87" s="246"/>
      <c r="F87" s="246"/>
      <c r="G87" s="130"/>
      <c r="H87" s="130"/>
      <c r="I87" s="130"/>
      <c r="J87" s="130"/>
      <c r="K87" s="130"/>
      <c r="N87" s="130"/>
      <c r="W87" s="130"/>
      <c r="X87" s="130"/>
      <c r="Y87" s="130"/>
      <c r="Z87" s="130"/>
      <c r="AA87" s="130"/>
      <c r="AB87" s="246"/>
    </row>
    <row r="88" spans="1:28" x14ac:dyDescent="0.15">
      <c r="A88" s="246"/>
      <c r="B88" s="246"/>
      <c r="C88" s="130"/>
      <c r="D88" s="131"/>
      <c r="E88" s="246"/>
      <c r="F88" s="246"/>
      <c r="G88" s="130"/>
      <c r="H88" s="130"/>
      <c r="I88" s="130"/>
      <c r="J88" s="130"/>
      <c r="K88" s="130"/>
      <c r="N88" s="130"/>
      <c r="W88" s="130"/>
      <c r="X88" s="130"/>
      <c r="Y88" s="130"/>
      <c r="Z88" s="130"/>
      <c r="AA88" s="130"/>
      <c r="AB88" s="246"/>
    </row>
    <row r="89" spans="1:28" x14ac:dyDescent="0.15">
      <c r="E89" s="246"/>
      <c r="F89" s="246"/>
    </row>
    <row r="90" spans="1:28" x14ac:dyDescent="0.15">
      <c r="E90" s="246"/>
      <c r="F90" s="246"/>
    </row>
    <row r="91" spans="1:28" x14ac:dyDescent="0.15">
      <c r="E91" s="246"/>
      <c r="F91" s="246"/>
    </row>
    <row r="92" spans="1:28" x14ac:dyDescent="0.15">
      <c r="E92" s="246"/>
      <c r="F92" s="246"/>
    </row>
    <row r="93" spans="1:28" x14ac:dyDescent="0.15">
      <c r="E93" s="246"/>
      <c r="F93" s="246"/>
    </row>
    <row r="94" spans="1:28" x14ac:dyDescent="0.15">
      <c r="E94" s="246"/>
      <c r="F94" s="246"/>
    </row>
    <row r="95" spans="1:28" x14ac:dyDescent="0.15">
      <c r="E95" s="246"/>
      <c r="F95" s="246"/>
    </row>
    <row r="96" spans="1:28" x14ac:dyDescent="0.15">
      <c r="E96" s="246"/>
      <c r="F96" s="246"/>
    </row>
    <row r="97" spans="5:6" x14ac:dyDescent="0.15">
      <c r="E97" s="246"/>
      <c r="F97" s="246"/>
    </row>
    <row r="98" spans="5:6" x14ac:dyDescent="0.15">
      <c r="E98" s="246"/>
      <c r="F98" s="246"/>
    </row>
    <row r="99" spans="5:6" x14ac:dyDescent="0.15">
      <c r="E99" s="246"/>
      <c r="F99" s="246"/>
    </row>
    <row r="100" spans="5:6" x14ac:dyDescent="0.15">
      <c r="E100" s="246"/>
      <c r="F100" s="246"/>
    </row>
    <row r="101" spans="5:6" x14ac:dyDescent="0.15">
      <c r="E101" s="246"/>
      <c r="F101" s="246"/>
    </row>
    <row r="102" spans="5:6" x14ac:dyDescent="0.15">
      <c r="E102" s="246"/>
      <c r="F102" s="246"/>
    </row>
    <row r="103" spans="5:6" x14ac:dyDescent="0.15">
      <c r="E103" s="246"/>
      <c r="F103" s="246"/>
    </row>
    <row r="104" spans="5:6" x14ac:dyDescent="0.15">
      <c r="E104" s="246"/>
      <c r="F104" s="246"/>
    </row>
    <row r="105" spans="5:6" x14ac:dyDescent="0.15">
      <c r="E105" s="246"/>
      <c r="F105" s="246"/>
    </row>
    <row r="106" spans="5:6" x14ac:dyDescent="0.15">
      <c r="E106" s="246"/>
      <c r="F106" s="246"/>
    </row>
    <row r="107" spans="5:6" x14ac:dyDescent="0.15">
      <c r="E107" s="246"/>
      <c r="F107" s="246"/>
    </row>
    <row r="108" spans="5:6" x14ac:dyDescent="0.15">
      <c r="E108" s="246"/>
      <c r="F108" s="246"/>
    </row>
    <row r="109" spans="5:6" x14ac:dyDescent="0.15">
      <c r="E109" s="246"/>
      <c r="F109" s="246"/>
    </row>
    <row r="110" spans="5:6" x14ac:dyDescent="0.15">
      <c r="E110" s="246"/>
      <c r="F110" s="246"/>
    </row>
    <row r="111" spans="5:6" x14ac:dyDescent="0.15">
      <c r="E111" s="246"/>
      <c r="F111" s="246"/>
    </row>
    <row r="112" spans="5:6" x14ac:dyDescent="0.15">
      <c r="E112" s="246"/>
      <c r="F112" s="246"/>
    </row>
    <row r="113" spans="5:6" x14ac:dyDescent="0.15">
      <c r="E113" s="246"/>
      <c r="F113" s="246"/>
    </row>
    <row r="114" spans="5:6" x14ac:dyDescent="0.15">
      <c r="E114" s="246"/>
      <c r="F114" s="246"/>
    </row>
    <row r="115" spans="5:6" x14ac:dyDescent="0.15">
      <c r="E115" s="246"/>
      <c r="F115" s="246"/>
    </row>
    <row r="116" spans="5:6" x14ac:dyDescent="0.15">
      <c r="E116" s="246"/>
      <c r="F116" s="246"/>
    </row>
    <row r="117" spans="5:6" x14ac:dyDescent="0.15">
      <c r="E117" s="246"/>
      <c r="F117" s="246"/>
    </row>
    <row r="118" spans="5:6" x14ac:dyDescent="0.15">
      <c r="E118" s="246"/>
      <c r="F118" s="246"/>
    </row>
    <row r="119" spans="5:6" x14ac:dyDescent="0.15">
      <c r="E119" s="246"/>
      <c r="F119" s="246"/>
    </row>
    <row r="120" spans="5:6" x14ac:dyDescent="0.15">
      <c r="E120" s="246"/>
      <c r="F120" s="246"/>
    </row>
    <row r="121" spans="5:6" x14ac:dyDescent="0.15">
      <c r="E121" s="246"/>
      <c r="F121" s="246"/>
    </row>
    <row r="122" spans="5:6" x14ac:dyDescent="0.15">
      <c r="E122" s="246"/>
      <c r="F122" s="246"/>
    </row>
    <row r="123" spans="5:6" x14ac:dyDescent="0.15">
      <c r="E123" s="246"/>
      <c r="F123" s="246"/>
    </row>
    <row r="124" spans="5:6" x14ac:dyDescent="0.15">
      <c r="E124" s="246"/>
      <c r="F124" s="246"/>
    </row>
    <row r="125" spans="5:6" x14ac:dyDescent="0.15">
      <c r="E125" s="246"/>
      <c r="F125" s="246"/>
    </row>
    <row r="126" spans="5:6" x14ac:dyDescent="0.15">
      <c r="E126" s="246"/>
      <c r="F126" s="246"/>
    </row>
    <row r="127" spans="5:6" x14ac:dyDescent="0.15">
      <c r="E127" s="246"/>
      <c r="F127" s="246"/>
    </row>
    <row r="128" spans="5:6" x14ac:dyDescent="0.15">
      <c r="E128" s="246"/>
      <c r="F128" s="246"/>
    </row>
    <row r="129" spans="5:6" x14ac:dyDescent="0.15">
      <c r="E129" s="246"/>
      <c r="F129" s="246"/>
    </row>
    <row r="130" spans="5:6" x14ac:dyDescent="0.15">
      <c r="E130" s="246"/>
      <c r="F130" s="246"/>
    </row>
    <row r="131" spans="5:6" x14ac:dyDescent="0.15">
      <c r="E131" s="246"/>
      <c r="F131" s="246"/>
    </row>
    <row r="132" spans="5:6" x14ac:dyDescent="0.15">
      <c r="E132" s="246"/>
      <c r="F132" s="246"/>
    </row>
    <row r="133" spans="5:6" x14ac:dyDescent="0.15">
      <c r="E133" s="246"/>
      <c r="F133" s="246"/>
    </row>
    <row r="134" spans="5:6" x14ac:dyDescent="0.15">
      <c r="E134" s="246"/>
      <c r="F134" s="246"/>
    </row>
    <row r="135" spans="5:6" x14ac:dyDescent="0.15">
      <c r="E135" s="246"/>
      <c r="F135" s="246"/>
    </row>
    <row r="136" spans="5:6" x14ac:dyDescent="0.15">
      <c r="E136" s="246"/>
      <c r="F136" s="246"/>
    </row>
    <row r="137" spans="5:6" x14ac:dyDescent="0.15">
      <c r="E137" s="246"/>
      <c r="F137" s="246"/>
    </row>
    <row r="138" spans="5:6" x14ac:dyDescent="0.15">
      <c r="E138" s="246"/>
      <c r="F138" s="246"/>
    </row>
    <row r="139" spans="5:6" x14ac:dyDescent="0.15">
      <c r="E139" s="246"/>
      <c r="F139" s="246"/>
    </row>
    <row r="140" spans="5:6" x14ac:dyDescent="0.15">
      <c r="E140" s="246"/>
      <c r="F140" s="246"/>
    </row>
    <row r="141" spans="5:6" x14ac:dyDescent="0.15">
      <c r="E141" s="246"/>
      <c r="F141" s="246"/>
    </row>
    <row r="142" spans="5:6" x14ac:dyDescent="0.15">
      <c r="E142" s="246"/>
      <c r="F142" s="246"/>
    </row>
    <row r="143" spans="5:6" x14ac:dyDescent="0.15">
      <c r="E143" s="246"/>
      <c r="F143" s="246"/>
    </row>
    <row r="144" spans="5:6" x14ac:dyDescent="0.15">
      <c r="E144" s="246"/>
      <c r="F144" s="246"/>
    </row>
    <row r="145" spans="5:6" x14ac:dyDescent="0.15">
      <c r="E145" s="246"/>
      <c r="F145" s="246"/>
    </row>
    <row r="146" spans="5:6" x14ac:dyDescent="0.15">
      <c r="E146" s="246"/>
      <c r="F146" s="246"/>
    </row>
    <row r="147" spans="5:6" x14ac:dyDescent="0.15">
      <c r="E147" s="246"/>
      <c r="F147" s="246"/>
    </row>
    <row r="148" spans="5:6" x14ac:dyDescent="0.15">
      <c r="E148" s="246"/>
      <c r="F148" s="246"/>
    </row>
    <row r="149" spans="5:6" x14ac:dyDescent="0.15">
      <c r="E149" s="246"/>
      <c r="F149" s="246"/>
    </row>
    <row r="150" spans="5:6" x14ac:dyDescent="0.15">
      <c r="E150" s="246"/>
      <c r="F150" s="246"/>
    </row>
    <row r="151" spans="5:6" x14ac:dyDescent="0.15">
      <c r="E151" s="246"/>
      <c r="F151" s="246"/>
    </row>
    <row r="152" spans="5:6" x14ac:dyDescent="0.15">
      <c r="E152" s="246"/>
      <c r="F152" s="246"/>
    </row>
    <row r="153" spans="5:6" x14ac:dyDescent="0.15">
      <c r="E153" s="246"/>
      <c r="F153" s="246"/>
    </row>
    <row r="154" spans="5:6" x14ac:dyDescent="0.15">
      <c r="E154" s="246"/>
      <c r="F154" s="246"/>
    </row>
    <row r="155" spans="5:6" x14ac:dyDescent="0.15">
      <c r="E155" s="246"/>
      <c r="F155" s="246"/>
    </row>
    <row r="156" spans="5:6" x14ac:dyDescent="0.15">
      <c r="E156" s="246"/>
      <c r="F156" s="246"/>
    </row>
    <row r="157" spans="5:6" x14ac:dyDescent="0.15">
      <c r="E157" s="246"/>
      <c r="F157" s="246"/>
    </row>
    <row r="158" spans="5:6" x14ac:dyDescent="0.15">
      <c r="E158" s="246"/>
      <c r="F158" s="246"/>
    </row>
    <row r="159" spans="5:6" x14ac:dyDescent="0.15">
      <c r="E159" s="246"/>
      <c r="F159" s="246"/>
    </row>
    <row r="160" spans="5:6" x14ac:dyDescent="0.15">
      <c r="E160" s="246"/>
      <c r="F160" s="246"/>
    </row>
    <row r="161" spans="5:6" x14ac:dyDescent="0.15">
      <c r="E161" s="246"/>
      <c r="F161" s="246"/>
    </row>
    <row r="162" spans="5:6" x14ac:dyDescent="0.15">
      <c r="E162" s="246"/>
      <c r="F162" s="246"/>
    </row>
    <row r="163" spans="5:6" x14ac:dyDescent="0.15">
      <c r="E163" s="246"/>
      <c r="F163" s="246"/>
    </row>
    <row r="164" spans="5:6" x14ac:dyDescent="0.15">
      <c r="E164" s="246"/>
      <c r="F164" s="246"/>
    </row>
    <row r="165" spans="5:6" x14ac:dyDescent="0.15">
      <c r="E165" s="246"/>
      <c r="F165" s="246"/>
    </row>
    <row r="166" spans="5:6" x14ac:dyDescent="0.15">
      <c r="E166" s="246"/>
      <c r="F166" s="246"/>
    </row>
    <row r="167" spans="5:6" x14ac:dyDescent="0.15">
      <c r="E167" s="246"/>
      <c r="F167" s="246"/>
    </row>
    <row r="168" spans="5:6" x14ac:dyDescent="0.15">
      <c r="E168" s="246"/>
      <c r="F168" s="246"/>
    </row>
    <row r="169" spans="5:6" x14ac:dyDescent="0.15">
      <c r="E169" s="246"/>
      <c r="F169" s="246"/>
    </row>
    <row r="170" spans="5:6" x14ac:dyDescent="0.15">
      <c r="E170" s="246"/>
      <c r="F170" s="246"/>
    </row>
    <row r="171" spans="5:6" x14ac:dyDescent="0.15">
      <c r="E171" s="246"/>
      <c r="F171" s="246"/>
    </row>
    <row r="172" spans="5:6" x14ac:dyDescent="0.15">
      <c r="E172" s="246"/>
      <c r="F172" s="246"/>
    </row>
    <row r="173" spans="5:6" x14ac:dyDescent="0.15">
      <c r="E173" s="246"/>
      <c r="F173" s="246"/>
    </row>
    <row r="174" spans="5:6" x14ac:dyDescent="0.15">
      <c r="E174" s="246"/>
      <c r="F174" s="246"/>
    </row>
    <row r="175" spans="5:6" x14ac:dyDescent="0.15">
      <c r="E175" s="246"/>
      <c r="F175" s="246"/>
    </row>
    <row r="176" spans="5:6" x14ac:dyDescent="0.15">
      <c r="E176" s="246"/>
      <c r="F176" s="246"/>
    </row>
    <row r="177" spans="5:6" x14ac:dyDescent="0.15">
      <c r="E177" s="246"/>
      <c r="F177" s="246"/>
    </row>
    <row r="178" spans="5:6" x14ac:dyDescent="0.15">
      <c r="E178" s="246"/>
      <c r="F178" s="246"/>
    </row>
    <row r="179" spans="5:6" x14ac:dyDescent="0.15">
      <c r="E179" s="246"/>
      <c r="F179" s="246"/>
    </row>
    <row r="180" spans="5:6" x14ac:dyDescent="0.15">
      <c r="E180" s="246"/>
      <c r="F180" s="246"/>
    </row>
    <row r="181" spans="5:6" x14ac:dyDescent="0.15">
      <c r="E181" s="246"/>
      <c r="F181" s="246"/>
    </row>
    <row r="182" spans="5:6" x14ac:dyDescent="0.15">
      <c r="E182" s="246"/>
      <c r="F182" s="246"/>
    </row>
    <row r="183" spans="5:6" x14ac:dyDescent="0.15">
      <c r="E183" s="246"/>
      <c r="F183" s="246"/>
    </row>
    <row r="184" spans="5:6" x14ac:dyDescent="0.15">
      <c r="E184" s="246"/>
      <c r="F184" s="246"/>
    </row>
    <row r="185" spans="5:6" x14ac:dyDescent="0.15">
      <c r="E185" s="246"/>
      <c r="F185" s="246"/>
    </row>
    <row r="186" spans="5:6" x14ac:dyDescent="0.15">
      <c r="E186" s="246"/>
      <c r="F186" s="246"/>
    </row>
    <row r="187" spans="5:6" x14ac:dyDescent="0.15">
      <c r="E187" s="246"/>
      <c r="F187" s="246"/>
    </row>
    <row r="188" spans="5:6" x14ac:dyDescent="0.15">
      <c r="E188" s="246"/>
      <c r="F188" s="246"/>
    </row>
    <row r="189" spans="5:6" x14ac:dyDescent="0.15">
      <c r="E189" s="246"/>
      <c r="F189" s="246"/>
    </row>
    <row r="190" spans="5:6" x14ac:dyDescent="0.15">
      <c r="E190" s="246"/>
      <c r="F190" s="246"/>
    </row>
    <row r="191" spans="5:6" x14ac:dyDescent="0.15">
      <c r="E191" s="246"/>
      <c r="F191" s="246"/>
    </row>
    <row r="192" spans="5:6" x14ac:dyDescent="0.15">
      <c r="E192" s="246"/>
      <c r="F192" s="246"/>
    </row>
    <row r="193" spans="5:6" x14ac:dyDescent="0.15">
      <c r="E193" s="246"/>
      <c r="F193" s="246"/>
    </row>
    <row r="194" spans="5:6" x14ac:dyDescent="0.15">
      <c r="E194" s="246"/>
      <c r="F194" s="246"/>
    </row>
    <row r="195" spans="5:6" x14ac:dyDescent="0.15">
      <c r="E195" s="246"/>
      <c r="F195" s="246"/>
    </row>
    <row r="196" spans="5:6" x14ac:dyDescent="0.15">
      <c r="E196" s="246"/>
      <c r="F196" s="246"/>
    </row>
    <row r="197" spans="5:6" x14ac:dyDescent="0.15">
      <c r="E197" s="246"/>
      <c r="F197" s="246"/>
    </row>
    <row r="198" spans="5:6" x14ac:dyDescent="0.15">
      <c r="E198" s="246"/>
      <c r="F198" s="246"/>
    </row>
    <row r="199" spans="5:6" x14ac:dyDescent="0.15">
      <c r="E199" s="246"/>
      <c r="F199" s="246"/>
    </row>
    <row r="200" spans="5:6" x14ac:dyDescent="0.15">
      <c r="E200" s="246"/>
      <c r="F200" s="246"/>
    </row>
    <row r="201" spans="5:6" x14ac:dyDescent="0.15">
      <c r="E201" s="246"/>
      <c r="F201" s="246"/>
    </row>
    <row r="202" spans="5:6" x14ac:dyDescent="0.15">
      <c r="E202" s="246"/>
      <c r="F202" s="246"/>
    </row>
    <row r="203" spans="5:6" x14ac:dyDescent="0.15">
      <c r="E203" s="246"/>
      <c r="F203" s="246"/>
    </row>
    <row r="204" spans="5:6" x14ac:dyDescent="0.15">
      <c r="E204" s="246"/>
      <c r="F204" s="246"/>
    </row>
    <row r="205" spans="5:6" x14ac:dyDescent="0.15">
      <c r="E205" s="246"/>
      <c r="F205" s="246"/>
    </row>
    <row r="206" spans="5:6" x14ac:dyDescent="0.15">
      <c r="E206" s="246"/>
      <c r="F206" s="246"/>
    </row>
    <row r="207" spans="5:6" x14ac:dyDescent="0.15">
      <c r="E207" s="246"/>
      <c r="F207" s="246"/>
    </row>
    <row r="208" spans="5:6" x14ac:dyDescent="0.15">
      <c r="E208" s="246"/>
      <c r="F208" s="246"/>
    </row>
    <row r="209" spans="5:6" x14ac:dyDescent="0.15">
      <c r="E209" s="246"/>
      <c r="F209" s="246"/>
    </row>
    <row r="210" spans="5:6" x14ac:dyDescent="0.15">
      <c r="E210" s="246"/>
      <c r="F210" s="246"/>
    </row>
    <row r="211" spans="5:6" x14ac:dyDescent="0.15">
      <c r="E211" s="246"/>
      <c r="F211" s="246"/>
    </row>
    <row r="212" spans="5:6" x14ac:dyDescent="0.15">
      <c r="E212" s="246"/>
      <c r="F212" s="246"/>
    </row>
    <row r="213" spans="5:6" x14ac:dyDescent="0.15">
      <c r="E213" s="246"/>
      <c r="F213" s="246"/>
    </row>
    <row r="214" spans="5:6" x14ac:dyDescent="0.15">
      <c r="E214" s="246"/>
      <c r="F214" s="246"/>
    </row>
    <row r="215" spans="5:6" x14ac:dyDescent="0.15">
      <c r="E215" s="246"/>
      <c r="F215" s="246"/>
    </row>
    <row r="216" spans="5:6" x14ac:dyDescent="0.15">
      <c r="E216" s="246"/>
      <c r="F216" s="246"/>
    </row>
    <row r="217" spans="5:6" x14ac:dyDescent="0.15">
      <c r="E217" s="246"/>
      <c r="F217" s="246"/>
    </row>
    <row r="218" spans="5:6" x14ac:dyDescent="0.15">
      <c r="E218" s="246"/>
      <c r="F218" s="246"/>
    </row>
    <row r="219" spans="5:6" x14ac:dyDescent="0.15">
      <c r="E219" s="246"/>
      <c r="F219" s="246"/>
    </row>
    <row r="220" spans="5:6" x14ac:dyDescent="0.15">
      <c r="E220" s="246"/>
      <c r="F220" s="246"/>
    </row>
    <row r="221" spans="5:6" x14ac:dyDescent="0.15">
      <c r="E221" s="246"/>
      <c r="F221" s="246"/>
    </row>
    <row r="222" spans="5:6" x14ac:dyDescent="0.15">
      <c r="E222" s="246"/>
      <c r="F222" s="246"/>
    </row>
    <row r="223" spans="5:6" x14ac:dyDescent="0.15">
      <c r="E223" s="246"/>
      <c r="F223" s="246"/>
    </row>
    <row r="224" spans="5:6" x14ac:dyDescent="0.15">
      <c r="E224" s="246"/>
      <c r="F224" s="246"/>
    </row>
    <row r="225" spans="5:6" x14ac:dyDescent="0.15">
      <c r="E225" s="246"/>
      <c r="F225" s="246"/>
    </row>
    <row r="226" spans="5:6" x14ac:dyDescent="0.15">
      <c r="E226" s="246"/>
      <c r="F226" s="246"/>
    </row>
    <row r="227" spans="5:6" x14ac:dyDescent="0.15">
      <c r="E227" s="246"/>
      <c r="F227" s="246"/>
    </row>
    <row r="228" spans="5:6" x14ac:dyDescent="0.15">
      <c r="E228" s="246"/>
      <c r="F228" s="246"/>
    </row>
    <row r="229" spans="5:6" x14ac:dyDescent="0.15">
      <c r="E229" s="246"/>
      <c r="F229" s="246"/>
    </row>
    <row r="230" spans="5:6" x14ac:dyDescent="0.15">
      <c r="E230" s="246"/>
      <c r="F230" s="246"/>
    </row>
    <row r="231" spans="5:6" x14ac:dyDescent="0.15">
      <c r="E231" s="246"/>
      <c r="F231" s="246"/>
    </row>
    <row r="232" spans="5:6" x14ac:dyDescent="0.15">
      <c r="E232" s="246"/>
      <c r="F232" s="246"/>
    </row>
    <row r="233" spans="5:6" x14ac:dyDescent="0.15">
      <c r="E233" s="246"/>
      <c r="F233" s="246"/>
    </row>
    <row r="234" spans="5:6" x14ac:dyDescent="0.15">
      <c r="E234" s="246"/>
      <c r="F234" s="246"/>
    </row>
    <row r="235" spans="5:6" x14ac:dyDescent="0.15">
      <c r="E235" s="246"/>
      <c r="F235" s="246"/>
    </row>
    <row r="236" spans="5:6" x14ac:dyDescent="0.15">
      <c r="E236" s="246"/>
      <c r="F236" s="246"/>
    </row>
    <row r="237" spans="5:6" x14ac:dyDescent="0.15">
      <c r="E237" s="246"/>
      <c r="F237" s="246"/>
    </row>
    <row r="238" spans="5:6" x14ac:dyDescent="0.15">
      <c r="E238" s="246"/>
      <c r="F238" s="246"/>
    </row>
    <row r="239" spans="5:6" x14ac:dyDescent="0.15">
      <c r="E239" s="246"/>
      <c r="F239" s="246"/>
    </row>
    <row r="240" spans="5:6" x14ac:dyDescent="0.15">
      <c r="E240" s="246"/>
      <c r="F240" s="246"/>
    </row>
    <row r="241" spans="5:6" x14ac:dyDescent="0.15">
      <c r="E241" s="246"/>
      <c r="F241" s="246"/>
    </row>
    <row r="242" spans="5:6" x14ac:dyDescent="0.15">
      <c r="E242" s="246"/>
      <c r="F242" s="246"/>
    </row>
    <row r="243" spans="5:6" x14ac:dyDescent="0.15">
      <c r="E243" s="246"/>
      <c r="F243" s="246"/>
    </row>
    <row r="244" spans="5:6" x14ac:dyDescent="0.15">
      <c r="E244" s="246"/>
      <c r="F244" s="246"/>
    </row>
    <row r="245" spans="5:6" x14ac:dyDescent="0.15">
      <c r="E245" s="246"/>
      <c r="F245" s="246"/>
    </row>
    <row r="246" spans="5:6" x14ac:dyDescent="0.15">
      <c r="E246" s="246"/>
      <c r="F246" s="246"/>
    </row>
    <row r="247" spans="5:6" x14ac:dyDescent="0.15">
      <c r="E247" s="246"/>
      <c r="F247" s="246"/>
    </row>
    <row r="248" spans="5:6" x14ac:dyDescent="0.15">
      <c r="E248" s="246"/>
      <c r="F248" s="246"/>
    </row>
    <row r="249" spans="5:6" x14ac:dyDescent="0.15">
      <c r="E249" s="246"/>
      <c r="F249" s="246"/>
    </row>
    <row r="250" spans="5:6" x14ac:dyDescent="0.15">
      <c r="E250" s="246"/>
      <c r="F250" s="246"/>
    </row>
    <row r="251" spans="5:6" x14ac:dyDescent="0.15">
      <c r="E251" s="246"/>
      <c r="F251" s="246"/>
    </row>
    <row r="252" spans="5:6" x14ac:dyDescent="0.15">
      <c r="E252" s="246"/>
      <c r="F252" s="246"/>
    </row>
    <row r="253" spans="5:6" x14ac:dyDescent="0.15">
      <c r="E253" s="246"/>
      <c r="F253" s="246"/>
    </row>
    <row r="254" spans="5:6" x14ac:dyDescent="0.15">
      <c r="E254" s="246"/>
      <c r="F254" s="246"/>
    </row>
    <row r="255" spans="5:6" x14ac:dyDescent="0.15">
      <c r="E255" s="246"/>
      <c r="F255" s="246"/>
    </row>
    <row r="256" spans="5:6" x14ac:dyDescent="0.15">
      <c r="E256" s="246"/>
      <c r="F256" s="246"/>
    </row>
    <row r="257" spans="5:6" x14ac:dyDescent="0.15">
      <c r="E257" s="246"/>
      <c r="F257" s="246"/>
    </row>
    <row r="258" spans="5:6" x14ac:dyDescent="0.15">
      <c r="E258" s="246"/>
      <c r="F258" s="246"/>
    </row>
    <row r="259" spans="5:6" x14ac:dyDescent="0.15">
      <c r="E259" s="246"/>
      <c r="F259" s="246"/>
    </row>
    <row r="260" spans="5:6" x14ac:dyDescent="0.15">
      <c r="E260" s="246"/>
      <c r="F260" s="246"/>
    </row>
    <row r="261" spans="5:6" x14ac:dyDescent="0.15">
      <c r="E261" s="246"/>
      <c r="F261" s="246"/>
    </row>
    <row r="262" spans="5:6" x14ac:dyDescent="0.15">
      <c r="E262" s="246"/>
      <c r="F262" s="246"/>
    </row>
    <row r="263" spans="5:6" x14ac:dyDescent="0.15">
      <c r="E263" s="246"/>
      <c r="F263" s="246"/>
    </row>
    <row r="264" spans="5:6" x14ac:dyDescent="0.15">
      <c r="E264" s="246"/>
      <c r="F264" s="246"/>
    </row>
    <row r="265" spans="5:6" x14ac:dyDescent="0.15">
      <c r="E265" s="246"/>
      <c r="F265" s="246"/>
    </row>
    <row r="266" spans="5:6" x14ac:dyDescent="0.15">
      <c r="E266" s="246"/>
      <c r="F266" s="246"/>
    </row>
    <row r="267" spans="5:6" x14ac:dyDescent="0.15">
      <c r="E267" s="246"/>
      <c r="F267" s="246"/>
    </row>
    <row r="268" spans="5:6" x14ac:dyDescent="0.15">
      <c r="E268" s="246"/>
      <c r="F268" s="246"/>
    </row>
    <row r="269" spans="5:6" x14ac:dyDescent="0.15">
      <c r="E269" s="246"/>
      <c r="F269" s="246"/>
    </row>
    <row r="270" spans="5:6" x14ac:dyDescent="0.15">
      <c r="E270" s="246"/>
      <c r="F270" s="246"/>
    </row>
    <row r="271" spans="5:6" x14ac:dyDescent="0.15">
      <c r="E271" s="246"/>
      <c r="F271" s="246"/>
    </row>
    <row r="272" spans="5:6" x14ac:dyDescent="0.15">
      <c r="E272" s="246"/>
      <c r="F272" s="246"/>
    </row>
    <row r="273" spans="5:6" x14ac:dyDescent="0.15">
      <c r="E273" s="246"/>
      <c r="F273" s="246"/>
    </row>
    <row r="274" spans="5:6" x14ac:dyDescent="0.15">
      <c r="E274" s="246"/>
      <c r="F274" s="246"/>
    </row>
    <row r="275" spans="5:6" x14ac:dyDescent="0.15">
      <c r="E275" s="246"/>
      <c r="F275" s="246"/>
    </row>
    <row r="276" spans="5:6" x14ac:dyDescent="0.15">
      <c r="E276" s="246"/>
      <c r="F276" s="246"/>
    </row>
    <row r="277" spans="5:6" x14ac:dyDescent="0.15">
      <c r="E277" s="246"/>
      <c r="F277" s="246"/>
    </row>
    <row r="278" spans="5:6" x14ac:dyDescent="0.15">
      <c r="E278" s="246"/>
      <c r="F278" s="246"/>
    </row>
    <row r="279" spans="5:6" x14ac:dyDescent="0.15">
      <c r="E279" s="246"/>
      <c r="F279" s="246"/>
    </row>
    <row r="280" spans="5:6" x14ac:dyDescent="0.15">
      <c r="E280" s="246"/>
      <c r="F280" s="246"/>
    </row>
    <row r="281" spans="5:6" x14ac:dyDescent="0.15">
      <c r="E281" s="246"/>
      <c r="F281" s="246"/>
    </row>
    <row r="282" spans="5:6" x14ac:dyDescent="0.15">
      <c r="E282" s="246"/>
      <c r="F282" s="246"/>
    </row>
    <row r="283" spans="5:6" x14ac:dyDescent="0.15">
      <c r="E283" s="246"/>
      <c r="F283" s="246"/>
    </row>
    <row r="284" spans="5:6" x14ac:dyDescent="0.15">
      <c r="E284" s="246"/>
      <c r="F284" s="246"/>
    </row>
    <row r="285" spans="5:6" x14ac:dyDescent="0.15">
      <c r="E285" s="246"/>
      <c r="F285" s="246"/>
    </row>
    <row r="286" spans="5:6" x14ac:dyDescent="0.15">
      <c r="E286" s="246"/>
      <c r="F286" s="246"/>
    </row>
    <row r="287" spans="5:6" x14ac:dyDescent="0.15">
      <c r="E287" s="246"/>
      <c r="F287" s="246"/>
    </row>
    <row r="288" spans="5:6" x14ac:dyDescent="0.15">
      <c r="E288" s="246"/>
      <c r="F288" s="246"/>
    </row>
    <row r="289" spans="5:6" x14ac:dyDescent="0.15">
      <c r="E289" s="246"/>
      <c r="F289" s="246"/>
    </row>
    <row r="290" spans="5:6" x14ac:dyDescent="0.15">
      <c r="E290" s="246"/>
      <c r="F290" s="246"/>
    </row>
    <row r="291" spans="5:6" x14ac:dyDescent="0.15">
      <c r="E291" s="246"/>
      <c r="F291" s="246"/>
    </row>
    <row r="292" spans="5:6" x14ac:dyDescent="0.15">
      <c r="E292" s="246"/>
      <c r="F292" s="246"/>
    </row>
    <row r="293" spans="5:6" x14ac:dyDescent="0.15">
      <c r="E293" s="246"/>
      <c r="F293" s="246"/>
    </row>
    <row r="294" spans="5:6" x14ac:dyDescent="0.15">
      <c r="E294" s="246"/>
      <c r="F294" s="246"/>
    </row>
    <row r="295" spans="5:6" x14ac:dyDescent="0.15">
      <c r="E295" s="246"/>
      <c r="F295" s="246"/>
    </row>
    <row r="296" spans="5:6" x14ac:dyDescent="0.15">
      <c r="E296" s="246"/>
      <c r="F296" s="246"/>
    </row>
    <row r="297" spans="5:6" x14ac:dyDescent="0.15">
      <c r="E297" s="246"/>
      <c r="F297" s="246"/>
    </row>
    <row r="298" spans="5:6" x14ac:dyDescent="0.15">
      <c r="E298" s="246"/>
      <c r="F298" s="246"/>
    </row>
    <row r="299" spans="5:6" x14ac:dyDescent="0.15">
      <c r="E299" s="246"/>
      <c r="F299" s="246"/>
    </row>
    <row r="300" spans="5:6" x14ac:dyDescent="0.15">
      <c r="E300" s="246"/>
      <c r="F300" s="246"/>
    </row>
    <row r="301" spans="5:6" x14ac:dyDescent="0.15">
      <c r="E301" s="246"/>
      <c r="F301" s="246"/>
    </row>
    <row r="302" spans="5:6" x14ac:dyDescent="0.15">
      <c r="E302" s="246"/>
      <c r="F302" s="246"/>
    </row>
    <row r="303" spans="5:6" x14ac:dyDescent="0.15">
      <c r="E303" s="246"/>
      <c r="F303" s="246"/>
    </row>
    <row r="304" spans="5:6" x14ac:dyDescent="0.15">
      <c r="E304" s="246"/>
      <c r="F304" s="246"/>
    </row>
    <row r="305" spans="5:6" x14ac:dyDescent="0.15">
      <c r="E305" s="246"/>
      <c r="F305" s="246"/>
    </row>
    <row r="306" spans="5:6" x14ac:dyDescent="0.15">
      <c r="E306" s="246"/>
      <c r="F306" s="246"/>
    </row>
    <row r="307" spans="5:6" x14ac:dyDescent="0.15">
      <c r="E307" s="246"/>
      <c r="F307" s="246"/>
    </row>
    <row r="308" spans="5:6" x14ac:dyDescent="0.15">
      <c r="E308" s="246"/>
      <c r="F308" s="246"/>
    </row>
    <row r="309" spans="5:6" x14ac:dyDescent="0.15">
      <c r="E309" s="246"/>
      <c r="F309" s="246"/>
    </row>
    <row r="310" spans="5:6" x14ac:dyDescent="0.15">
      <c r="E310" s="246"/>
      <c r="F310" s="246"/>
    </row>
    <row r="311" spans="5:6" x14ac:dyDescent="0.15">
      <c r="E311" s="246"/>
      <c r="F311" s="246"/>
    </row>
    <row r="312" spans="5:6" x14ac:dyDescent="0.15">
      <c r="E312" s="246"/>
      <c r="F312" s="246"/>
    </row>
    <row r="313" spans="5:6" x14ac:dyDescent="0.15">
      <c r="E313" s="246"/>
      <c r="F313" s="246"/>
    </row>
    <row r="314" spans="5:6" x14ac:dyDescent="0.15">
      <c r="E314" s="246"/>
      <c r="F314" s="246"/>
    </row>
    <row r="315" spans="5:6" x14ac:dyDescent="0.15">
      <c r="E315" s="246"/>
      <c r="F315" s="246"/>
    </row>
    <row r="316" spans="5:6" x14ac:dyDescent="0.15">
      <c r="E316" s="246"/>
      <c r="F316" s="246"/>
    </row>
    <row r="317" spans="5:6" x14ac:dyDescent="0.15">
      <c r="E317" s="246"/>
      <c r="F317" s="246"/>
    </row>
    <row r="318" spans="5:6" x14ac:dyDescent="0.15">
      <c r="E318" s="246"/>
      <c r="F318" s="246"/>
    </row>
    <row r="319" spans="5:6" x14ac:dyDescent="0.15">
      <c r="E319" s="246"/>
      <c r="F319" s="246"/>
    </row>
    <row r="320" spans="5:6" x14ac:dyDescent="0.15">
      <c r="E320" s="246"/>
      <c r="F320" s="246"/>
    </row>
    <row r="321" spans="5:6" x14ac:dyDescent="0.15">
      <c r="E321" s="246"/>
      <c r="F321" s="246"/>
    </row>
    <row r="322" spans="5:6" x14ac:dyDescent="0.15">
      <c r="E322" s="246"/>
      <c r="F322" s="246"/>
    </row>
    <row r="323" spans="5:6" x14ac:dyDescent="0.15">
      <c r="E323" s="246"/>
      <c r="F323" s="246"/>
    </row>
    <row r="324" spans="5:6" x14ac:dyDescent="0.15">
      <c r="E324" s="246"/>
      <c r="F324" s="246"/>
    </row>
    <row r="325" spans="5:6" x14ac:dyDescent="0.15">
      <c r="E325" s="246"/>
      <c r="F325" s="246"/>
    </row>
    <row r="326" spans="5:6" x14ac:dyDescent="0.15">
      <c r="E326" s="246"/>
      <c r="F326" s="246"/>
    </row>
    <row r="327" spans="5:6" x14ac:dyDescent="0.15">
      <c r="E327" s="246"/>
      <c r="F327" s="246"/>
    </row>
    <row r="328" spans="5:6" x14ac:dyDescent="0.15">
      <c r="E328" s="246"/>
      <c r="F328" s="246"/>
    </row>
    <row r="329" spans="5:6" x14ac:dyDescent="0.15">
      <c r="E329" s="246"/>
      <c r="F329" s="246"/>
    </row>
    <row r="330" spans="5:6" x14ac:dyDescent="0.15">
      <c r="E330" s="246"/>
      <c r="F330" s="246"/>
    </row>
    <row r="331" spans="5:6" x14ac:dyDescent="0.15">
      <c r="E331" s="246"/>
      <c r="F331" s="246"/>
    </row>
    <row r="332" spans="5:6" x14ac:dyDescent="0.15">
      <c r="E332" s="246"/>
      <c r="F332" s="246"/>
    </row>
    <row r="333" spans="5:6" x14ac:dyDescent="0.15">
      <c r="E333" s="246"/>
      <c r="F333" s="246"/>
    </row>
    <row r="334" spans="5:6" x14ac:dyDescent="0.15">
      <c r="E334" s="246"/>
      <c r="F334" s="246"/>
    </row>
    <row r="335" spans="5:6" x14ac:dyDescent="0.15">
      <c r="E335" s="246"/>
      <c r="F335" s="246"/>
    </row>
    <row r="336" spans="5:6" x14ac:dyDescent="0.15">
      <c r="E336" s="246"/>
      <c r="F336" s="246"/>
    </row>
    <row r="337" spans="5:6" x14ac:dyDescent="0.15">
      <c r="E337" s="246"/>
      <c r="F337" s="246"/>
    </row>
    <row r="338" spans="5:6" x14ac:dyDescent="0.15">
      <c r="E338" s="246"/>
      <c r="F338" s="246"/>
    </row>
    <row r="339" spans="5:6" x14ac:dyDescent="0.15">
      <c r="E339" s="246"/>
      <c r="F339" s="246"/>
    </row>
    <row r="340" spans="5:6" x14ac:dyDescent="0.15">
      <c r="E340" s="246"/>
      <c r="F340" s="246"/>
    </row>
    <row r="341" spans="5:6" x14ac:dyDescent="0.15">
      <c r="E341" s="246"/>
      <c r="F341" s="246"/>
    </row>
    <row r="342" spans="5:6" x14ac:dyDescent="0.15">
      <c r="E342" s="246"/>
      <c r="F342" s="246"/>
    </row>
    <row r="343" spans="5:6" x14ac:dyDescent="0.15">
      <c r="E343" s="246"/>
      <c r="F343" s="246"/>
    </row>
    <row r="344" spans="5:6" x14ac:dyDescent="0.15">
      <c r="E344" s="246"/>
      <c r="F344" s="246"/>
    </row>
    <row r="345" spans="5:6" x14ac:dyDescent="0.15">
      <c r="E345" s="246"/>
      <c r="F345" s="246"/>
    </row>
    <row r="346" spans="5:6" x14ac:dyDescent="0.15">
      <c r="E346" s="246"/>
      <c r="F346" s="246"/>
    </row>
    <row r="347" spans="5:6" x14ac:dyDescent="0.15">
      <c r="E347" s="246"/>
      <c r="F347" s="246"/>
    </row>
    <row r="348" spans="5:6" x14ac:dyDescent="0.15">
      <c r="E348" s="246"/>
      <c r="F348" s="246"/>
    </row>
    <row r="349" spans="5:6" x14ac:dyDescent="0.15">
      <c r="E349" s="246"/>
      <c r="F349" s="246"/>
    </row>
    <row r="350" spans="5:6" x14ac:dyDescent="0.15">
      <c r="E350" s="246"/>
      <c r="F350" s="246"/>
    </row>
    <row r="351" spans="5:6" x14ac:dyDescent="0.15">
      <c r="E351" s="246"/>
      <c r="F351" s="246"/>
    </row>
    <row r="352" spans="5:6" x14ac:dyDescent="0.15">
      <c r="E352" s="246"/>
      <c r="F352" s="246"/>
    </row>
    <row r="353" spans="5:6" x14ac:dyDescent="0.15">
      <c r="E353" s="246"/>
      <c r="F353" s="246"/>
    </row>
    <row r="354" spans="5:6" x14ac:dyDescent="0.15">
      <c r="E354" s="246"/>
      <c r="F354" s="246"/>
    </row>
    <row r="355" spans="5:6" x14ac:dyDescent="0.15">
      <c r="E355" s="246"/>
      <c r="F355" s="246"/>
    </row>
    <row r="356" spans="5:6" x14ac:dyDescent="0.15">
      <c r="E356" s="246"/>
      <c r="F356" s="246"/>
    </row>
    <row r="357" spans="5:6" x14ac:dyDescent="0.15">
      <c r="E357" s="246"/>
      <c r="F357" s="246"/>
    </row>
    <row r="358" spans="5:6" x14ac:dyDescent="0.15">
      <c r="E358" s="246"/>
      <c r="F358" s="246"/>
    </row>
    <row r="359" spans="5:6" x14ac:dyDescent="0.15">
      <c r="E359" s="246"/>
      <c r="F359" s="246"/>
    </row>
    <row r="360" spans="5:6" x14ac:dyDescent="0.15">
      <c r="E360" s="246"/>
      <c r="F360" s="246"/>
    </row>
    <row r="361" spans="5:6" x14ac:dyDescent="0.15">
      <c r="E361" s="246"/>
      <c r="F361" s="246"/>
    </row>
    <row r="362" spans="5:6" x14ac:dyDescent="0.15">
      <c r="E362" s="246"/>
      <c r="F362" s="246"/>
    </row>
    <row r="363" spans="5:6" x14ac:dyDescent="0.15">
      <c r="E363" s="246"/>
      <c r="F363" s="246"/>
    </row>
    <row r="364" spans="5:6" x14ac:dyDescent="0.15">
      <c r="E364" s="246"/>
      <c r="F364" s="246"/>
    </row>
    <row r="365" spans="5:6" x14ac:dyDescent="0.15">
      <c r="E365" s="246"/>
      <c r="F365" s="246"/>
    </row>
    <row r="366" spans="5:6" x14ac:dyDescent="0.15">
      <c r="E366" s="246"/>
      <c r="F366" s="246"/>
    </row>
    <row r="367" spans="5:6" x14ac:dyDescent="0.15">
      <c r="E367" s="246"/>
      <c r="F367" s="246"/>
    </row>
    <row r="368" spans="5:6" x14ac:dyDescent="0.15">
      <c r="E368" s="246"/>
      <c r="F368" s="246"/>
    </row>
    <row r="369" spans="5:6" x14ac:dyDescent="0.15">
      <c r="E369" s="246"/>
      <c r="F369" s="246"/>
    </row>
    <row r="370" spans="5:6" x14ac:dyDescent="0.15">
      <c r="E370" s="246"/>
      <c r="F370" s="246"/>
    </row>
    <row r="371" spans="5:6" x14ac:dyDescent="0.15">
      <c r="E371" s="246"/>
      <c r="F371" s="246"/>
    </row>
    <row r="372" spans="5:6" x14ac:dyDescent="0.15">
      <c r="E372" s="246"/>
      <c r="F372" s="246"/>
    </row>
    <row r="373" spans="5:6" x14ac:dyDescent="0.15">
      <c r="E373" s="246"/>
      <c r="F373" s="246"/>
    </row>
    <row r="374" spans="5:6" x14ac:dyDescent="0.15">
      <c r="E374" s="246"/>
      <c r="F374" s="246"/>
    </row>
    <row r="375" spans="5:6" x14ac:dyDescent="0.15">
      <c r="E375" s="246"/>
      <c r="F375" s="246"/>
    </row>
    <row r="376" spans="5:6" x14ac:dyDescent="0.15">
      <c r="E376" s="246"/>
      <c r="F376" s="246"/>
    </row>
    <row r="377" spans="5:6" x14ac:dyDescent="0.15">
      <c r="E377" s="246"/>
      <c r="F377" s="246"/>
    </row>
    <row r="378" spans="5:6" x14ac:dyDescent="0.15">
      <c r="E378" s="246"/>
      <c r="F378" s="246"/>
    </row>
    <row r="379" spans="5:6" x14ac:dyDescent="0.15">
      <c r="E379" s="246"/>
      <c r="F379" s="246"/>
    </row>
    <row r="380" spans="5:6" x14ac:dyDescent="0.15">
      <c r="E380" s="246"/>
      <c r="F380" s="246"/>
    </row>
    <row r="381" spans="5:6" x14ac:dyDescent="0.15">
      <c r="E381" s="246"/>
      <c r="F381" s="246"/>
    </row>
    <row r="382" spans="5:6" x14ac:dyDescent="0.15">
      <c r="E382" s="246"/>
      <c r="F382" s="246"/>
    </row>
    <row r="383" spans="5:6" x14ac:dyDescent="0.15">
      <c r="E383" s="246"/>
      <c r="F383" s="246"/>
    </row>
    <row r="384" spans="5:6" x14ac:dyDescent="0.15">
      <c r="E384" s="246"/>
      <c r="F384" s="246"/>
    </row>
    <row r="385" spans="5:6" x14ac:dyDescent="0.15">
      <c r="E385" s="246"/>
      <c r="F385" s="246"/>
    </row>
    <row r="386" spans="5:6" x14ac:dyDescent="0.15">
      <c r="E386" s="246"/>
      <c r="F386" s="246"/>
    </row>
    <row r="387" spans="5:6" x14ac:dyDescent="0.15">
      <c r="E387" s="246"/>
      <c r="F387" s="246"/>
    </row>
    <row r="388" spans="5:6" x14ac:dyDescent="0.15">
      <c r="E388" s="246"/>
      <c r="F388" s="246"/>
    </row>
    <row r="389" spans="5:6" x14ac:dyDescent="0.15">
      <c r="E389" s="246"/>
      <c r="F389" s="246"/>
    </row>
    <row r="390" spans="5:6" x14ac:dyDescent="0.15">
      <c r="E390" s="246"/>
      <c r="F390" s="246"/>
    </row>
    <row r="391" spans="5:6" x14ac:dyDescent="0.15">
      <c r="E391" s="246"/>
      <c r="F391" s="246"/>
    </row>
    <row r="392" spans="5:6" x14ac:dyDescent="0.15">
      <c r="E392" s="246"/>
      <c r="F392" s="246"/>
    </row>
    <row r="393" spans="5:6" x14ac:dyDescent="0.15">
      <c r="E393" s="246"/>
      <c r="F393" s="246"/>
    </row>
    <row r="394" spans="5:6" x14ac:dyDescent="0.15">
      <c r="E394" s="246"/>
      <c r="F394" s="246"/>
    </row>
    <row r="395" spans="5:6" x14ac:dyDescent="0.15">
      <c r="E395" s="246"/>
      <c r="F395" s="246"/>
    </row>
    <row r="396" spans="5:6" x14ac:dyDescent="0.15">
      <c r="E396" s="246"/>
      <c r="F396" s="246"/>
    </row>
    <row r="397" spans="5:6" x14ac:dyDescent="0.15">
      <c r="E397" s="246"/>
      <c r="F397" s="246"/>
    </row>
    <row r="398" spans="5:6" x14ac:dyDescent="0.15">
      <c r="E398" s="246"/>
      <c r="F398" s="246"/>
    </row>
    <row r="399" spans="5:6" x14ac:dyDescent="0.15">
      <c r="E399" s="246"/>
      <c r="F399" s="246"/>
    </row>
    <row r="400" spans="5:6" x14ac:dyDescent="0.15">
      <c r="E400" s="246"/>
      <c r="F400" s="246"/>
    </row>
    <row r="401" spans="5:6" x14ac:dyDescent="0.15">
      <c r="E401" s="246"/>
      <c r="F401" s="246"/>
    </row>
    <row r="402" spans="5:6" x14ac:dyDescent="0.15">
      <c r="E402" s="246"/>
      <c r="F402" s="246"/>
    </row>
    <row r="403" spans="5:6" x14ac:dyDescent="0.15">
      <c r="E403" s="246"/>
      <c r="F403" s="246"/>
    </row>
    <row r="404" spans="5:6" x14ac:dyDescent="0.15">
      <c r="E404" s="246"/>
      <c r="F404" s="246"/>
    </row>
    <row r="405" spans="5:6" x14ac:dyDescent="0.15">
      <c r="E405" s="246"/>
      <c r="F405" s="246"/>
    </row>
    <row r="406" spans="5:6" x14ac:dyDescent="0.15">
      <c r="E406" s="246"/>
      <c r="F406" s="246"/>
    </row>
    <row r="407" spans="5:6" x14ac:dyDescent="0.15">
      <c r="E407" s="246"/>
      <c r="F407" s="246"/>
    </row>
    <row r="408" spans="5:6" x14ac:dyDescent="0.15">
      <c r="E408" s="246"/>
      <c r="F408" s="246"/>
    </row>
    <row r="409" spans="5:6" x14ac:dyDescent="0.15">
      <c r="E409" s="246"/>
      <c r="F409" s="246"/>
    </row>
    <row r="410" spans="5:6" x14ac:dyDescent="0.15">
      <c r="E410" s="246"/>
      <c r="F410" s="246"/>
    </row>
    <row r="411" spans="5:6" x14ac:dyDescent="0.15">
      <c r="E411" s="246"/>
      <c r="F411" s="246"/>
    </row>
    <row r="412" spans="5:6" x14ac:dyDescent="0.15">
      <c r="E412" s="246"/>
      <c r="F412" s="246"/>
    </row>
    <row r="413" spans="5:6" x14ac:dyDescent="0.15">
      <c r="E413" s="246"/>
      <c r="F413" s="246"/>
    </row>
    <row r="414" spans="5:6" x14ac:dyDescent="0.15">
      <c r="E414" s="246"/>
      <c r="F414" s="246"/>
    </row>
    <row r="415" spans="5:6" x14ac:dyDescent="0.15">
      <c r="E415" s="246"/>
      <c r="F415" s="246"/>
    </row>
    <row r="416" spans="5:6" x14ac:dyDescent="0.15">
      <c r="E416" s="246"/>
      <c r="F416" s="246"/>
    </row>
    <row r="417" spans="5:6" x14ac:dyDescent="0.15">
      <c r="E417" s="246"/>
      <c r="F417" s="246"/>
    </row>
    <row r="418" spans="5:6" x14ac:dyDescent="0.15">
      <c r="E418" s="246"/>
      <c r="F418" s="246"/>
    </row>
    <row r="419" spans="5:6" x14ac:dyDescent="0.15">
      <c r="E419" s="246"/>
      <c r="F419" s="246"/>
    </row>
    <row r="420" spans="5:6" x14ac:dyDescent="0.15">
      <c r="E420" s="246"/>
      <c r="F420" s="246"/>
    </row>
    <row r="421" spans="5:6" x14ac:dyDescent="0.15">
      <c r="E421" s="246"/>
      <c r="F421" s="246"/>
    </row>
    <row r="422" spans="5:6" x14ac:dyDescent="0.15">
      <c r="E422" s="246"/>
      <c r="F422" s="246"/>
    </row>
    <row r="423" spans="5:6" x14ac:dyDescent="0.15">
      <c r="E423" s="246"/>
      <c r="F423" s="246"/>
    </row>
    <row r="424" spans="5:6" x14ac:dyDescent="0.15">
      <c r="E424" s="246"/>
      <c r="F424" s="246"/>
    </row>
    <row r="425" spans="5:6" x14ac:dyDescent="0.15">
      <c r="E425" s="246"/>
      <c r="F425" s="246"/>
    </row>
    <row r="426" spans="5:6" x14ac:dyDescent="0.15">
      <c r="E426" s="246"/>
      <c r="F426" s="246"/>
    </row>
    <row r="427" spans="5:6" x14ac:dyDescent="0.15">
      <c r="E427" s="246"/>
      <c r="F427" s="246"/>
    </row>
    <row r="428" spans="5:6" x14ac:dyDescent="0.15">
      <c r="E428" s="246"/>
      <c r="F428" s="246"/>
    </row>
    <row r="429" spans="5:6" x14ac:dyDescent="0.15">
      <c r="E429" s="246"/>
      <c r="F429" s="246"/>
    </row>
    <row r="430" spans="5:6" x14ac:dyDescent="0.15">
      <c r="E430" s="246"/>
      <c r="F430" s="246"/>
    </row>
    <row r="431" spans="5:6" x14ac:dyDescent="0.15">
      <c r="E431" s="246"/>
      <c r="F431" s="246"/>
    </row>
    <row r="432" spans="5:6" x14ac:dyDescent="0.15">
      <c r="E432" s="246"/>
      <c r="F432" s="246"/>
    </row>
    <row r="433" spans="5:6" x14ac:dyDescent="0.15">
      <c r="E433" s="246"/>
      <c r="F433" s="246"/>
    </row>
    <row r="434" spans="5:6" x14ac:dyDescent="0.15">
      <c r="E434" s="246"/>
      <c r="F434" s="246"/>
    </row>
    <row r="435" spans="5:6" x14ac:dyDescent="0.15">
      <c r="E435" s="246"/>
      <c r="F435" s="246"/>
    </row>
    <row r="436" spans="5:6" x14ac:dyDescent="0.15">
      <c r="E436" s="246"/>
      <c r="F436" s="246"/>
    </row>
    <row r="437" spans="5:6" x14ac:dyDescent="0.15">
      <c r="E437" s="246"/>
      <c r="F437" s="246"/>
    </row>
    <row r="438" spans="5:6" x14ac:dyDescent="0.15">
      <c r="E438" s="246"/>
      <c r="F438" s="246"/>
    </row>
    <row r="439" spans="5:6" x14ac:dyDescent="0.15">
      <c r="E439" s="246"/>
      <c r="F439" s="246"/>
    </row>
    <row r="440" spans="5:6" x14ac:dyDescent="0.15">
      <c r="E440" s="246"/>
      <c r="F440" s="246"/>
    </row>
    <row r="441" spans="5:6" x14ac:dyDescent="0.15">
      <c r="E441" s="246"/>
      <c r="F441" s="246"/>
    </row>
    <row r="442" spans="5:6" x14ac:dyDescent="0.15">
      <c r="E442" s="246"/>
      <c r="F442" s="246"/>
    </row>
    <row r="443" spans="5:6" x14ac:dyDescent="0.15">
      <c r="E443" s="246"/>
      <c r="F443" s="246"/>
    </row>
    <row r="444" spans="5:6" x14ac:dyDescent="0.15">
      <c r="E444" s="246"/>
      <c r="F444" s="246"/>
    </row>
    <row r="445" spans="5:6" x14ac:dyDescent="0.15">
      <c r="E445" s="246"/>
      <c r="F445" s="246"/>
    </row>
    <row r="446" spans="5:6" x14ac:dyDescent="0.15">
      <c r="E446" s="246"/>
      <c r="F446" s="246"/>
    </row>
    <row r="447" spans="5:6" x14ac:dyDescent="0.15">
      <c r="E447" s="246"/>
      <c r="F447" s="246"/>
    </row>
    <row r="448" spans="5:6" x14ac:dyDescent="0.15">
      <c r="E448" s="246"/>
      <c r="F448" s="246"/>
    </row>
    <row r="449" spans="5:6" x14ac:dyDescent="0.15">
      <c r="E449" s="246"/>
      <c r="F449" s="246"/>
    </row>
    <row r="450" spans="5:6" x14ac:dyDescent="0.15">
      <c r="E450" s="246"/>
      <c r="F450" s="246"/>
    </row>
    <row r="451" spans="5:6" x14ac:dyDescent="0.15">
      <c r="E451" s="246"/>
      <c r="F451" s="246"/>
    </row>
    <row r="452" spans="5:6" x14ac:dyDescent="0.15">
      <c r="E452" s="246"/>
      <c r="F452" s="246"/>
    </row>
    <row r="453" spans="5:6" x14ac:dyDescent="0.15">
      <c r="E453" s="246"/>
      <c r="F453" s="246"/>
    </row>
    <row r="454" spans="5:6" x14ac:dyDescent="0.15">
      <c r="E454" s="246"/>
      <c r="F454" s="246"/>
    </row>
    <row r="455" spans="5:6" x14ac:dyDescent="0.15">
      <c r="E455" s="246"/>
      <c r="F455" s="246"/>
    </row>
    <row r="456" spans="5:6" x14ac:dyDescent="0.15">
      <c r="E456" s="246"/>
      <c r="F456" s="246"/>
    </row>
    <row r="457" spans="5:6" x14ac:dyDescent="0.15">
      <c r="E457" s="246"/>
      <c r="F457" s="246"/>
    </row>
    <row r="458" spans="5:6" x14ac:dyDescent="0.15">
      <c r="E458" s="246"/>
      <c r="F458" s="246"/>
    </row>
    <row r="459" spans="5:6" x14ac:dyDescent="0.15">
      <c r="E459" s="246"/>
      <c r="F459" s="246"/>
    </row>
    <row r="460" spans="5:6" x14ac:dyDescent="0.15">
      <c r="E460" s="246"/>
      <c r="F460" s="246"/>
    </row>
    <row r="461" spans="5:6" x14ac:dyDescent="0.15">
      <c r="E461" s="246"/>
      <c r="F461" s="246"/>
    </row>
    <row r="462" spans="5:6" x14ac:dyDescent="0.15">
      <c r="E462" s="246"/>
      <c r="F462" s="246"/>
    </row>
    <row r="463" spans="5:6" x14ac:dyDescent="0.15">
      <c r="E463" s="246"/>
      <c r="F463" s="246"/>
    </row>
    <row r="464" spans="5:6" x14ac:dyDescent="0.15">
      <c r="E464" s="246"/>
      <c r="F464" s="246"/>
    </row>
    <row r="465" spans="5:6" x14ac:dyDescent="0.15">
      <c r="E465" s="246"/>
      <c r="F465" s="246"/>
    </row>
    <row r="466" spans="5:6" x14ac:dyDescent="0.15">
      <c r="E466" s="246"/>
      <c r="F466" s="246"/>
    </row>
    <row r="467" spans="5:6" x14ac:dyDescent="0.15">
      <c r="E467" s="246"/>
      <c r="F467" s="246"/>
    </row>
    <row r="468" spans="5:6" x14ac:dyDescent="0.15">
      <c r="E468" s="246"/>
      <c r="F468" s="246"/>
    </row>
    <row r="469" spans="5:6" x14ac:dyDescent="0.15">
      <c r="E469" s="246"/>
      <c r="F469" s="246"/>
    </row>
    <row r="470" spans="5:6" x14ac:dyDescent="0.15">
      <c r="E470" s="246"/>
      <c r="F470" s="246"/>
    </row>
    <row r="471" spans="5:6" x14ac:dyDescent="0.15">
      <c r="E471" s="246"/>
      <c r="F471" s="246"/>
    </row>
    <row r="472" spans="5:6" x14ac:dyDescent="0.15">
      <c r="E472" s="246"/>
      <c r="F472" s="246"/>
    </row>
    <row r="473" spans="5:6" x14ac:dyDescent="0.15">
      <c r="E473" s="246"/>
      <c r="F473" s="246"/>
    </row>
    <row r="474" spans="5:6" x14ac:dyDescent="0.15">
      <c r="E474" s="246"/>
      <c r="F474" s="246"/>
    </row>
    <row r="475" spans="5:6" x14ac:dyDescent="0.15">
      <c r="E475" s="246"/>
      <c r="F475" s="246"/>
    </row>
    <row r="476" spans="5:6" x14ac:dyDescent="0.15">
      <c r="E476" s="246"/>
      <c r="F476" s="246"/>
    </row>
    <row r="477" spans="5:6" x14ac:dyDescent="0.15">
      <c r="E477" s="246"/>
      <c r="F477" s="246"/>
    </row>
    <row r="478" spans="5:6" x14ac:dyDescent="0.15">
      <c r="E478" s="246"/>
      <c r="F478" s="246"/>
    </row>
    <row r="479" spans="5:6" x14ac:dyDescent="0.15">
      <c r="E479" s="246"/>
      <c r="F479" s="246"/>
    </row>
    <row r="480" spans="5:6" x14ac:dyDescent="0.15">
      <c r="E480" s="246"/>
      <c r="F480" s="246"/>
    </row>
    <row r="481" spans="5:6" x14ac:dyDescent="0.15">
      <c r="E481" s="246"/>
      <c r="F481" s="246"/>
    </row>
    <row r="482" spans="5:6" x14ac:dyDescent="0.15">
      <c r="E482" s="246"/>
      <c r="F482" s="246"/>
    </row>
    <row r="483" spans="5:6" x14ac:dyDescent="0.15">
      <c r="E483" s="246"/>
      <c r="F483" s="246"/>
    </row>
    <row r="484" spans="5:6" x14ac:dyDescent="0.15">
      <c r="E484" s="246"/>
      <c r="F484" s="246"/>
    </row>
    <row r="485" spans="5:6" x14ac:dyDescent="0.15">
      <c r="E485" s="246"/>
      <c r="F485" s="246"/>
    </row>
    <row r="486" spans="5:6" x14ac:dyDescent="0.15">
      <c r="E486" s="246"/>
      <c r="F486" s="246"/>
    </row>
    <row r="487" spans="5:6" x14ac:dyDescent="0.15">
      <c r="E487" s="246"/>
      <c r="F487" s="246"/>
    </row>
    <row r="488" spans="5:6" x14ac:dyDescent="0.15">
      <c r="E488" s="246"/>
      <c r="F488" s="246"/>
    </row>
    <row r="489" spans="5:6" x14ac:dyDescent="0.15">
      <c r="E489" s="246"/>
      <c r="F489" s="246"/>
    </row>
    <row r="490" spans="5:6" x14ac:dyDescent="0.15">
      <c r="E490" s="246"/>
      <c r="F490" s="246"/>
    </row>
    <row r="491" spans="5:6" x14ac:dyDescent="0.15">
      <c r="E491" s="246"/>
      <c r="F491" s="246"/>
    </row>
    <row r="492" spans="5:6" x14ac:dyDescent="0.15">
      <c r="E492" s="246"/>
      <c r="F492" s="246"/>
    </row>
    <row r="493" spans="5:6" x14ac:dyDescent="0.15">
      <c r="E493" s="246"/>
      <c r="F493" s="246"/>
    </row>
    <row r="494" spans="5:6" x14ac:dyDescent="0.15">
      <c r="E494" s="246"/>
      <c r="F494" s="246"/>
    </row>
    <row r="495" spans="5:6" x14ac:dyDescent="0.15">
      <c r="E495" s="246"/>
      <c r="F495" s="246"/>
    </row>
    <row r="496" spans="5:6" x14ac:dyDescent="0.15">
      <c r="E496" s="246"/>
      <c r="F496" s="246"/>
    </row>
    <row r="497" spans="5:6" x14ac:dyDescent="0.15">
      <c r="E497" s="246"/>
      <c r="F497" s="246"/>
    </row>
    <row r="498" spans="5:6" x14ac:dyDescent="0.15">
      <c r="E498" s="246"/>
      <c r="F498" s="246"/>
    </row>
    <row r="499" spans="5:6" x14ac:dyDescent="0.15">
      <c r="E499" s="246"/>
      <c r="F499" s="246"/>
    </row>
    <row r="500" spans="5:6" x14ac:dyDescent="0.15">
      <c r="E500" s="246"/>
      <c r="F500" s="246"/>
    </row>
    <row r="501" spans="5:6" x14ac:dyDescent="0.15">
      <c r="E501" s="246"/>
      <c r="F501" s="246"/>
    </row>
    <row r="502" spans="5:6" x14ac:dyDescent="0.15">
      <c r="E502" s="246"/>
      <c r="F502" s="246"/>
    </row>
    <row r="503" spans="5:6" x14ac:dyDescent="0.15">
      <c r="E503" s="246"/>
      <c r="F503" s="246"/>
    </row>
    <row r="504" spans="5:6" x14ac:dyDescent="0.15">
      <c r="E504" s="246"/>
      <c r="F504" s="246"/>
    </row>
    <row r="505" spans="5:6" x14ac:dyDescent="0.15">
      <c r="E505" s="246"/>
      <c r="F505" s="246"/>
    </row>
    <row r="506" spans="5:6" x14ac:dyDescent="0.15">
      <c r="E506" s="246"/>
      <c r="F506" s="246"/>
    </row>
    <row r="507" spans="5:6" x14ac:dyDescent="0.15">
      <c r="E507" s="246"/>
      <c r="F507" s="246"/>
    </row>
    <row r="508" spans="5:6" x14ac:dyDescent="0.15">
      <c r="E508" s="246"/>
      <c r="F508" s="246"/>
    </row>
    <row r="509" spans="5:6" x14ac:dyDescent="0.15">
      <c r="E509" s="246"/>
      <c r="F509" s="246"/>
    </row>
    <row r="510" spans="5:6" x14ac:dyDescent="0.15">
      <c r="E510" s="246"/>
      <c r="F510" s="246"/>
    </row>
    <row r="511" spans="5:6" x14ac:dyDescent="0.15">
      <c r="E511" s="246"/>
      <c r="F511" s="246"/>
    </row>
    <row r="512" spans="5:6" x14ac:dyDescent="0.15">
      <c r="E512" s="246"/>
      <c r="F512" s="246"/>
    </row>
    <row r="513" spans="5:6" x14ac:dyDescent="0.15">
      <c r="E513" s="246"/>
      <c r="F513" s="246"/>
    </row>
    <row r="514" spans="5:6" x14ac:dyDescent="0.15">
      <c r="E514" s="246"/>
      <c r="F514" s="246"/>
    </row>
    <row r="515" spans="5:6" x14ac:dyDescent="0.15">
      <c r="E515" s="246"/>
      <c r="F515" s="246"/>
    </row>
    <row r="516" spans="5:6" x14ac:dyDescent="0.15">
      <c r="E516" s="246"/>
      <c r="F516" s="246"/>
    </row>
    <row r="517" spans="5:6" x14ac:dyDescent="0.15">
      <c r="E517" s="246"/>
      <c r="F517" s="246"/>
    </row>
    <row r="518" spans="5:6" x14ac:dyDescent="0.15">
      <c r="E518" s="246"/>
      <c r="F518" s="246"/>
    </row>
    <row r="519" spans="5:6" x14ac:dyDescent="0.15">
      <c r="E519" s="246"/>
      <c r="F519" s="246"/>
    </row>
    <row r="520" spans="5:6" x14ac:dyDescent="0.15">
      <c r="E520" s="246"/>
      <c r="F520" s="246"/>
    </row>
    <row r="521" spans="5:6" x14ac:dyDescent="0.15">
      <c r="E521" s="246"/>
      <c r="F521" s="246"/>
    </row>
    <row r="522" spans="5:6" x14ac:dyDescent="0.15">
      <c r="E522" s="246"/>
      <c r="F522" s="246"/>
    </row>
    <row r="523" spans="5:6" x14ac:dyDescent="0.15">
      <c r="E523" s="246"/>
      <c r="F523" s="246"/>
    </row>
    <row r="524" spans="5:6" x14ac:dyDescent="0.15">
      <c r="E524" s="246"/>
      <c r="F524" s="246"/>
    </row>
    <row r="525" spans="5:6" x14ac:dyDescent="0.15">
      <c r="E525" s="246"/>
      <c r="F525" s="246"/>
    </row>
    <row r="526" spans="5:6" x14ac:dyDescent="0.15">
      <c r="E526" s="246"/>
      <c r="F526" s="246"/>
    </row>
    <row r="527" spans="5:6" x14ac:dyDescent="0.15">
      <c r="E527" s="246"/>
      <c r="F527" s="246"/>
    </row>
    <row r="528" spans="5:6" x14ac:dyDescent="0.15">
      <c r="E528" s="246"/>
      <c r="F528" s="246"/>
    </row>
    <row r="529" spans="5:6" x14ac:dyDescent="0.15">
      <c r="E529" s="246"/>
      <c r="F529" s="246"/>
    </row>
    <row r="530" spans="5:6" x14ac:dyDescent="0.15">
      <c r="E530" s="246"/>
      <c r="F530" s="246"/>
    </row>
    <row r="531" spans="5:6" x14ac:dyDescent="0.15">
      <c r="E531" s="246"/>
      <c r="F531" s="246"/>
    </row>
    <row r="532" spans="5:6" x14ac:dyDescent="0.15">
      <c r="E532" s="246"/>
      <c r="F532" s="246"/>
    </row>
    <row r="533" spans="5:6" x14ac:dyDescent="0.15">
      <c r="E533" s="246"/>
      <c r="F533" s="246"/>
    </row>
    <row r="534" spans="5:6" x14ac:dyDescent="0.15">
      <c r="E534" s="246"/>
      <c r="F534" s="246"/>
    </row>
    <row r="535" spans="5:6" x14ac:dyDescent="0.15">
      <c r="E535" s="246"/>
      <c r="F535" s="246"/>
    </row>
    <row r="536" spans="5:6" x14ac:dyDescent="0.15">
      <c r="E536" s="246"/>
      <c r="F536" s="246"/>
    </row>
    <row r="537" spans="5:6" x14ac:dyDescent="0.15">
      <c r="E537" s="246"/>
      <c r="F537" s="246"/>
    </row>
    <row r="538" spans="5:6" x14ac:dyDescent="0.15">
      <c r="E538" s="246"/>
      <c r="F538" s="246"/>
    </row>
    <row r="539" spans="5:6" x14ac:dyDescent="0.15">
      <c r="E539" s="246"/>
      <c r="F539" s="246"/>
    </row>
    <row r="540" spans="5:6" x14ac:dyDescent="0.15">
      <c r="E540" s="246"/>
      <c r="F540" s="246"/>
    </row>
    <row r="541" spans="5:6" x14ac:dyDescent="0.15">
      <c r="E541" s="246"/>
      <c r="F541" s="246"/>
    </row>
    <row r="542" spans="5:6" x14ac:dyDescent="0.15">
      <c r="E542" s="246"/>
      <c r="F542" s="246"/>
    </row>
    <row r="543" spans="5:6" x14ac:dyDescent="0.15">
      <c r="E543" s="246"/>
      <c r="F543" s="246"/>
    </row>
    <row r="544" spans="5:6" x14ac:dyDescent="0.15">
      <c r="E544" s="246"/>
      <c r="F544" s="246"/>
    </row>
    <row r="545" spans="5:6" x14ac:dyDescent="0.15">
      <c r="E545" s="246"/>
      <c r="F545" s="246"/>
    </row>
    <row r="546" spans="5:6" x14ac:dyDescent="0.15">
      <c r="E546" s="246"/>
      <c r="F546" s="246"/>
    </row>
    <row r="547" spans="5:6" x14ac:dyDescent="0.15">
      <c r="E547" s="246"/>
      <c r="F547" s="246"/>
    </row>
    <row r="548" spans="5:6" x14ac:dyDescent="0.15">
      <c r="E548" s="246"/>
      <c r="F548" s="246"/>
    </row>
    <row r="549" spans="5:6" x14ac:dyDescent="0.15">
      <c r="E549" s="246"/>
      <c r="F549" s="246"/>
    </row>
    <row r="550" spans="5:6" x14ac:dyDescent="0.15">
      <c r="E550" s="246"/>
      <c r="F550" s="246"/>
    </row>
    <row r="551" spans="5:6" x14ac:dyDescent="0.15">
      <c r="E551" s="246"/>
      <c r="F551" s="246"/>
    </row>
    <row r="552" spans="5:6" x14ac:dyDescent="0.15">
      <c r="E552" s="246"/>
      <c r="F552" s="246"/>
    </row>
    <row r="553" spans="5:6" x14ac:dyDescent="0.15">
      <c r="E553" s="246"/>
      <c r="F553" s="246"/>
    </row>
    <row r="554" spans="5:6" x14ac:dyDescent="0.15">
      <c r="E554" s="246"/>
      <c r="F554" s="246"/>
    </row>
    <row r="555" spans="5:6" x14ac:dyDescent="0.15">
      <c r="E555" s="246"/>
      <c r="F555" s="246"/>
    </row>
    <row r="556" spans="5:6" x14ac:dyDescent="0.15">
      <c r="E556" s="246"/>
      <c r="F556" s="246"/>
    </row>
    <row r="557" spans="5:6" x14ac:dyDescent="0.15">
      <c r="E557" s="246"/>
      <c r="F557" s="246"/>
    </row>
    <row r="558" spans="5:6" x14ac:dyDescent="0.15">
      <c r="E558" s="246"/>
      <c r="F558" s="246"/>
    </row>
    <row r="559" spans="5:6" x14ac:dyDescent="0.15">
      <c r="E559" s="246"/>
      <c r="F559" s="246"/>
    </row>
    <row r="560" spans="5:6" x14ac:dyDescent="0.15">
      <c r="E560" s="246"/>
      <c r="F560" s="246"/>
    </row>
    <row r="561" spans="5:6" x14ac:dyDescent="0.15">
      <c r="E561" s="246"/>
      <c r="F561" s="246"/>
    </row>
    <row r="562" spans="5:6" x14ac:dyDescent="0.15">
      <c r="E562" s="246"/>
      <c r="F562" s="246"/>
    </row>
    <row r="563" spans="5:6" x14ac:dyDescent="0.15">
      <c r="E563" s="246"/>
      <c r="F563" s="246"/>
    </row>
    <row r="564" spans="5:6" x14ac:dyDescent="0.15">
      <c r="E564" s="246"/>
      <c r="F564" s="246"/>
    </row>
    <row r="565" spans="5:6" x14ac:dyDescent="0.15">
      <c r="E565" s="246"/>
      <c r="F565" s="246"/>
    </row>
    <row r="566" spans="5:6" x14ac:dyDescent="0.15">
      <c r="E566" s="246"/>
      <c r="F566" s="246"/>
    </row>
    <row r="567" spans="5:6" x14ac:dyDescent="0.15">
      <c r="E567" s="246"/>
      <c r="F567" s="246"/>
    </row>
    <row r="568" spans="5:6" x14ac:dyDescent="0.15">
      <c r="E568" s="246"/>
      <c r="F568" s="246"/>
    </row>
    <row r="569" spans="5:6" x14ac:dyDescent="0.15">
      <c r="E569" s="246"/>
      <c r="F569" s="246"/>
    </row>
    <row r="570" spans="5:6" x14ac:dyDescent="0.15">
      <c r="E570" s="246"/>
      <c r="F570" s="246"/>
    </row>
    <row r="571" spans="5:6" x14ac:dyDescent="0.15">
      <c r="E571" s="246"/>
      <c r="F571" s="246"/>
    </row>
    <row r="572" spans="5:6" x14ac:dyDescent="0.15">
      <c r="E572" s="246"/>
      <c r="F572" s="246"/>
    </row>
    <row r="573" spans="5:6" x14ac:dyDescent="0.15">
      <c r="E573" s="246"/>
      <c r="F573" s="246"/>
    </row>
    <row r="574" spans="5:6" x14ac:dyDescent="0.15">
      <c r="E574" s="246"/>
      <c r="F574" s="246"/>
    </row>
    <row r="575" spans="5:6" x14ac:dyDescent="0.15">
      <c r="E575" s="246"/>
      <c r="F575" s="246"/>
    </row>
    <row r="576" spans="5:6" x14ac:dyDescent="0.15">
      <c r="E576" s="246"/>
      <c r="F576" s="246"/>
    </row>
    <row r="577" spans="5:6" x14ac:dyDescent="0.15">
      <c r="E577" s="246"/>
      <c r="F577" s="246"/>
    </row>
    <row r="578" spans="5:6" x14ac:dyDescent="0.15">
      <c r="E578" s="246"/>
      <c r="F578" s="246"/>
    </row>
    <row r="579" spans="5:6" x14ac:dyDescent="0.15">
      <c r="E579" s="246"/>
      <c r="F579" s="246"/>
    </row>
    <row r="580" spans="5:6" x14ac:dyDescent="0.15">
      <c r="E580" s="246"/>
      <c r="F580" s="246"/>
    </row>
    <row r="581" spans="5:6" x14ac:dyDescent="0.15">
      <c r="E581" s="246"/>
      <c r="F581" s="246"/>
    </row>
    <row r="582" spans="5:6" x14ac:dyDescent="0.15">
      <c r="E582" s="246"/>
      <c r="F582" s="246"/>
    </row>
    <row r="583" spans="5:6" x14ac:dyDescent="0.15">
      <c r="E583" s="246"/>
      <c r="F583" s="246"/>
    </row>
    <row r="584" spans="5:6" x14ac:dyDescent="0.15">
      <c r="E584" s="246"/>
      <c r="F584" s="246"/>
    </row>
    <row r="585" spans="5:6" x14ac:dyDescent="0.15">
      <c r="E585" s="246"/>
      <c r="F585" s="246"/>
    </row>
    <row r="586" spans="5:6" x14ac:dyDescent="0.15">
      <c r="E586" s="246"/>
      <c r="F586" s="246"/>
    </row>
    <row r="587" spans="5:6" x14ac:dyDescent="0.15">
      <c r="E587" s="246"/>
      <c r="F587" s="246"/>
    </row>
    <row r="588" spans="5:6" x14ac:dyDescent="0.15">
      <c r="E588" s="246"/>
      <c r="F588" s="246"/>
    </row>
    <row r="589" spans="5:6" x14ac:dyDescent="0.15">
      <c r="E589" s="246"/>
      <c r="F589" s="246"/>
    </row>
    <row r="590" spans="5:6" x14ac:dyDescent="0.15">
      <c r="E590" s="246"/>
      <c r="F590" s="246"/>
    </row>
    <row r="591" spans="5:6" x14ac:dyDescent="0.15">
      <c r="E591" s="246"/>
      <c r="F591" s="246"/>
    </row>
    <row r="592" spans="5:6" x14ac:dyDescent="0.15">
      <c r="E592" s="246"/>
      <c r="F592" s="246"/>
    </row>
    <row r="593" spans="5:6" x14ac:dyDescent="0.15">
      <c r="E593" s="246"/>
      <c r="F593" s="246"/>
    </row>
    <row r="594" spans="5:6" x14ac:dyDescent="0.15">
      <c r="E594" s="246"/>
      <c r="F594" s="246"/>
    </row>
    <row r="595" spans="5:6" x14ac:dyDescent="0.15">
      <c r="E595" s="246"/>
      <c r="F595" s="246"/>
    </row>
    <row r="596" spans="5:6" x14ac:dyDescent="0.15">
      <c r="E596" s="246"/>
      <c r="F596" s="246"/>
    </row>
    <row r="597" spans="5:6" x14ac:dyDescent="0.15">
      <c r="E597" s="246"/>
      <c r="F597" s="246"/>
    </row>
    <row r="598" spans="5:6" x14ac:dyDescent="0.15">
      <c r="E598" s="246"/>
      <c r="F598" s="246"/>
    </row>
    <row r="599" spans="5:6" x14ac:dyDescent="0.15">
      <c r="E599" s="246"/>
      <c r="F599" s="246"/>
    </row>
    <row r="600" spans="5:6" x14ac:dyDescent="0.15">
      <c r="E600" s="246"/>
      <c r="F600" s="246"/>
    </row>
    <row r="601" spans="5:6" x14ac:dyDescent="0.15">
      <c r="E601" s="246"/>
      <c r="F601" s="246"/>
    </row>
    <row r="602" spans="5:6" x14ac:dyDescent="0.15">
      <c r="E602" s="246"/>
      <c r="F602" s="246"/>
    </row>
    <row r="603" spans="5:6" x14ac:dyDescent="0.15">
      <c r="E603" s="246"/>
      <c r="F603" s="246"/>
    </row>
    <row r="604" spans="5:6" x14ac:dyDescent="0.15">
      <c r="E604" s="246"/>
      <c r="F604" s="246"/>
    </row>
    <row r="605" spans="5:6" x14ac:dyDescent="0.15">
      <c r="E605" s="246"/>
      <c r="F605" s="246"/>
    </row>
    <row r="606" spans="5:6" x14ac:dyDescent="0.15">
      <c r="E606" s="246"/>
      <c r="F606" s="246"/>
    </row>
    <row r="607" spans="5:6" x14ac:dyDescent="0.15">
      <c r="E607" s="246"/>
      <c r="F607" s="246"/>
    </row>
    <row r="608" spans="5:6" x14ac:dyDescent="0.15">
      <c r="E608" s="246"/>
      <c r="F608" s="246"/>
    </row>
    <row r="609" spans="5:6" x14ac:dyDescent="0.15">
      <c r="E609" s="246"/>
      <c r="F609" s="246"/>
    </row>
    <row r="610" spans="5:6" x14ac:dyDescent="0.15">
      <c r="E610" s="246"/>
      <c r="F610" s="246"/>
    </row>
    <row r="611" spans="5:6" x14ac:dyDescent="0.15">
      <c r="E611" s="246"/>
      <c r="F611" s="246"/>
    </row>
    <row r="612" spans="5:6" x14ac:dyDescent="0.15">
      <c r="E612" s="246"/>
      <c r="F612" s="246"/>
    </row>
    <row r="613" spans="5:6" x14ac:dyDescent="0.15">
      <c r="E613" s="246"/>
      <c r="F613" s="246"/>
    </row>
    <row r="614" spans="5:6" x14ac:dyDescent="0.15">
      <c r="E614" s="246"/>
      <c r="F614" s="246"/>
    </row>
    <row r="615" spans="5:6" x14ac:dyDescent="0.15">
      <c r="E615" s="246"/>
      <c r="F615" s="246"/>
    </row>
    <row r="616" spans="5:6" x14ac:dyDescent="0.15">
      <c r="E616" s="246"/>
      <c r="F616" s="246"/>
    </row>
    <row r="617" spans="5:6" x14ac:dyDescent="0.15">
      <c r="E617" s="246"/>
      <c r="F617" s="246"/>
    </row>
    <row r="618" spans="5:6" x14ac:dyDescent="0.15">
      <c r="E618" s="246"/>
      <c r="F618" s="246"/>
    </row>
    <row r="619" spans="5:6" x14ac:dyDescent="0.15">
      <c r="E619" s="246"/>
      <c r="F619" s="246"/>
    </row>
    <row r="620" spans="5:6" x14ac:dyDescent="0.15">
      <c r="E620" s="246"/>
      <c r="F620" s="246"/>
    </row>
    <row r="621" spans="5:6" x14ac:dyDescent="0.15">
      <c r="E621" s="246"/>
      <c r="F621" s="246"/>
    </row>
    <row r="622" spans="5:6" x14ac:dyDescent="0.15">
      <c r="E622" s="246"/>
      <c r="F622" s="246"/>
    </row>
    <row r="623" spans="5:6" x14ac:dyDescent="0.15">
      <c r="E623" s="246"/>
      <c r="F623" s="246"/>
    </row>
    <row r="624" spans="5:6" x14ac:dyDescent="0.15">
      <c r="E624" s="246"/>
      <c r="F624" s="246"/>
    </row>
    <row r="625" spans="5:6" x14ac:dyDescent="0.15">
      <c r="E625" s="246"/>
      <c r="F625" s="246"/>
    </row>
    <row r="626" spans="5:6" x14ac:dyDescent="0.15">
      <c r="E626" s="246"/>
      <c r="F626" s="246"/>
    </row>
    <row r="627" spans="5:6" x14ac:dyDescent="0.15">
      <c r="E627" s="246"/>
      <c r="F627" s="246"/>
    </row>
    <row r="628" spans="5:6" x14ac:dyDescent="0.15">
      <c r="E628" s="246"/>
      <c r="F628" s="246"/>
    </row>
    <row r="629" spans="5:6" x14ac:dyDescent="0.15">
      <c r="E629" s="246"/>
      <c r="F629" s="246"/>
    </row>
    <row r="630" spans="5:6" x14ac:dyDescent="0.15">
      <c r="E630" s="246"/>
      <c r="F630" s="246"/>
    </row>
    <row r="631" spans="5:6" x14ac:dyDescent="0.15">
      <c r="E631" s="246"/>
      <c r="F631" s="246"/>
    </row>
    <row r="632" spans="5:6" x14ac:dyDescent="0.15">
      <c r="E632" s="246"/>
      <c r="F632" s="246"/>
    </row>
    <row r="633" spans="5:6" x14ac:dyDescent="0.15">
      <c r="E633" s="246"/>
      <c r="F633" s="246"/>
    </row>
    <row r="634" spans="5:6" x14ac:dyDescent="0.15">
      <c r="E634" s="246"/>
      <c r="F634" s="246"/>
    </row>
    <row r="635" spans="5:6" x14ac:dyDescent="0.15">
      <c r="E635" s="246"/>
      <c r="F635" s="246"/>
    </row>
    <row r="636" spans="5:6" x14ac:dyDescent="0.15">
      <c r="E636" s="246"/>
      <c r="F636" s="246"/>
    </row>
    <row r="637" spans="5:6" x14ac:dyDescent="0.15">
      <c r="E637" s="246"/>
      <c r="F637" s="246"/>
    </row>
    <row r="638" spans="5:6" x14ac:dyDescent="0.15">
      <c r="E638" s="246"/>
      <c r="F638" s="246"/>
    </row>
    <row r="639" spans="5:6" x14ac:dyDescent="0.15">
      <c r="E639" s="246"/>
      <c r="F639" s="246"/>
    </row>
    <row r="640" spans="5:6" x14ac:dyDescent="0.15">
      <c r="E640" s="246"/>
      <c r="F640" s="246"/>
    </row>
    <row r="641" spans="5:6" x14ac:dyDescent="0.15">
      <c r="E641" s="246"/>
      <c r="F641" s="246"/>
    </row>
    <row r="642" spans="5:6" x14ac:dyDescent="0.15">
      <c r="E642" s="246"/>
      <c r="F642" s="246"/>
    </row>
    <row r="643" spans="5:6" x14ac:dyDescent="0.15">
      <c r="E643" s="246"/>
      <c r="F643" s="246"/>
    </row>
    <row r="644" spans="5:6" x14ac:dyDescent="0.15">
      <c r="E644" s="246"/>
      <c r="F644" s="246"/>
    </row>
    <row r="645" spans="5:6" x14ac:dyDescent="0.15">
      <c r="E645" s="246"/>
      <c r="F645" s="246"/>
    </row>
    <row r="646" spans="5:6" x14ac:dyDescent="0.15">
      <c r="E646" s="246"/>
      <c r="F646" s="246"/>
    </row>
    <row r="647" spans="5:6" x14ac:dyDescent="0.15">
      <c r="E647" s="246"/>
      <c r="F647" s="246"/>
    </row>
    <row r="648" spans="5:6" x14ac:dyDescent="0.15">
      <c r="E648" s="246"/>
      <c r="F648" s="246"/>
    </row>
    <row r="649" spans="5:6" x14ac:dyDescent="0.15">
      <c r="E649" s="246"/>
      <c r="F649" s="246"/>
    </row>
    <row r="650" spans="5:6" x14ac:dyDescent="0.15">
      <c r="E650" s="246"/>
      <c r="F650" s="246"/>
    </row>
    <row r="651" spans="5:6" x14ac:dyDescent="0.15">
      <c r="E651" s="246"/>
      <c r="F651" s="246"/>
    </row>
    <row r="652" spans="5:6" x14ac:dyDescent="0.15">
      <c r="E652" s="246"/>
      <c r="F652" s="246"/>
    </row>
    <row r="653" spans="5:6" x14ac:dyDescent="0.15">
      <c r="E653" s="246"/>
      <c r="F653" s="246"/>
    </row>
    <row r="654" spans="5:6" x14ac:dyDescent="0.15">
      <c r="E654" s="246"/>
      <c r="F654" s="246"/>
    </row>
    <row r="655" spans="5:6" x14ac:dyDescent="0.15">
      <c r="E655" s="246"/>
      <c r="F655" s="246"/>
    </row>
    <row r="656" spans="5:6" x14ac:dyDescent="0.15">
      <c r="E656" s="246"/>
      <c r="F656" s="246"/>
    </row>
    <row r="657" spans="5:6" x14ac:dyDescent="0.15">
      <c r="E657" s="246"/>
      <c r="F657" s="246"/>
    </row>
    <row r="658" spans="5:6" x14ac:dyDescent="0.15">
      <c r="E658" s="246"/>
      <c r="F658" s="246"/>
    </row>
    <row r="659" spans="5:6" x14ac:dyDescent="0.15">
      <c r="E659" s="246"/>
      <c r="F659" s="246"/>
    </row>
    <row r="660" spans="5:6" x14ac:dyDescent="0.15">
      <c r="E660" s="246"/>
      <c r="F660" s="246"/>
    </row>
    <row r="661" spans="5:6" x14ac:dyDescent="0.15">
      <c r="E661" s="246"/>
      <c r="F661" s="246"/>
    </row>
    <row r="662" spans="5:6" x14ac:dyDescent="0.15">
      <c r="E662" s="246"/>
      <c r="F662" s="246"/>
    </row>
    <row r="663" spans="5:6" x14ac:dyDescent="0.15">
      <c r="E663" s="246"/>
      <c r="F663" s="246"/>
    </row>
    <row r="664" spans="5:6" x14ac:dyDescent="0.15">
      <c r="E664" s="246"/>
      <c r="F664" s="246"/>
    </row>
    <row r="665" spans="5:6" x14ac:dyDescent="0.15">
      <c r="E665" s="246"/>
      <c r="F665" s="246"/>
    </row>
    <row r="666" spans="5:6" x14ac:dyDescent="0.15">
      <c r="E666" s="246"/>
      <c r="F666" s="246"/>
    </row>
    <row r="667" spans="5:6" x14ac:dyDescent="0.15">
      <c r="E667" s="246"/>
      <c r="F667" s="246"/>
    </row>
    <row r="668" spans="5:6" x14ac:dyDescent="0.15">
      <c r="E668" s="246"/>
      <c r="F668" s="246"/>
    </row>
    <row r="669" spans="5:6" x14ac:dyDescent="0.15">
      <c r="E669" s="246"/>
      <c r="F669" s="246"/>
    </row>
    <row r="670" spans="5:6" x14ac:dyDescent="0.15">
      <c r="E670" s="246"/>
      <c r="F670" s="246"/>
    </row>
    <row r="671" spans="5:6" x14ac:dyDescent="0.15">
      <c r="E671" s="246"/>
      <c r="F671" s="246"/>
    </row>
    <row r="672" spans="5:6" x14ac:dyDescent="0.15">
      <c r="E672" s="246"/>
      <c r="F672" s="246"/>
    </row>
    <row r="673" spans="5:6" x14ac:dyDescent="0.15">
      <c r="E673" s="246"/>
      <c r="F673" s="246"/>
    </row>
    <row r="674" spans="5:6" x14ac:dyDescent="0.15">
      <c r="E674" s="246"/>
      <c r="F674" s="246"/>
    </row>
    <row r="675" spans="5:6" x14ac:dyDescent="0.15">
      <c r="E675" s="246"/>
      <c r="F675" s="246"/>
    </row>
    <row r="676" spans="5:6" x14ac:dyDescent="0.15">
      <c r="E676" s="246"/>
      <c r="F676" s="246"/>
    </row>
    <row r="677" spans="5:6" x14ac:dyDescent="0.15">
      <c r="E677" s="246"/>
      <c r="F677" s="246"/>
    </row>
    <row r="678" spans="5:6" x14ac:dyDescent="0.15">
      <c r="E678" s="246"/>
      <c r="F678" s="246"/>
    </row>
    <row r="679" spans="5:6" x14ac:dyDescent="0.15">
      <c r="E679" s="246"/>
      <c r="F679" s="246"/>
    </row>
    <row r="680" spans="5:6" x14ac:dyDescent="0.15">
      <c r="E680" s="246"/>
      <c r="F680" s="246"/>
    </row>
    <row r="681" spans="5:6" x14ac:dyDescent="0.15">
      <c r="E681" s="246"/>
      <c r="F681" s="246"/>
    </row>
    <row r="682" spans="5:6" x14ac:dyDescent="0.15">
      <c r="E682" s="246"/>
      <c r="F682" s="246"/>
    </row>
    <row r="683" spans="5:6" x14ac:dyDescent="0.15">
      <c r="E683" s="246"/>
      <c r="F683" s="246"/>
    </row>
    <row r="684" spans="5:6" x14ac:dyDescent="0.15">
      <c r="E684" s="246"/>
      <c r="F684" s="246"/>
    </row>
    <row r="685" spans="5:6" x14ac:dyDescent="0.15">
      <c r="E685" s="246"/>
      <c r="F685" s="246"/>
    </row>
    <row r="686" spans="5:6" x14ac:dyDescent="0.15">
      <c r="E686" s="246"/>
      <c r="F686" s="246"/>
    </row>
    <row r="687" spans="5:6" x14ac:dyDescent="0.15">
      <c r="E687" s="246"/>
      <c r="F687" s="246"/>
    </row>
    <row r="688" spans="5:6" x14ac:dyDescent="0.15">
      <c r="E688" s="246"/>
      <c r="F688" s="246"/>
    </row>
    <row r="689" spans="5:6" x14ac:dyDescent="0.15">
      <c r="E689" s="246"/>
      <c r="F689" s="246"/>
    </row>
    <row r="690" spans="5:6" x14ac:dyDescent="0.15">
      <c r="E690" s="246"/>
      <c r="F690" s="246"/>
    </row>
    <row r="691" spans="5:6" x14ac:dyDescent="0.15">
      <c r="E691" s="246"/>
      <c r="F691" s="246"/>
    </row>
    <row r="692" spans="5:6" x14ac:dyDescent="0.15">
      <c r="E692" s="246"/>
      <c r="F692" s="246"/>
    </row>
    <row r="693" spans="5:6" x14ac:dyDescent="0.15">
      <c r="E693" s="246"/>
      <c r="F693" s="246"/>
    </row>
    <row r="694" spans="5:6" x14ac:dyDescent="0.15">
      <c r="E694" s="246"/>
      <c r="F694" s="246"/>
    </row>
    <row r="695" spans="5:6" x14ac:dyDescent="0.15">
      <c r="E695" s="246"/>
      <c r="F695" s="246"/>
    </row>
    <row r="696" spans="5:6" x14ac:dyDescent="0.15">
      <c r="E696" s="246"/>
      <c r="F696" s="246"/>
    </row>
    <row r="697" spans="5:6" x14ac:dyDescent="0.15">
      <c r="E697" s="246"/>
      <c r="F697" s="246"/>
    </row>
    <row r="698" spans="5:6" x14ac:dyDescent="0.15">
      <c r="E698" s="246"/>
      <c r="F698" s="246"/>
    </row>
    <row r="699" spans="5:6" x14ac:dyDescent="0.15">
      <c r="E699" s="246"/>
      <c r="F699" s="246"/>
    </row>
    <row r="700" spans="5:6" x14ac:dyDescent="0.15">
      <c r="E700" s="246"/>
      <c r="F700" s="246"/>
    </row>
    <row r="701" spans="5:6" x14ac:dyDescent="0.15">
      <c r="E701" s="246"/>
      <c r="F701" s="246"/>
    </row>
    <row r="702" spans="5:6" x14ac:dyDescent="0.15">
      <c r="E702" s="246"/>
      <c r="F702" s="246"/>
    </row>
    <row r="703" spans="5:6" x14ac:dyDescent="0.15">
      <c r="E703" s="246"/>
      <c r="F703" s="246"/>
    </row>
    <row r="704" spans="5:6" x14ac:dyDescent="0.15">
      <c r="E704" s="246"/>
      <c r="F704" s="246"/>
    </row>
    <row r="705" spans="5:6" x14ac:dyDescent="0.15">
      <c r="E705" s="246"/>
      <c r="F705" s="246"/>
    </row>
    <row r="706" spans="5:6" x14ac:dyDescent="0.15">
      <c r="E706" s="246"/>
      <c r="F706" s="246"/>
    </row>
    <row r="707" spans="5:6" x14ac:dyDescent="0.15">
      <c r="E707" s="246"/>
      <c r="F707" s="246"/>
    </row>
    <row r="708" spans="5:6" x14ac:dyDescent="0.15">
      <c r="E708" s="246"/>
      <c r="F708" s="246"/>
    </row>
    <row r="709" spans="5:6" x14ac:dyDescent="0.15">
      <c r="E709" s="246"/>
      <c r="F709" s="246"/>
    </row>
    <row r="710" spans="5:6" x14ac:dyDescent="0.15">
      <c r="E710" s="246"/>
      <c r="F710" s="246"/>
    </row>
    <row r="711" spans="5:6" x14ac:dyDescent="0.15">
      <c r="E711" s="246"/>
      <c r="F711" s="246"/>
    </row>
    <row r="712" spans="5:6" x14ac:dyDescent="0.15">
      <c r="E712" s="246"/>
      <c r="F712" s="246"/>
    </row>
    <row r="713" spans="5:6" x14ac:dyDescent="0.15">
      <c r="E713" s="246"/>
      <c r="F713" s="246"/>
    </row>
    <row r="714" spans="5:6" x14ac:dyDescent="0.15">
      <c r="E714" s="246"/>
      <c r="F714" s="246"/>
    </row>
    <row r="715" spans="5:6" x14ac:dyDescent="0.15">
      <c r="E715" s="246"/>
      <c r="F715" s="246"/>
    </row>
    <row r="716" spans="5:6" x14ac:dyDescent="0.15">
      <c r="E716" s="246"/>
      <c r="F716" s="246"/>
    </row>
    <row r="717" spans="5:6" x14ac:dyDescent="0.15">
      <c r="E717" s="246"/>
      <c r="F717" s="246"/>
    </row>
    <row r="718" spans="5:6" x14ac:dyDescent="0.15">
      <c r="E718" s="246"/>
      <c r="F718" s="246"/>
    </row>
    <row r="719" spans="5:6" x14ac:dyDescent="0.15">
      <c r="E719" s="246"/>
      <c r="F719" s="246"/>
    </row>
    <row r="720" spans="5:6" x14ac:dyDescent="0.15">
      <c r="E720" s="246"/>
      <c r="F720" s="246"/>
    </row>
    <row r="721" spans="5:6" x14ac:dyDescent="0.15">
      <c r="E721" s="246"/>
      <c r="F721" s="246"/>
    </row>
    <row r="722" spans="5:6" x14ac:dyDescent="0.15">
      <c r="E722" s="246"/>
      <c r="F722" s="246"/>
    </row>
    <row r="723" spans="5:6" x14ac:dyDescent="0.15">
      <c r="E723" s="246"/>
      <c r="F723" s="246"/>
    </row>
    <row r="724" spans="5:6" x14ac:dyDescent="0.15">
      <c r="E724" s="246"/>
      <c r="F724" s="246"/>
    </row>
    <row r="725" spans="5:6" x14ac:dyDescent="0.15">
      <c r="E725" s="246"/>
      <c r="F725" s="246"/>
    </row>
    <row r="726" spans="5:6" x14ac:dyDescent="0.15">
      <c r="E726" s="246"/>
      <c r="F726" s="246"/>
    </row>
    <row r="727" spans="5:6" x14ac:dyDescent="0.15">
      <c r="E727" s="246"/>
      <c r="F727" s="246"/>
    </row>
    <row r="728" spans="5:6" x14ac:dyDescent="0.15">
      <c r="E728" s="246"/>
      <c r="F728" s="246"/>
    </row>
    <row r="729" spans="5:6" x14ac:dyDescent="0.15">
      <c r="E729" s="246"/>
    </row>
  </sheetData>
  <autoFilter ref="A1:BA82"/>
  <phoneticPr fontId="3"/>
  <dataValidations count="15">
    <dataValidation type="list" allowBlank="1" showInputMessage="1" showErrorMessage="1" sqref="JU2:JW76 ANI2:ANK76 BQW2:BQY76 CUK2:CUM76 DXY2:DYA76 FBM2:FBO76 GFA2:GFC76 HIO2:HIQ76 IMC2:IME76 JPQ2:JPS76 KTE2:KTG76 LWS2:LWU76 NAG2:NAI76 ODU2:ODW76 PHI2:PHK76 QKW2:QKY76 ROK2:ROM76 SRY2:SSA76 TVM2:TVO76 UZA2:UZC76 WCO2:WCQ76 TQ2:TS76 AXE2:AXG76 CAS2:CAU76 DEG2:DEI76 EHU2:EHW76 FLI2:FLK76 GOW2:GOY76 HSK2:HSM76 IVY2:IWA76 JZM2:JZO76 LDA2:LDC76 MGO2:MGQ76 NKC2:NKE76 ONQ2:ONS76 PRE2:PRG76 QUS2:QUU76 RYG2:RYI76 TBU2:TBW76 UFI2:UFK76 VIW2:VIY76 WMK2:WMM76 ADM2:ADO76 BHA2:BHC76 CKO2:CKQ76 DOC2:DOE76 ERQ2:ERS76 FVE2:FVG76 GYS2:GYU76 ICG2:ICI76 JFU2:JFW76 KJI2:KJK76 LMW2:LMY76 MQK2:MQM76 NTY2:NUA76 OXM2:OXO76 QBA2:QBC76 REO2:REQ76 SIC2:SIE76 TLQ2:TLS76 UPE2:UPG76 VSS2:VSU76 WWG2:WWI76 Y983039:AA983116 ADM983039:ADO983116 BHA983039:BHC983116 CKO983039:CKQ983116 DOC983039:DOE983116 ERQ983039:ERS983116 FVE983039:FVG983116 GYS983039:GYU983116 ICG983039:ICI983116 JFU983039:JFW983116 KJI983039:KJK983116 LMW983039:LMY983116 MQK983039:MQM983116 NTY983039:NUA983116 OXM983039:OXO983116 QBA983039:QBC983116 REO983039:REQ983116 SIC983039:SIE983116 TLQ983039:TLS983116 UPE983039:UPG983116 VSS983039:VSU983116 WWG983039:WWI983116 Y65535:AA65612 ADM65535:ADO65612 BHA65535:BHC65612 CKO65535:CKQ65612 DOC65535:DOE65612 ERQ65535:ERS65612 FVE65535:FVG65612 GYS65535:GYU65612 ICG65535:ICI65612 JFU65535:JFW65612 KJI65535:KJK65612 LMW65535:LMY65612 MQK65535:MQM65612 NTY65535:NUA65612 OXM65535:OXO65612 QBA65535:QBC65612 REO65535:REQ65612 SIC65535:SIE65612 TLQ65535:TLS65612 UPE65535:UPG65612 VSS65535:VSU65612 WWG65535:WWI65612 JU65535:JW65612 ANI65535:ANK65612 BQW65535:BQY65612 CUK65535:CUM65612 DXY65535:DYA65612 FBM65535:FBO65612 GFA65535:GFC65612 HIO65535:HIQ65612 IMC65535:IME65612 JPQ65535:JPS65612 KTE65535:KTG65612 LWS65535:LWU65612 NAG65535:NAI65612 ODU65535:ODW65612 PHI65535:PHK65612 QKW65535:QKY65612 ROK65535:ROM65612 SRY65535:SSA65612 TVM65535:TVO65612 UZA65535:UZC65612 WCO65535:WCQ65612 TQ65535:TS65612 AXE65535:AXG65612 CAS65535:CAU65612 DEG65535:DEI65612 EHU65535:EHW65612 FLI65535:FLK65612 GOW65535:GOY65612 HSK65535:HSM65612 IVY65535:IWA65612 JZM65535:JZO65612 LDA65535:LDC65612 MGO65535:MGQ65612 NKC65535:NKE65612 ONQ65535:ONS65612 PRE65535:PRG65612 QUS65535:QUU65612 RYG65535:RYI65612 TBU65535:TBW65612 UFI65535:UFK65612 VIW65535:VIY65612 WMK65535:WMM65612 Y131071:AA131148 ADM131071:ADO131148 BHA131071:BHC131148 CKO131071:CKQ131148 DOC131071:DOE131148 ERQ131071:ERS131148 FVE131071:FVG131148 GYS131071:GYU131148 ICG131071:ICI131148 JFU131071:JFW131148 KJI131071:KJK131148 LMW131071:LMY131148 MQK131071:MQM131148 NTY131071:NUA131148 OXM131071:OXO131148 QBA131071:QBC131148 REO131071:REQ131148 SIC131071:SIE131148 TLQ131071:TLS131148 UPE131071:UPG131148 VSS131071:VSU131148 WWG131071:WWI131148 JU131071:JW131148 ANI131071:ANK131148 BQW131071:BQY131148 CUK131071:CUM131148 DXY131071:DYA131148 FBM131071:FBO131148 GFA131071:GFC131148 HIO131071:HIQ131148 IMC131071:IME131148 JPQ131071:JPS131148 KTE131071:KTG131148 LWS131071:LWU131148 NAG131071:NAI131148 ODU131071:ODW131148 PHI131071:PHK131148 QKW131071:QKY131148 ROK131071:ROM131148 SRY131071:SSA131148 TVM131071:TVO131148 UZA131071:UZC131148 WCO131071:WCQ131148 TQ131071:TS131148 AXE131071:AXG131148 CAS131071:CAU131148 DEG131071:DEI131148 EHU131071:EHW131148 FLI131071:FLK131148 GOW131071:GOY131148 HSK131071:HSM131148 IVY131071:IWA131148 JZM131071:JZO131148 LDA131071:LDC131148 MGO131071:MGQ131148 NKC131071:NKE131148 ONQ131071:ONS131148 PRE131071:PRG131148 QUS131071:QUU131148 RYG131071:RYI131148 TBU131071:TBW131148 UFI131071:UFK131148 VIW131071:VIY131148 WMK131071:WMM131148 Y196607:AA196684 ADM196607:ADO196684 BHA196607:BHC196684 CKO196607:CKQ196684 DOC196607:DOE196684 ERQ196607:ERS196684 FVE196607:FVG196684 GYS196607:GYU196684 ICG196607:ICI196684 JFU196607:JFW196684 KJI196607:KJK196684 LMW196607:LMY196684 MQK196607:MQM196684 NTY196607:NUA196684 OXM196607:OXO196684 QBA196607:QBC196684 REO196607:REQ196684 SIC196607:SIE196684 TLQ196607:TLS196684 UPE196607:UPG196684 VSS196607:VSU196684 WWG196607:WWI196684 JU196607:JW196684 ANI196607:ANK196684 BQW196607:BQY196684 CUK196607:CUM196684 DXY196607:DYA196684 FBM196607:FBO196684 GFA196607:GFC196684 HIO196607:HIQ196684 IMC196607:IME196684 JPQ196607:JPS196684 KTE196607:KTG196684 LWS196607:LWU196684 NAG196607:NAI196684 ODU196607:ODW196684 PHI196607:PHK196684 QKW196607:QKY196684 ROK196607:ROM196684 SRY196607:SSA196684 TVM196607:TVO196684 UZA196607:UZC196684 WCO196607:WCQ196684 TQ196607:TS196684 AXE196607:AXG196684 CAS196607:CAU196684 DEG196607:DEI196684 EHU196607:EHW196684 FLI196607:FLK196684 GOW196607:GOY196684 HSK196607:HSM196684 IVY196607:IWA196684 JZM196607:JZO196684 LDA196607:LDC196684 MGO196607:MGQ196684 NKC196607:NKE196684 ONQ196607:ONS196684 PRE196607:PRG196684 QUS196607:QUU196684 RYG196607:RYI196684 TBU196607:TBW196684 UFI196607:UFK196684 VIW196607:VIY196684 WMK196607:WMM196684 Y262143:AA262220 ADM262143:ADO262220 BHA262143:BHC262220 CKO262143:CKQ262220 DOC262143:DOE262220 ERQ262143:ERS262220 FVE262143:FVG262220 GYS262143:GYU262220 ICG262143:ICI262220 JFU262143:JFW262220 KJI262143:KJK262220 LMW262143:LMY262220 MQK262143:MQM262220 NTY262143:NUA262220 OXM262143:OXO262220 QBA262143:QBC262220 REO262143:REQ262220 SIC262143:SIE262220 TLQ262143:TLS262220 UPE262143:UPG262220 VSS262143:VSU262220 WWG262143:WWI262220 JU262143:JW262220 ANI262143:ANK262220 BQW262143:BQY262220 CUK262143:CUM262220 DXY262143:DYA262220 FBM262143:FBO262220 GFA262143:GFC262220 HIO262143:HIQ262220 IMC262143:IME262220 JPQ262143:JPS262220 KTE262143:KTG262220 LWS262143:LWU262220 NAG262143:NAI262220 ODU262143:ODW262220 PHI262143:PHK262220 QKW262143:QKY262220 ROK262143:ROM262220 SRY262143:SSA262220 TVM262143:TVO262220 UZA262143:UZC262220 WCO262143:WCQ262220 TQ262143:TS262220 AXE262143:AXG262220 CAS262143:CAU262220 DEG262143:DEI262220 EHU262143:EHW262220 FLI262143:FLK262220 GOW262143:GOY262220 HSK262143:HSM262220 IVY262143:IWA262220 JZM262143:JZO262220 LDA262143:LDC262220 MGO262143:MGQ262220 NKC262143:NKE262220 ONQ262143:ONS262220 PRE262143:PRG262220 QUS262143:QUU262220 RYG262143:RYI262220 TBU262143:TBW262220 UFI262143:UFK262220 VIW262143:VIY262220 WMK262143:WMM262220 Y327679:AA327756 ADM327679:ADO327756 BHA327679:BHC327756 CKO327679:CKQ327756 DOC327679:DOE327756 ERQ327679:ERS327756 FVE327679:FVG327756 GYS327679:GYU327756 ICG327679:ICI327756 JFU327679:JFW327756 KJI327679:KJK327756 LMW327679:LMY327756 MQK327679:MQM327756 NTY327679:NUA327756 OXM327679:OXO327756 QBA327679:QBC327756 REO327679:REQ327756 SIC327679:SIE327756 TLQ327679:TLS327756 UPE327679:UPG327756 VSS327679:VSU327756 WWG327679:WWI327756 JU327679:JW327756 ANI327679:ANK327756 BQW327679:BQY327756 CUK327679:CUM327756 DXY327679:DYA327756 FBM327679:FBO327756 GFA327679:GFC327756 HIO327679:HIQ327756 IMC327679:IME327756 JPQ327679:JPS327756 KTE327679:KTG327756 LWS327679:LWU327756 NAG327679:NAI327756 ODU327679:ODW327756 PHI327679:PHK327756 QKW327679:QKY327756 ROK327679:ROM327756 SRY327679:SSA327756 TVM327679:TVO327756 UZA327679:UZC327756 WCO327679:WCQ327756 TQ327679:TS327756 AXE327679:AXG327756 CAS327679:CAU327756 DEG327679:DEI327756 EHU327679:EHW327756 FLI327679:FLK327756 GOW327679:GOY327756 HSK327679:HSM327756 IVY327679:IWA327756 JZM327679:JZO327756 LDA327679:LDC327756 MGO327679:MGQ327756 NKC327679:NKE327756 ONQ327679:ONS327756 PRE327679:PRG327756 QUS327679:QUU327756 RYG327679:RYI327756 TBU327679:TBW327756 UFI327679:UFK327756 VIW327679:VIY327756 WMK327679:WMM327756 Y393215:AA393292 ADM393215:ADO393292 BHA393215:BHC393292 CKO393215:CKQ393292 DOC393215:DOE393292 ERQ393215:ERS393292 FVE393215:FVG393292 GYS393215:GYU393292 ICG393215:ICI393292 JFU393215:JFW393292 KJI393215:KJK393292 LMW393215:LMY393292 MQK393215:MQM393292 NTY393215:NUA393292 OXM393215:OXO393292 QBA393215:QBC393292 REO393215:REQ393292 SIC393215:SIE393292 TLQ393215:TLS393292 UPE393215:UPG393292 VSS393215:VSU393292 WWG393215:WWI393292 JU393215:JW393292 ANI393215:ANK393292 BQW393215:BQY393292 CUK393215:CUM393292 DXY393215:DYA393292 FBM393215:FBO393292 GFA393215:GFC393292 HIO393215:HIQ393292 IMC393215:IME393292 JPQ393215:JPS393292 KTE393215:KTG393292 LWS393215:LWU393292 NAG393215:NAI393292 ODU393215:ODW393292 PHI393215:PHK393292 QKW393215:QKY393292 ROK393215:ROM393292 SRY393215:SSA393292 TVM393215:TVO393292 UZA393215:UZC393292 WCO393215:WCQ393292 TQ393215:TS393292 AXE393215:AXG393292 CAS393215:CAU393292 DEG393215:DEI393292 EHU393215:EHW393292 FLI393215:FLK393292 GOW393215:GOY393292 HSK393215:HSM393292 IVY393215:IWA393292 JZM393215:JZO393292 LDA393215:LDC393292 MGO393215:MGQ393292 NKC393215:NKE393292 ONQ393215:ONS393292 PRE393215:PRG393292 QUS393215:QUU393292 RYG393215:RYI393292 TBU393215:TBW393292 UFI393215:UFK393292 VIW393215:VIY393292 WMK393215:WMM393292 Y458751:AA458828 ADM458751:ADO458828 BHA458751:BHC458828 CKO458751:CKQ458828 DOC458751:DOE458828 ERQ458751:ERS458828 FVE458751:FVG458828 GYS458751:GYU458828 ICG458751:ICI458828 JFU458751:JFW458828 KJI458751:KJK458828 LMW458751:LMY458828 MQK458751:MQM458828 NTY458751:NUA458828 OXM458751:OXO458828 QBA458751:QBC458828 REO458751:REQ458828 SIC458751:SIE458828 TLQ458751:TLS458828 UPE458751:UPG458828 VSS458751:VSU458828 WWG458751:WWI458828 JU458751:JW458828 ANI458751:ANK458828 BQW458751:BQY458828 CUK458751:CUM458828 DXY458751:DYA458828 FBM458751:FBO458828 GFA458751:GFC458828 HIO458751:HIQ458828 IMC458751:IME458828 JPQ458751:JPS458828 KTE458751:KTG458828 LWS458751:LWU458828 NAG458751:NAI458828 ODU458751:ODW458828 PHI458751:PHK458828 QKW458751:QKY458828 ROK458751:ROM458828 SRY458751:SSA458828 TVM458751:TVO458828 UZA458751:UZC458828 WCO458751:WCQ458828 TQ458751:TS458828 AXE458751:AXG458828 CAS458751:CAU458828 DEG458751:DEI458828 EHU458751:EHW458828 FLI458751:FLK458828 GOW458751:GOY458828 HSK458751:HSM458828 IVY458751:IWA458828 JZM458751:JZO458828 LDA458751:LDC458828 MGO458751:MGQ458828 NKC458751:NKE458828 ONQ458751:ONS458828 PRE458751:PRG458828 QUS458751:QUU458828 RYG458751:RYI458828 TBU458751:TBW458828 UFI458751:UFK458828 VIW458751:VIY458828 WMK458751:WMM458828 Y524287:AA524364 ADM524287:ADO524364 BHA524287:BHC524364 CKO524287:CKQ524364 DOC524287:DOE524364 ERQ524287:ERS524364 FVE524287:FVG524364 GYS524287:GYU524364 ICG524287:ICI524364 JFU524287:JFW524364 KJI524287:KJK524364 LMW524287:LMY524364 MQK524287:MQM524364 NTY524287:NUA524364 OXM524287:OXO524364 QBA524287:QBC524364 REO524287:REQ524364 SIC524287:SIE524364 TLQ524287:TLS524364 UPE524287:UPG524364 VSS524287:VSU524364 WWG524287:WWI524364 JU524287:JW524364 ANI524287:ANK524364 BQW524287:BQY524364 CUK524287:CUM524364 DXY524287:DYA524364 FBM524287:FBO524364 GFA524287:GFC524364 HIO524287:HIQ524364 IMC524287:IME524364 JPQ524287:JPS524364 KTE524287:KTG524364 LWS524287:LWU524364 NAG524287:NAI524364 ODU524287:ODW524364 PHI524287:PHK524364 QKW524287:QKY524364 ROK524287:ROM524364 SRY524287:SSA524364 TVM524287:TVO524364 UZA524287:UZC524364 WCO524287:WCQ524364 TQ524287:TS524364 AXE524287:AXG524364 CAS524287:CAU524364 DEG524287:DEI524364 EHU524287:EHW524364 FLI524287:FLK524364 GOW524287:GOY524364 HSK524287:HSM524364 IVY524287:IWA524364 JZM524287:JZO524364 LDA524287:LDC524364 MGO524287:MGQ524364 NKC524287:NKE524364 ONQ524287:ONS524364 PRE524287:PRG524364 QUS524287:QUU524364 RYG524287:RYI524364 TBU524287:TBW524364 UFI524287:UFK524364 VIW524287:VIY524364 WMK524287:WMM524364 Y589823:AA589900 ADM589823:ADO589900 BHA589823:BHC589900 CKO589823:CKQ589900 DOC589823:DOE589900 ERQ589823:ERS589900 FVE589823:FVG589900 GYS589823:GYU589900 ICG589823:ICI589900 JFU589823:JFW589900 KJI589823:KJK589900 LMW589823:LMY589900 MQK589823:MQM589900 NTY589823:NUA589900 OXM589823:OXO589900 QBA589823:QBC589900 REO589823:REQ589900 SIC589823:SIE589900 TLQ589823:TLS589900 UPE589823:UPG589900 VSS589823:VSU589900 WWG589823:WWI589900 JU589823:JW589900 ANI589823:ANK589900 BQW589823:BQY589900 CUK589823:CUM589900 DXY589823:DYA589900 FBM589823:FBO589900 GFA589823:GFC589900 HIO589823:HIQ589900 IMC589823:IME589900 JPQ589823:JPS589900 KTE589823:KTG589900 LWS589823:LWU589900 NAG589823:NAI589900 ODU589823:ODW589900 PHI589823:PHK589900 QKW589823:QKY589900 ROK589823:ROM589900 SRY589823:SSA589900 TVM589823:TVO589900 UZA589823:UZC589900 WCO589823:WCQ589900 TQ589823:TS589900 AXE589823:AXG589900 CAS589823:CAU589900 DEG589823:DEI589900 EHU589823:EHW589900 FLI589823:FLK589900 GOW589823:GOY589900 HSK589823:HSM589900 IVY589823:IWA589900 JZM589823:JZO589900 LDA589823:LDC589900 MGO589823:MGQ589900 NKC589823:NKE589900 ONQ589823:ONS589900 PRE589823:PRG589900 QUS589823:QUU589900 RYG589823:RYI589900 TBU589823:TBW589900 UFI589823:UFK589900 VIW589823:VIY589900 WMK589823:WMM589900 Y655359:AA655436 ADM655359:ADO655436 BHA655359:BHC655436 CKO655359:CKQ655436 DOC655359:DOE655436 ERQ655359:ERS655436 FVE655359:FVG655436 GYS655359:GYU655436 ICG655359:ICI655436 JFU655359:JFW655436 KJI655359:KJK655436 LMW655359:LMY655436 MQK655359:MQM655436 NTY655359:NUA655436 OXM655359:OXO655436 QBA655359:QBC655436 REO655359:REQ655436 SIC655359:SIE655436 TLQ655359:TLS655436 UPE655359:UPG655436 VSS655359:VSU655436 WWG655359:WWI655436 JU655359:JW655436 ANI655359:ANK655436 BQW655359:BQY655436 CUK655359:CUM655436 DXY655359:DYA655436 FBM655359:FBO655436 GFA655359:GFC655436 HIO655359:HIQ655436 IMC655359:IME655436 JPQ655359:JPS655436 KTE655359:KTG655436 LWS655359:LWU655436 NAG655359:NAI655436 ODU655359:ODW655436 PHI655359:PHK655436 QKW655359:QKY655436 ROK655359:ROM655436 SRY655359:SSA655436 TVM655359:TVO655436 UZA655359:UZC655436 WCO655359:WCQ655436 TQ655359:TS655436 AXE655359:AXG655436 CAS655359:CAU655436 DEG655359:DEI655436 EHU655359:EHW655436 FLI655359:FLK655436 GOW655359:GOY655436 HSK655359:HSM655436 IVY655359:IWA655436 JZM655359:JZO655436 LDA655359:LDC655436 MGO655359:MGQ655436 NKC655359:NKE655436 ONQ655359:ONS655436 PRE655359:PRG655436 QUS655359:QUU655436 RYG655359:RYI655436 TBU655359:TBW655436 UFI655359:UFK655436 VIW655359:VIY655436 WMK655359:WMM655436 Y720895:AA720972 ADM720895:ADO720972 BHA720895:BHC720972 CKO720895:CKQ720972 DOC720895:DOE720972 ERQ720895:ERS720972 FVE720895:FVG720972 GYS720895:GYU720972 ICG720895:ICI720972 JFU720895:JFW720972 KJI720895:KJK720972 LMW720895:LMY720972 MQK720895:MQM720972 NTY720895:NUA720972 OXM720895:OXO720972 QBA720895:QBC720972 REO720895:REQ720972 SIC720895:SIE720972 TLQ720895:TLS720972 UPE720895:UPG720972 VSS720895:VSU720972 WWG720895:WWI720972 JU720895:JW720972 ANI720895:ANK720972 BQW720895:BQY720972 CUK720895:CUM720972 DXY720895:DYA720972 FBM720895:FBO720972 GFA720895:GFC720972 HIO720895:HIQ720972 IMC720895:IME720972 JPQ720895:JPS720972 KTE720895:KTG720972 LWS720895:LWU720972 NAG720895:NAI720972 ODU720895:ODW720972 PHI720895:PHK720972 QKW720895:QKY720972 ROK720895:ROM720972 SRY720895:SSA720972 TVM720895:TVO720972 UZA720895:UZC720972 WCO720895:WCQ720972 TQ720895:TS720972 AXE720895:AXG720972 CAS720895:CAU720972 DEG720895:DEI720972 EHU720895:EHW720972 FLI720895:FLK720972 GOW720895:GOY720972 HSK720895:HSM720972 IVY720895:IWA720972 JZM720895:JZO720972 LDA720895:LDC720972 MGO720895:MGQ720972 NKC720895:NKE720972 ONQ720895:ONS720972 PRE720895:PRG720972 QUS720895:QUU720972 RYG720895:RYI720972 TBU720895:TBW720972 UFI720895:UFK720972 VIW720895:VIY720972 WMK720895:WMM720972 Y786431:AA786508 ADM786431:ADO786508 BHA786431:BHC786508 CKO786431:CKQ786508 DOC786431:DOE786508 ERQ786431:ERS786508 FVE786431:FVG786508 GYS786431:GYU786508 ICG786431:ICI786508 JFU786431:JFW786508 KJI786431:KJK786508 LMW786431:LMY786508 MQK786431:MQM786508 NTY786431:NUA786508 OXM786431:OXO786508 QBA786431:QBC786508 REO786431:REQ786508 SIC786431:SIE786508 TLQ786431:TLS786508 UPE786431:UPG786508 VSS786431:VSU786508 WWG786431:WWI786508 JU786431:JW786508 ANI786431:ANK786508 BQW786431:BQY786508 CUK786431:CUM786508 DXY786431:DYA786508 FBM786431:FBO786508 GFA786431:GFC786508 HIO786431:HIQ786508 IMC786431:IME786508 JPQ786431:JPS786508 KTE786431:KTG786508 LWS786431:LWU786508 NAG786431:NAI786508 ODU786431:ODW786508 PHI786431:PHK786508 QKW786431:QKY786508 ROK786431:ROM786508 SRY786431:SSA786508 TVM786431:TVO786508 UZA786431:UZC786508 WCO786431:WCQ786508 TQ786431:TS786508 AXE786431:AXG786508 CAS786431:CAU786508 DEG786431:DEI786508 EHU786431:EHW786508 FLI786431:FLK786508 GOW786431:GOY786508 HSK786431:HSM786508 IVY786431:IWA786508 JZM786431:JZO786508 LDA786431:LDC786508 MGO786431:MGQ786508 NKC786431:NKE786508 ONQ786431:ONS786508 PRE786431:PRG786508 QUS786431:QUU786508 RYG786431:RYI786508 TBU786431:TBW786508 UFI786431:UFK786508 VIW786431:VIY786508 WMK786431:WMM786508 Y851967:AA852044 ADM851967:ADO852044 BHA851967:BHC852044 CKO851967:CKQ852044 DOC851967:DOE852044 ERQ851967:ERS852044 FVE851967:FVG852044 GYS851967:GYU852044 ICG851967:ICI852044 JFU851967:JFW852044 KJI851967:KJK852044 LMW851967:LMY852044 MQK851967:MQM852044 NTY851967:NUA852044 OXM851967:OXO852044 QBA851967:QBC852044 REO851967:REQ852044 SIC851967:SIE852044 TLQ851967:TLS852044 UPE851967:UPG852044 VSS851967:VSU852044 WWG851967:WWI852044 JU851967:JW852044 ANI851967:ANK852044 BQW851967:BQY852044 CUK851967:CUM852044 DXY851967:DYA852044 FBM851967:FBO852044 GFA851967:GFC852044 HIO851967:HIQ852044 IMC851967:IME852044 JPQ851967:JPS852044 KTE851967:KTG852044 LWS851967:LWU852044 NAG851967:NAI852044 ODU851967:ODW852044 PHI851967:PHK852044 QKW851967:QKY852044 ROK851967:ROM852044 SRY851967:SSA852044 TVM851967:TVO852044 UZA851967:UZC852044 WCO851967:WCQ852044 TQ851967:TS852044 AXE851967:AXG852044 CAS851967:CAU852044 DEG851967:DEI852044 EHU851967:EHW852044 FLI851967:FLK852044 GOW851967:GOY852044 HSK851967:HSM852044 IVY851967:IWA852044 JZM851967:JZO852044 LDA851967:LDC852044 MGO851967:MGQ852044 NKC851967:NKE852044 ONQ851967:ONS852044 PRE851967:PRG852044 QUS851967:QUU852044 RYG851967:RYI852044 TBU851967:TBW852044 UFI851967:UFK852044 VIW851967:VIY852044 WMK851967:WMM852044 Y917503:AA917580 ADM917503:ADO917580 BHA917503:BHC917580 CKO917503:CKQ917580 DOC917503:DOE917580 ERQ917503:ERS917580 FVE917503:FVG917580 GYS917503:GYU917580 ICG917503:ICI917580 JFU917503:JFW917580 KJI917503:KJK917580 LMW917503:LMY917580 MQK917503:MQM917580 NTY917503:NUA917580 OXM917503:OXO917580 QBA917503:QBC917580 REO917503:REQ917580 SIC917503:SIE917580 TLQ917503:TLS917580 UPE917503:UPG917580 VSS917503:VSU917580 WWG917503:WWI917580 JU917503:JW917580 ANI917503:ANK917580 BQW917503:BQY917580 CUK917503:CUM917580 DXY917503:DYA917580 FBM917503:FBO917580 GFA917503:GFC917580 HIO917503:HIQ917580 IMC917503:IME917580 JPQ917503:JPS917580 KTE917503:KTG917580 LWS917503:LWU917580 NAG917503:NAI917580 ODU917503:ODW917580 PHI917503:PHK917580 QKW917503:QKY917580 ROK917503:ROM917580 SRY917503:SSA917580 TVM917503:TVO917580 UZA917503:UZC917580 WCO917503:WCQ917580 TQ917503:TS917580 AXE917503:AXG917580 CAS917503:CAU917580 DEG917503:DEI917580 EHU917503:EHW917580 FLI917503:FLK917580 GOW917503:GOY917580 HSK917503:HSM917580 IVY917503:IWA917580 JZM917503:JZO917580 LDA917503:LDC917580 MGO917503:MGQ917580 NKC917503:NKE917580 ONQ917503:ONS917580 PRE917503:PRG917580 QUS917503:QUU917580 RYG917503:RYI917580 TBU917503:TBW917580 UFI917503:UFK917580 VIW917503:VIY917580 WMK917503:WMM917580 JU983039:JW983116 ANI983039:ANK983116 BQW983039:BQY983116 CUK983039:CUM983116 DXY983039:DYA983116 FBM983039:FBO983116 GFA983039:GFC983116 HIO983039:HIQ983116 IMC983039:IME983116 JPQ983039:JPS983116 KTE983039:KTG983116 LWS983039:LWU983116 NAG983039:NAI983116 ODU983039:ODW983116 PHI983039:PHK983116 QKW983039:QKY983116 ROK983039:ROM983116 SRY983039:SSA983116 TVM983039:TVO983116 UZA983039:UZC983116 WCO983039:WCQ983116 TQ983039:TS983116 AXE983039:AXG983116 CAS983039:CAU983116 DEG983039:DEI983116 EHU983039:EHW983116 FLI983039:FLK983116 GOW983039:GOY983116 HSK983039:HSM983116 IVY983039:IWA983116 JZM983039:JZO983116 LDA983039:LDC983116 MGO983039:MGQ983116 NKC983039:NKE983116 ONQ983039:ONS983116 PRE983039:PRG983116 QUS983039:QUU983116 RYG983039:RYI983116 TBU983039:TBW983116 UFI983039:UFK983116 VIW983039:VIY983116 WMK983039:WMM983116">
      <formula1>$AV$2:$AV$20</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K87:K497 K65535:K65612 K131071:K131148 K196607:K196684 K262143:K262220 K327679:K327756 K393215:K393292 K458751:K458828 K524287:K524364 K589823:K589900 K655359:K655436 K720895:K720972 K786431:K786508 K851967:K852044 K917503:K917580 K983039:K983116 JG2:JG76 JG65535:JG65612 JG131071:JG131148 JG196607:JG196684 JG262143:JG262220 JG327679:JG327756 JG393215:JG393292 JG458751:JG458828 JG524287:JG524364 JG589823:JG589900 JG655359:JG655436 JG720895:JG720972 JG786431:JG786508 JG851967:JG852044 JG917503:JG917580 JG983039:JG983116 TC2:TC76 TC65535:TC65612 TC131071:TC131148 TC196607:TC196684 TC262143:TC262220 TC327679:TC327756 TC393215:TC393292 TC458751:TC458828 TC524287:TC524364 TC589823:TC589900 TC655359:TC655436 TC720895:TC720972 TC786431:TC786508 TC851967:TC852044 TC917503:TC917580 TC983039:TC983116 ACY2:ACY76 ACY65535:ACY65612 ACY131071:ACY131148 ACY196607:ACY196684 ACY262143:ACY262220 ACY327679:ACY327756 ACY393215:ACY393292 ACY458751:ACY458828 ACY524287:ACY524364 ACY589823:ACY589900 ACY655359:ACY655436 ACY720895:ACY720972 ACY786431:ACY786508 ACY851967:ACY852044 ACY917503:ACY917580 ACY983039:ACY983116 AMU2:AMU76 AMU65535:AMU65612 AMU131071:AMU131148 AMU196607:AMU196684 AMU262143:AMU262220 AMU327679:AMU327756 AMU393215:AMU393292 AMU458751:AMU458828 AMU524287:AMU524364 AMU589823:AMU589900 AMU655359:AMU655436 AMU720895:AMU720972 AMU786431:AMU786508 AMU851967:AMU852044 AMU917503:AMU917580 AMU983039:AMU983116 AWQ2:AWQ76 AWQ65535:AWQ65612 AWQ131071:AWQ131148 AWQ196607:AWQ196684 AWQ262143:AWQ262220 AWQ327679:AWQ327756 AWQ393215:AWQ393292 AWQ458751:AWQ458828 AWQ524287:AWQ524364 AWQ589823:AWQ589900 AWQ655359:AWQ655436 AWQ720895:AWQ720972 AWQ786431:AWQ786508 AWQ851967:AWQ852044 AWQ917503:AWQ917580 AWQ983039:AWQ983116 BGM2:BGM76 BGM65535:BGM65612 BGM131071:BGM131148 BGM196607:BGM196684 BGM262143:BGM262220 BGM327679:BGM327756 BGM393215:BGM393292 BGM458751:BGM458828 BGM524287:BGM524364 BGM589823:BGM589900 BGM655359:BGM655436 BGM720895:BGM720972 BGM786431:BGM786508 BGM851967:BGM852044 BGM917503:BGM917580 BGM983039:BGM983116 BQI2:BQI76 BQI65535:BQI65612 BQI131071:BQI131148 BQI196607:BQI196684 BQI262143:BQI262220 BQI327679:BQI327756 BQI393215:BQI393292 BQI458751:BQI458828 BQI524287:BQI524364 BQI589823:BQI589900 BQI655359:BQI655436 BQI720895:BQI720972 BQI786431:BQI786508 BQI851967:BQI852044 BQI917503:BQI917580 BQI983039:BQI983116 CAE2:CAE76 CAE65535:CAE65612 CAE131071:CAE131148 CAE196607:CAE196684 CAE262143:CAE262220 CAE327679:CAE327756 CAE393215:CAE393292 CAE458751:CAE458828 CAE524287:CAE524364 CAE589823:CAE589900 CAE655359:CAE655436 CAE720895:CAE720972 CAE786431:CAE786508 CAE851967:CAE852044 CAE917503:CAE917580 CAE983039:CAE983116 CKA2:CKA76 CKA65535:CKA65612 CKA131071:CKA131148 CKA196607:CKA196684 CKA262143:CKA262220 CKA327679:CKA327756 CKA393215:CKA393292 CKA458751:CKA458828 CKA524287:CKA524364 CKA589823:CKA589900 CKA655359:CKA655436 CKA720895:CKA720972 CKA786431:CKA786508 CKA851967:CKA852044 CKA917503:CKA917580 CKA983039:CKA983116 CTW2:CTW76 CTW65535:CTW65612 CTW131071:CTW131148 CTW196607:CTW196684 CTW262143:CTW262220 CTW327679:CTW327756 CTW393215:CTW393292 CTW458751:CTW458828 CTW524287:CTW524364 CTW589823:CTW589900 CTW655359:CTW655436 CTW720895:CTW720972 CTW786431:CTW786508 CTW851967:CTW852044 CTW917503:CTW917580 CTW983039:CTW983116 DDS2:DDS76 DDS65535:DDS65612 DDS131071:DDS131148 DDS196607:DDS196684 DDS262143:DDS262220 DDS327679:DDS327756 DDS393215:DDS393292 DDS458751:DDS458828 DDS524287:DDS524364 DDS589823:DDS589900 DDS655359:DDS655436 DDS720895:DDS720972 DDS786431:DDS786508 DDS851967:DDS852044 DDS917503:DDS917580 DDS983039:DDS983116 DNO2:DNO76 DNO65535:DNO65612 DNO131071:DNO131148 DNO196607:DNO196684 DNO262143:DNO262220 DNO327679:DNO327756 DNO393215:DNO393292 DNO458751:DNO458828 DNO524287:DNO524364 DNO589823:DNO589900 DNO655359:DNO655436 DNO720895:DNO720972 DNO786431:DNO786508 DNO851967:DNO852044 DNO917503:DNO917580 DNO983039:DNO983116 DXK2:DXK76 DXK65535:DXK65612 DXK131071:DXK131148 DXK196607:DXK196684 DXK262143:DXK262220 DXK327679:DXK327756 DXK393215:DXK393292 DXK458751:DXK458828 DXK524287:DXK524364 DXK589823:DXK589900 DXK655359:DXK655436 DXK720895:DXK720972 DXK786431:DXK786508 DXK851967:DXK852044 DXK917503:DXK917580 DXK983039:DXK983116 EHG2:EHG76 EHG65535:EHG65612 EHG131071:EHG131148 EHG196607:EHG196684 EHG262143:EHG262220 EHG327679:EHG327756 EHG393215:EHG393292 EHG458751:EHG458828 EHG524287:EHG524364 EHG589823:EHG589900 EHG655359:EHG655436 EHG720895:EHG720972 EHG786431:EHG786508 EHG851967:EHG852044 EHG917503:EHG917580 EHG983039:EHG983116 ERC2:ERC76 ERC65535:ERC65612 ERC131071:ERC131148 ERC196607:ERC196684 ERC262143:ERC262220 ERC327679:ERC327756 ERC393215:ERC393292 ERC458751:ERC458828 ERC524287:ERC524364 ERC589823:ERC589900 ERC655359:ERC655436 ERC720895:ERC720972 ERC786431:ERC786508 ERC851967:ERC852044 ERC917503:ERC917580 ERC983039:ERC983116 FAY2:FAY76 FAY65535:FAY65612 FAY131071:FAY131148 FAY196607:FAY196684 FAY262143:FAY262220 FAY327679:FAY327756 FAY393215:FAY393292 FAY458751:FAY458828 FAY524287:FAY524364 FAY589823:FAY589900 FAY655359:FAY655436 FAY720895:FAY720972 FAY786431:FAY786508 FAY851967:FAY852044 FAY917503:FAY917580 FAY983039:FAY983116 FKU2:FKU76 FKU65535:FKU65612 FKU131071:FKU131148 FKU196607:FKU196684 FKU262143:FKU262220 FKU327679:FKU327756 FKU393215:FKU393292 FKU458751:FKU458828 FKU524287:FKU524364 FKU589823:FKU589900 FKU655359:FKU655436 FKU720895:FKU720972 FKU786431:FKU786508 FKU851967:FKU852044 FKU917503:FKU917580 FKU983039:FKU983116 FUQ2:FUQ76 FUQ65535:FUQ65612 FUQ131071:FUQ131148 FUQ196607:FUQ196684 FUQ262143:FUQ262220 FUQ327679:FUQ327756 FUQ393215:FUQ393292 FUQ458751:FUQ458828 FUQ524287:FUQ524364 FUQ589823:FUQ589900 FUQ655359:FUQ655436 FUQ720895:FUQ720972 FUQ786431:FUQ786508 FUQ851967:FUQ852044 FUQ917503:FUQ917580 FUQ983039:FUQ983116 GEM2:GEM76 GEM65535:GEM65612 GEM131071:GEM131148 GEM196607:GEM196684 GEM262143:GEM262220 GEM327679:GEM327756 GEM393215:GEM393292 GEM458751:GEM458828 GEM524287:GEM524364 GEM589823:GEM589900 GEM655359:GEM655436 GEM720895:GEM720972 GEM786431:GEM786508 GEM851967:GEM852044 GEM917503:GEM917580 GEM983039:GEM983116 GOI2:GOI76 GOI65535:GOI65612 GOI131071:GOI131148 GOI196607:GOI196684 GOI262143:GOI262220 GOI327679:GOI327756 GOI393215:GOI393292 GOI458751:GOI458828 GOI524287:GOI524364 GOI589823:GOI589900 GOI655359:GOI655436 GOI720895:GOI720972 GOI786431:GOI786508 GOI851967:GOI852044 GOI917503:GOI917580 GOI983039:GOI983116 GYE2:GYE76 GYE65535:GYE65612 GYE131071:GYE131148 GYE196607:GYE196684 GYE262143:GYE262220 GYE327679:GYE327756 GYE393215:GYE393292 GYE458751:GYE458828 GYE524287:GYE524364 GYE589823:GYE589900 GYE655359:GYE655436 GYE720895:GYE720972 GYE786431:GYE786508 GYE851967:GYE852044 GYE917503:GYE917580 GYE983039:GYE983116 HIA2:HIA76 HIA65535:HIA65612 HIA131071:HIA131148 HIA196607:HIA196684 HIA262143:HIA262220 HIA327679:HIA327756 HIA393215:HIA393292 HIA458751:HIA458828 HIA524287:HIA524364 HIA589823:HIA589900 HIA655359:HIA655436 HIA720895:HIA720972 HIA786431:HIA786508 HIA851967:HIA852044 HIA917503:HIA917580 HIA983039:HIA983116 HRW2:HRW76 HRW65535:HRW65612 HRW131071:HRW131148 HRW196607:HRW196684 HRW262143:HRW262220 HRW327679:HRW327756 HRW393215:HRW393292 HRW458751:HRW458828 HRW524287:HRW524364 HRW589823:HRW589900 HRW655359:HRW655436 HRW720895:HRW720972 HRW786431:HRW786508 HRW851967:HRW852044 HRW917503:HRW917580 HRW983039:HRW983116 IBS2:IBS76 IBS65535:IBS65612 IBS131071:IBS131148 IBS196607:IBS196684 IBS262143:IBS262220 IBS327679:IBS327756 IBS393215:IBS393292 IBS458751:IBS458828 IBS524287:IBS524364 IBS589823:IBS589900 IBS655359:IBS655436 IBS720895:IBS720972 IBS786431:IBS786508 IBS851967:IBS852044 IBS917503:IBS917580 IBS983039:IBS983116 ILO2:ILO76 ILO65535:ILO65612 ILO131071:ILO131148 ILO196607:ILO196684 ILO262143:ILO262220 ILO327679:ILO327756 ILO393215:ILO393292 ILO458751:ILO458828 ILO524287:ILO524364 ILO589823:ILO589900 ILO655359:ILO655436 ILO720895:ILO720972 ILO786431:ILO786508 ILO851967:ILO852044 ILO917503:ILO917580 ILO983039:ILO983116 IVK2:IVK76 IVK65535:IVK65612 IVK131071:IVK131148 IVK196607:IVK196684 IVK262143:IVK262220 IVK327679:IVK327756 IVK393215:IVK393292 IVK458751:IVK458828 IVK524287:IVK524364 IVK589823:IVK589900 IVK655359:IVK655436 IVK720895:IVK720972 IVK786431:IVK786508 IVK851967:IVK852044 IVK917503:IVK917580 IVK983039:IVK983116 JFG2:JFG76 JFG65535:JFG65612 JFG131071:JFG131148 JFG196607:JFG196684 JFG262143:JFG262220 JFG327679:JFG327756 JFG393215:JFG393292 JFG458751:JFG458828 JFG524287:JFG524364 JFG589823:JFG589900 JFG655359:JFG655436 JFG720895:JFG720972 JFG786431:JFG786508 JFG851967:JFG852044 JFG917503:JFG917580 JFG983039:JFG983116 JPC2:JPC76 JPC65535:JPC65612 JPC131071:JPC131148 JPC196607:JPC196684 JPC262143:JPC262220 JPC327679:JPC327756 JPC393215:JPC393292 JPC458751:JPC458828 JPC524287:JPC524364 JPC589823:JPC589900 JPC655359:JPC655436 JPC720895:JPC720972 JPC786431:JPC786508 JPC851967:JPC852044 JPC917503:JPC917580 JPC983039:JPC983116 JYY2:JYY76 JYY65535:JYY65612 JYY131071:JYY131148 JYY196607:JYY196684 JYY262143:JYY262220 JYY327679:JYY327756 JYY393215:JYY393292 JYY458751:JYY458828 JYY524287:JYY524364 JYY589823:JYY589900 JYY655359:JYY655436 JYY720895:JYY720972 JYY786431:JYY786508 JYY851967:JYY852044 JYY917503:JYY917580 JYY983039:JYY983116 KIU2:KIU76 KIU65535:KIU65612 KIU131071:KIU131148 KIU196607:KIU196684 KIU262143:KIU262220 KIU327679:KIU327756 KIU393215:KIU393292 KIU458751:KIU458828 KIU524287:KIU524364 KIU589823:KIU589900 KIU655359:KIU655436 KIU720895:KIU720972 KIU786431:KIU786508 KIU851967:KIU852044 KIU917503:KIU917580 KIU983039:KIU983116 KSQ2:KSQ76 KSQ65535:KSQ65612 KSQ131071:KSQ131148 KSQ196607:KSQ196684 KSQ262143:KSQ262220 KSQ327679:KSQ327756 KSQ393215:KSQ393292 KSQ458751:KSQ458828 KSQ524287:KSQ524364 KSQ589823:KSQ589900 KSQ655359:KSQ655436 KSQ720895:KSQ720972 KSQ786431:KSQ786508 KSQ851967:KSQ852044 KSQ917503:KSQ917580 KSQ983039:KSQ983116 LCM2:LCM76 LCM65535:LCM65612 LCM131071:LCM131148 LCM196607:LCM196684 LCM262143:LCM262220 LCM327679:LCM327756 LCM393215:LCM393292 LCM458751:LCM458828 LCM524287:LCM524364 LCM589823:LCM589900 LCM655359:LCM655436 LCM720895:LCM720972 LCM786431:LCM786508 LCM851967:LCM852044 LCM917503:LCM917580 LCM983039:LCM983116 LMI2:LMI76 LMI65535:LMI65612 LMI131071:LMI131148 LMI196607:LMI196684 LMI262143:LMI262220 LMI327679:LMI327756 LMI393215:LMI393292 LMI458751:LMI458828 LMI524287:LMI524364 LMI589823:LMI589900 LMI655359:LMI655436 LMI720895:LMI720972 LMI786431:LMI786508 LMI851967:LMI852044 LMI917503:LMI917580 LMI983039:LMI983116 LWE2:LWE76 LWE65535:LWE65612 LWE131071:LWE131148 LWE196607:LWE196684 LWE262143:LWE262220 LWE327679:LWE327756 LWE393215:LWE393292 LWE458751:LWE458828 LWE524287:LWE524364 LWE589823:LWE589900 LWE655359:LWE655436 LWE720895:LWE720972 LWE786431:LWE786508 LWE851967:LWE852044 LWE917503:LWE917580 LWE983039:LWE983116 MGA2:MGA76 MGA65535:MGA65612 MGA131071:MGA131148 MGA196607:MGA196684 MGA262143:MGA262220 MGA327679:MGA327756 MGA393215:MGA393292 MGA458751:MGA458828 MGA524287:MGA524364 MGA589823:MGA589900 MGA655359:MGA655436 MGA720895:MGA720972 MGA786431:MGA786508 MGA851967:MGA852044 MGA917503:MGA917580 MGA983039:MGA983116 MPW2:MPW76 MPW65535:MPW65612 MPW131071:MPW131148 MPW196607:MPW196684 MPW262143:MPW262220 MPW327679:MPW327756 MPW393215:MPW393292 MPW458751:MPW458828 MPW524287:MPW524364 MPW589823:MPW589900 MPW655359:MPW655436 MPW720895:MPW720972 MPW786431:MPW786508 MPW851967:MPW852044 MPW917503:MPW917580 MPW983039:MPW983116 MZS2:MZS76 MZS65535:MZS65612 MZS131071:MZS131148 MZS196607:MZS196684 MZS262143:MZS262220 MZS327679:MZS327756 MZS393215:MZS393292 MZS458751:MZS458828 MZS524287:MZS524364 MZS589823:MZS589900 MZS655359:MZS655436 MZS720895:MZS720972 MZS786431:MZS786508 MZS851967:MZS852044 MZS917503:MZS917580 MZS983039:MZS983116 NJO2:NJO76 NJO65535:NJO65612 NJO131071:NJO131148 NJO196607:NJO196684 NJO262143:NJO262220 NJO327679:NJO327756 NJO393215:NJO393292 NJO458751:NJO458828 NJO524287:NJO524364 NJO589823:NJO589900 NJO655359:NJO655436 NJO720895:NJO720972 NJO786431:NJO786508 NJO851967:NJO852044 NJO917503:NJO917580 NJO983039:NJO983116 NTK2:NTK76 NTK65535:NTK65612 NTK131071:NTK131148 NTK196607:NTK196684 NTK262143:NTK262220 NTK327679:NTK327756 NTK393215:NTK393292 NTK458751:NTK458828 NTK524287:NTK524364 NTK589823:NTK589900 NTK655359:NTK655436 NTK720895:NTK720972 NTK786431:NTK786508 NTK851967:NTK852044 NTK917503:NTK917580 NTK983039:NTK983116 ODG2:ODG76 ODG65535:ODG65612 ODG131071:ODG131148 ODG196607:ODG196684 ODG262143:ODG262220 ODG327679:ODG327756 ODG393215:ODG393292 ODG458751:ODG458828 ODG524287:ODG524364 ODG589823:ODG589900 ODG655359:ODG655436 ODG720895:ODG720972 ODG786431:ODG786508 ODG851967:ODG852044 ODG917503:ODG917580 ODG983039:ODG983116 ONC2:ONC76 ONC65535:ONC65612 ONC131071:ONC131148 ONC196607:ONC196684 ONC262143:ONC262220 ONC327679:ONC327756 ONC393215:ONC393292 ONC458751:ONC458828 ONC524287:ONC524364 ONC589823:ONC589900 ONC655359:ONC655436 ONC720895:ONC720972 ONC786431:ONC786508 ONC851967:ONC852044 ONC917503:ONC917580 ONC983039:ONC983116 OWY2:OWY76 OWY65535:OWY65612 OWY131071:OWY131148 OWY196607:OWY196684 OWY262143:OWY262220 OWY327679:OWY327756 OWY393215:OWY393292 OWY458751:OWY458828 OWY524287:OWY524364 OWY589823:OWY589900 OWY655359:OWY655436 OWY720895:OWY720972 OWY786431:OWY786508 OWY851967:OWY852044 OWY917503:OWY917580 OWY983039:OWY983116 PGU2:PGU76 PGU65535:PGU65612 PGU131071:PGU131148 PGU196607:PGU196684 PGU262143:PGU262220 PGU327679:PGU327756 PGU393215:PGU393292 PGU458751:PGU458828 PGU524287:PGU524364 PGU589823:PGU589900 PGU655359:PGU655436 PGU720895:PGU720972 PGU786431:PGU786508 PGU851967:PGU852044 PGU917503:PGU917580 PGU983039:PGU983116 PQQ2:PQQ76 PQQ65535:PQQ65612 PQQ131071:PQQ131148 PQQ196607:PQQ196684 PQQ262143:PQQ262220 PQQ327679:PQQ327756 PQQ393215:PQQ393292 PQQ458751:PQQ458828 PQQ524287:PQQ524364 PQQ589823:PQQ589900 PQQ655359:PQQ655436 PQQ720895:PQQ720972 PQQ786431:PQQ786508 PQQ851967:PQQ852044 PQQ917503:PQQ917580 PQQ983039:PQQ983116 QAM2:QAM76 QAM65535:QAM65612 QAM131071:QAM131148 QAM196607:QAM196684 QAM262143:QAM262220 QAM327679:QAM327756 QAM393215:QAM393292 QAM458751:QAM458828 QAM524287:QAM524364 QAM589823:QAM589900 QAM655359:QAM655436 QAM720895:QAM720972 QAM786431:QAM786508 QAM851967:QAM852044 QAM917503:QAM917580 QAM983039:QAM983116 QKI2:QKI76 QKI65535:QKI65612 QKI131071:QKI131148 QKI196607:QKI196684 QKI262143:QKI262220 QKI327679:QKI327756 QKI393215:QKI393292 QKI458751:QKI458828 QKI524287:QKI524364 QKI589823:QKI589900 QKI655359:QKI655436 QKI720895:QKI720972 QKI786431:QKI786508 QKI851967:QKI852044 QKI917503:QKI917580 QKI983039:QKI983116 QUE2:QUE76 QUE65535:QUE65612 QUE131071:QUE131148 QUE196607:QUE196684 QUE262143:QUE262220 QUE327679:QUE327756 QUE393215:QUE393292 QUE458751:QUE458828 QUE524287:QUE524364 QUE589823:QUE589900 QUE655359:QUE655436 QUE720895:QUE720972 QUE786431:QUE786508 QUE851967:QUE852044 QUE917503:QUE917580 QUE983039:QUE983116 REA2:REA76 REA65535:REA65612 REA131071:REA131148 REA196607:REA196684 REA262143:REA262220 REA327679:REA327756 REA393215:REA393292 REA458751:REA458828 REA524287:REA524364 REA589823:REA589900 REA655359:REA655436 REA720895:REA720972 REA786431:REA786508 REA851967:REA852044 REA917503:REA917580 REA983039:REA983116 RNW2:RNW76 RNW65535:RNW65612 RNW131071:RNW131148 RNW196607:RNW196684 RNW262143:RNW262220 RNW327679:RNW327756 RNW393215:RNW393292 RNW458751:RNW458828 RNW524287:RNW524364 RNW589823:RNW589900 RNW655359:RNW655436 RNW720895:RNW720972 RNW786431:RNW786508 RNW851967:RNW852044 RNW917503:RNW917580 RNW983039:RNW983116 RXS2:RXS76 RXS65535:RXS65612 RXS131071:RXS131148 RXS196607:RXS196684 RXS262143:RXS262220 RXS327679:RXS327756 RXS393215:RXS393292 RXS458751:RXS458828 RXS524287:RXS524364 RXS589823:RXS589900 RXS655359:RXS655436 RXS720895:RXS720972 RXS786431:RXS786508 RXS851967:RXS852044 RXS917503:RXS917580 RXS983039:RXS983116 SHO2:SHO76 SHO65535:SHO65612 SHO131071:SHO131148 SHO196607:SHO196684 SHO262143:SHO262220 SHO327679:SHO327756 SHO393215:SHO393292 SHO458751:SHO458828 SHO524287:SHO524364 SHO589823:SHO589900 SHO655359:SHO655436 SHO720895:SHO720972 SHO786431:SHO786508 SHO851967:SHO852044 SHO917503:SHO917580 SHO983039:SHO983116 SRK2:SRK76 SRK65535:SRK65612 SRK131071:SRK131148 SRK196607:SRK196684 SRK262143:SRK262220 SRK327679:SRK327756 SRK393215:SRK393292 SRK458751:SRK458828 SRK524287:SRK524364 SRK589823:SRK589900 SRK655359:SRK655436 SRK720895:SRK720972 SRK786431:SRK786508 SRK851967:SRK852044 SRK917503:SRK917580 SRK983039:SRK983116 TBG2:TBG76 TBG65535:TBG65612 TBG131071:TBG131148 TBG196607:TBG196684 TBG262143:TBG262220 TBG327679:TBG327756 TBG393215:TBG393292 TBG458751:TBG458828 TBG524287:TBG524364 TBG589823:TBG589900 TBG655359:TBG655436 TBG720895:TBG720972 TBG786431:TBG786508 TBG851967:TBG852044 TBG917503:TBG917580 TBG983039:TBG983116 TLC2:TLC76 TLC65535:TLC65612 TLC131071:TLC131148 TLC196607:TLC196684 TLC262143:TLC262220 TLC327679:TLC327756 TLC393215:TLC393292 TLC458751:TLC458828 TLC524287:TLC524364 TLC589823:TLC589900 TLC655359:TLC655436 TLC720895:TLC720972 TLC786431:TLC786508 TLC851967:TLC852044 TLC917503:TLC917580 TLC983039:TLC983116 TUY2:TUY76 TUY65535:TUY65612 TUY131071:TUY131148 TUY196607:TUY196684 TUY262143:TUY262220 TUY327679:TUY327756 TUY393215:TUY393292 TUY458751:TUY458828 TUY524287:TUY524364 TUY589823:TUY589900 TUY655359:TUY655436 TUY720895:TUY720972 TUY786431:TUY786508 TUY851967:TUY852044 TUY917503:TUY917580 TUY983039:TUY983116 UEU2:UEU76 UEU65535:UEU65612 UEU131071:UEU131148 UEU196607:UEU196684 UEU262143:UEU262220 UEU327679:UEU327756 UEU393215:UEU393292 UEU458751:UEU458828 UEU524287:UEU524364 UEU589823:UEU589900 UEU655359:UEU655436 UEU720895:UEU720972 UEU786431:UEU786508 UEU851967:UEU852044 UEU917503:UEU917580 UEU983039:UEU983116 UOQ2:UOQ76 UOQ65535:UOQ65612 UOQ131071:UOQ131148 UOQ196607:UOQ196684 UOQ262143:UOQ262220 UOQ327679:UOQ327756 UOQ393215:UOQ393292 UOQ458751:UOQ458828 UOQ524287:UOQ524364 UOQ589823:UOQ589900 UOQ655359:UOQ655436 UOQ720895:UOQ720972 UOQ786431:UOQ786508 UOQ851967:UOQ852044 UOQ917503:UOQ917580 UOQ983039:UOQ983116 UYM2:UYM76 UYM65535:UYM65612 UYM131071:UYM131148 UYM196607:UYM196684 UYM262143:UYM262220 UYM327679:UYM327756 UYM393215:UYM393292 UYM458751:UYM458828 UYM524287:UYM524364 UYM589823:UYM589900 UYM655359:UYM655436 UYM720895:UYM720972 UYM786431:UYM786508 UYM851967:UYM852044 UYM917503:UYM917580 UYM983039:UYM983116 VII2:VII76 VII65535:VII65612 VII131071:VII131148 VII196607:VII196684 VII262143:VII262220 VII327679:VII327756 VII393215:VII393292 VII458751:VII458828 VII524287:VII524364 VII589823:VII589900 VII655359:VII655436 VII720895:VII720972 VII786431:VII786508 VII851967:VII852044 VII917503:VII917580 VII983039:VII983116 VSE2:VSE76 VSE65535:VSE65612 VSE131071:VSE131148 VSE196607:VSE196684 VSE262143:VSE262220 VSE327679:VSE327756 VSE393215:VSE393292 VSE458751:VSE458828 VSE524287:VSE524364 VSE589823:VSE589900 VSE655359:VSE655436 VSE720895:VSE720972 VSE786431:VSE786508 VSE851967:VSE852044 VSE917503:VSE917580 VSE983039:VSE983116 WCA2:WCA76 WCA65535:WCA65612 WCA131071:WCA131148 WCA196607:WCA196684 WCA262143:WCA262220 WCA327679:WCA327756 WCA393215:WCA393292 WCA458751:WCA458828 WCA524287:WCA524364 WCA589823:WCA589900 WCA655359:WCA655436 WCA720895:WCA720972 WCA786431:WCA786508 WCA851967:WCA852044 WCA917503:WCA917580 WCA983039:WCA983116 WLW2:WLW76 WLW65535:WLW65612 WLW131071:WLW131148 WLW196607:WLW196684 WLW262143:WLW262220 WLW327679:WLW327756 WLW393215:WLW393292 WLW458751:WLW458828 WLW524287:WLW524364 WLW589823:WLW589900 WLW655359:WLW655436 WLW720895:WLW720972 WLW786431:WLW786508 WLW851967:WLW852044 WLW917503:WLW917580 WLW983039:WLW983116 WVS2:WVS76 WVS65535:WVS65612 WVS131071:WVS131148 WVS196607:WVS196684 WVS262143:WVS262220 WVS327679:WVS327756 WVS393215:WVS393292 WVS458751:WVS458828 WVS524287:WVS524364 WVS589823:WVS589900 WVS655359:WVS655436 WVS720895:WVS720972 WVS786431:WVS786508 WVS851967:WVS852044 WVS917503:WVS917580 WVS983039:WVS983116">
      <formula1>$AR$2:$AR$22</formula1>
    </dataValidation>
    <dataValidation type="list" allowBlank="1" showInputMessage="1" showErrorMessage="1" sqref="H65535:H65612 H131071:H131148 H196607:H196684 H262143:H262220 H327679:H327756 H393215:H393292 H458751:H458828 H524287:H524364 H589823:H589900 H655359:H655436 H720895:H720972 H786431:H786508 H851967:H852044 H917503:H917580 H983039:H983116 JD2:JD76 JD65535:JD65612 JD131071:JD131148 JD196607:JD196684 JD262143:JD262220 JD327679:JD327756 JD393215:JD393292 JD458751:JD458828 JD524287:JD524364 JD589823:JD589900 JD655359:JD655436 JD720895:JD720972 JD786431:JD786508 JD851967:JD852044 JD917503:JD917580 JD983039:JD983116 SZ2:SZ76 SZ65535:SZ65612 SZ131071:SZ131148 SZ196607:SZ196684 SZ262143:SZ262220 SZ327679:SZ327756 SZ393215:SZ393292 SZ458751:SZ458828 SZ524287:SZ524364 SZ589823:SZ589900 SZ655359:SZ655436 SZ720895:SZ720972 SZ786431:SZ786508 SZ851967:SZ852044 SZ917503:SZ917580 SZ983039:SZ983116 ACV2:ACV76 ACV65535:ACV65612 ACV131071:ACV131148 ACV196607:ACV196684 ACV262143:ACV262220 ACV327679:ACV327756 ACV393215:ACV393292 ACV458751:ACV458828 ACV524287:ACV524364 ACV589823:ACV589900 ACV655359:ACV655436 ACV720895:ACV720972 ACV786431:ACV786508 ACV851967:ACV852044 ACV917503:ACV917580 ACV983039:ACV983116 AMR2:AMR76 AMR65535:AMR65612 AMR131071:AMR131148 AMR196607:AMR196684 AMR262143:AMR262220 AMR327679:AMR327756 AMR393215:AMR393292 AMR458751:AMR458828 AMR524287:AMR524364 AMR589823:AMR589900 AMR655359:AMR655436 AMR720895:AMR720972 AMR786431:AMR786508 AMR851967:AMR852044 AMR917503:AMR917580 AMR983039:AMR983116 AWN2:AWN76 AWN65535:AWN65612 AWN131071:AWN131148 AWN196607:AWN196684 AWN262143:AWN262220 AWN327679:AWN327756 AWN393215:AWN393292 AWN458751:AWN458828 AWN524287:AWN524364 AWN589823:AWN589900 AWN655359:AWN655436 AWN720895:AWN720972 AWN786431:AWN786508 AWN851967:AWN852044 AWN917503:AWN917580 AWN983039:AWN983116 BGJ2:BGJ76 BGJ65535:BGJ65612 BGJ131071:BGJ131148 BGJ196607:BGJ196684 BGJ262143:BGJ262220 BGJ327679:BGJ327756 BGJ393215:BGJ393292 BGJ458751:BGJ458828 BGJ524287:BGJ524364 BGJ589823:BGJ589900 BGJ655359:BGJ655436 BGJ720895:BGJ720972 BGJ786431:BGJ786508 BGJ851967:BGJ852044 BGJ917503:BGJ917580 BGJ983039:BGJ983116 BQF2:BQF76 BQF65535:BQF65612 BQF131071:BQF131148 BQF196607:BQF196684 BQF262143:BQF262220 BQF327679:BQF327756 BQF393215:BQF393292 BQF458751:BQF458828 BQF524287:BQF524364 BQF589823:BQF589900 BQF655359:BQF655436 BQF720895:BQF720972 BQF786431:BQF786508 BQF851967:BQF852044 BQF917503:BQF917580 BQF983039:BQF983116 CAB2:CAB76 CAB65535:CAB65612 CAB131071:CAB131148 CAB196607:CAB196684 CAB262143:CAB262220 CAB327679:CAB327756 CAB393215:CAB393292 CAB458751:CAB458828 CAB524287:CAB524364 CAB589823:CAB589900 CAB655359:CAB655436 CAB720895:CAB720972 CAB786431:CAB786508 CAB851967:CAB852044 CAB917503:CAB917580 CAB983039:CAB983116 CJX2:CJX76 CJX65535:CJX65612 CJX131071:CJX131148 CJX196607:CJX196684 CJX262143:CJX262220 CJX327679:CJX327756 CJX393215:CJX393292 CJX458751:CJX458828 CJX524287:CJX524364 CJX589823:CJX589900 CJX655359:CJX655436 CJX720895:CJX720972 CJX786431:CJX786508 CJX851967:CJX852044 CJX917503:CJX917580 CJX983039:CJX983116 CTT2:CTT76 CTT65535:CTT65612 CTT131071:CTT131148 CTT196607:CTT196684 CTT262143:CTT262220 CTT327679:CTT327756 CTT393215:CTT393292 CTT458751:CTT458828 CTT524287:CTT524364 CTT589823:CTT589900 CTT655359:CTT655436 CTT720895:CTT720972 CTT786431:CTT786508 CTT851967:CTT852044 CTT917503:CTT917580 CTT983039:CTT983116 DDP2:DDP76 DDP65535:DDP65612 DDP131071:DDP131148 DDP196607:DDP196684 DDP262143:DDP262220 DDP327679:DDP327756 DDP393215:DDP393292 DDP458751:DDP458828 DDP524287:DDP524364 DDP589823:DDP589900 DDP655359:DDP655436 DDP720895:DDP720972 DDP786431:DDP786508 DDP851967:DDP852044 DDP917503:DDP917580 DDP983039:DDP983116 DNL2:DNL76 DNL65535:DNL65612 DNL131071:DNL131148 DNL196607:DNL196684 DNL262143:DNL262220 DNL327679:DNL327756 DNL393215:DNL393292 DNL458751:DNL458828 DNL524287:DNL524364 DNL589823:DNL589900 DNL655359:DNL655436 DNL720895:DNL720972 DNL786431:DNL786508 DNL851967:DNL852044 DNL917503:DNL917580 DNL983039:DNL983116 DXH2:DXH76 DXH65535:DXH65612 DXH131071:DXH131148 DXH196607:DXH196684 DXH262143:DXH262220 DXH327679:DXH327756 DXH393215:DXH393292 DXH458751:DXH458828 DXH524287:DXH524364 DXH589823:DXH589900 DXH655359:DXH655436 DXH720895:DXH720972 DXH786431:DXH786508 DXH851967:DXH852044 DXH917503:DXH917580 DXH983039:DXH983116 EHD2:EHD76 EHD65535:EHD65612 EHD131071:EHD131148 EHD196607:EHD196684 EHD262143:EHD262220 EHD327679:EHD327756 EHD393215:EHD393292 EHD458751:EHD458828 EHD524287:EHD524364 EHD589823:EHD589900 EHD655359:EHD655436 EHD720895:EHD720972 EHD786431:EHD786508 EHD851967:EHD852044 EHD917503:EHD917580 EHD983039:EHD983116 EQZ2:EQZ76 EQZ65535:EQZ65612 EQZ131071:EQZ131148 EQZ196607:EQZ196684 EQZ262143:EQZ262220 EQZ327679:EQZ327756 EQZ393215:EQZ393292 EQZ458751:EQZ458828 EQZ524287:EQZ524364 EQZ589823:EQZ589900 EQZ655359:EQZ655436 EQZ720895:EQZ720972 EQZ786431:EQZ786508 EQZ851967:EQZ852044 EQZ917503:EQZ917580 EQZ983039:EQZ983116 FAV2:FAV76 FAV65535:FAV65612 FAV131071:FAV131148 FAV196607:FAV196684 FAV262143:FAV262220 FAV327679:FAV327756 FAV393215:FAV393292 FAV458751:FAV458828 FAV524287:FAV524364 FAV589823:FAV589900 FAV655359:FAV655436 FAV720895:FAV720972 FAV786431:FAV786508 FAV851967:FAV852044 FAV917503:FAV917580 FAV983039:FAV983116 FKR2:FKR76 FKR65535:FKR65612 FKR131071:FKR131148 FKR196607:FKR196684 FKR262143:FKR262220 FKR327679:FKR327756 FKR393215:FKR393292 FKR458751:FKR458828 FKR524287:FKR524364 FKR589823:FKR589900 FKR655359:FKR655436 FKR720895:FKR720972 FKR786431:FKR786508 FKR851967:FKR852044 FKR917503:FKR917580 FKR983039:FKR983116 FUN2:FUN76 FUN65535:FUN65612 FUN131071:FUN131148 FUN196607:FUN196684 FUN262143:FUN262220 FUN327679:FUN327756 FUN393215:FUN393292 FUN458751:FUN458828 FUN524287:FUN524364 FUN589823:FUN589900 FUN655359:FUN655436 FUN720895:FUN720972 FUN786431:FUN786508 FUN851967:FUN852044 FUN917503:FUN917580 FUN983039:FUN983116 GEJ2:GEJ76 GEJ65535:GEJ65612 GEJ131071:GEJ131148 GEJ196607:GEJ196684 GEJ262143:GEJ262220 GEJ327679:GEJ327756 GEJ393215:GEJ393292 GEJ458751:GEJ458828 GEJ524287:GEJ524364 GEJ589823:GEJ589900 GEJ655359:GEJ655436 GEJ720895:GEJ720972 GEJ786431:GEJ786508 GEJ851967:GEJ852044 GEJ917503:GEJ917580 GEJ983039:GEJ983116 GOF2:GOF76 GOF65535:GOF65612 GOF131071:GOF131148 GOF196607:GOF196684 GOF262143:GOF262220 GOF327679:GOF327756 GOF393215:GOF393292 GOF458751:GOF458828 GOF524287:GOF524364 GOF589823:GOF589900 GOF655359:GOF655436 GOF720895:GOF720972 GOF786431:GOF786508 GOF851967:GOF852044 GOF917503:GOF917580 GOF983039:GOF983116 GYB2:GYB76 GYB65535:GYB65612 GYB131071:GYB131148 GYB196607:GYB196684 GYB262143:GYB262220 GYB327679:GYB327756 GYB393215:GYB393292 GYB458751:GYB458828 GYB524287:GYB524364 GYB589823:GYB589900 GYB655359:GYB655436 GYB720895:GYB720972 GYB786431:GYB786508 GYB851967:GYB852044 GYB917503:GYB917580 GYB983039:GYB983116 HHX2:HHX76 HHX65535:HHX65612 HHX131071:HHX131148 HHX196607:HHX196684 HHX262143:HHX262220 HHX327679:HHX327756 HHX393215:HHX393292 HHX458751:HHX458828 HHX524287:HHX524364 HHX589823:HHX589900 HHX655359:HHX655436 HHX720895:HHX720972 HHX786431:HHX786508 HHX851967:HHX852044 HHX917503:HHX917580 HHX983039:HHX983116 HRT2:HRT76 HRT65535:HRT65612 HRT131071:HRT131148 HRT196607:HRT196684 HRT262143:HRT262220 HRT327679:HRT327756 HRT393215:HRT393292 HRT458751:HRT458828 HRT524287:HRT524364 HRT589823:HRT589900 HRT655359:HRT655436 HRT720895:HRT720972 HRT786431:HRT786508 HRT851967:HRT852044 HRT917503:HRT917580 HRT983039:HRT983116 IBP2:IBP76 IBP65535:IBP65612 IBP131071:IBP131148 IBP196607:IBP196684 IBP262143:IBP262220 IBP327679:IBP327756 IBP393215:IBP393292 IBP458751:IBP458828 IBP524287:IBP524364 IBP589823:IBP589900 IBP655359:IBP655436 IBP720895:IBP720972 IBP786431:IBP786508 IBP851967:IBP852044 IBP917503:IBP917580 IBP983039:IBP983116 ILL2:ILL76 ILL65535:ILL65612 ILL131071:ILL131148 ILL196607:ILL196684 ILL262143:ILL262220 ILL327679:ILL327756 ILL393215:ILL393292 ILL458751:ILL458828 ILL524287:ILL524364 ILL589823:ILL589900 ILL655359:ILL655436 ILL720895:ILL720972 ILL786431:ILL786508 ILL851967:ILL852044 ILL917503:ILL917580 ILL983039:ILL983116 IVH2:IVH76 IVH65535:IVH65612 IVH131071:IVH131148 IVH196607:IVH196684 IVH262143:IVH262220 IVH327679:IVH327756 IVH393215:IVH393292 IVH458751:IVH458828 IVH524287:IVH524364 IVH589823:IVH589900 IVH655359:IVH655436 IVH720895:IVH720972 IVH786431:IVH786508 IVH851967:IVH852044 IVH917503:IVH917580 IVH983039:IVH983116 JFD2:JFD76 JFD65535:JFD65612 JFD131071:JFD131148 JFD196607:JFD196684 JFD262143:JFD262220 JFD327679:JFD327756 JFD393215:JFD393292 JFD458751:JFD458828 JFD524287:JFD524364 JFD589823:JFD589900 JFD655359:JFD655436 JFD720895:JFD720972 JFD786431:JFD786508 JFD851967:JFD852044 JFD917503:JFD917580 JFD983039:JFD983116 JOZ2:JOZ76 JOZ65535:JOZ65612 JOZ131071:JOZ131148 JOZ196607:JOZ196684 JOZ262143:JOZ262220 JOZ327679:JOZ327756 JOZ393215:JOZ393292 JOZ458751:JOZ458828 JOZ524287:JOZ524364 JOZ589823:JOZ589900 JOZ655359:JOZ655436 JOZ720895:JOZ720972 JOZ786431:JOZ786508 JOZ851967:JOZ852044 JOZ917503:JOZ917580 JOZ983039:JOZ983116 JYV2:JYV76 JYV65535:JYV65612 JYV131071:JYV131148 JYV196607:JYV196684 JYV262143:JYV262220 JYV327679:JYV327756 JYV393215:JYV393292 JYV458751:JYV458828 JYV524287:JYV524364 JYV589823:JYV589900 JYV655359:JYV655436 JYV720895:JYV720972 JYV786431:JYV786508 JYV851967:JYV852044 JYV917503:JYV917580 JYV983039:JYV983116 KIR2:KIR76 KIR65535:KIR65612 KIR131071:KIR131148 KIR196607:KIR196684 KIR262143:KIR262220 KIR327679:KIR327756 KIR393215:KIR393292 KIR458751:KIR458828 KIR524287:KIR524364 KIR589823:KIR589900 KIR655359:KIR655436 KIR720895:KIR720972 KIR786431:KIR786508 KIR851967:KIR852044 KIR917503:KIR917580 KIR983039:KIR983116 KSN2:KSN76 KSN65535:KSN65612 KSN131071:KSN131148 KSN196607:KSN196684 KSN262143:KSN262220 KSN327679:KSN327756 KSN393215:KSN393292 KSN458751:KSN458828 KSN524287:KSN524364 KSN589823:KSN589900 KSN655359:KSN655436 KSN720895:KSN720972 KSN786431:KSN786508 KSN851967:KSN852044 KSN917503:KSN917580 KSN983039:KSN983116 LCJ2:LCJ76 LCJ65535:LCJ65612 LCJ131071:LCJ131148 LCJ196607:LCJ196684 LCJ262143:LCJ262220 LCJ327679:LCJ327756 LCJ393215:LCJ393292 LCJ458751:LCJ458828 LCJ524287:LCJ524364 LCJ589823:LCJ589900 LCJ655359:LCJ655436 LCJ720895:LCJ720972 LCJ786431:LCJ786508 LCJ851967:LCJ852044 LCJ917503:LCJ917580 LCJ983039:LCJ983116 LMF2:LMF76 LMF65535:LMF65612 LMF131071:LMF131148 LMF196607:LMF196684 LMF262143:LMF262220 LMF327679:LMF327756 LMF393215:LMF393292 LMF458751:LMF458828 LMF524287:LMF524364 LMF589823:LMF589900 LMF655359:LMF655436 LMF720895:LMF720972 LMF786431:LMF786508 LMF851967:LMF852044 LMF917503:LMF917580 LMF983039:LMF983116 LWB2:LWB76 LWB65535:LWB65612 LWB131071:LWB131148 LWB196607:LWB196684 LWB262143:LWB262220 LWB327679:LWB327756 LWB393215:LWB393292 LWB458751:LWB458828 LWB524287:LWB524364 LWB589823:LWB589900 LWB655359:LWB655436 LWB720895:LWB720972 LWB786431:LWB786508 LWB851967:LWB852044 LWB917503:LWB917580 LWB983039:LWB983116 MFX2:MFX76 MFX65535:MFX65612 MFX131071:MFX131148 MFX196607:MFX196684 MFX262143:MFX262220 MFX327679:MFX327756 MFX393215:MFX393292 MFX458751:MFX458828 MFX524287:MFX524364 MFX589823:MFX589900 MFX655359:MFX655436 MFX720895:MFX720972 MFX786431:MFX786508 MFX851967:MFX852044 MFX917503:MFX917580 MFX983039:MFX983116 MPT2:MPT76 MPT65535:MPT65612 MPT131071:MPT131148 MPT196607:MPT196684 MPT262143:MPT262220 MPT327679:MPT327756 MPT393215:MPT393292 MPT458751:MPT458828 MPT524287:MPT524364 MPT589823:MPT589900 MPT655359:MPT655436 MPT720895:MPT720972 MPT786431:MPT786508 MPT851967:MPT852044 MPT917503:MPT917580 MPT983039:MPT983116 MZP2:MZP76 MZP65535:MZP65612 MZP131071:MZP131148 MZP196607:MZP196684 MZP262143:MZP262220 MZP327679:MZP327756 MZP393215:MZP393292 MZP458751:MZP458828 MZP524287:MZP524364 MZP589823:MZP589900 MZP655359:MZP655436 MZP720895:MZP720972 MZP786431:MZP786508 MZP851967:MZP852044 MZP917503:MZP917580 MZP983039:MZP983116 NJL2:NJL76 NJL65535:NJL65612 NJL131071:NJL131148 NJL196607:NJL196684 NJL262143:NJL262220 NJL327679:NJL327756 NJL393215:NJL393292 NJL458751:NJL458828 NJL524287:NJL524364 NJL589823:NJL589900 NJL655359:NJL655436 NJL720895:NJL720972 NJL786431:NJL786508 NJL851967:NJL852044 NJL917503:NJL917580 NJL983039:NJL983116 NTH2:NTH76 NTH65535:NTH65612 NTH131071:NTH131148 NTH196607:NTH196684 NTH262143:NTH262220 NTH327679:NTH327756 NTH393215:NTH393292 NTH458751:NTH458828 NTH524287:NTH524364 NTH589823:NTH589900 NTH655359:NTH655436 NTH720895:NTH720972 NTH786431:NTH786508 NTH851967:NTH852044 NTH917503:NTH917580 NTH983039:NTH983116 ODD2:ODD76 ODD65535:ODD65612 ODD131071:ODD131148 ODD196607:ODD196684 ODD262143:ODD262220 ODD327679:ODD327756 ODD393215:ODD393292 ODD458751:ODD458828 ODD524287:ODD524364 ODD589823:ODD589900 ODD655359:ODD655436 ODD720895:ODD720972 ODD786431:ODD786508 ODD851967:ODD852044 ODD917503:ODD917580 ODD983039:ODD983116 OMZ2:OMZ76 OMZ65535:OMZ65612 OMZ131071:OMZ131148 OMZ196607:OMZ196684 OMZ262143:OMZ262220 OMZ327679:OMZ327756 OMZ393215:OMZ393292 OMZ458751:OMZ458828 OMZ524287:OMZ524364 OMZ589823:OMZ589900 OMZ655359:OMZ655436 OMZ720895:OMZ720972 OMZ786431:OMZ786508 OMZ851967:OMZ852044 OMZ917503:OMZ917580 OMZ983039:OMZ983116 OWV2:OWV76 OWV65535:OWV65612 OWV131071:OWV131148 OWV196607:OWV196684 OWV262143:OWV262220 OWV327679:OWV327756 OWV393215:OWV393292 OWV458751:OWV458828 OWV524287:OWV524364 OWV589823:OWV589900 OWV655359:OWV655436 OWV720895:OWV720972 OWV786431:OWV786508 OWV851967:OWV852044 OWV917503:OWV917580 OWV983039:OWV983116 PGR2:PGR76 PGR65535:PGR65612 PGR131071:PGR131148 PGR196607:PGR196684 PGR262143:PGR262220 PGR327679:PGR327756 PGR393215:PGR393292 PGR458751:PGR458828 PGR524287:PGR524364 PGR589823:PGR589900 PGR655359:PGR655436 PGR720895:PGR720972 PGR786431:PGR786508 PGR851967:PGR852044 PGR917503:PGR917580 PGR983039:PGR983116 PQN2:PQN76 PQN65535:PQN65612 PQN131071:PQN131148 PQN196607:PQN196684 PQN262143:PQN262220 PQN327679:PQN327756 PQN393215:PQN393292 PQN458751:PQN458828 PQN524287:PQN524364 PQN589823:PQN589900 PQN655359:PQN655436 PQN720895:PQN720972 PQN786431:PQN786508 PQN851967:PQN852044 PQN917503:PQN917580 PQN983039:PQN983116 QAJ2:QAJ76 QAJ65535:QAJ65612 QAJ131071:QAJ131148 QAJ196607:QAJ196684 QAJ262143:QAJ262220 QAJ327679:QAJ327756 QAJ393215:QAJ393292 QAJ458751:QAJ458828 QAJ524287:QAJ524364 QAJ589823:QAJ589900 QAJ655359:QAJ655436 QAJ720895:QAJ720972 QAJ786431:QAJ786508 QAJ851967:QAJ852044 QAJ917503:QAJ917580 QAJ983039:QAJ983116 QKF2:QKF76 QKF65535:QKF65612 QKF131071:QKF131148 QKF196607:QKF196684 QKF262143:QKF262220 QKF327679:QKF327756 QKF393215:QKF393292 QKF458751:QKF458828 QKF524287:QKF524364 QKF589823:QKF589900 QKF655359:QKF655436 QKF720895:QKF720972 QKF786431:QKF786508 QKF851967:QKF852044 QKF917503:QKF917580 QKF983039:QKF983116 QUB2:QUB76 QUB65535:QUB65612 QUB131071:QUB131148 QUB196607:QUB196684 QUB262143:QUB262220 QUB327679:QUB327756 QUB393215:QUB393292 QUB458751:QUB458828 QUB524287:QUB524364 QUB589823:QUB589900 QUB655359:QUB655436 QUB720895:QUB720972 QUB786431:QUB786508 QUB851967:QUB852044 QUB917503:QUB917580 QUB983039:QUB983116 RDX2:RDX76 RDX65535:RDX65612 RDX131071:RDX131148 RDX196607:RDX196684 RDX262143:RDX262220 RDX327679:RDX327756 RDX393215:RDX393292 RDX458751:RDX458828 RDX524287:RDX524364 RDX589823:RDX589900 RDX655359:RDX655436 RDX720895:RDX720972 RDX786431:RDX786508 RDX851967:RDX852044 RDX917503:RDX917580 RDX983039:RDX983116 RNT2:RNT76 RNT65535:RNT65612 RNT131071:RNT131148 RNT196607:RNT196684 RNT262143:RNT262220 RNT327679:RNT327756 RNT393215:RNT393292 RNT458751:RNT458828 RNT524287:RNT524364 RNT589823:RNT589900 RNT655359:RNT655436 RNT720895:RNT720972 RNT786431:RNT786508 RNT851967:RNT852044 RNT917503:RNT917580 RNT983039:RNT983116 RXP2:RXP76 RXP65535:RXP65612 RXP131071:RXP131148 RXP196607:RXP196684 RXP262143:RXP262220 RXP327679:RXP327756 RXP393215:RXP393292 RXP458751:RXP458828 RXP524287:RXP524364 RXP589823:RXP589900 RXP655359:RXP655436 RXP720895:RXP720972 RXP786431:RXP786508 RXP851967:RXP852044 RXP917503:RXP917580 RXP983039:RXP983116 SHL2:SHL76 SHL65535:SHL65612 SHL131071:SHL131148 SHL196607:SHL196684 SHL262143:SHL262220 SHL327679:SHL327756 SHL393215:SHL393292 SHL458751:SHL458828 SHL524287:SHL524364 SHL589823:SHL589900 SHL655359:SHL655436 SHL720895:SHL720972 SHL786431:SHL786508 SHL851967:SHL852044 SHL917503:SHL917580 SHL983039:SHL983116 SRH2:SRH76 SRH65535:SRH65612 SRH131071:SRH131148 SRH196607:SRH196684 SRH262143:SRH262220 SRH327679:SRH327756 SRH393215:SRH393292 SRH458751:SRH458828 SRH524287:SRH524364 SRH589823:SRH589900 SRH655359:SRH655436 SRH720895:SRH720972 SRH786431:SRH786508 SRH851967:SRH852044 SRH917503:SRH917580 SRH983039:SRH983116 TBD2:TBD76 TBD65535:TBD65612 TBD131071:TBD131148 TBD196607:TBD196684 TBD262143:TBD262220 TBD327679:TBD327756 TBD393215:TBD393292 TBD458751:TBD458828 TBD524287:TBD524364 TBD589823:TBD589900 TBD655359:TBD655436 TBD720895:TBD720972 TBD786431:TBD786508 TBD851967:TBD852044 TBD917503:TBD917580 TBD983039:TBD983116 TKZ2:TKZ76 TKZ65535:TKZ65612 TKZ131071:TKZ131148 TKZ196607:TKZ196684 TKZ262143:TKZ262220 TKZ327679:TKZ327756 TKZ393215:TKZ393292 TKZ458751:TKZ458828 TKZ524287:TKZ524364 TKZ589823:TKZ589900 TKZ655359:TKZ655436 TKZ720895:TKZ720972 TKZ786431:TKZ786508 TKZ851967:TKZ852044 TKZ917503:TKZ917580 TKZ983039:TKZ983116 TUV2:TUV76 TUV65535:TUV65612 TUV131071:TUV131148 TUV196607:TUV196684 TUV262143:TUV262220 TUV327679:TUV327756 TUV393215:TUV393292 TUV458751:TUV458828 TUV524287:TUV524364 TUV589823:TUV589900 TUV655359:TUV655436 TUV720895:TUV720972 TUV786431:TUV786508 TUV851967:TUV852044 TUV917503:TUV917580 TUV983039:TUV983116 UER2:UER76 UER65535:UER65612 UER131071:UER131148 UER196607:UER196684 UER262143:UER262220 UER327679:UER327756 UER393215:UER393292 UER458751:UER458828 UER524287:UER524364 UER589823:UER589900 UER655359:UER655436 UER720895:UER720972 UER786431:UER786508 UER851967:UER852044 UER917503:UER917580 UER983039:UER983116 UON2:UON76 UON65535:UON65612 UON131071:UON131148 UON196607:UON196684 UON262143:UON262220 UON327679:UON327756 UON393215:UON393292 UON458751:UON458828 UON524287:UON524364 UON589823:UON589900 UON655359:UON655436 UON720895:UON720972 UON786431:UON786508 UON851967:UON852044 UON917503:UON917580 UON983039:UON983116 UYJ2:UYJ76 UYJ65535:UYJ65612 UYJ131071:UYJ131148 UYJ196607:UYJ196684 UYJ262143:UYJ262220 UYJ327679:UYJ327756 UYJ393215:UYJ393292 UYJ458751:UYJ458828 UYJ524287:UYJ524364 UYJ589823:UYJ589900 UYJ655359:UYJ655436 UYJ720895:UYJ720972 UYJ786431:UYJ786508 UYJ851967:UYJ852044 UYJ917503:UYJ917580 UYJ983039:UYJ983116 VIF2:VIF76 VIF65535:VIF65612 VIF131071:VIF131148 VIF196607:VIF196684 VIF262143:VIF262220 VIF327679:VIF327756 VIF393215:VIF393292 VIF458751:VIF458828 VIF524287:VIF524364 VIF589823:VIF589900 VIF655359:VIF655436 VIF720895:VIF720972 VIF786431:VIF786508 VIF851967:VIF852044 VIF917503:VIF917580 VIF983039:VIF983116 VSB2:VSB76 VSB65535:VSB65612 VSB131071:VSB131148 VSB196607:VSB196684 VSB262143:VSB262220 VSB327679:VSB327756 VSB393215:VSB393292 VSB458751:VSB458828 VSB524287:VSB524364 VSB589823:VSB589900 VSB655359:VSB655436 VSB720895:VSB720972 VSB786431:VSB786508 VSB851967:VSB852044 VSB917503:VSB917580 VSB983039:VSB983116 WBX2:WBX76 WBX65535:WBX65612 WBX131071:WBX131148 WBX196607:WBX196684 WBX262143:WBX262220 WBX327679:WBX327756 WBX393215:WBX393292 WBX458751:WBX458828 WBX524287:WBX524364 WBX589823:WBX589900 WBX655359:WBX655436 WBX720895:WBX720972 WBX786431:WBX786508 WBX851967:WBX852044 WBX917503:WBX917580 WBX983039:WBX983116 WLT2:WLT76 WLT65535:WLT65612 WLT131071:WLT131148 WLT196607:WLT196684 WLT262143:WLT262220 WLT327679:WLT327756 WLT393215:WLT393292 WLT458751:WLT458828 WLT524287:WLT524364 WLT589823:WLT589900 WLT655359:WLT655436 WLT720895:WLT720972 WLT786431:WLT786508 WLT851967:WLT852044 WLT917503:WLT917580 WLT983039:WLT983116 WVP2:WVP76 WVP65535:WVP65612 WVP131071:WVP131148 WVP196607:WVP196684 WVP262143:WVP262220 WVP327679:WVP327756 WVP393215:WVP393292 WVP458751:WVP458828 WVP524287:WVP524364 WVP589823:WVP589900 WVP655359:WVP655436 WVP720895:WVP720972 WVP786431:WVP786508 WVP851967:WVP852044 WVP917503:WVP917580 WVP983039:WVP983116">
      <formula1>$AL$4:$AL$12</formula1>
    </dataValidation>
    <dataValidation type="list" allowBlank="1" showInputMessage="1" showErrorMessage="1" sqref="F2:F728 F65535:F65612 F131071:F131148 F196607:F196684 F262143:F262220 F327679:F327756 F393215:F393292 F458751:F458828 F524287:F524364 F589823:F589900 F655359:F655436 F720895:F720972 F786431:F786508 F851967:F852044 F917503:F917580 F983039:F983116 JB2:JB76 JB65535:JB65612 JB131071:JB131148 JB196607:JB196684 JB262143:JB262220 JB327679:JB327756 JB393215:JB393292 JB458751:JB458828 JB524287:JB524364 JB589823:JB589900 JB655359:JB655436 JB720895:JB720972 JB786431:JB786508 JB851967:JB852044 JB917503:JB917580 JB983039:JB983116 SX2:SX76 SX65535:SX65612 SX131071:SX131148 SX196607:SX196684 SX262143:SX262220 SX327679:SX327756 SX393215:SX393292 SX458751:SX458828 SX524287:SX524364 SX589823:SX589900 SX655359:SX655436 SX720895:SX720972 SX786431:SX786508 SX851967:SX852044 SX917503:SX917580 SX983039:SX983116 ACT2:ACT76 ACT65535:ACT65612 ACT131071:ACT131148 ACT196607:ACT196684 ACT262143:ACT262220 ACT327679:ACT327756 ACT393215:ACT393292 ACT458751:ACT458828 ACT524287:ACT524364 ACT589823:ACT589900 ACT655359:ACT655436 ACT720895:ACT720972 ACT786431:ACT786508 ACT851967:ACT852044 ACT917503:ACT917580 ACT983039:ACT983116 AMP2:AMP76 AMP65535:AMP65612 AMP131071:AMP131148 AMP196607:AMP196684 AMP262143:AMP262220 AMP327679:AMP327756 AMP393215:AMP393292 AMP458751:AMP458828 AMP524287:AMP524364 AMP589823:AMP589900 AMP655359:AMP655436 AMP720895:AMP720972 AMP786431:AMP786508 AMP851967:AMP852044 AMP917503:AMP917580 AMP983039:AMP983116 AWL2:AWL76 AWL65535:AWL65612 AWL131071:AWL131148 AWL196607:AWL196684 AWL262143:AWL262220 AWL327679:AWL327756 AWL393215:AWL393292 AWL458751:AWL458828 AWL524287:AWL524364 AWL589823:AWL589900 AWL655359:AWL655436 AWL720895:AWL720972 AWL786431:AWL786508 AWL851967:AWL852044 AWL917503:AWL917580 AWL983039:AWL983116 BGH2:BGH76 BGH65535:BGH65612 BGH131071:BGH131148 BGH196607:BGH196684 BGH262143:BGH262220 BGH327679:BGH327756 BGH393215:BGH393292 BGH458751:BGH458828 BGH524287:BGH524364 BGH589823:BGH589900 BGH655359:BGH655436 BGH720895:BGH720972 BGH786431:BGH786508 BGH851967:BGH852044 BGH917503:BGH917580 BGH983039:BGH983116 BQD2:BQD76 BQD65535:BQD65612 BQD131071:BQD131148 BQD196607:BQD196684 BQD262143:BQD262220 BQD327679:BQD327756 BQD393215:BQD393292 BQD458751:BQD458828 BQD524287:BQD524364 BQD589823:BQD589900 BQD655359:BQD655436 BQD720895:BQD720972 BQD786431:BQD786508 BQD851967:BQD852044 BQD917503:BQD917580 BQD983039:BQD983116 BZZ2:BZZ76 BZZ65535:BZZ65612 BZZ131071:BZZ131148 BZZ196607:BZZ196684 BZZ262143:BZZ262220 BZZ327679:BZZ327756 BZZ393215:BZZ393292 BZZ458751:BZZ458828 BZZ524287:BZZ524364 BZZ589823:BZZ589900 BZZ655359:BZZ655436 BZZ720895:BZZ720972 BZZ786431:BZZ786508 BZZ851967:BZZ852044 BZZ917503:BZZ917580 BZZ983039:BZZ983116 CJV2:CJV76 CJV65535:CJV65612 CJV131071:CJV131148 CJV196607:CJV196684 CJV262143:CJV262220 CJV327679:CJV327756 CJV393215:CJV393292 CJV458751:CJV458828 CJV524287:CJV524364 CJV589823:CJV589900 CJV655359:CJV655436 CJV720895:CJV720972 CJV786431:CJV786508 CJV851967:CJV852044 CJV917503:CJV917580 CJV983039:CJV983116 CTR2:CTR76 CTR65535:CTR65612 CTR131071:CTR131148 CTR196607:CTR196684 CTR262143:CTR262220 CTR327679:CTR327756 CTR393215:CTR393292 CTR458751:CTR458828 CTR524287:CTR524364 CTR589823:CTR589900 CTR655359:CTR655436 CTR720895:CTR720972 CTR786431:CTR786508 CTR851967:CTR852044 CTR917503:CTR917580 CTR983039:CTR983116 DDN2:DDN76 DDN65535:DDN65612 DDN131071:DDN131148 DDN196607:DDN196684 DDN262143:DDN262220 DDN327679:DDN327756 DDN393215:DDN393292 DDN458751:DDN458828 DDN524287:DDN524364 DDN589823:DDN589900 DDN655359:DDN655436 DDN720895:DDN720972 DDN786431:DDN786508 DDN851967:DDN852044 DDN917503:DDN917580 DDN983039:DDN983116 DNJ2:DNJ76 DNJ65535:DNJ65612 DNJ131071:DNJ131148 DNJ196607:DNJ196684 DNJ262143:DNJ262220 DNJ327679:DNJ327756 DNJ393215:DNJ393292 DNJ458751:DNJ458828 DNJ524287:DNJ524364 DNJ589823:DNJ589900 DNJ655359:DNJ655436 DNJ720895:DNJ720972 DNJ786431:DNJ786508 DNJ851967:DNJ852044 DNJ917503:DNJ917580 DNJ983039:DNJ983116 DXF2:DXF76 DXF65535:DXF65612 DXF131071:DXF131148 DXF196607:DXF196684 DXF262143:DXF262220 DXF327679:DXF327756 DXF393215:DXF393292 DXF458751:DXF458828 DXF524287:DXF524364 DXF589823:DXF589900 DXF655359:DXF655436 DXF720895:DXF720972 DXF786431:DXF786508 DXF851967:DXF852044 DXF917503:DXF917580 DXF983039:DXF983116 EHB2:EHB76 EHB65535:EHB65612 EHB131071:EHB131148 EHB196607:EHB196684 EHB262143:EHB262220 EHB327679:EHB327756 EHB393215:EHB393292 EHB458751:EHB458828 EHB524287:EHB524364 EHB589823:EHB589900 EHB655359:EHB655436 EHB720895:EHB720972 EHB786431:EHB786508 EHB851967:EHB852044 EHB917503:EHB917580 EHB983039:EHB983116 EQX2:EQX76 EQX65535:EQX65612 EQX131071:EQX131148 EQX196607:EQX196684 EQX262143:EQX262220 EQX327679:EQX327756 EQX393215:EQX393292 EQX458751:EQX458828 EQX524287:EQX524364 EQX589823:EQX589900 EQX655359:EQX655436 EQX720895:EQX720972 EQX786431:EQX786508 EQX851967:EQX852044 EQX917503:EQX917580 EQX983039:EQX983116 FAT2:FAT76 FAT65535:FAT65612 FAT131071:FAT131148 FAT196607:FAT196684 FAT262143:FAT262220 FAT327679:FAT327756 FAT393215:FAT393292 FAT458751:FAT458828 FAT524287:FAT524364 FAT589823:FAT589900 FAT655359:FAT655436 FAT720895:FAT720972 FAT786431:FAT786508 FAT851967:FAT852044 FAT917503:FAT917580 FAT983039:FAT983116 FKP2:FKP76 FKP65535:FKP65612 FKP131071:FKP131148 FKP196607:FKP196684 FKP262143:FKP262220 FKP327679:FKP327756 FKP393215:FKP393292 FKP458751:FKP458828 FKP524287:FKP524364 FKP589823:FKP589900 FKP655359:FKP655436 FKP720895:FKP720972 FKP786431:FKP786508 FKP851967:FKP852044 FKP917503:FKP917580 FKP983039:FKP983116 FUL2:FUL76 FUL65535:FUL65612 FUL131071:FUL131148 FUL196607:FUL196684 FUL262143:FUL262220 FUL327679:FUL327756 FUL393215:FUL393292 FUL458751:FUL458828 FUL524287:FUL524364 FUL589823:FUL589900 FUL655359:FUL655436 FUL720895:FUL720972 FUL786431:FUL786508 FUL851967:FUL852044 FUL917503:FUL917580 FUL983039:FUL983116 GEH2:GEH76 GEH65535:GEH65612 GEH131071:GEH131148 GEH196607:GEH196684 GEH262143:GEH262220 GEH327679:GEH327756 GEH393215:GEH393292 GEH458751:GEH458828 GEH524287:GEH524364 GEH589823:GEH589900 GEH655359:GEH655436 GEH720895:GEH720972 GEH786431:GEH786508 GEH851967:GEH852044 GEH917503:GEH917580 GEH983039:GEH983116 GOD2:GOD76 GOD65535:GOD65612 GOD131071:GOD131148 GOD196607:GOD196684 GOD262143:GOD262220 GOD327679:GOD327756 GOD393215:GOD393292 GOD458751:GOD458828 GOD524287:GOD524364 GOD589823:GOD589900 GOD655359:GOD655436 GOD720895:GOD720972 GOD786431:GOD786508 GOD851967:GOD852044 GOD917503:GOD917580 GOD983039:GOD983116 GXZ2:GXZ76 GXZ65535:GXZ65612 GXZ131071:GXZ131148 GXZ196607:GXZ196684 GXZ262143:GXZ262220 GXZ327679:GXZ327756 GXZ393215:GXZ393292 GXZ458751:GXZ458828 GXZ524287:GXZ524364 GXZ589823:GXZ589900 GXZ655359:GXZ655436 GXZ720895:GXZ720972 GXZ786431:GXZ786508 GXZ851967:GXZ852044 GXZ917503:GXZ917580 GXZ983039:GXZ983116 HHV2:HHV76 HHV65535:HHV65612 HHV131071:HHV131148 HHV196607:HHV196684 HHV262143:HHV262220 HHV327679:HHV327756 HHV393215:HHV393292 HHV458751:HHV458828 HHV524287:HHV524364 HHV589823:HHV589900 HHV655359:HHV655436 HHV720895:HHV720972 HHV786431:HHV786508 HHV851967:HHV852044 HHV917503:HHV917580 HHV983039:HHV983116 HRR2:HRR76 HRR65535:HRR65612 HRR131071:HRR131148 HRR196607:HRR196684 HRR262143:HRR262220 HRR327679:HRR327756 HRR393215:HRR393292 HRR458751:HRR458828 HRR524287:HRR524364 HRR589823:HRR589900 HRR655359:HRR655436 HRR720895:HRR720972 HRR786431:HRR786508 HRR851967:HRR852044 HRR917503:HRR917580 HRR983039:HRR983116 IBN2:IBN76 IBN65535:IBN65612 IBN131071:IBN131148 IBN196607:IBN196684 IBN262143:IBN262220 IBN327679:IBN327756 IBN393215:IBN393292 IBN458751:IBN458828 IBN524287:IBN524364 IBN589823:IBN589900 IBN655359:IBN655436 IBN720895:IBN720972 IBN786431:IBN786508 IBN851967:IBN852044 IBN917503:IBN917580 IBN983039:IBN983116 ILJ2:ILJ76 ILJ65535:ILJ65612 ILJ131071:ILJ131148 ILJ196607:ILJ196684 ILJ262143:ILJ262220 ILJ327679:ILJ327756 ILJ393215:ILJ393292 ILJ458751:ILJ458828 ILJ524287:ILJ524364 ILJ589823:ILJ589900 ILJ655359:ILJ655436 ILJ720895:ILJ720972 ILJ786431:ILJ786508 ILJ851967:ILJ852044 ILJ917503:ILJ917580 ILJ983039:ILJ983116 IVF2:IVF76 IVF65535:IVF65612 IVF131071:IVF131148 IVF196607:IVF196684 IVF262143:IVF262220 IVF327679:IVF327756 IVF393215:IVF393292 IVF458751:IVF458828 IVF524287:IVF524364 IVF589823:IVF589900 IVF655359:IVF655436 IVF720895:IVF720972 IVF786431:IVF786508 IVF851967:IVF852044 IVF917503:IVF917580 IVF983039:IVF983116 JFB2:JFB76 JFB65535:JFB65612 JFB131071:JFB131148 JFB196607:JFB196684 JFB262143:JFB262220 JFB327679:JFB327756 JFB393215:JFB393292 JFB458751:JFB458828 JFB524287:JFB524364 JFB589823:JFB589900 JFB655359:JFB655436 JFB720895:JFB720972 JFB786431:JFB786508 JFB851967:JFB852044 JFB917503:JFB917580 JFB983039:JFB983116 JOX2:JOX76 JOX65535:JOX65612 JOX131071:JOX131148 JOX196607:JOX196684 JOX262143:JOX262220 JOX327679:JOX327756 JOX393215:JOX393292 JOX458751:JOX458828 JOX524287:JOX524364 JOX589823:JOX589900 JOX655359:JOX655436 JOX720895:JOX720972 JOX786431:JOX786508 JOX851967:JOX852044 JOX917503:JOX917580 JOX983039:JOX983116 JYT2:JYT76 JYT65535:JYT65612 JYT131071:JYT131148 JYT196607:JYT196684 JYT262143:JYT262220 JYT327679:JYT327756 JYT393215:JYT393292 JYT458751:JYT458828 JYT524287:JYT524364 JYT589823:JYT589900 JYT655359:JYT655436 JYT720895:JYT720972 JYT786431:JYT786508 JYT851967:JYT852044 JYT917503:JYT917580 JYT983039:JYT983116 KIP2:KIP76 KIP65535:KIP65612 KIP131071:KIP131148 KIP196607:KIP196684 KIP262143:KIP262220 KIP327679:KIP327756 KIP393215:KIP393292 KIP458751:KIP458828 KIP524287:KIP524364 KIP589823:KIP589900 KIP655359:KIP655436 KIP720895:KIP720972 KIP786431:KIP786508 KIP851967:KIP852044 KIP917503:KIP917580 KIP983039:KIP983116 KSL2:KSL76 KSL65535:KSL65612 KSL131071:KSL131148 KSL196607:KSL196684 KSL262143:KSL262220 KSL327679:KSL327756 KSL393215:KSL393292 KSL458751:KSL458828 KSL524287:KSL524364 KSL589823:KSL589900 KSL655359:KSL655436 KSL720895:KSL720972 KSL786431:KSL786508 KSL851967:KSL852044 KSL917503:KSL917580 KSL983039:KSL983116 LCH2:LCH76 LCH65535:LCH65612 LCH131071:LCH131148 LCH196607:LCH196684 LCH262143:LCH262220 LCH327679:LCH327756 LCH393215:LCH393292 LCH458751:LCH458828 LCH524287:LCH524364 LCH589823:LCH589900 LCH655359:LCH655436 LCH720895:LCH720972 LCH786431:LCH786508 LCH851967:LCH852044 LCH917503:LCH917580 LCH983039:LCH983116 LMD2:LMD76 LMD65535:LMD65612 LMD131071:LMD131148 LMD196607:LMD196684 LMD262143:LMD262220 LMD327679:LMD327756 LMD393215:LMD393292 LMD458751:LMD458828 LMD524287:LMD524364 LMD589823:LMD589900 LMD655359:LMD655436 LMD720895:LMD720972 LMD786431:LMD786508 LMD851967:LMD852044 LMD917503:LMD917580 LMD983039:LMD983116 LVZ2:LVZ76 LVZ65535:LVZ65612 LVZ131071:LVZ131148 LVZ196607:LVZ196684 LVZ262143:LVZ262220 LVZ327679:LVZ327756 LVZ393215:LVZ393292 LVZ458751:LVZ458828 LVZ524287:LVZ524364 LVZ589823:LVZ589900 LVZ655359:LVZ655436 LVZ720895:LVZ720972 LVZ786431:LVZ786508 LVZ851967:LVZ852044 LVZ917503:LVZ917580 LVZ983039:LVZ983116 MFV2:MFV76 MFV65535:MFV65612 MFV131071:MFV131148 MFV196607:MFV196684 MFV262143:MFV262220 MFV327679:MFV327756 MFV393215:MFV393292 MFV458751:MFV458828 MFV524287:MFV524364 MFV589823:MFV589900 MFV655359:MFV655436 MFV720895:MFV720972 MFV786431:MFV786508 MFV851967:MFV852044 MFV917503:MFV917580 MFV983039:MFV983116 MPR2:MPR76 MPR65535:MPR65612 MPR131071:MPR131148 MPR196607:MPR196684 MPR262143:MPR262220 MPR327679:MPR327756 MPR393215:MPR393292 MPR458751:MPR458828 MPR524287:MPR524364 MPR589823:MPR589900 MPR655359:MPR655436 MPR720895:MPR720972 MPR786431:MPR786508 MPR851967:MPR852044 MPR917503:MPR917580 MPR983039:MPR983116 MZN2:MZN76 MZN65535:MZN65612 MZN131071:MZN131148 MZN196607:MZN196684 MZN262143:MZN262220 MZN327679:MZN327756 MZN393215:MZN393292 MZN458751:MZN458828 MZN524287:MZN524364 MZN589823:MZN589900 MZN655359:MZN655436 MZN720895:MZN720972 MZN786431:MZN786508 MZN851967:MZN852044 MZN917503:MZN917580 MZN983039:MZN983116 NJJ2:NJJ76 NJJ65535:NJJ65612 NJJ131071:NJJ131148 NJJ196607:NJJ196684 NJJ262143:NJJ262220 NJJ327679:NJJ327756 NJJ393215:NJJ393292 NJJ458751:NJJ458828 NJJ524287:NJJ524364 NJJ589823:NJJ589900 NJJ655359:NJJ655436 NJJ720895:NJJ720972 NJJ786431:NJJ786508 NJJ851967:NJJ852044 NJJ917503:NJJ917580 NJJ983039:NJJ983116 NTF2:NTF76 NTF65535:NTF65612 NTF131071:NTF131148 NTF196607:NTF196684 NTF262143:NTF262220 NTF327679:NTF327756 NTF393215:NTF393292 NTF458751:NTF458828 NTF524287:NTF524364 NTF589823:NTF589900 NTF655359:NTF655436 NTF720895:NTF720972 NTF786431:NTF786508 NTF851967:NTF852044 NTF917503:NTF917580 NTF983039:NTF983116 ODB2:ODB76 ODB65535:ODB65612 ODB131071:ODB131148 ODB196607:ODB196684 ODB262143:ODB262220 ODB327679:ODB327756 ODB393215:ODB393292 ODB458751:ODB458828 ODB524287:ODB524364 ODB589823:ODB589900 ODB655359:ODB655436 ODB720895:ODB720972 ODB786431:ODB786508 ODB851967:ODB852044 ODB917503:ODB917580 ODB983039:ODB983116 OMX2:OMX76 OMX65535:OMX65612 OMX131071:OMX131148 OMX196607:OMX196684 OMX262143:OMX262220 OMX327679:OMX327756 OMX393215:OMX393292 OMX458751:OMX458828 OMX524287:OMX524364 OMX589823:OMX589900 OMX655359:OMX655436 OMX720895:OMX720972 OMX786431:OMX786508 OMX851967:OMX852044 OMX917503:OMX917580 OMX983039:OMX983116 OWT2:OWT76 OWT65535:OWT65612 OWT131071:OWT131148 OWT196607:OWT196684 OWT262143:OWT262220 OWT327679:OWT327756 OWT393215:OWT393292 OWT458751:OWT458828 OWT524287:OWT524364 OWT589823:OWT589900 OWT655359:OWT655436 OWT720895:OWT720972 OWT786431:OWT786508 OWT851967:OWT852044 OWT917503:OWT917580 OWT983039:OWT983116 PGP2:PGP76 PGP65535:PGP65612 PGP131071:PGP131148 PGP196607:PGP196684 PGP262143:PGP262220 PGP327679:PGP327756 PGP393215:PGP393292 PGP458751:PGP458828 PGP524287:PGP524364 PGP589823:PGP589900 PGP655359:PGP655436 PGP720895:PGP720972 PGP786431:PGP786508 PGP851967:PGP852044 PGP917503:PGP917580 PGP983039:PGP983116 PQL2:PQL76 PQL65535:PQL65612 PQL131071:PQL131148 PQL196607:PQL196684 PQL262143:PQL262220 PQL327679:PQL327756 PQL393215:PQL393292 PQL458751:PQL458828 PQL524287:PQL524364 PQL589823:PQL589900 PQL655359:PQL655436 PQL720895:PQL720972 PQL786431:PQL786508 PQL851967:PQL852044 PQL917503:PQL917580 PQL983039:PQL983116 QAH2:QAH76 QAH65535:QAH65612 QAH131071:QAH131148 QAH196607:QAH196684 QAH262143:QAH262220 QAH327679:QAH327756 QAH393215:QAH393292 QAH458751:QAH458828 QAH524287:QAH524364 QAH589823:QAH589900 QAH655359:QAH655436 QAH720895:QAH720972 QAH786431:QAH786508 QAH851967:QAH852044 QAH917503:QAH917580 QAH983039:QAH983116 QKD2:QKD76 QKD65535:QKD65612 QKD131071:QKD131148 QKD196607:QKD196684 QKD262143:QKD262220 QKD327679:QKD327756 QKD393215:QKD393292 QKD458751:QKD458828 QKD524287:QKD524364 QKD589823:QKD589900 QKD655359:QKD655436 QKD720895:QKD720972 QKD786431:QKD786508 QKD851967:QKD852044 QKD917503:QKD917580 QKD983039:QKD983116 QTZ2:QTZ76 QTZ65535:QTZ65612 QTZ131071:QTZ131148 QTZ196607:QTZ196684 QTZ262143:QTZ262220 QTZ327679:QTZ327756 QTZ393215:QTZ393292 QTZ458751:QTZ458828 QTZ524287:QTZ524364 QTZ589823:QTZ589900 QTZ655359:QTZ655436 QTZ720895:QTZ720972 QTZ786431:QTZ786508 QTZ851967:QTZ852044 QTZ917503:QTZ917580 QTZ983039:QTZ983116 RDV2:RDV76 RDV65535:RDV65612 RDV131071:RDV131148 RDV196607:RDV196684 RDV262143:RDV262220 RDV327679:RDV327756 RDV393215:RDV393292 RDV458751:RDV458828 RDV524287:RDV524364 RDV589823:RDV589900 RDV655359:RDV655436 RDV720895:RDV720972 RDV786431:RDV786508 RDV851967:RDV852044 RDV917503:RDV917580 RDV983039:RDV983116 RNR2:RNR76 RNR65535:RNR65612 RNR131071:RNR131148 RNR196607:RNR196684 RNR262143:RNR262220 RNR327679:RNR327756 RNR393215:RNR393292 RNR458751:RNR458828 RNR524287:RNR524364 RNR589823:RNR589900 RNR655359:RNR655436 RNR720895:RNR720972 RNR786431:RNR786508 RNR851967:RNR852044 RNR917503:RNR917580 RNR983039:RNR983116 RXN2:RXN76 RXN65535:RXN65612 RXN131071:RXN131148 RXN196607:RXN196684 RXN262143:RXN262220 RXN327679:RXN327756 RXN393215:RXN393292 RXN458751:RXN458828 RXN524287:RXN524364 RXN589823:RXN589900 RXN655359:RXN655436 RXN720895:RXN720972 RXN786431:RXN786508 RXN851967:RXN852044 RXN917503:RXN917580 RXN983039:RXN983116 SHJ2:SHJ76 SHJ65535:SHJ65612 SHJ131071:SHJ131148 SHJ196607:SHJ196684 SHJ262143:SHJ262220 SHJ327679:SHJ327756 SHJ393215:SHJ393292 SHJ458751:SHJ458828 SHJ524287:SHJ524364 SHJ589823:SHJ589900 SHJ655359:SHJ655436 SHJ720895:SHJ720972 SHJ786431:SHJ786508 SHJ851967:SHJ852044 SHJ917503:SHJ917580 SHJ983039:SHJ983116 SRF2:SRF76 SRF65535:SRF65612 SRF131071:SRF131148 SRF196607:SRF196684 SRF262143:SRF262220 SRF327679:SRF327756 SRF393215:SRF393292 SRF458751:SRF458828 SRF524287:SRF524364 SRF589823:SRF589900 SRF655359:SRF655436 SRF720895:SRF720972 SRF786431:SRF786508 SRF851967:SRF852044 SRF917503:SRF917580 SRF983039:SRF983116 TBB2:TBB76 TBB65535:TBB65612 TBB131071:TBB131148 TBB196607:TBB196684 TBB262143:TBB262220 TBB327679:TBB327756 TBB393215:TBB393292 TBB458751:TBB458828 TBB524287:TBB524364 TBB589823:TBB589900 TBB655359:TBB655436 TBB720895:TBB720972 TBB786431:TBB786508 TBB851967:TBB852044 TBB917503:TBB917580 TBB983039:TBB983116 TKX2:TKX76 TKX65535:TKX65612 TKX131071:TKX131148 TKX196607:TKX196684 TKX262143:TKX262220 TKX327679:TKX327756 TKX393215:TKX393292 TKX458751:TKX458828 TKX524287:TKX524364 TKX589823:TKX589900 TKX655359:TKX655436 TKX720895:TKX720972 TKX786431:TKX786508 TKX851967:TKX852044 TKX917503:TKX917580 TKX983039:TKX983116 TUT2:TUT76 TUT65535:TUT65612 TUT131071:TUT131148 TUT196607:TUT196684 TUT262143:TUT262220 TUT327679:TUT327756 TUT393215:TUT393292 TUT458751:TUT458828 TUT524287:TUT524364 TUT589823:TUT589900 TUT655359:TUT655436 TUT720895:TUT720972 TUT786431:TUT786508 TUT851967:TUT852044 TUT917503:TUT917580 TUT983039:TUT983116 UEP2:UEP76 UEP65535:UEP65612 UEP131071:UEP131148 UEP196607:UEP196684 UEP262143:UEP262220 UEP327679:UEP327756 UEP393215:UEP393292 UEP458751:UEP458828 UEP524287:UEP524364 UEP589823:UEP589900 UEP655359:UEP655436 UEP720895:UEP720972 UEP786431:UEP786508 UEP851967:UEP852044 UEP917503:UEP917580 UEP983039:UEP983116 UOL2:UOL76 UOL65535:UOL65612 UOL131071:UOL131148 UOL196607:UOL196684 UOL262143:UOL262220 UOL327679:UOL327756 UOL393215:UOL393292 UOL458751:UOL458828 UOL524287:UOL524364 UOL589823:UOL589900 UOL655359:UOL655436 UOL720895:UOL720972 UOL786431:UOL786508 UOL851967:UOL852044 UOL917503:UOL917580 UOL983039:UOL983116 UYH2:UYH76 UYH65535:UYH65612 UYH131071:UYH131148 UYH196607:UYH196684 UYH262143:UYH262220 UYH327679:UYH327756 UYH393215:UYH393292 UYH458751:UYH458828 UYH524287:UYH524364 UYH589823:UYH589900 UYH655359:UYH655436 UYH720895:UYH720972 UYH786431:UYH786508 UYH851967:UYH852044 UYH917503:UYH917580 UYH983039:UYH983116 VID2:VID76 VID65535:VID65612 VID131071:VID131148 VID196607:VID196684 VID262143:VID262220 VID327679:VID327756 VID393215:VID393292 VID458751:VID458828 VID524287:VID524364 VID589823:VID589900 VID655359:VID655436 VID720895:VID720972 VID786431:VID786508 VID851967:VID852044 VID917503:VID917580 VID983039:VID983116 VRZ2:VRZ76 VRZ65535:VRZ65612 VRZ131071:VRZ131148 VRZ196607:VRZ196684 VRZ262143:VRZ262220 VRZ327679:VRZ327756 VRZ393215:VRZ393292 VRZ458751:VRZ458828 VRZ524287:VRZ524364 VRZ589823:VRZ589900 VRZ655359:VRZ655436 VRZ720895:VRZ720972 VRZ786431:VRZ786508 VRZ851967:VRZ852044 VRZ917503:VRZ917580 VRZ983039:VRZ983116 WBV2:WBV76 WBV65535:WBV65612 WBV131071:WBV131148 WBV196607:WBV196684 WBV262143:WBV262220 WBV327679:WBV327756 WBV393215:WBV393292 WBV458751:WBV458828 WBV524287:WBV524364 WBV589823:WBV589900 WBV655359:WBV655436 WBV720895:WBV720972 WBV786431:WBV786508 WBV851967:WBV852044 WBV917503:WBV917580 WBV983039:WBV983116 WLR2:WLR76 WLR65535:WLR65612 WLR131071:WLR131148 WLR196607:WLR196684 WLR262143:WLR262220 WLR327679:WLR327756 WLR393215:WLR393292 WLR458751:WLR458828 WLR524287:WLR524364 WLR589823:WLR589900 WLR655359:WLR655436 WLR720895:WLR720972 WLR786431:WLR786508 WLR851967:WLR852044 WLR917503:WLR917580 WLR983039:WLR983116 WVN2:WVN76 WVN65535:WVN65612 WVN131071:WVN131148 WVN196607:WVN196684 WVN262143:WVN262220 WVN327679:WVN327756 WVN393215:WVN393292 WVN458751:WVN458828 WVN524287:WVN524364 WVN589823:WVN589900 WVN655359:WVN655436 WVN720895:WVN720972 WVN786431:WVN786508 WVN851967:WVN852044 WVN917503:WVN917580 WVN983039:WVN983116">
      <formula1>$AH$2:$AH$11</formula1>
    </dataValidation>
    <dataValidation type="list" allowBlank="1" showInputMessage="1" showErrorMessage="1" sqref="Y2:AA497">
      <formula1>$AV$2:$AV$21</formula1>
    </dataValidation>
    <dataValidation type="list" allowBlank="1" showInputMessage="1" showErrorMessage="1" sqref="K2:K86">
      <formula1>$AR$2:$AR$23</formula1>
    </dataValidation>
    <dataValidation type="list" allowBlank="1" showInputMessage="1" showErrorMessage="1" sqref="I2:I497 I65535:I65612 I131071:I131148 I196607:I196684 I262143:I262220 I327679:I327756 I393215:I393292 I458751:I458828 I524287:I524364 I589823:I589900 I655359:I655436 I720895:I720972 I786431:I786508 I851967:I852044 I917503:I917580 I983039:I983116 JE2:JE76 JE65535:JE65612 JE131071:JE131148 JE196607:JE196684 JE262143:JE262220 JE327679:JE327756 JE393215:JE393292 JE458751:JE458828 JE524287:JE524364 JE589823:JE589900 JE655359:JE655436 JE720895:JE720972 JE786431:JE786508 JE851967:JE852044 JE917503:JE917580 JE983039:JE983116 TA2:TA76 TA65535:TA65612 TA131071:TA131148 TA196607:TA196684 TA262143:TA262220 TA327679:TA327756 TA393215:TA393292 TA458751:TA458828 TA524287:TA524364 TA589823:TA589900 TA655359:TA655436 TA720895:TA720972 TA786431:TA786508 TA851967:TA852044 TA917503:TA917580 TA983039:TA983116 ACW2:ACW76 ACW65535:ACW65612 ACW131071:ACW131148 ACW196607:ACW196684 ACW262143:ACW262220 ACW327679:ACW327756 ACW393215:ACW393292 ACW458751:ACW458828 ACW524287:ACW524364 ACW589823:ACW589900 ACW655359:ACW655436 ACW720895:ACW720972 ACW786431:ACW786508 ACW851967:ACW852044 ACW917503:ACW917580 ACW983039:ACW983116 AMS2:AMS76 AMS65535:AMS65612 AMS131071:AMS131148 AMS196607:AMS196684 AMS262143:AMS262220 AMS327679:AMS327756 AMS393215:AMS393292 AMS458751:AMS458828 AMS524287:AMS524364 AMS589823:AMS589900 AMS655359:AMS655436 AMS720895:AMS720972 AMS786431:AMS786508 AMS851967:AMS852044 AMS917503:AMS917580 AMS983039:AMS983116 AWO2:AWO76 AWO65535:AWO65612 AWO131071:AWO131148 AWO196607:AWO196684 AWO262143:AWO262220 AWO327679:AWO327756 AWO393215:AWO393292 AWO458751:AWO458828 AWO524287:AWO524364 AWO589823:AWO589900 AWO655359:AWO655436 AWO720895:AWO720972 AWO786431:AWO786508 AWO851967:AWO852044 AWO917503:AWO917580 AWO983039:AWO983116 BGK2:BGK76 BGK65535:BGK65612 BGK131071:BGK131148 BGK196607:BGK196684 BGK262143:BGK262220 BGK327679:BGK327756 BGK393215:BGK393292 BGK458751:BGK458828 BGK524287:BGK524364 BGK589823:BGK589900 BGK655359:BGK655436 BGK720895:BGK720972 BGK786431:BGK786508 BGK851967:BGK852044 BGK917503:BGK917580 BGK983039:BGK983116 BQG2:BQG76 BQG65535:BQG65612 BQG131071:BQG131148 BQG196607:BQG196684 BQG262143:BQG262220 BQG327679:BQG327756 BQG393215:BQG393292 BQG458751:BQG458828 BQG524287:BQG524364 BQG589823:BQG589900 BQG655359:BQG655436 BQG720895:BQG720972 BQG786431:BQG786508 BQG851967:BQG852044 BQG917503:BQG917580 BQG983039:BQG983116 CAC2:CAC76 CAC65535:CAC65612 CAC131071:CAC131148 CAC196607:CAC196684 CAC262143:CAC262220 CAC327679:CAC327756 CAC393215:CAC393292 CAC458751:CAC458828 CAC524287:CAC524364 CAC589823:CAC589900 CAC655359:CAC655436 CAC720895:CAC720972 CAC786431:CAC786508 CAC851967:CAC852044 CAC917503:CAC917580 CAC983039:CAC983116 CJY2:CJY76 CJY65535:CJY65612 CJY131071:CJY131148 CJY196607:CJY196684 CJY262143:CJY262220 CJY327679:CJY327756 CJY393215:CJY393292 CJY458751:CJY458828 CJY524287:CJY524364 CJY589823:CJY589900 CJY655359:CJY655436 CJY720895:CJY720972 CJY786431:CJY786508 CJY851967:CJY852044 CJY917503:CJY917580 CJY983039:CJY983116 CTU2:CTU76 CTU65535:CTU65612 CTU131071:CTU131148 CTU196607:CTU196684 CTU262143:CTU262220 CTU327679:CTU327756 CTU393215:CTU393292 CTU458751:CTU458828 CTU524287:CTU524364 CTU589823:CTU589900 CTU655359:CTU655436 CTU720895:CTU720972 CTU786431:CTU786508 CTU851967:CTU852044 CTU917503:CTU917580 CTU983039:CTU983116 DDQ2:DDQ76 DDQ65535:DDQ65612 DDQ131071:DDQ131148 DDQ196607:DDQ196684 DDQ262143:DDQ262220 DDQ327679:DDQ327756 DDQ393215:DDQ393292 DDQ458751:DDQ458828 DDQ524287:DDQ524364 DDQ589823:DDQ589900 DDQ655359:DDQ655436 DDQ720895:DDQ720972 DDQ786431:DDQ786508 DDQ851967:DDQ852044 DDQ917503:DDQ917580 DDQ983039:DDQ983116 DNM2:DNM76 DNM65535:DNM65612 DNM131071:DNM131148 DNM196607:DNM196684 DNM262143:DNM262220 DNM327679:DNM327756 DNM393215:DNM393292 DNM458751:DNM458828 DNM524287:DNM524364 DNM589823:DNM589900 DNM655359:DNM655436 DNM720895:DNM720972 DNM786431:DNM786508 DNM851967:DNM852044 DNM917503:DNM917580 DNM983039:DNM983116 DXI2:DXI76 DXI65535:DXI65612 DXI131071:DXI131148 DXI196607:DXI196684 DXI262143:DXI262220 DXI327679:DXI327756 DXI393215:DXI393292 DXI458751:DXI458828 DXI524287:DXI524364 DXI589823:DXI589900 DXI655359:DXI655436 DXI720895:DXI720972 DXI786431:DXI786508 DXI851967:DXI852044 DXI917503:DXI917580 DXI983039:DXI983116 EHE2:EHE76 EHE65535:EHE65612 EHE131071:EHE131148 EHE196607:EHE196684 EHE262143:EHE262220 EHE327679:EHE327756 EHE393215:EHE393292 EHE458751:EHE458828 EHE524287:EHE524364 EHE589823:EHE589900 EHE655359:EHE655436 EHE720895:EHE720972 EHE786431:EHE786508 EHE851967:EHE852044 EHE917503:EHE917580 EHE983039:EHE983116 ERA2:ERA76 ERA65535:ERA65612 ERA131071:ERA131148 ERA196607:ERA196684 ERA262143:ERA262220 ERA327679:ERA327756 ERA393215:ERA393292 ERA458751:ERA458828 ERA524287:ERA524364 ERA589823:ERA589900 ERA655359:ERA655436 ERA720895:ERA720972 ERA786431:ERA786508 ERA851967:ERA852044 ERA917503:ERA917580 ERA983039:ERA983116 FAW2:FAW76 FAW65535:FAW65612 FAW131071:FAW131148 FAW196607:FAW196684 FAW262143:FAW262220 FAW327679:FAW327756 FAW393215:FAW393292 FAW458751:FAW458828 FAW524287:FAW524364 FAW589823:FAW589900 FAW655359:FAW655436 FAW720895:FAW720972 FAW786431:FAW786508 FAW851967:FAW852044 FAW917503:FAW917580 FAW983039:FAW983116 FKS2:FKS76 FKS65535:FKS65612 FKS131071:FKS131148 FKS196607:FKS196684 FKS262143:FKS262220 FKS327679:FKS327756 FKS393215:FKS393292 FKS458751:FKS458828 FKS524287:FKS524364 FKS589823:FKS589900 FKS655359:FKS655436 FKS720895:FKS720972 FKS786431:FKS786508 FKS851967:FKS852044 FKS917503:FKS917580 FKS983039:FKS983116 FUO2:FUO76 FUO65535:FUO65612 FUO131071:FUO131148 FUO196607:FUO196684 FUO262143:FUO262220 FUO327679:FUO327756 FUO393215:FUO393292 FUO458751:FUO458828 FUO524287:FUO524364 FUO589823:FUO589900 FUO655359:FUO655436 FUO720895:FUO720972 FUO786431:FUO786508 FUO851967:FUO852044 FUO917503:FUO917580 FUO983039:FUO983116 GEK2:GEK76 GEK65535:GEK65612 GEK131071:GEK131148 GEK196607:GEK196684 GEK262143:GEK262220 GEK327679:GEK327756 GEK393215:GEK393292 GEK458751:GEK458828 GEK524287:GEK524364 GEK589823:GEK589900 GEK655359:GEK655436 GEK720895:GEK720972 GEK786431:GEK786508 GEK851967:GEK852044 GEK917503:GEK917580 GEK983039:GEK983116 GOG2:GOG76 GOG65535:GOG65612 GOG131071:GOG131148 GOG196607:GOG196684 GOG262143:GOG262220 GOG327679:GOG327756 GOG393215:GOG393292 GOG458751:GOG458828 GOG524287:GOG524364 GOG589823:GOG589900 GOG655359:GOG655436 GOG720895:GOG720972 GOG786431:GOG786508 GOG851967:GOG852044 GOG917503:GOG917580 GOG983039:GOG983116 GYC2:GYC76 GYC65535:GYC65612 GYC131071:GYC131148 GYC196607:GYC196684 GYC262143:GYC262220 GYC327679:GYC327756 GYC393215:GYC393292 GYC458751:GYC458828 GYC524287:GYC524364 GYC589823:GYC589900 GYC655359:GYC655436 GYC720895:GYC720972 GYC786431:GYC786508 GYC851967:GYC852044 GYC917503:GYC917580 GYC983039:GYC983116 HHY2:HHY76 HHY65535:HHY65612 HHY131071:HHY131148 HHY196607:HHY196684 HHY262143:HHY262220 HHY327679:HHY327756 HHY393215:HHY393292 HHY458751:HHY458828 HHY524287:HHY524364 HHY589823:HHY589900 HHY655359:HHY655436 HHY720895:HHY720972 HHY786431:HHY786508 HHY851967:HHY852044 HHY917503:HHY917580 HHY983039:HHY983116 HRU2:HRU76 HRU65535:HRU65612 HRU131071:HRU131148 HRU196607:HRU196684 HRU262143:HRU262220 HRU327679:HRU327756 HRU393215:HRU393292 HRU458751:HRU458828 HRU524287:HRU524364 HRU589823:HRU589900 HRU655359:HRU655436 HRU720895:HRU720972 HRU786431:HRU786508 HRU851967:HRU852044 HRU917503:HRU917580 HRU983039:HRU983116 IBQ2:IBQ76 IBQ65535:IBQ65612 IBQ131071:IBQ131148 IBQ196607:IBQ196684 IBQ262143:IBQ262220 IBQ327679:IBQ327756 IBQ393215:IBQ393292 IBQ458751:IBQ458828 IBQ524287:IBQ524364 IBQ589823:IBQ589900 IBQ655359:IBQ655436 IBQ720895:IBQ720972 IBQ786431:IBQ786508 IBQ851967:IBQ852044 IBQ917503:IBQ917580 IBQ983039:IBQ983116 ILM2:ILM76 ILM65535:ILM65612 ILM131071:ILM131148 ILM196607:ILM196684 ILM262143:ILM262220 ILM327679:ILM327756 ILM393215:ILM393292 ILM458751:ILM458828 ILM524287:ILM524364 ILM589823:ILM589900 ILM655359:ILM655436 ILM720895:ILM720972 ILM786431:ILM786508 ILM851967:ILM852044 ILM917503:ILM917580 ILM983039:ILM983116 IVI2:IVI76 IVI65535:IVI65612 IVI131071:IVI131148 IVI196607:IVI196684 IVI262143:IVI262220 IVI327679:IVI327756 IVI393215:IVI393292 IVI458751:IVI458828 IVI524287:IVI524364 IVI589823:IVI589900 IVI655359:IVI655436 IVI720895:IVI720972 IVI786431:IVI786508 IVI851967:IVI852044 IVI917503:IVI917580 IVI983039:IVI983116 JFE2:JFE76 JFE65535:JFE65612 JFE131071:JFE131148 JFE196607:JFE196684 JFE262143:JFE262220 JFE327679:JFE327756 JFE393215:JFE393292 JFE458751:JFE458828 JFE524287:JFE524364 JFE589823:JFE589900 JFE655359:JFE655436 JFE720895:JFE720972 JFE786431:JFE786508 JFE851967:JFE852044 JFE917503:JFE917580 JFE983039:JFE983116 JPA2:JPA76 JPA65535:JPA65612 JPA131071:JPA131148 JPA196607:JPA196684 JPA262143:JPA262220 JPA327679:JPA327756 JPA393215:JPA393292 JPA458751:JPA458828 JPA524287:JPA524364 JPA589823:JPA589900 JPA655359:JPA655436 JPA720895:JPA720972 JPA786431:JPA786508 JPA851967:JPA852044 JPA917503:JPA917580 JPA983039:JPA983116 JYW2:JYW76 JYW65535:JYW65612 JYW131071:JYW131148 JYW196607:JYW196684 JYW262143:JYW262220 JYW327679:JYW327756 JYW393215:JYW393292 JYW458751:JYW458828 JYW524287:JYW524364 JYW589823:JYW589900 JYW655359:JYW655436 JYW720895:JYW720972 JYW786431:JYW786508 JYW851967:JYW852044 JYW917503:JYW917580 JYW983039:JYW983116 KIS2:KIS76 KIS65535:KIS65612 KIS131071:KIS131148 KIS196607:KIS196684 KIS262143:KIS262220 KIS327679:KIS327756 KIS393215:KIS393292 KIS458751:KIS458828 KIS524287:KIS524364 KIS589823:KIS589900 KIS655359:KIS655436 KIS720895:KIS720972 KIS786431:KIS786508 KIS851967:KIS852044 KIS917503:KIS917580 KIS983039:KIS983116 KSO2:KSO76 KSO65535:KSO65612 KSO131071:KSO131148 KSO196607:KSO196684 KSO262143:KSO262220 KSO327679:KSO327756 KSO393215:KSO393292 KSO458751:KSO458828 KSO524287:KSO524364 KSO589823:KSO589900 KSO655359:KSO655436 KSO720895:KSO720972 KSO786431:KSO786508 KSO851967:KSO852044 KSO917503:KSO917580 KSO983039:KSO983116 LCK2:LCK76 LCK65535:LCK65612 LCK131071:LCK131148 LCK196607:LCK196684 LCK262143:LCK262220 LCK327679:LCK327756 LCK393215:LCK393292 LCK458751:LCK458828 LCK524287:LCK524364 LCK589823:LCK589900 LCK655359:LCK655436 LCK720895:LCK720972 LCK786431:LCK786508 LCK851967:LCK852044 LCK917503:LCK917580 LCK983039:LCK983116 LMG2:LMG76 LMG65535:LMG65612 LMG131071:LMG131148 LMG196607:LMG196684 LMG262143:LMG262220 LMG327679:LMG327756 LMG393215:LMG393292 LMG458751:LMG458828 LMG524287:LMG524364 LMG589823:LMG589900 LMG655359:LMG655436 LMG720895:LMG720972 LMG786431:LMG786508 LMG851967:LMG852044 LMG917503:LMG917580 LMG983039:LMG983116 LWC2:LWC76 LWC65535:LWC65612 LWC131071:LWC131148 LWC196607:LWC196684 LWC262143:LWC262220 LWC327679:LWC327756 LWC393215:LWC393292 LWC458751:LWC458828 LWC524287:LWC524364 LWC589823:LWC589900 LWC655359:LWC655436 LWC720895:LWC720972 LWC786431:LWC786508 LWC851967:LWC852044 LWC917503:LWC917580 LWC983039:LWC983116 MFY2:MFY76 MFY65535:MFY65612 MFY131071:MFY131148 MFY196607:MFY196684 MFY262143:MFY262220 MFY327679:MFY327756 MFY393215:MFY393292 MFY458751:MFY458828 MFY524287:MFY524364 MFY589823:MFY589900 MFY655359:MFY655436 MFY720895:MFY720972 MFY786431:MFY786508 MFY851967:MFY852044 MFY917503:MFY917580 MFY983039:MFY983116 MPU2:MPU76 MPU65535:MPU65612 MPU131071:MPU131148 MPU196607:MPU196684 MPU262143:MPU262220 MPU327679:MPU327756 MPU393215:MPU393292 MPU458751:MPU458828 MPU524287:MPU524364 MPU589823:MPU589900 MPU655359:MPU655436 MPU720895:MPU720972 MPU786431:MPU786508 MPU851967:MPU852044 MPU917503:MPU917580 MPU983039:MPU983116 MZQ2:MZQ76 MZQ65535:MZQ65612 MZQ131071:MZQ131148 MZQ196607:MZQ196684 MZQ262143:MZQ262220 MZQ327679:MZQ327756 MZQ393215:MZQ393292 MZQ458751:MZQ458828 MZQ524287:MZQ524364 MZQ589823:MZQ589900 MZQ655359:MZQ655436 MZQ720895:MZQ720972 MZQ786431:MZQ786508 MZQ851967:MZQ852044 MZQ917503:MZQ917580 MZQ983039:MZQ983116 NJM2:NJM76 NJM65535:NJM65612 NJM131071:NJM131148 NJM196607:NJM196684 NJM262143:NJM262220 NJM327679:NJM327756 NJM393215:NJM393292 NJM458751:NJM458828 NJM524287:NJM524364 NJM589823:NJM589900 NJM655359:NJM655436 NJM720895:NJM720972 NJM786431:NJM786508 NJM851967:NJM852044 NJM917503:NJM917580 NJM983039:NJM983116 NTI2:NTI76 NTI65535:NTI65612 NTI131071:NTI131148 NTI196607:NTI196684 NTI262143:NTI262220 NTI327679:NTI327756 NTI393215:NTI393292 NTI458751:NTI458828 NTI524287:NTI524364 NTI589823:NTI589900 NTI655359:NTI655436 NTI720895:NTI720972 NTI786431:NTI786508 NTI851967:NTI852044 NTI917503:NTI917580 NTI983039:NTI983116 ODE2:ODE76 ODE65535:ODE65612 ODE131071:ODE131148 ODE196607:ODE196684 ODE262143:ODE262220 ODE327679:ODE327756 ODE393215:ODE393292 ODE458751:ODE458828 ODE524287:ODE524364 ODE589823:ODE589900 ODE655359:ODE655436 ODE720895:ODE720972 ODE786431:ODE786508 ODE851967:ODE852044 ODE917503:ODE917580 ODE983039:ODE983116 ONA2:ONA76 ONA65535:ONA65612 ONA131071:ONA131148 ONA196607:ONA196684 ONA262143:ONA262220 ONA327679:ONA327756 ONA393215:ONA393292 ONA458751:ONA458828 ONA524287:ONA524364 ONA589823:ONA589900 ONA655359:ONA655436 ONA720895:ONA720972 ONA786431:ONA786508 ONA851967:ONA852044 ONA917503:ONA917580 ONA983039:ONA983116 OWW2:OWW76 OWW65535:OWW65612 OWW131071:OWW131148 OWW196607:OWW196684 OWW262143:OWW262220 OWW327679:OWW327756 OWW393215:OWW393292 OWW458751:OWW458828 OWW524287:OWW524364 OWW589823:OWW589900 OWW655359:OWW655436 OWW720895:OWW720972 OWW786431:OWW786508 OWW851967:OWW852044 OWW917503:OWW917580 OWW983039:OWW983116 PGS2:PGS76 PGS65535:PGS65612 PGS131071:PGS131148 PGS196607:PGS196684 PGS262143:PGS262220 PGS327679:PGS327756 PGS393215:PGS393292 PGS458751:PGS458828 PGS524287:PGS524364 PGS589823:PGS589900 PGS655359:PGS655436 PGS720895:PGS720972 PGS786431:PGS786508 PGS851967:PGS852044 PGS917503:PGS917580 PGS983039:PGS983116 PQO2:PQO76 PQO65535:PQO65612 PQO131071:PQO131148 PQO196607:PQO196684 PQO262143:PQO262220 PQO327679:PQO327756 PQO393215:PQO393292 PQO458751:PQO458828 PQO524287:PQO524364 PQO589823:PQO589900 PQO655359:PQO655436 PQO720895:PQO720972 PQO786431:PQO786508 PQO851967:PQO852044 PQO917503:PQO917580 PQO983039:PQO983116 QAK2:QAK76 QAK65535:QAK65612 QAK131071:QAK131148 QAK196607:QAK196684 QAK262143:QAK262220 QAK327679:QAK327756 QAK393215:QAK393292 QAK458751:QAK458828 QAK524287:QAK524364 QAK589823:QAK589900 QAK655359:QAK655436 QAK720895:QAK720972 QAK786431:QAK786508 QAK851967:QAK852044 QAK917503:QAK917580 QAK983039:QAK983116 QKG2:QKG76 QKG65535:QKG65612 QKG131071:QKG131148 QKG196607:QKG196684 QKG262143:QKG262220 QKG327679:QKG327756 QKG393215:QKG393292 QKG458751:QKG458828 QKG524287:QKG524364 QKG589823:QKG589900 QKG655359:QKG655436 QKG720895:QKG720972 QKG786431:QKG786508 QKG851967:QKG852044 QKG917503:QKG917580 QKG983039:QKG983116 QUC2:QUC76 QUC65535:QUC65612 QUC131071:QUC131148 QUC196607:QUC196684 QUC262143:QUC262220 QUC327679:QUC327756 QUC393215:QUC393292 QUC458751:QUC458828 QUC524287:QUC524364 QUC589823:QUC589900 QUC655359:QUC655436 QUC720895:QUC720972 QUC786431:QUC786508 QUC851967:QUC852044 QUC917503:QUC917580 QUC983039:QUC983116 RDY2:RDY76 RDY65535:RDY65612 RDY131071:RDY131148 RDY196607:RDY196684 RDY262143:RDY262220 RDY327679:RDY327756 RDY393215:RDY393292 RDY458751:RDY458828 RDY524287:RDY524364 RDY589823:RDY589900 RDY655359:RDY655436 RDY720895:RDY720972 RDY786431:RDY786508 RDY851967:RDY852044 RDY917503:RDY917580 RDY983039:RDY983116 RNU2:RNU76 RNU65535:RNU65612 RNU131071:RNU131148 RNU196607:RNU196684 RNU262143:RNU262220 RNU327679:RNU327756 RNU393215:RNU393292 RNU458751:RNU458828 RNU524287:RNU524364 RNU589823:RNU589900 RNU655359:RNU655436 RNU720895:RNU720972 RNU786431:RNU786508 RNU851967:RNU852044 RNU917503:RNU917580 RNU983039:RNU983116 RXQ2:RXQ76 RXQ65535:RXQ65612 RXQ131071:RXQ131148 RXQ196607:RXQ196684 RXQ262143:RXQ262220 RXQ327679:RXQ327756 RXQ393215:RXQ393292 RXQ458751:RXQ458828 RXQ524287:RXQ524364 RXQ589823:RXQ589900 RXQ655359:RXQ655436 RXQ720895:RXQ720972 RXQ786431:RXQ786508 RXQ851967:RXQ852044 RXQ917503:RXQ917580 RXQ983039:RXQ983116 SHM2:SHM76 SHM65535:SHM65612 SHM131071:SHM131148 SHM196607:SHM196684 SHM262143:SHM262220 SHM327679:SHM327756 SHM393215:SHM393292 SHM458751:SHM458828 SHM524287:SHM524364 SHM589823:SHM589900 SHM655359:SHM655436 SHM720895:SHM720972 SHM786431:SHM786508 SHM851967:SHM852044 SHM917503:SHM917580 SHM983039:SHM983116 SRI2:SRI76 SRI65535:SRI65612 SRI131071:SRI131148 SRI196607:SRI196684 SRI262143:SRI262220 SRI327679:SRI327756 SRI393215:SRI393292 SRI458751:SRI458828 SRI524287:SRI524364 SRI589823:SRI589900 SRI655359:SRI655436 SRI720895:SRI720972 SRI786431:SRI786508 SRI851967:SRI852044 SRI917503:SRI917580 SRI983039:SRI983116 TBE2:TBE76 TBE65535:TBE65612 TBE131071:TBE131148 TBE196607:TBE196684 TBE262143:TBE262220 TBE327679:TBE327756 TBE393215:TBE393292 TBE458751:TBE458828 TBE524287:TBE524364 TBE589823:TBE589900 TBE655359:TBE655436 TBE720895:TBE720972 TBE786431:TBE786508 TBE851967:TBE852044 TBE917503:TBE917580 TBE983039:TBE983116 TLA2:TLA76 TLA65535:TLA65612 TLA131071:TLA131148 TLA196607:TLA196684 TLA262143:TLA262220 TLA327679:TLA327756 TLA393215:TLA393292 TLA458751:TLA458828 TLA524287:TLA524364 TLA589823:TLA589900 TLA655359:TLA655436 TLA720895:TLA720972 TLA786431:TLA786508 TLA851967:TLA852044 TLA917503:TLA917580 TLA983039:TLA983116 TUW2:TUW76 TUW65535:TUW65612 TUW131071:TUW131148 TUW196607:TUW196684 TUW262143:TUW262220 TUW327679:TUW327756 TUW393215:TUW393292 TUW458751:TUW458828 TUW524287:TUW524364 TUW589823:TUW589900 TUW655359:TUW655436 TUW720895:TUW720972 TUW786431:TUW786508 TUW851967:TUW852044 TUW917503:TUW917580 TUW983039:TUW983116 UES2:UES76 UES65535:UES65612 UES131071:UES131148 UES196607:UES196684 UES262143:UES262220 UES327679:UES327756 UES393215:UES393292 UES458751:UES458828 UES524287:UES524364 UES589823:UES589900 UES655359:UES655436 UES720895:UES720972 UES786431:UES786508 UES851967:UES852044 UES917503:UES917580 UES983039:UES983116 UOO2:UOO76 UOO65535:UOO65612 UOO131071:UOO131148 UOO196607:UOO196684 UOO262143:UOO262220 UOO327679:UOO327756 UOO393215:UOO393292 UOO458751:UOO458828 UOO524287:UOO524364 UOO589823:UOO589900 UOO655359:UOO655436 UOO720895:UOO720972 UOO786431:UOO786508 UOO851967:UOO852044 UOO917503:UOO917580 UOO983039:UOO983116 UYK2:UYK76 UYK65535:UYK65612 UYK131071:UYK131148 UYK196607:UYK196684 UYK262143:UYK262220 UYK327679:UYK327756 UYK393215:UYK393292 UYK458751:UYK458828 UYK524287:UYK524364 UYK589823:UYK589900 UYK655359:UYK655436 UYK720895:UYK720972 UYK786431:UYK786508 UYK851967:UYK852044 UYK917503:UYK917580 UYK983039:UYK983116 VIG2:VIG76 VIG65535:VIG65612 VIG131071:VIG131148 VIG196607:VIG196684 VIG262143:VIG262220 VIG327679:VIG327756 VIG393215:VIG393292 VIG458751:VIG458828 VIG524287:VIG524364 VIG589823:VIG589900 VIG655359:VIG655436 VIG720895:VIG720972 VIG786431:VIG786508 VIG851967:VIG852044 VIG917503:VIG917580 VIG983039:VIG983116 VSC2:VSC76 VSC65535:VSC65612 VSC131071:VSC131148 VSC196607:VSC196684 VSC262143:VSC262220 VSC327679:VSC327756 VSC393215:VSC393292 VSC458751:VSC458828 VSC524287:VSC524364 VSC589823:VSC589900 VSC655359:VSC655436 VSC720895:VSC720972 VSC786431:VSC786508 VSC851967:VSC852044 VSC917503:VSC917580 VSC983039:VSC983116 WBY2:WBY76 WBY65535:WBY65612 WBY131071:WBY131148 WBY196607:WBY196684 WBY262143:WBY262220 WBY327679:WBY327756 WBY393215:WBY393292 WBY458751:WBY458828 WBY524287:WBY524364 WBY589823:WBY589900 WBY655359:WBY655436 WBY720895:WBY720972 WBY786431:WBY786508 WBY851967:WBY852044 WBY917503:WBY917580 WBY983039:WBY983116 WLU2:WLU76 WLU65535:WLU65612 WLU131071:WLU131148 WLU196607:WLU196684 WLU262143:WLU262220 WLU327679:WLU327756 WLU393215:WLU393292 WLU458751:WLU458828 WLU524287:WLU524364 WLU589823:WLU589900 WLU655359:WLU655436 WLU720895:WLU720972 WLU786431:WLU786508 WLU851967:WLU852044 WLU917503:WLU917580 WLU983039:WLU983116 WVQ2:WVQ76 WVQ65535:WVQ65612 WVQ131071:WVQ131148 WVQ196607:WVQ196684 WVQ262143:WVQ262220 WVQ327679:WVQ327756 WVQ393215:WVQ393292 WVQ458751:WVQ458828 WVQ524287:WVQ524364 WVQ589823:WVQ589900 WVQ655359:WVQ655436 WVQ720895:WVQ720972 WVQ786431:WVQ786508 WVQ851967:WVQ852044 WVQ917503:WVQ917580 WVQ983039:WVQ983116">
      <formula1>#REF!</formula1>
    </dataValidation>
    <dataValidation type="list" allowBlank="1" showInputMessage="1" showErrorMessage="1" sqref="J2:J497 J65535:J65612 J131071:J131148 J196607:J196684 J262143:J262220 J327679:J327756 J393215:J393292 J458751:J458828 J524287:J524364 J589823:J589900 J655359:J655436 J720895:J720972 J786431:J786508 J851967:J852044 J917503:J917580 J983039:J983116 JF2:JF76 JF65535:JF65612 JF131071:JF131148 JF196607:JF196684 JF262143:JF262220 JF327679:JF327756 JF393215:JF393292 JF458751:JF458828 JF524287:JF524364 JF589823:JF589900 JF655359:JF655436 JF720895:JF720972 JF786431:JF786508 JF851967:JF852044 JF917503:JF917580 JF983039:JF983116 TB2:TB76 TB65535:TB65612 TB131071:TB131148 TB196607:TB196684 TB262143:TB262220 TB327679:TB327756 TB393215:TB393292 TB458751:TB458828 TB524287:TB524364 TB589823:TB589900 TB655359:TB655436 TB720895:TB720972 TB786431:TB786508 TB851967:TB852044 TB917503:TB917580 TB983039:TB983116 ACX2:ACX76 ACX65535:ACX65612 ACX131071:ACX131148 ACX196607:ACX196684 ACX262143:ACX262220 ACX327679:ACX327756 ACX393215:ACX393292 ACX458751:ACX458828 ACX524287:ACX524364 ACX589823:ACX589900 ACX655359:ACX655436 ACX720895:ACX720972 ACX786431:ACX786508 ACX851967:ACX852044 ACX917503:ACX917580 ACX983039:ACX983116 AMT2:AMT76 AMT65535:AMT65612 AMT131071:AMT131148 AMT196607:AMT196684 AMT262143:AMT262220 AMT327679:AMT327756 AMT393215:AMT393292 AMT458751:AMT458828 AMT524287:AMT524364 AMT589823:AMT589900 AMT655359:AMT655436 AMT720895:AMT720972 AMT786431:AMT786508 AMT851967:AMT852044 AMT917503:AMT917580 AMT983039:AMT983116 AWP2:AWP76 AWP65535:AWP65612 AWP131071:AWP131148 AWP196607:AWP196684 AWP262143:AWP262220 AWP327679:AWP327756 AWP393215:AWP393292 AWP458751:AWP458828 AWP524287:AWP524364 AWP589823:AWP589900 AWP655359:AWP655436 AWP720895:AWP720972 AWP786431:AWP786508 AWP851967:AWP852044 AWP917503:AWP917580 AWP983039:AWP983116 BGL2:BGL76 BGL65535:BGL65612 BGL131071:BGL131148 BGL196607:BGL196684 BGL262143:BGL262220 BGL327679:BGL327756 BGL393215:BGL393292 BGL458751:BGL458828 BGL524287:BGL524364 BGL589823:BGL589900 BGL655359:BGL655436 BGL720895:BGL720972 BGL786431:BGL786508 BGL851967:BGL852044 BGL917503:BGL917580 BGL983039:BGL983116 BQH2:BQH76 BQH65535:BQH65612 BQH131071:BQH131148 BQH196607:BQH196684 BQH262143:BQH262220 BQH327679:BQH327756 BQH393215:BQH393292 BQH458751:BQH458828 BQH524287:BQH524364 BQH589823:BQH589900 BQH655359:BQH655436 BQH720895:BQH720972 BQH786431:BQH786508 BQH851967:BQH852044 BQH917503:BQH917580 BQH983039:BQH983116 CAD2:CAD76 CAD65535:CAD65612 CAD131071:CAD131148 CAD196607:CAD196684 CAD262143:CAD262220 CAD327679:CAD327756 CAD393215:CAD393292 CAD458751:CAD458828 CAD524287:CAD524364 CAD589823:CAD589900 CAD655359:CAD655436 CAD720895:CAD720972 CAD786431:CAD786508 CAD851967:CAD852044 CAD917503:CAD917580 CAD983039:CAD983116 CJZ2:CJZ76 CJZ65535:CJZ65612 CJZ131071:CJZ131148 CJZ196607:CJZ196684 CJZ262143:CJZ262220 CJZ327679:CJZ327756 CJZ393215:CJZ393292 CJZ458751:CJZ458828 CJZ524287:CJZ524364 CJZ589823:CJZ589900 CJZ655359:CJZ655436 CJZ720895:CJZ720972 CJZ786431:CJZ786508 CJZ851967:CJZ852044 CJZ917503:CJZ917580 CJZ983039:CJZ983116 CTV2:CTV76 CTV65535:CTV65612 CTV131071:CTV131148 CTV196607:CTV196684 CTV262143:CTV262220 CTV327679:CTV327756 CTV393215:CTV393292 CTV458751:CTV458828 CTV524287:CTV524364 CTV589823:CTV589900 CTV655359:CTV655436 CTV720895:CTV720972 CTV786431:CTV786508 CTV851967:CTV852044 CTV917503:CTV917580 CTV983039:CTV983116 DDR2:DDR76 DDR65535:DDR65612 DDR131071:DDR131148 DDR196607:DDR196684 DDR262143:DDR262220 DDR327679:DDR327756 DDR393215:DDR393292 DDR458751:DDR458828 DDR524287:DDR524364 DDR589823:DDR589900 DDR655359:DDR655436 DDR720895:DDR720972 DDR786431:DDR786508 DDR851967:DDR852044 DDR917503:DDR917580 DDR983039:DDR983116 DNN2:DNN76 DNN65535:DNN65612 DNN131071:DNN131148 DNN196607:DNN196684 DNN262143:DNN262220 DNN327679:DNN327756 DNN393215:DNN393292 DNN458751:DNN458828 DNN524287:DNN524364 DNN589823:DNN589900 DNN655359:DNN655436 DNN720895:DNN720972 DNN786431:DNN786508 DNN851967:DNN852044 DNN917503:DNN917580 DNN983039:DNN983116 DXJ2:DXJ76 DXJ65535:DXJ65612 DXJ131071:DXJ131148 DXJ196607:DXJ196684 DXJ262143:DXJ262220 DXJ327679:DXJ327756 DXJ393215:DXJ393292 DXJ458751:DXJ458828 DXJ524287:DXJ524364 DXJ589823:DXJ589900 DXJ655359:DXJ655436 DXJ720895:DXJ720972 DXJ786431:DXJ786508 DXJ851967:DXJ852044 DXJ917503:DXJ917580 DXJ983039:DXJ983116 EHF2:EHF76 EHF65535:EHF65612 EHF131071:EHF131148 EHF196607:EHF196684 EHF262143:EHF262220 EHF327679:EHF327756 EHF393215:EHF393292 EHF458751:EHF458828 EHF524287:EHF524364 EHF589823:EHF589900 EHF655359:EHF655436 EHF720895:EHF720972 EHF786431:EHF786508 EHF851967:EHF852044 EHF917503:EHF917580 EHF983039:EHF983116 ERB2:ERB76 ERB65535:ERB65612 ERB131071:ERB131148 ERB196607:ERB196684 ERB262143:ERB262220 ERB327679:ERB327756 ERB393215:ERB393292 ERB458751:ERB458828 ERB524287:ERB524364 ERB589823:ERB589900 ERB655359:ERB655436 ERB720895:ERB720972 ERB786431:ERB786508 ERB851967:ERB852044 ERB917503:ERB917580 ERB983039:ERB983116 FAX2:FAX76 FAX65535:FAX65612 FAX131071:FAX131148 FAX196607:FAX196684 FAX262143:FAX262220 FAX327679:FAX327756 FAX393215:FAX393292 FAX458751:FAX458828 FAX524287:FAX524364 FAX589823:FAX589900 FAX655359:FAX655436 FAX720895:FAX720972 FAX786431:FAX786508 FAX851967:FAX852044 FAX917503:FAX917580 FAX983039:FAX983116 FKT2:FKT76 FKT65535:FKT65612 FKT131071:FKT131148 FKT196607:FKT196684 FKT262143:FKT262220 FKT327679:FKT327756 FKT393215:FKT393292 FKT458751:FKT458828 FKT524287:FKT524364 FKT589823:FKT589900 FKT655359:FKT655436 FKT720895:FKT720972 FKT786431:FKT786508 FKT851967:FKT852044 FKT917503:FKT917580 FKT983039:FKT983116 FUP2:FUP76 FUP65535:FUP65612 FUP131071:FUP131148 FUP196607:FUP196684 FUP262143:FUP262220 FUP327679:FUP327756 FUP393215:FUP393292 FUP458751:FUP458828 FUP524287:FUP524364 FUP589823:FUP589900 FUP655359:FUP655436 FUP720895:FUP720972 FUP786431:FUP786508 FUP851967:FUP852044 FUP917503:FUP917580 FUP983039:FUP983116 GEL2:GEL76 GEL65535:GEL65612 GEL131071:GEL131148 GEL196607:GEL196684 GEL262143:GEL262220 GEL327679:GEL327756 GEL393215:GEL393292 GEL458751:GEL458828 GEL524287:GEL524364 GEL589823:GEL589900 GEL655359:GEL655436 GEL720895:GEL720972 GEL786431:GEL786508 GEL851967:GEL852044 GEL917503:GEL917580 GEL983039:GEL983116 GOH2:GOH76 GOH65535:GOH65612 GOH131071:GOH131148 GOH196607:GOH196684 GOH262143:GOH262220 GOH327679:GOH327756 GOH393215:GOH393292 GOH458751:GOH458828 GOH524287:GOH524364 GOH589823:GOH589900 GOH655359:GOH655436 GOH720895:GOH720972 GOH786431:GOH786508 GOH851967:GOH852044 GOH917503:GOH917580 GOH983039:GOH983116 GYD2:GYD76 GYD65535:GYD65612 GYD131071:GYD131148 GYD196607:GYD196684 GYD262143:GYD262220 GYD327679:GYD327756 GYD393215:GYD393292 GYD458751:GYD458828 GYD524287:GYD524364 GYD589823:GYD589900 GYD655359:GYD655436 GYD720895:GYD720972 GYD786431:GYD786508 GYD851967:GYD852044 GYD917503:GYD917580 GYD983039:GYD983116 HHZ2:HHZ76 HHZ65535:HHZ65612 HHZ131071:HHZ131148 HHZ196607:HHZ196684 HHZ262143:HHZ262220 HHZ327679:HHZ327756 HHZ393215:HHZ393292 HHZ458751:HHZ458828 HHZ524287:HHZ524364 HHZ589823:HHZ589900 HHZ655359:HHZ655436 HHZ720895:HHZ720972 HHZ786431:HHZ786508 HHZ851967:HHZ852044 HHZ917503:HHZ917580 HHZ983039:HHZ983116 HRV2:HRV76 HRV65535:HRV65612 HRV131071:HRV131148 HRV196607:HRV196684 HRV262143:HRV262220 HRV327679:HRV327756 HRV393215:HRV393292 HRV458751:HRV458828 HRV524287:HRV524364 HRV589823:HRV589900 HRV655359:HRV655436 HRV720895:HRV720972 HRV786431:HRV786508 HRV851967:HRV852044 HRV917503:HRV917580 HRV983039:HRV983116 IBR2:IBR76 IBR65535:IBR65612 IBR131071:IBR131148 IBR196607:IBR196684 IBR262143:IBR262220 IBR327679:IBR327756 IBR393215:IBR393292 IBR458751:IBR458828 IBR524287:IBR524364 IBR589823:IBR589900 IBR655359:IBR655436 IBR720895:IBR720972 IBR786431:IBR786508 IBR851967:IBR852044 IBR917503:IBR917580 IBR983039:IBR983116 ILN2:ILN76 ILN65535:ILN65612 ILN131071:ILN131148 ILN196607:ILN196684 ILN262143:ILN262220 ILN327679:ILN327756 ILN393215:ILN393292 ILN458751:ILN458828 ILN524287:ILN524364 ILN589823:ILN589900 ILN655359:ILN655436 ILN720895:ILN720972 ILN786431:ILN786508 ILN851967:ILN852044 ILN917503:ILN917580 ILN983039:ILN983116 IVJ2:IVJ76 IVJ65535:IVJ65612 IVJ131071:IVJ131148 IVJ196607:IVJ196684 IVJ262143:IVJ262220 IVJ327679:IVJ327756 IVJ393215:IVJ393292 IVJ458751:IVJ458828 IVJ524287:IVJ524364 IVJ589823:IVJ589900 IVJ655359:IVJ655436 IVJ720895:IVJ720972 IVJ786431:IVJ786508 IVJ851967:IVJ852044 IVJ917503:IVJ917580 IVJ983039:IVJ983116 JFF2:JFF76 JFF65535:JFF65612 JFF131071:JFF131148 JFF196607:JFF196684 JFF262143:JFF262220 JFF327679:JFF327756 JFF393215:JFF393292 JFF458751:JFF458828 JFF524287:JFF524364 JFF589823:JFF589900 JFF655359:JFF655436 JFF720895:JFF720972 JFF786431:JFF786508 JFF851967:JFF852044 JFF917503:JFF917580 JFF983039:JFF983116 JPB2:JPB76 JPB65535:JPB65612 JPB131071:JPB131148 JPB196607:JPB196684 JPB262143:JPB262220 JPB327679:JPB327756 JPB393215:JPB393292 JPB458751:JPB458828 JPB524287:JPB524364 JPB589823:JPB589900 JPB655359:JPB655436 JPB720895:JPB720972 JPB786431:JPB786508 JPB851967:JPB852044 JPB917503:JPB917580 JPB983039:JPB983116 JYX2:JYX76 JYX65535:JYX65612 JYX131071:JYX131148 JYX196607:JYX196684 JYX262143:JYX262220 JYX327679:JYX327756 JYX393215:JYX393292 JYX458751:JYX458828 JYX524287:JYX524364 JYX589823:JYX589900 JYX655359:JYX655436 JYX720895:JYX720972 JYX786431:JYX786508 JYX851967:JYX852044 JYX917503:JYX917580 JYX983039:JYX983116 KIT2:KIT76 KIT65535:KIT65612 KIT131071:KIT131148 KIT196607:KIT196684 KIT262143:KIT262220 KIT327679:KIT327756 KIT393215:KIT393292 KIT458751:KIT458828 KIT524287:KIT524364 KIT589823:KIT589900 KIT655359:KIT655436 KIT720895:KIT720972 KIT786431:KIT786508 KIT851967:KIT852044 KIT917503:KIT917580 KIT983039:KIT983116 KSP2:KSP76 KSP65535:KSP65612 KSP131071:KSP131148 KSP196607:KSP196684 KSP262143:KSP262220 KSP327679:KSP327756 KSP393215:KSP393292 KSP458751:KSP458828 KSP524287:KSP524364 KSP589823:KSP589900 KSP655359:KSP655436 KSP720895:KSP720972 KSP786431:KSP786508 KSP851967:KSP852044 KSP917503:KSP917580 KSP983039:KSP983116 LCL2:LCL76 LCL65535:LCL65612 LCL131071:LCL131148 LCL196607:LCL196684 LCL262143:LCL262220 LCL327679:LCL327756 LCL393215:LCL393292 LCL458751:LCL458828 LCL524287:LCL524364 LCL589823:LCL589900 LCL655359:LCL655436 LCL720895:LCL720972 LCL786431:LCL786508 LCL851967:LCL852044 LCL917503:LCL917580 LCL983039:LCL983116 LMH2:LMH76 LMH65535:LMH65612 LMH131071:LMH131148 LMH196607:LMH196684 LMH262143:LMH262220 LMH327679:LMH327756 LMH393215:LMH393292 LMH458751:LMH458828 LMH524287:LMH524364 LMH589823:LMH589900 LMH655359:LMH655436 LMH720895:LMH720972 LMH786431:LMH786508 LMH851967:LMH852044 LMH917503:LMH917580 LMH983039:LMH983116 LWD2:LWD76 LWD65535:LWD65612 LWD131071:LWD131148 LWD196607:LWD196684 LWD262143:LWD262220 LWD327679:LWD327756 LWD393215:LWD393292 LWD458751:LWD458828 LWD524287:LWD524364 LWD589823:LWD589900 LWD655359:LWD655436 LWD720895:LWD720972 LWD786431:LWD786508 LWD851967:LWD852044 LWD917503:LWD917580 LWD983039:LWD983116 MFZ2:MFZ76 MFZ65535:MFZ65612 MFZ131071:MFZ131148 MFZ196607:MFZ196684 MFZ262143:MFZ262220 MFZ327679:MFZ327756 MFZ393215:MFZ393292 MFZ458751:MFZ458828 MFZ524287:MFZ524364 MFZ589823:MFZ589900 MFZ655359:MFZ655436 MFZ720895:MFZ720972 MFZ786431:MFZ786508 MFZ851967:MFZ852044 MFZ917503:MFZ917580 MFZ983039:MFZ983116 MPV2:MPV76 MPV65535:MPV65612 MPV131071:MPV131148 MPV196607:MPV196684 MPV262143:MPV262220 MPV327679:MPV327756 MPV393215:MPV393292 MPV458751:MPV458828 MPV524287:MPV524364 MPV589823:MPV589900 MPV655359:MPV655436 MPV720895:MPV720972 MPV786431:MPV786508 MPV851967:MPV852044 MPV917503:MPV917580 MPV983039:MPV983116 MZR2:MZR76 MZR65535:MZR65612 MZR131071:MZR131148 MZR196607:MZR196684 MZR262143:MZR262220 MZR327679:MZR327756 MZR393215:MZR393292 MZR458751:MZR458828 MZR524287:MZR524364 MZR589823:MZR589900 MZR655359:MZR655436 MZR720895:MZR720972 MZR786431:MZR786508 MZR851967:MZR852044 MZR917503:MZR917580 MZR983039:MZR983116 NJN2:NJN76 NJN65535:NJN65612 NJN131071:NJN131148 NJN196607:NJN196684 NJN262143:NJN262220 NJN327679:NJN327756 NJN393215:NJN393292 NJN458751:NJN458828 NJN524287:NJN524364 NJN589823:NJN589900 NJN655359:NJN655436 NJN720895:NJN720972 NJN786431:NJN786508 NJN851967:NJN852044 NJN917503:NJN917580 NJN983039:NJN983116 NTJ2:NTJ76 NTJ65535:NTJ65612 NTJ131071:NTJ131148 NTJ196607:NTJ196684 NTJ262143:NTJ262220 NTJ327679:NTJ327756 NTJ393215:NTJ393292 NTJ458751:NTJ458828 NTJ524287:NTJ524364 NTJ589823:NTJ589900 NTJ655359:NTJ655436 NTJ720895:NTJ720972 NTJ786431:NTJ786508 NTJ851967:NTJ852044 NTJ917503:NTJ917580 NTJ983039:NTJ983116 ODF2:ODF76 ODF65535:ODF65612 ODF131071:ODF131148 ODF196607:ODF196684 ODF262143:ODF262220 ODF327679:ODF327756 ODF393215:ODF393292 ODF458751:ODF458828 ODF524287:ODF524364 ODF589823:ODF589900 ODF655359:ODF655436 ODF720895:ODF720972 ODF786431:ODF786508 ODF851967:ODF852044 ODF917503:ODF917580 ODF983039:ODF983116 ONB2:ONB76 ONB65535:ONB65612 ONB131071:ONB131148 ONB196607:ONB196684 ONB262143:ONB262220 ONB327679:ONB327756 ONB393215:ONB393292 ONB458751:ONB458828 ONB524287:ONB524364 ONB589823:ONB589900 ONB655359:ONB655436 ONB720895:ONB720972 ONB786431:ONB786508 ONB851967:ONB852044 ONB917503:ONB917580 ONB983039:ONB983116 OWX2:OWX76 OWX65535:OWX65612 OWX131071:OWX131148 OWX196607:OWX196684 OWX262143:OWX262220 OWX327679:OWX327756 OWX393215:OWX393292 OWX458751:OWX458828 OWX524287:OWX524364 OWX589823:OWX589900 OWX655359:OWX655436 OWX720895:OWX720972 OWX786431:OWX786508 OWX851967:OWX852044 OWX917503:OWX917580 OWX983039:OWX983116 PGT2:PGT76 PGT65535:PGT65612 PGT131071:PGT131148 PGT196607:PGT196684 PGT262143:PGT262220 PGT327679:PGT327756 PGT393215:PGT393292 PGT458751:PGT458828 PGT524287:PGT524364 PGT589823:PGT589900 PGT655359:PGT655436 PGT720895:PGT720972 PGT786431:PGT786508 PGT851967:PGT852044 PGT917503:PGT917580 PGT983039:PGT983116 PQP2:PQP76 PQP65535:PQP65612 PQP131071:PQP131148 PQP196607:PQP196684 PQP262143:PQP262220 PQP327679:PQP327756 PQP393215:PQP393292 PQP458751:PQP458828 PQP524287:PQP524364 PQP589823:PQP589900 PQP655359:PQP655436 PQP720895:PQP720972 PQP786431:PQP786508 PQP851967:PQP852044 PQP917503:PQP917580 PQP983039:PQP983116 QAL2:QAL76 QAL65535:QAL65612 QAL131071:QAL131148 QAL196607:QAL196684 QAL262143:QAL262220 QAL327679:QAL327756 QAL393215:QAL393292 QAL458751:QAL458828 QAL524287:QAL524364 QAL589823:QAL589900 QAL655359:QAL655436 QAL720895:QAL720972 QAL786431:QAL786508 QAL851967:QAL852044 QAL917503:QAL917580 QAL983039:QAL983116 QKH2:QKH76 QKH65535:QKH65612 QKH131071:QKH131148 QKH196607:QKH196684 QKH262143:QKH262220 QKH327679:QKH327756 QKH393215:QKH393292 QKH458751:QKH458828 QKH524287:QKH524364 QKH589823:QKH589900 QKH655359:QKH655436 QKH720895:QKH720972 QKH786431:QKH786508 QKH851967:QKH852044 QKH917503:QKH917580 QKH983039:QKH983116 QUD2:QUD76 QUD65535:QUD65612 QUD131071:QUD131148 QUD196607:QUD196684 QUD262143:QUD262220 QUD327679:QUD327756 QUD393215:QUD393292 QUD458751:QUD458828 QUD524287:QUD524364 QUD589823:QUD589900 QUD655359:QUD655436 QUD720895:QUD720972 QUD786431:QUD786508 QUD851967:QUD852044 QUD917503:QUD917580 QUD983039:QUD983116 RDZ2:RDZ76 RDZ65535:RDZ65612 RDZ131071:RDZ131148 RDZ196607:RDZ196684 RDZ262143:RDZ262220 RDZ327679:RDZ327756 RDZ393215:RDZ393292 RDZ458751:RDZ458828 RDZ524287:RDZ524364 RDZ589823:RDZ589900 RDZ655359:RDZ655436 RDZ720895:RDZ720972 RDZ786431:RDZ786508 RDZ851967:RDZ852044 RDZ917503:RDZ917580 RDZ983039:RDZ983116 RNV2:RNV76 RNV65535:RNV65612 RNV131071:RNV131148 RNV196607:RNV196684 RNV262143:RNV262220 RNV327679:RNV327756 RNV393215:RNV393292 RNV458751:RNV458828 RNV524287:RNV524364 RNV589823:RNV589900 RNV655359:RNV655436 RNV720895:RNV720972 RNV786431:RNV786508 RNV851967:RNV852044 RNV917503:RNV917580 RNV983039:RNV983116 RXR2:RXR76 RXR65535:RXR65612 RXR131071:RXR131148 RXR196607:RXR196684 RXR262143:RXR262220 RXR327679:RXR327756 RXR393215:RXR393292 RXR458751:RXR458828 RXR524287:RXR524364 RXR589823:RXR589900 RXR655359:RXR655436 RXR720895:RXR720972 RXR786431:RXR786508 RXR851967:RXR852044 RXR917503:RXR917580 RXR983039:RXR983116 SHN2:SHN76 SHN65535:SHN65612 SHN131071:SHN131148 SHN196607:SHN196684 SHN262143:SHN262220 SHN327679:SHN327756 SHN393215:SHN393292 SHN458751:SHN458828 SHN524287:SHN524364 SHN589823:SHN589900 SHN655359:SHN655436 SHN720895:SHN720972 SHN786431:SHN786508 SHN851967:SHN852044 SHN917503:SHN917580 SHN983039:SHN983116 SRJ2:SRJ76 SRJ65535:SRJ65612 SRJ131071:SRJ131148 SRJ196607:SRJ196684 SRJ262143:SRJ262220 SRJ327679:SRJ327756 SRJ393215:SRJ393292 SRJ458751:SRJ458828 SRJ524287:SRJ524364 SRJ589823:SRJ589900 SRJ655359:SRJ655436 SRJ720895:SRJ720972 SRJ786431:SRJ786508 SRJ851967:SRJ852044 SRJ917503:SRJ917580 SRJ983039:SRJ983116 TBF2:TBF76 TBF65535:TBF65612 TBF131071:TBF131148 TBF196607:TBF196684 TBF262143:TBF262220 TBF327679:TBF327756 TBF393215:TBF393292 TBF458751:TBF458828 TBF524287:TBF524364 TBF589823:TBF589900 TBF655359:TBF655436 TBF720895:TBF720972 TBF786431:TBF786508 TBF851967:TBF852044 TBF917503:TBF917580 TBF983039:TBF983116 TLB2:TLB76 TLB65535:TLB65612 TLB131071:TLB131148 TLB196607:TLB196684 TLB262143:TLB262220 TLB327679:TLB327756 TLB393215:TLB393292 TLB458751:TLB458828 TLB524287:TLB524364 TLB589823:TLB589900 TLB655359:TLB655436 TLB720895:TLB720972 TLB786431:TLB786508 TLB851967:TLB852044 TLB917503:TLB917580 TLB983039:TLB983116 TUX2:TUX76 TUX65535:TUX65612 TUX131071:TUX131148 TUX196607:TUX196684 TUX262143:TUX262220 TUX327679:TUX327756 TUX393215:TUX393292 TUX458751:TUX458828 TUX524287:TUX524364 TUX589823:TUX589900 TUX655359:TUX655436 TUX720895:TUX720972 TUX786431:TUX786508 TUX851967:TUX852044 TUX917503:TUX917580 TUX983039:TUX983116 UET2:UET76 UET65535:UET65612 UET131071:UET131148 UET196607:UET196684 UET262143:UET262220 UET327679:UET327756 UET393215:UET393292 UET458751:UET458828 UET524287:UET524364 UET589823:UET589900 UET655359:UET655436 UET720895:UET720972 UET786431:UET786508 UET851967:UET852044 UET917503:UET917580 UET983039:UET983116 UOP2:UOP76 UOP65535:UOP65612 UOP131071:UOP131148 UOP196607:UOP196684 UOP262143:UOP262220 UOP327679:UOP327756 UOP393215:UOP393292 UOP458751:UOP458828 UOP524287:UOP524364 UOP589823:UOP589900 UOP655359:UOP655436 UOP720895:UOP720972 UOP786431:UOP786508 UOP851967:UOP852044 UOP917503:UOP917580 UOP983039:UOP983116 UYL2:UYL76 UYL65535:UYL65612 UYL131071:UYL131148 UYL196607:UYL196684 UYL262143:UYL262220 UYL327679:UYL327756 UYL393215:UYL393292 UYL458751:UYL458828 UYL524287:UYL524364 UYL589823:UYL589900 UYL655359:UYL655436 UYL720895:UYL720972 UYL786431:UYL786508 UYL851967:UYL852044 UYL917503:UYL917580 UYL983039:UYL983116 VIH2:VIH76 VIH65535:VIH65612 VIH131071:VIH131148 VIH196607:VIH196684 VIH262143:VIH262220 VIH327679:VIH327756 VIH393215:VIH393292 VIH458751:VIH458828 VIH524287:VIH524364 VIH589823:VIH589900 VIH655359:VIH655436 VIH720895:VIH720972 VIH786431:VIH786508 VIH851967:VIH852044 VIH917503:VIH917580 VIH983039:VIH983116 VSD2:VSD76 VSD65535:VSD65612 VSD131071:VSD131148 VSD196607:VSD196684 VSD262143:VSD262220 VSD327679:VSD327756 VSD393215:VSD393292 VSD458751:VSD458828 VSD524287:VSD524364 VSD589823:VSD589900 VSD655359:VSD655436 VSD720895:VSD720972 VSD786431:VSD786508 VSD851967:VSD852044 VSD917503:VSD917580 VSD983039:VSD983116 WBZ2:WBZ76 WBZ65535:WBZ65612 WBZ131071:WBZ131148 WBZ196607:WBZ196684 WBZ262143:WBZ262220 WBZ327679:WBZ327756 WBZ393215:WBZ393292 WBZ458751:WBZ458828 WBZ524287:WBZ524364 WBZ589823:WBZ589900 WBZ655359:WBZ655436 WBZ720895:WBZ720972 WBZ786431:WBZ786508 WBZ851967:WBZ852044 WBZ917503:WBZ917580 WBZ983039:WBZ983116 WLV2:WLV76 WLV65535:WLV65612 WLV131071:WLV131148 WLV196607:WLV196684 WLV262143:WLV262220 WLV327679:WLV327756 WLV393215:WLV393292 WLV458751:WLV458828 WLV524287:WLV524364 WLV589823:WLV589900 WLV655359:WLV655436 WLV720895:WLV720972 WLV786431:WLV786508 WLV851967:WLV852044 WLV917503:WLV917580 WLV983039:WLV983116 WVR2:WVR76 WVR65535:WVR65612 WVR131071:WVR131148 WVR196607:WVR196684 WVR262143:WVR262220 WVR327679:WVR327756 WVR393215:WVR393292 WVR458751:WVR458828 WVR524287:WVR524364 WVR589823:WVR589900 WVR655359:WVR655436 WVR720895:WVR720972 WVR786431:WVR786508 WVR851967:WVR852044 WVR917503:WVR917580 WVR983039:WVR983116">
      <formula1>$AP$2:$AP$24</formula1>
    </dataValidation>
    <dataValidation type="list" allowBlank="1" showInputMessage="1" showErrorMessage="1" sqref="H2:H497">
      <formula1>$AL$2:$AL$8</formula1>
    </dataValidation>
    <dataValidation type="list" allowBlank="1" showInputMessage="1" showErrorMessage="1" sqref="X2:X497 X65535:X65612 X131071:X131148 X196607:X196684 X262143:X262220 X327679:X327756 X393215:X393292 X458751:X458828 X524287:X524364 X589823:X589900 X655359:X655436 X720895:X720972 X786431:X786508 X851967:X852044 X917503:X917580 X983039:X983116 JT2:JT76 JT65535:JT65612 JT131071:JT131148 JT196607:JT196684 JT262143:JT262220 JT327679:JT327756 JT393215:JT393292 JT458751:JT458828 JT524287:JT524364 JT589823:JT589900 JT655359:JT655436 JT720895:JT720972 JT786431:JT786508 JT851967:JT852044 JT917503:JT917580 JT983039:JT983116 TP2:TP76 TP65535:TP65612 TP131071:TP131148 TP196607:TP196684 TP262143:TP262220 TP327679:TP327756 TP393215:TP393292 TP458751:TP458828 TP524287:TP524364 TP589823:TP589900 TP655359:TP655436 TP720895:TP720972 TP786431:TP786508 TP851967:TP852044 TP917503:TP917580 TP983039:TP983116 ADL2:ADL76 ADL65535:ADL65612 ADL131071:ADL131148 ADL196607:ADL196684 ADL262143:ADL262220 ADL327679:ADL327756 ADL393215:ADL393292 ADL458751:ADL458828 ADL524287:ADL524364 ADL589823:ADL589900 ADL655359:ADL655436 ADL720895:ADL720972 ADL786431:ADL786508 ADL851967:ADL852044 ADL917503:ADL917580 ADL983039:ADL983116 ANH2:ANH76 ANH65535:ANH65612 ANH131071:ANH131148 ANH196607:ANH196684 ANH262143:ANH262220 ANH327679:ANH327756 ANH393215:ANH393292 ANH458751:ANH458828 ANH524287:ANH524364 ANH589823:ANH589900 ANH655359:ANH655436 ANH720895:ANH720972 ANH786431:ANH786508 ANH851967:ANH852044 ANH917503:ANH917580 ANH983039:ANH983116 AXD2:AXD76 AXD65535:AXD65612 AXD131071:AXD131148 AXD196607:AXD196684 AXD262143:AXD262220 AXD327679:AXD327756 AXD393215:AXD393292 AXD458751:AXD458828 AXD524287:AXD524364 AXD589823:AXD589900 AXD655359:AXD655436 AXD720895:AXD720972 AXD786431:AXD786508 AXD851967:AXD852044 AXD917503:AXD917580 AXD983039:AXD983116 BGZ2:BGZ76 BGZ65535:BGZ65612 BGZ131071:BGZ131148 BGZ196607:BGZ196684 BGZ262143:BGZ262220 BGZ327679:BGZ327756 BGZ393215:BGZ393292 BGZ458751:BGZ458828 BGZ524287:BGZ524364 BGZ589823:BGZ589900 BGZ655359:BGZ655436 BGZ720895:BGZ720972 BGZ786431:BGZ786508 BGZ851967:BGZ852044 BGZ917503:BGZ917580 BGZ983039:BGZ983116 BQV2:BQV76 BQV65535:BQV65612 BQV131071:BQV131148 BQV196607:BQV196684 BQV262143:BQV262220 BQV327679:BQV327756 BQV393215:BQV393292 BQV458751:BQV458828 BQV524287:BQV524364 BQV589823:BQV589900 BQV655359:BQV655436 BQV720895:BQV720972 BQV786431:BQV786508 BQV851967:BQV852044 BQV917503:BQV917580 BQV983039:BQV983116 CAR2:CAR76 CAR65535:CAR65612 CAR131071:CAR131148 CAR196607:CAR196684 CAR262143:CAR262220 CAR327679:CAR327756 CAR393215:CAR393292 CAR458751:CAR458828 CAR524287:CAR524364 CAR589823:CAR589900 CAR655359:CAR655436 CAR720895:CAR720972 CAR786431:CAR786508 CAR851967:CAR852044 CAR917503:CAR917580 CAR983039:CAR983116 CKN2:CKN76 CKN65535:CKN65612 CKN131071:CKN131148 CKN196607:CKN196684 CKN262143:CKN262220 CKN327679:CKN327756 CKN393215:CKN393292 CKN458751:CKN458828 CKN524287:CKN524364 CKN589823:CKN589900 CKN655359:CKN655436 CKN720895:CKN720972 CKN786431:CKN786508 CKN851967:CKN852044 CKN917503:CKN917580 CKN983039:CKN983116 CUJ2:CUJ76 CUJ65535:CUJ65612 CUJ131071:CUJ131148 CUJ196607:CUJ196684 CUJ262143:CUJ262220 CUJ327679:CUJ327756 CUJ393215:CUJ393292 CUJ458751:CUJ458828 CUJ524287:CUJ524364 CUJ589823:CUJ589900 CUJ655359:CUJ655436 CUJ720895:CUJ720972 CUJ786431:CUJ786508 CUJ851967:CUJ852044 CUJ917503:CUJ917580 CUJ983039:CUJ983116 DEF2:DEF76 DEF65535:DEF65612 DEF131071:DEF131148 DEF196607:DEF196684 DEF262143:DEF262220 DEF327679:DEF327756 DEF393215:DEF393292 DEF458751:DEF458828 DEF524287:DEF524364 DEF589823:DEF589900 DEF655359:DEF655436 DEF720895:DEF720972 DEF786431:DEF786508 DEF851967:DEF852044 DEF917503:DEF917580 DEF983039:DEF983116 DOB2:DOB76 DOB65535:DOB65612 DOB131071:DOB131148 DOB196607:DOB196684 DOB262143:DOB262220 DOB327679:DOB327756 DOB393215:DOB393292 DOB458751:DOB458828 DOB524287:DOB524364 DOB589823:DOB589900 DOB655359:DOB655436 DOB720895:DOB720972 DOB786431:DOB786508 DOB851967:DOB852044 DOB917503:DOB917580 DOB983039:DOB983116 DXX2:DXX76 DXX65535:DXX65612 DXX131071:DXX131148 DXX196607:DXX196684 DXX262143:DXX262220 DXX327679:DXX327756 DXX393215:DXX393292 DXX458751:DXX458828 DXX524287:DXX524364 DXX589823:DXX589900 DXX655359:DXX655436 DXX720895:DXX720972 DXX786431:DXX786508 DXX851967:DXX852044 DXX917503:DXX917580 DXX983039:DXX983116 EHT2:EHT76 EHT65535:EHT65612 EHT131071:EHT131148 EHT196607:EHT196684 EHT262143:EHT262220 EHT327679:EHT327756 EHT393215:EHT393292 EHT458751:EHT458828 EHT524287:EHT524364 EHT589823:EHT589900 EHT655359:EHT655436 EHT720895:EHT720972 EHT786431:EHT786508 EHT851967:EHT852044 EHT917503:EHT917580 EHT983039:EHT983116 ERP2:ERP76 ERP65535:ERP65612 ERP131071:ERP131148 ERP196607:ERP196684 ERP262143:ERP262220 ERP327679:ERP327756 ERP393215:ERP393292 ERP458751:ERP458828 ERP524287:ERP524364 ERP589823:ERP589900 ERP655359:ERP655436 ERP720895:ERP720972 ERP786431:ERP786508 ERP851967:ERP852044 ERP917503:ERP917580 ERP983039:ERP983116 FBL2:FBL76 FBL65535:FBL65612 FBL131071:FBL131148 FBL196607:FBL196684 FBL262143:FBL262220 FBL327679:FBL327756 FBL393215:FBL393292 FBL458751:FBL458828 FBL524287:FBL524364 FBL589823:FBL589900 FBL655359:FBL655436 FBL720895:FBL720972 FBL786431:FBL786508 FBL851967:FBL852044 FBL917503:FBL917580 FBL983039:FBL983116 FLH2:FLH76 FLH65535:FLH65612 FLH131071:FLH131148 FLH196607:FLH196684 FLH262143:FLH262220 FLH327679:FLH327756 FLH393215:FLH393292 FLH458751:FLH458828 FLH524287:FLH524364 FLH589823:FLH589900 FLH655359:FLH655436 FLH720895:FLH720972 FLH786431:FLH786508 FLH851967:FLH852044 FLH917503:FLH917580 FLH983039:FLH983116 FVD2:FVD76 FVD65535:FVD65612 FVD131071:FVD131148 FVD196607:FVD196684 FVD262143:FVD262220 FVD327679:FVD327756 FVD393215:FVD393292 FVD458751:FVD458828 FVD524287:FVD524364 FVD589823:FVD589900 FVD655359:FVD655436 FVD720895:FVD720972 FVD786431:FVD786508 FVD851967:FVD852044 FVD917503:FVD917580 FVD983039:FVD983116 GEZ2:GEZ76 GEZ65535:GEZ65612 GEZ131071:GEZ131148 GEZ196607:GEZ196684 GEZ262143:GEZ262220 GEZ327679:GEZ327756 GEZ393215:GEZ393292 GEZ458751:GEZ458828 GEZ524287:GEZ524364 GEZ589823:GEZ589900 GEZ655359:GEZ655436 GEZ720895:GEZ720972 GEZ786431:GEZ786508 GEZ851967:GEZ852044 GEZ917503:GEZ917580 GEZ983039:GEZ983116 GOV2:GOV76 GOV65535:GOV65612 GOV131071:GOV131148 GOV196607:GOV196684 GOV262143:GOV262220 GOV327679:GOV327756 GOV393215:GOV393292 GOV458751:GOV458828 GOV524287:GOV524364 GOV589823:GOV589900 GOV655359:GOV655436 GOV720895:GOV720972 GOV786431:GOV786508 GOV851967:GOV852044 GOV917503:GOV917580 GOV983039:GOV983116 GYR2:GYR76 GYR65535:GYR65612 GYR131071:GYR131148 GYR196607:GYR196684 GYR262143:GYR262220 GYR327679:GYR327756 GYR393215:GYR393292 GYR458751:GYR458828 GYR524287:GYR524364 GYR589823:GYR589900 GYR655359:GYR655436 GYR720895:GYR720972 GYR786431:GYR786508 GYR851967:GYR852044 GYR917503:GYR917580 GYR983039:GYR983116 HIN2:HIN76 HIN65535:HIN65612 HIN131071:HIN131148 HIN196607:HIN196684 HIN262143:HIN262220 HIN327679:HIN327756 HIN393215:HIN393292 HIN458751:HIN458828 HIN524287:HIN524364 HIN589823:HIN589900 HIN655359:HIN655436 HIN720895:HIN720972 HIN786431:HIN786508 HIN851967:HIN852044 HIN917503:HIN917580 HIN983039:HIN983116 HSJ2:HSJ76 HSJ65535:HSJ65612 HSJ131071:HSJ131148 HSJ196607:HSJ196684 HSJ262143:HSJ262220 HSJ327679:HSJ327756 HSJ393215:HSJ393292 HSJ458751:HSJ458828 HSJ524287:HSJ524364 HSJ589823:HSJ589900 HSJ655359:HSJ655436 HSJ720895:HSJ720972 HSJ786431:HSJ786508 HSJ851967:HSJ852044 HSJ917503:HSJ917580 HSJ983039:HSJ983116 ICF2:ICF76 ICF65535:ICF65612 ICF131071:ICF131148 ICF196607:ICF196684 ICF262143:ICF262220 ICF327679:ICF327756 ICF393215:ICF393292 ICF458751:ICF458828 ICF524287:ICF524364 ICF589823:ICF589900 ICF655359:ICF655436 ICF720895:ICF720972 ICF786431:ICF786508 ICF851967:ICF852044 ICF917503:ICF917580 ICF983039:ICF983116 IMB2:IMB76 IMB65535:IMB65612 IMB131071:IMB131148 IMB196607:IMB196684 IMB262143:IMB262220 IMB327679:IMB327756 IMB393215:IMB393292 IMB458751:IMB458828 IMB524287:IMB524364 IMB589823:IMB589900 IMB655359:IMB655436 IMB720895:IMB720972 IMB786431:IMB786508 IMB851967:IMB852044 IMB917503:IMB917580 IMB983039:IMB983116 IVX2:IVX76 IVX65535:IVX65612 IVX131071:IVX131148 IVX196607:IVX196684 IVX262143:IVX262220 IVX327679:IVX327756 IVX393215:IVX393292 IVX458751:IVX458828 IVX524287:IVX524364 IVX589823:IVX589900 IVX655359:IVX655436 IVX720895:IVX720972 IVX786431:IVX786508 IVX851967:IVX852044 IVX917503:IVX917580 IVX983039:IVX983116 JFT2:JFT76 JFT65535:JFT65612 JFT131071:JFT131148 JFT196607:JFT196684 JFT262143:JFT262220 JFT327679:JFT327756 JFT393215:JFT393292 JFT458751:JFT458828 JFT524287:JFT524364 JFT589823:JFT589900 JFT655359:JFT655436 JFT720895:JFT720972 JFT786431:JFT786508 JFT851967:JFT852044 JFT917503:JFT917580 JFT983039:JFT983116 JPP2:JPP76 JPP65535:JPP65612 JPP131071:JPP131148 JPP196607:JPP196684 JPP262143:JPP262220 JPP327679:JPP327756 JPP393215:JPP393292 JPP458751:JPP458828 JPP524287:JPP524364 JPP589823:JPP589900 JPP655359:JPP655436 JPP720895:JPP720972 JPP786431:JPP786508 JPP851967:JPP852044 JPP917503:JPP917580 JPP983039:JPP983116 JZL2:JZL76 JZL65535:JZL65612 JZL131071:JZL131148 JZL196607:JZL196684 JZL262143:JZL262220 JZL327679:JZL327756 JZL393215:JZL393292 JZL458751:JZL458828 JZL524287:JZL524364 JZL589823:JZL589900 JZL655359:JZL655436 JZL720895:JZL720972 JZL786431:JZL786508 JZL851967:JZL852044 JZL917503:JZL917580 JZL983039:JZL983116 KJH2:KJH76 KJH65535:KJH65612 KJH131071:KJH131148 KJH196607:KJH196684 KJH262143:KJH262220 KJH327679:KJH327756 KJH393215:KJH393292 KJH458751:KJH458828 KJH524287:KJH524364 KJH589823:KJH589900 KJH655359:KJH655436 KJH720895:KJH720972 KJH786431:KJH786508 KJH851967:KJH852044 KJH917503:KJH917580 KJH983039:KJH983116 KTD2:KTD76 KTD65535:KTD65612 KTD131071:KTD131148 KTD196607:KTD196684 KTD262143:KTD262220 KTD327679:KTD327756 KTD393215:KTD393292 KTD458751:KTD458828 KTD524287:KTD524364 KTD589823:KTD589900 KTD655359:KTD655436 KTD720895:KTD720972 KTD786431:KTD786508 KTD851967:KTD852044 KTD917503:KTD917580 KTD983039:KTD983116 LCZ2:LCZ76 LCZ65535:LCZ65612 LCZ131071:LCZ131148 LCZ196607:LCZ196684 LCZ262143:LCZ262220 LCZ327679:LCZ327756 LCZ393215:LCZ393292 LCZ458751:LCZ458828 LCZ524287:LCZ524364 LCZ589823:LCZ589900 LCZ655359:LCZ655436 LCZ720895:LCZ720972 LCZ786431:LCZ786508 LCZ851967:LCZ852044 LCZ917503:LCZ917580 LCZ983039:LCZ983116 LMV2:LMV76 LMV65535:LMV65612 LMV131071:LMV131148 LMV196607:LMV196684 LMV262143:LMV262220 LMV327679:LMV327756 LMV393215:LMV393292 LMV458751:LMV458828 LMV524287:LMV524364 LMV589823:LMV589900 LMV655359:LMV655436 LMV720895:LMV720972 LMV786431:LMV786508 LMV851967:LMV852044 LMV917503:LMV917580 LMV983039:LMV983116 LWR2:LWR76 LWR65535:LWR65612 LWR131071:LWR131148 LWR196607:LWR196684 LWR262143:LWR262220 LWR327679:LWR327756 LWR393215:LWR393292 LWR458751:LWR458828 LWR524287:LWR524364 LWR589823:LWR589900 LWR655359:LWR655436 LWR720895:LWR720972 LWR786431:LWR786508 LWR851967:LWR852044 LWR917503:LWR917580 LWR983039:LWR983116 MGN2:MGN76 MGN65535:MGN65612 MGN131071:MGN131148 MGN196607:MGN196684 MGN262143:MGN262220 MGN327679:MGN327756 MGN393215:MGN393292 MGN458751:MGN458828 MGN524287:MGN524364 MGN589823:MGN589900 MGN655359:MGN655436 MGN720895:MGN720972 MGN786431:MGN786508 MGN851967:MGN852044 MGN917503:MGN917580 MGN983039:MGN983116 MQJ2:MQJ76 MQJ65535:MQJ65612 MQJ131071:MQJ131148 MQJ196607:MQJ196684 MQJ262143:MQJ262220 MQJ327679:MQJ327756 MQJ393215:MQJ393292 MQJ458751:MQJ458828 MQJ524287:MQJ524364 MQJ589823:MQJ589900 MQJ655359:MQJ655436 MQJ720895:MQJ720972 MQJ786431:MQJ786508 MQJ851967:MQJ852044 MQJ917503:MQJ917580 MQJ983039:MQJ983116 NAF2:NAF76 NAF65535:NAF65612 NAF131071:NAF131148 NAF196607:NAF196684 NAF262143:NAF262220 NAF327679:NAF327756 NAF393215:NAF393292 NAF458751:NAF458828 NAF524287:NAF524364 NAF589823:NAF589900 NAF655359:NAF655436 NAF720895:NAF720972 NAF786431:NAF786508 NAF851967:NAF852044 NAF917503:NAF917580 NAF983039:NAF983116 NKB2:NKB76 NKB65535:NKB65612 NKB131071:NKB131148 NKB196607:NKB196684 NKB262143:NKB262220 NKB327679:NKB327756 NKB393215:NKB393292 NKB458751:NKB458828 NKB524287:NKB524364 NKB589823:NKB589900 NKB655359:NKB655436 NKB720895:NKB720972 NKB786431:NKB786508 NKB851967:NKB852044 NKB917503:NKB917580 NKB983039:NKB983116 NTX2:NTX76 NTX65535:NTX65612 NTX131071:NTX131148 NTX196607:NTX196684 NTX262143:NTX262220 NTX327679:NTX327756 NTX393215:NTX393292 NTX458751:NTX458828 NTX524287:NTX524364 NTX589823:NTX589900 NTX655359:NTX655436 NTX720895:NTX720972 NTX786431:NTX786508 NTX851967:NTX852044 NTX917503:NTX917580 NTX983039:NTX983116 ODT2:ODT76 ODT65535:ODT65612 ODT131071:ODT131148 ODT196607:ODT196684 ODT262143:ODT262220 ODT327679:ODT327756 ODT393215:ODT393292 ODT458751:ODT458828 ODT524287:ODT524364 ODT589823:ODT589900 ODT655359:ODT655436 ODT720895:ODT720972 ODT786431:ODT786508 ODT851967:ODT852044 ODT917503:ODT917580 ODT983039:ODT983116 ONP2:ONP76 ONP65535:ONP65612 ONP131071:ONP131148 ONP196607:ONP196684 ONP262143:ONP262220 ONP327679:ONP327756 ONP393215:ONP393292 ONP458751:ONP458828 ONP524287:ONP524364 ONP589823:ONP589900 ONP655359:ONP655436 ONP720895:ONP720972 ONP786431:ONP786508 ONP851967:ONP852044 ONP917503:ONP917580 ONP983039:ONP983116 OXL2:OXL76 OXL65535:OXL65612 OXL131071:OXL131148 OXL196607:OXL196684 OXL262143:OXL262220 OXL327679:OXL327756 OXL393215:OXL393292 OXL458751:OXL458828 OXL524287:OXL524364 OXL589823:OXL589900 OXL655359:OXL655436 OXL720895:OXL720972 OXL786431:OXL786508 OXL851967:OXL852044 OXL917503:OXL917580 OXL983039:OXL983116 PHH2:PHH76 PHH65535:PHH65612 PHH131071:PHH131148 PHH196607:PHH196684 PHH262143:PHH262220 PHH327679:PHH327756 PHH393215:PHH393292 PHH458751:PHH458828 PHH524287:PHH524364 PHH589823:PHH589900 PHH655359:PHH655436 PHH720895:PHH720972 PHH786431:PHH786508 PHH851967:PHH852044 PHH917503:PHH917580 PHH983039:PHH983116 PRD2:PRD76 PRD65535:PRD65612 PRD131071:PRD131148 PRD196607:PRD196684 PRD262143:PRD262220 PRD327679:PRD327756 PRD393215:PRD393292 PRD458751:PRD458828 PRD524287:PRD524364 PRD589823:PRD589900 PRD655359:PRD655436 PRD720895:PRD720972 PRD786431:PRD786508 PRD851967:PRD852044 PRD917503:PRD917580 PRD983039:PRD983116 QAZ2:QAZ76 QAZ65535:QAZ65612 QAZ131071:QAZ131148 QAZ196607:QAZ196684 QAZ262143:QAZ262220 QAZ327679:QAZ327756 QAZ393215:QAZ393292 QAZ458751:QAZ458828 QAZ524287:QAZ524364 QAZ589823:QAZ589900 QAZ655359:QAZ655436 QAZ720895:QAZ720972 QAZ786431:QAZ786508 QAZ851967:QAZ852044 QAZ917503:QAZ917580 QAZ983039:QAZ983116 QKV2:QKV76 QKV65535:QKV65612 QKV131071:QKV131148 QKV196607:QKV196684 QKV262143:QKV262220 QKV327679:QKV327756 QKV393215:QKV393292 QKV458751:QKV458828 QKV524287:QKV524364 QKV589823:QKV589900 QKV655359:QKV655436 QKV720895:QKV720972 QKV786431:QKV786508 QKV851967:QKV852044 QKV917503:QKV917580 QKV983039:QKV983116 QUR2:QUR76 QUR65535:QUR65612 QUR131071:QUR131148 QUR196607:QUR196684 QUR262143:QUR262220 QUR327679:QUR327756 QUR393215:QUR393292 QUR458751:QUR458828 QUR524287:QUR524364 QUR589823:QUR589900 QUR655359:QUR655436 QUR720895:QUR720972 QUR786431:QUR786508 QUR851967:QUR852044 QUR917503:QUR917580 QUR983039:QUR983116 REN2:REN76 REN65535:REN65612 REN131071:REN131148 REN196607:REN196684 REN262143:REN262220 REN327679:REN327756 REN393215:REN393292 REN458751:REN458828 REN524287:REN524364 REN589823:REN589900 REN655359:REN655436 REN720895:REN720972 REN786431:REN786508 REN851967:REN852044 REN917503:REN917580 REN983039:REN983116 ROJ2:ROJ76 ROJ65535:ROJ65612 ROJ131071:ROJ131148 ROJ196607:ROJ196684 ROJ262143:ROJ262220 ROJ327679:ROJ327756 ROJ393215:ROJ393292 ROJ458751:ROJ458828 ROJ524287:ROJ524364 ROJ589823:ROJ589900 ROJ655359:ROJ655436 ROJ720895:ROJ720972 ROJ786431:ROJ786508 ROJ851967:ROJ852044 ROJ917503:ROJ917580 ROJ983039:ROJ983116 RYF2:RYF76 RYF65535:RYF65612 RYF131071:RYF131148 RYF196607:RYF196684 RYF262143:RYF262220 RYF327679:RYF327756 RYF393215:RYF393292 RYF458751:RYF458828 RYF524287:RYF524364 RYF589823:RYF589900 RYF655359:RYF655436 RYF720895:RYF720972 RYF786431:RYF786508 RYF851967:RYF852044 RYF917503:RYF917580 RYF983039:RYF983116 SIB2:SIB76 SIB65535:SIB65612 SIB131071:SIB131148 SIB196607:SIB196684 SIB262143:SIB262220 SIB327679:SIB327756 SIB393215:SIB393292 SIB458751:SIB458828 SIB524287:SIB524364 SIB589823:SIB589900 SIB655359:SIB655436 SIB720895:SIB720972 SIB786431:SIB786508 SIB851967:SIB852044 SIB917503:SIB917580 SIB983039:SIB983116 SRX2:SRX76 SRX65535:SRX65612 SRX131071:SRX131148 SRX196607:SRX196684 SRX262143:SRX262220 SRX327679:SRX327756 SRX393215:SRX393292 SRX458751:SRX458828 SRX524287:SRX524364 SRX589823:SRX589900 SRX655359:SRX655436 SRX720895:SRX720972 SRX786431:SRX786508 SRX851967:SRX852044 SRX917503:SRX917580 SRX983039:SRX983116 TBT2:TBT76 TBT65535:TBT65612 TBT131071:TBT131148 TBT196607:TBT196684 TBT262143:TBT262220 TBT327679:TBT327756 TBT393215:TBT393292 TBT458751:TBT458828 TBT524287:TBT524364 TBT589823:TBT589900 TBT655359:TBT655436 TBT720895:TBT720972 TBT786431:TBT786508 TBT851967:TBT852044 TBT917503:TBT917580 TBT983039:TBT983116 TLP2:TLP76 TLP65535:TLP65612 TLP131071:TLP131148 TLP196607:TLP196684 TLP262143:TLP262220 TLP327679:TLP327756 TLP393215:TLP393292 TLP458751:TLP458828 TLP524287:TLP524364 TLP589823:TLP589900 TLP655359:TLP655436 TLP720895:TLP720972 TLP786431:TLP786508 TLP851967:TLP852044 TLP917503:TLP917580 TLP983039:TLP983116 TVL2:TVL76 TVL65535:TVL65612 TVL131071:TVL131148 TVL196607:TVL196684 TVL262143:TVL262220 TVL327679:TVL327756 TVL393215:TVL393292 TVL458751:TVL458828 TVL524287:TVL524364 TVL589823:TVL589900 TVL655359:TVL655436 TVL720895:TVL720972 TVL786431:TVL786508 TVL851967:TVL852044 TVL917503:TVL917580 TVL983039:TVL983116 UFH2:UFH76 UFH65535:UFH65612 UFH131071:UFH131148 UFH196607:UFH196684 UFH262143:UFH262220 UFH327679:UFH327756 UFH393215:UFH393292 UFH458751:UFH458828 UFH524287:UFH524364 UFH589823:UFH589900 UFH655359:UFH655436 UFH720895:UFH720972 UFH786431:UFH786508 UFH851967:UFH852044 UFH917503:UFH917580 UFH983039:UFH983116 UPD2:UPD76 UPD65535:UPD65612 UPD131071:UPD131148 UPD196607:UPD196684 UPD262143:UPD262220 UPD327679:UPD327756 UPD393215:UPD393292 UPD458751:UPD458828 UPD524287:UPD524364 UPD589823:UPD589900 UPD655359:UPD655436 UPD720895:UPD720972 UPD786431:UPD786508 UPD851967:UPD852044 UPD917503:UPD917580 UPD983039:UPD983116 UYZ2:UYZ76 UYZ65535:UYZ65612 UYZ131071:UYZ131148 UYZ196607:UYZ196684 UYZ262143:UYZ262220 UYZ327679:UYZ327756 UYZ393215:UYZ393292 UYZ458751:UYZ458828 UYZ524287:UYZ524364 UYZ589823:UYZ589900 UYZ655359:UYZ655436 UYZ720895:UYZ720972 UYZ786431:UYZ786508 UYZ851967:UYZ852044 UYZ917503:UYZ917580 UYZ983039:UYZ983116 VIV2:VIV76 VIV65535:VIV65612 VIV131071:VIV131148 VIV196607:VIV196684 VIV262143:VIV262220 VIV327679:VIV327756 VIV393215:VIV393292 VIV458751:VIV458828 VIV524287:VIV524364 VIV589823:VIV589900 VIV655359:VIV655436 VIV720895:VIV720972 VIV786431:VIV786508 VIV851967:VIV852044 VIV917503:VIV917580 VIV983039:VIV983116 VSR2:VSR76 VSR65535:VSR65612 VSR131071:VSR131148 VSR196607:VSR196684 VSR262143:VSR262220 VSR327679:VSR327756 VSR393215:VSR393292 VSR458751:VSR458828 VSR524287:VSR524364 VSR589823:VSR589900 VSR655359:VSR655436 VSR720895:VSR720972 VSR786431:VSR786508 VSR851967:VSR852044 VSR917503:VSR917580 VSR983039:VSR983116 WCN2:WCN76 WCN65535:WCN65612 WCN131071:WCN131148 WCN196607:WCN196684 WCN262143:WCN262220 WCN327679:WCN327756 WCN393215:WCN393292 WCN458751:WCN458828 WCN524287:WCN524364 WCN589823:WCN589900 WCN655359:WCN655436 WCN720895:WCN720972 WCN786431:WCN786508 WCN851967:WCN852044 WCN917503:WCN917580 WCN983039:WCN983116 WMJ2:WMJ76 WMJ65535:WMJ65612 WMJ131071:WMJ131148 WMJ196607:WMJ196684 WMJ262143:WMJ262220 WMJ327679:WMJ327756 WMJ393215:WMJ393292 WMJ458751:WMJ458828 WMJ524287:WMJ524364 WMJ589823:WMJ589900 WMJ655359:WMJ655436 WMJ720895:WMJ720972 WMJ786431:WMJ786508 WMJ851967:WMJ852044 WMJ917503:WMJ917580 WMJ983039:WMJ983116 WWF2:WWF76 WWF65535:WWF65612 WWF131071:WWF131148 WWF196607:WWF196684 WWF262143:WWF262220 WWF327679:WWF327756 WWF393215:WWF393292 WWF458751:WWF458828 WWF524287:WWF524364 WWF589823:WWF589900 WWF655359:WWF655436 WWF720895:WWF720972 WWF786431:WWF786508 WWF851967:WWF852044 WWF917503:WWF917580 WWF983039:WWF983116">
      <formula1>$AT$2:$AT$3</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5 IX65535 ST65535 ACP65535 AML65535 AWH65535 BGD65535 BPZ65535 BZV65535 CJR65535 CTN65535 DDJ65535 DNF65535 DXB65535 EGX65535 EQT65535 FAP65535 FKL65535 FUH65535 GED65535 GNZ65535 GXV65535 HHR65535 HRN65535 IBJ65535 ILF65535 IVB65535 JEX65535 JOT65535 JYP65535 KIL65535 KSH65535 LCD65535 LLZ65535 LVV65535 MFR65535 MPN65535 MZJ65535 NJF65535 NTB65535 OCX65535 OMT65535 OWP65535 PGL65535 PQH65535 QAD65535 QJZ65535 QTV65535 RDR65535 RNN65535 RXJ65535 SHF65535 SRB65535 TAX65535 TKT65535 TUP65535 UEL65535 UOH65535 UYD65535 VHZ65535 VRV65535 WBR65535 WLN65535 WVJ65535 B131071 IX131071 ST131071 ACP131071 AML131071 AWH131071 BGD131071 BPZ131071 BZV131071 CJR131071 CTN131071 DDJ131071 DNF131071 DXB131071 EGX131071 EQT131071 FAP131071 FKL131071 FUH131071 GED131071 GNZ131071 GXV131071 HHR131071 HRN131071 IBJ131071 ILF131071 IVB131071 JEX131071 JOT131071 JYP131071 KIL131071 KSH131071 LCD131071 LLZ131071 LVV131071 MFR131071 MPN131071 MZJ131071 NJF131071 NTB131071 OCX131071 OMT131071 OWP131071 PGL131071 PQH131071 QAD131071 QJZ131071 QTV131071 RDR131071 RNN131071 RXJ131071 SHF131071 SRB131071 TAX131071 TKT131071 TUP131071 UEL131071 UOH131071 UYD131071 VHZ131071 VRV131071 WBR131071 WLN131071 WVJ131071 B196607 IX196607 ST196607 ACP196607 AML196607 AWH196607 BGD196607 BPZ196607 BZV196607 CJR196607 CTN196607 DDJ196607 DNF196607 DXB196607 EGX196607 EQT196607 FAP196607 FKL196607 FUH196607 GED196607 GNZ196607 GXV196607 HHR196607 HRN196607 IBJ196607 ILF196607 IVB196607 JEX196607 JOT196607 JYP196607 KIL196607 KSH196607 LCD196607 LLZ196607 LVV196607 MFR196607 MPN196607 MZJ196607 NJF196607 NTB196607 OCX196607 OMT196607 OWP196607 PGL196607 PQH196607 QAD196607 QJZ196607 QTV196607 RDR196607 RNN196607 RXJ196607 SHF196607 SRB196607 TAX196607 TKT196607 TUP196607 UEL196607 UOH196607 UYD196607 VHZ196607 VRV196607 WBR196607 WLN196607 WVJ196607 B262143 IX262143 ST262143 ACP262143 AML262143 AWH262143 BGD262143 BPZ262143 BZV262143 CJR262143 CTN262143 DDJ262143 DNF262143 DXB262143 EGX262143 EQT262143 FAP262143 FKL262143 FUH262143 GED262143 GNZ262143 GXV262143 HHR262143 HRN262143 IBJ262143 ILF262143 IVB262143 JEX262143 JOT262143 JYP262143 KIL262143 KSH262143 LCD262143 LLZ262143 LVV262143 MFR262143 MPN262143 MZJ262143 NJF262143 NTB262143 OCX262143 OMT262143 OWP262143 PGL262143 PQH262143 QAD262143 QJZ262143 QTV262143 RDR262143 RNN262143 RXJ262143 SHF262143 SRB262143 TAX262143 TKT262143 TUP262143 UEL262143 UOH262143 UYD262143 VHZ262143 VRV262143 WBR262143 WLN262143 WVJ262143 B327679 IX327679 ST327679 ACP327679 AML327679 AWH327679 BGD327679 BPZ327679 BZV327679 CJR327679 CTN327679 DDJ327679 DNF327679 DXB327679 EGX327679 EQT327679 FAP327679 FKL327679 FUH327679 GED327679 GNZ327679 GXV327679 HHR327679 HRN327679 IBJ327679 ILF327679 IVB327679 JEX327679 JOT327679 JYP327679 KIL327679 KSH327679 LCD327679 LLZ327679 LVV327679 MFR327679 MPN327679 MZJ327679 NJF327679 NTB327679 OCX327679 OMT327679 OWP327679 PGL327679 PQH327679 QAD327679 QJZ327679 QTV327679 RDR327679 RNN327679 RXJ327679 SHF327679 SRB327679 TAX327679 TKT327679 TUP327679 UEL327679 UOH327679 UYD327679 VHZ327679 VRV327679 WBR327679 WLN327679 WVJ327679 B393215 IX393215 ST393215 ACP393215 AML393215 AWH393215 BGD393215 BPZ393215 BZV393215 CJR393215 CTN393215 DDJ393215 DNF393215 DXB393215 EGX393215 EQT393215 FAP393215 FKL393215 FUH393215 GED393215 GNZ393215 GXV393215 HHR393215 HRN393215 IBJ393215 ILF393215 IVB393215 JEX393215 JOT393215 JYP393215 KIL393215 KSH393215 LCD393215 LLZ393215 LVV393215 MFR393215 MPN393215 MZJ393215 NJF393215 NTB393215 OCX393215 OMT393215 OWP393215 PGL393215 PQH393215 QAD393215 QJZ393215 QTV393215 RDR393215 RNN393215 RXJ393215 SHF393215 SRB393215 TAX393215 TKT393215 TUP393215 UEL393215 UOH393215 UYD393215 VHZ393215 VRV393215 WBR393215 WLN393215 WVJ393215 B458751 IX458751 ST458751 ACP458751 AML458751 AWH458751 BGD458751 BPZ458751 BZV458751 CJR458751 CTN458751 DDJ458751 DNF458751 DXB458751 EGX458751 EQT458751 FAP458751 FKL458751 FUH458751 GED458751 GNZ458751 GXV458751 HHR458751 HRN458751 IBJ458751 ILF458751 IVB458751 JEX458751 JOT458751 JYP458751 KIL458751 KSH458751 LCD458751 LLZ458751 LVV458751 MFR458751 MPN458751 MZJ458751 NJF458751 NTB458751 OCX458751 OMT458751 OWP458751 PGL458751 PQH458751 QAD458751 QJZ458751 QTV458751 RDR458751 RNN458751 RXJ458751 SHF458751 SRB458751 TAX458751 TKT458751 TUP458751 UEL458751 UOH458751 UYD458751 VHZ458751 VRV458751 WBR458751 WLN458751 WVJ458751 B524287 IX524287 ST524287 ACP524287 AML524287 AWH524287 BGD524287 BPZ524287 BZV524287 CJR524287 CTN524287 DDJ524287 DNF524287 DXB524287 EGX524287 EQT524287 FAP524287 FKL524287 FUH524287 GED524287 GNZ524287 GXV524287 HHR524287 HRN524287 IBJ524287 ILF524287 IVB524287 JEX524287 JOT524287 JYP524287 KIL524287 KSH524287 LCD524287 LLZ524287 LVV524287 MFR524287 MPN524287 MZJ524287 NJF524287 NTB524287 OCX524287 OMT524287 OWP524287 PGL524287 PQH524287 QAD524287 QJZ524287 QTV524287 RDR524287 RNN524287 RXJ524287 SHF524287 SRB524287 TAX524287 TKT524287 TUP524287 UEL524287 UOH524287 UYD524287 VHZ524287 VRV524287 WBR524287 WLN524287 WVJ524287 B589823 IX589823 ST589823 ACP589823 AML589823 AWH589823 BGD589823 BPZ589823 BZV589823 CJR589823 CTN589823 DDJ589823 DNF589823 DXB589823 EGX589823 EQT589823 FAP589823 FKL589823 FUH589823 GED589823 GNZ589823 GXV589823 HHR589823 HRN589823 IBJ589823 ILF589823 IVB589823 JEX589823 JOT589823 JYP589823 KIL589823 KSH589823 LCD589823 LLZ589823 LVV589823 MFR589823 MPN589823 MZJ589823 NJF589823 NTB589823 OCX589823 OMT589823 OWP589823 PGL589823 PQH589823 QAD589823 QJZ589823 QTV589823 RDR589823 RNN589823 RXJ589823 SHF589823 SRB589823 TAX589823 TKT589823 TUP589823 UEL589823 UOH589823 UYD589823 VHZ589823 VRV589823 WBR589823 WLN589823 WVJ589823 B655359 IX655359 ST655359 ACP655359 AML655359 AWH655359 BGD655359 BPZ655359 BZV655359 CJR655359 CTN655359 DDJ655359 DNF655359 DXB655359 EGX655359 EQT655359 FAP655359 FKL655359 FUH655359 GED655359 GNZ655359 GXV655359 HHR655359 HRN655359 IBJ655359 ILF655359 IVB655359 JEX655359 JOT655359 JYP655359 KIL655359 KSH655359 LCD655359 LLZ655359 LVV655359 MFR655359 MPN655359 MZJ655359 NJF655359 NTB655359 OCX655359 OMT655359 OWP655359 PGL655359 PQH655359 QAD655359 QJZ655359 QTV655359 RDR655359 RNN655359 RXJ655359 SHF655359 SRB655359 TAX655359 TKT655359 TUP655359 UEL655359 UOH655359 UYD655359 VHZ655359 VRV655359 WBR655359 WLN655359 WVJ655359 B720895 IX720895 ST720895 ACP720895 AML720895 AWH720895 BGD720895 BPZ720895 BZV720895 CJR720895 CTN720895 DDJ720895 DNF720895 DXB720895 EGX720895 EQT720895 FAP720895 FKL720895 FUH720895 GED720895 GNZ720895 GXV720895 HHR720895 HRN720895 IBJ720895 ILF720895 IVB720895 JEX720895 JOT720895 JYP720895 KIL720895 KSH720895 LCD720895 LLZ720895 LVV720895 MFR720895 MPN720895 MZJ720895 NJF720895 NTB720895 OCX720895 OMT720895 OWP720895 PGL720895 PQH720895 QAD720895 QJZ720895 QTV720895 RDR720895 RNN720895 RXJ720895 SHF720895 SRB720895 TAX720895 TKT720895 TUP720895 UEL720895 UOH720895 UYD720895 VHZ720895 VRV720895 WBR720895 WLN720895 WVJ720895 B786431 IX786431 ST786431 ACP786431 AML786431 AWH786431 BGD786431 BPZ786431 BZV786431 CJR786431 CTN786431 DDJ786431 DNF786431 DXB786431 EGX786431 EQT786431 FAP786431 FKL786431 FUH786431 GED786431 GNZ786431 GXV786431 HHR786431 HRN786431 IBJ786431 ILF786431 IVB786431 JEX786431 JOT786431 JYP786431 KIL786431 KSH786431 LCD786431 LLZ786431 LVV786431 MFR786431 MPN786431 MZJ786431 NJF786431 NTB786431 OCX786431 OMT786431 OWP786431 PGL786431 PQH786431 QAD786431 QJZ786431 QTV786431 RDR786431 RNN786431 RXJ786431 SHF786431 SRB786431 TAX786431 TKT786431 TUP786431 UEL786431 UOH786431 UYD786431 VHZ786431 VRV786431 WBR786431 WLN786431 WVJ786431 B851967 IX851967 ST851967 ACP851967 AML851967 AWH851967 BGD851967 BPZ851967 BZV851967 CJR851967 CTN851967 DDJ851967 DNF851967 DXB851967 EGX851967 EQT851967 FAP851967 FKL851967 FUH851967 GED851967 GNZ851967 GXV851967 HHR851967 HRN851967 IBJ851967 ILF851967 IVB851967 JEX851967 JOT851967 JYP851967 KIL851967 KSH851967 LCD851967 LLZ851967 LVV851967 MFR851967 MPN851967 MZJ851967 NJF851967 NTB851967 OCX851967 OMT851967 OWP851967 PGL851967 PQH851967 QAD851967 QJZ851967 QTV851967 RDR851967 RNN851967 RXJ851967 SHF851967 SRB851967 TAX851967 TKT851967 TUP851967 UEL851967 UOH851967 UYD851967 VHZ851967 VRV851967 WBR851967 WLN851967 WVJ851967 B917503 IX917503 ST917503 ACP917503 AML917503 AWH917503 BGD917503 BPZ917503 BZV917503 CJR917503 CTN917503 DDJ917503 DNF917503 DXB917503 EGX917503 EQT917503 FAP917503 FKL917503 FUH917503 GED917503 GNZ917503 GXV917503 HHR917503 HRN917503 IBJ917503 ILF917503 IVB917503 JEX917503 JOT917503 JYP917503 KIL917503 KSH917503 LCD917503 LLZ917503 LVV917503 MFR917503 MPN917503 MZJ917503 NJF917503 NTB917503 OCX917503 OMT917503 OWP917503 PGL917503 PQH917503 QAD917503 QJZ917503 QTV917503 RDR917503 RNN917503 RXJ917503 SHF917503 SRB917503 TAX917503 TKT917503 TUP917503 UEL917503 UOH917503 UYD917503 VHZ917503 VRV917503 WBR917503 WLN917503 WVJ917503 B983039 IX983039 ST983039 ACP983039 AML983039 AWH983039 BGD983039 BPZ983039 BZV983039 CJR983039 CTN983039 DDJ983039 DNF983039 DXB983039 EGX983039 EQT983039 FAP983039 FKL983039 FUH983039 GED983039 GNZ983039 GXV983039 HHR983039 HRN983039 IBJ983039 ILF983039 IVB983039 JEX983039 JOT983039 JYP983039 KIL983039 KSH983039 LCD983039 LLZ983039 LVV983039 MFR983039 MPN983039 MZJ983039 NJF983039 NTB983039 OCX983039 OMT983039 OWP983039 PGL983039 PQH983039 QAD983039 QJZ983039 QTV983039 RDR983039 RNN983039 RXJ983039 SHF983039 SRB983039 TAX983039 TKT983039 TUP983039 UEL983039 UOH983039 UYD983039 VHZ983039 VRV983039 WBR983039 WLN983039 WVJ983039"/>
    <dataValidation type="list" allowBlank="1" showInputMessage="1" showErrorMessage="1" sqref="E2:E729 E65535:E65612 E131071:E131148 E196607:E196684 E262143:E262220 E327679:E327756 E393215:E393292 E458751:E458828 E524287:E524364 E589823:E589900 E655359:E655436 E720895:E720972 E786431:E786508 E851967:E852044 E917503:E917580 E983039:E983116 JA2:JA76 JA65535:JA65612 JA131071:JA131148 JA196607:JA196684 JA262143:JA262220 JA327679:JA327756 JA393215:JA393292 JA458751:JA458828 JA524287:JA524364 JA589823:JA589900 JA655359:JA655436 JA720895:JA720972 JA786431:JA786508 JA851967:JA852044 JA917503:JA917580 JA983039:JA983116 SW2:SW76 SW65535:SW65612 SW131071:SW131148 SW196607:SW196684 SW262143:SW262220 SW327679:SW327756 SW393215:SW393292 SW458751:SW458828 SW524287:SW524364 SW589823:SW589900 SW655359:SW655436 SW720895:SW720972 SW786431:SW786508 SW851967:SW852044 SW917503:SW917580 SW983039:SW983116 ACS2:ACS76 ACS65535:ACS65612 ACS131071:ACS131148 ACS196607:ACS196684 ACS262143:ACS262220 ACS327679:ACS327756 ACS393215:ACS393292 ACS458751:ACS458828 ACS524287:ACS524364 ACS589823:ACS589900 ACS655359:ACS655436 ACS720895:ACS720972 ACS786431:ACS786508 ACS851967:ACS852044 ACS917503:ACS917580 ACS983039:ACS983116 AMO2:AMO76 AMO65535:AMO65612 AMO131071:AMO131148 AMO196607:AMO196684 AMO262143:AMO262220 AMO327679:AMO327756 AMO393215:AMO393292 AMO458751:AMO458828 AMO524287:AMO524364 AMO589823:AMO589900 AMO655359:AMO655436 AMO720895:AMO720972 AMO786431:AMO786508 AMO851967:AMO852044 AMO917503:AMO917580 AMO983039:AMO983116 AWK2:AWK76 AWK65535:AWK65612 AWK131071:AWK131148 AWK196607:AWK196684 AWK262143:AWK262220 AWK327679:AWK327756 AWK393215:AWK393292 AWK458751:AWK458828 AWK524287:AWK524364 AWK589823:AWK589900 AWK655359:AWK655436 AWK720895:AWK720972 AWK786431:AWK786508 AWK851967:AWK852044 AWK917503:AWK917580 AWK983039:AWK983116 BGG2:BGG76 BGG65535:BGG65612 BGG131071:BGG131148 BGG196607:BGG196684 BGG262143:BGG262220 BGG327679:BGG327756 BGG393215:BGG393292 BGG458751:BGG458828 BGG524287:BGG524364 BGG589823:BGG589900 BGG655359:BGG655436 BGG720895:BGG720972 BGG786431:BGG786508 BGG851967:BGG852044 BGG917503:BGG917580 BGG983039:BGG983116 BQC2:BQC76 BQC65535:BQC65612 BQC131071:BQC131148 BQC196607:BQC196684 BQC262143:BQC262220 BQC327679:BQC327756 BQC393215:BQC393292 BQC458751:BQC458828 BQC524287:BQC524364 BQC589823:BQC589900 BQC655359:BQC655436 BQC720895:BQC720972 BQC786431:BQC786508 BQC851967:BQC852044 BQC917503:BQC917580 BQC983039:BQC983116 BZY2:BZY76 BZY65535:BZY65612 BZY131071:BZY131148 BZY196607:BZY196684 BZY262143:BZY262220 BZY327679:BZY327756 BZY393215:BZY393292 BZY458751:BZY458828 BZY524287:BZY524364 BZY589823:BZY589900 BZY655359:BZY655436 BZY720895:BZY720972 BZY786431:BZY786508 BZY851967:BZY852044 BZY917503:BZY917580 BZY983039:BZY983116 CJU2:CJU76 CJU65535:CJU65612 CJU131071:CJU131148 CJU196607:CJU196684 CJU262143:CJU262220 CJU327679:CJU327756 CJU393215:CJU393292 CJU458751:CJU458828 CJU524287:CJU524364 CJU589823:CJU589900 CJU655359:CJU655436 CJU720895:CJU720972 CJU786431:CJU786508 CJU851967:CJU852044 CJU917503:CJU917580 CJU983039:CJU983116 CTQ2:CTQ76 CTQ65535:CTQ65612 CTQ131071:CTQ131148 CTQ196607:CTQ196684 CTQ262143:CTQ262220 CTQ327679:CTQ327756 CTQ393215:CTQ393292 CTQ458751:CTQ458828 CTQ524287:CTQ524364 CTQ589823:CTQ589900 CTQ655359:CTQ655436 CTQ720895:CTQ720972 CTQ786431:CTQ786508 CTQ851967:CTQ852044 CTQ917503:CTQ917580 CTQ983039:CTQ983116 DDM2:DDM76 DDM65535:DDM65612 DDM131071:DDM131148 DDM196607:DDM196684 DDM262143:DDM262220 DDM327679:DDM327756 DDM393215:DDM393292 DDM458751:DDM458828 DDM524287:DDM524364 DDM589823:DDM589900 DDM655359:DDM655436 DDM720895:DDM720972 DDM786431:DDM786508 DDM851967:DDM852044 DDM917503:DDM917580 DDM983039:DDM983116 DNI2:DNI76 DNI65535:DNI65612 DNI131071:DNI131148 DNI196607:DNI196684 DNI262143:DNI262220 DNI327679:DNI327756 DNI393215:DNI393292 DNI458751:DNI458828 DNI524287:DNI524364 DNI589823:DNI589900 DNI655359:DNI655436 DNI720895:DNI720972 DNI786431:DNI786508 DNI851967:DNI852044 DNI917503:DNI917580 DNI983039:DNI983116 DXE2:DXE76 DXE65535:DXE65612 DXE131071:DXE131148 DXE196607:DXE196684 DXE262143:DXE262220 DXE327679:DXE327756 DXE393215:DXE393292 DXE458751:DXE458828 DXE524287:DXE524364 DXE589823:DXE589900 DXE655359:DXE655436 DXE720895:DXE720972 DXE786431:DXE786508 DXE851967:DXE852044 DXE917503:DXE917580 DXE983039:DXE983116 EHA2:EHA76 EHA65535:EHA65612 EHA131071:EHA131148 EHA196607:EHA196684 EHA262143:EHA262220 EHA327679:EHA327756 EHA393215:EHA393292 EHA458751:EHA458828 EHA524287:EHA524364 EHA589823:EHA589900 EHA655359:EHA655436 EHA720895:EHA720972 EHA786431:EHA786508 EHA851967:EHA852044 EHA917503:EHA917580 EHA983039:EHA983116 EQW2:EQW76 EQW65535:EQW65612 EQW131071:EQW131148 EQW196607:EQW196684 EQW262143:EQW262220 EQW327679:EQW327756 EQW393215:EQW393292 EQW458751:EQW458828 EQW524287:EQW524364 EQW589823:EQW589900 EQW655359:EQW655436 EQW720895:EQW720972 EQW786431:EQW786508 EQW851967:EQW852044 EQW917503:EQW917580 EQW983039:EQW983116 FAS2:FAS76 FAS65535:FAS65612 FAS131071:FAS131148 FAS196607:FAS196684 FAS262143:FAS262220 FAS327679:FAS327756 FAS393215:FAS393292 FAS458751:FAS458828 FAS524287:FAS524364 FAS589823:FAS589900 FAS655359:FAS655436 FAS720895:FAS720972 FAS786431:FAS786508 FAS851967:FAS852044 FAS917503:FAS917580 FAS983039:FAS983116 FKO2:FKO76 FKO65535:FKO65612 FKO131071:FKO131148 FKO196607:FKO196684 FKO262143:FKO262220 FKO327679:FKO327756 FKO393215:FKO393292 FKO458751:FKO458828 FKO524287:FKO524364 FKO589823:FKO589900 FKO655359:FKO655436 FKO720895:FKO720972 FKO786431:FKO786508 FKO851967:FKO852044 FKO917503:FKO917580 FKO983039:FKO983116 FUK2:FUK76 FUK65535:FUK65612 FUK131071:FUK131148 FUK196607:FUK196684 FUK262143:FUK262220 FUK327679:FUK327756 FUK393215:FUK393292 FUK458751:FUK458828 FUK524287:FUK524364 FUK589823:FUK589900 FUK655359:FUK655436 FUK720895:FUK720972 FUK786431:FUK786508 FUK851967:FUK852044 FUK917503:FUK917580 FUK983039:FUK983116 GEG2:GEG76 GEG65535:GEG65612 GEG131071:GEG131148 GEG196607:GEG196684 GEG262143:GEG262220 GEG327679:GEG327756 GEG393215:GEG393292 GEG458751:GEG458828 GEG524287:GEG524364 GEG589823:GEG589900 GEG655359:GEG655436 GEG720895:GEG720972 GEG786431:GEG786508 GEG851967:GEG852044 GEG917503:GEG917580 GEG983039:GEG983116 GOC2:GOC76 GOC65535:GOC65612 GOC131071:GOC131148 GOC196607:GOC196684 GOC262143:GOC262220 GOC327679:GOC327756 GOC393215:GOC393292 GOC458751:GOC458828 GOC524287:GOC524364 GOC589823:GOC589900 GOC655359:GOC655436 GOC720895:GOC720972 GOC786431:GOC786508 GOC851967:GOC852044 GOC917503:GOC917580 GOC983039:GOC983116 GXY2:GXY76 GXY65535:GXY65612 GXY131071:GXY131148 GXY196607:GXY196684 GXY262143:GXY262220 GXY327679:GXY327756 GXY393215:GXY393292 GXY458751:GXY458828 GXY524287:GXY524364 GXY589823:GXY589900 GXY655359:GXY655436 GXY720895:GXY720972 GXY786431:GXY786508 GXY851967:GXY852044 GXY917503:GXY917580 GXY983039:GXY983116 HHU2:HHU76 HHU65535:HHU65612 HHU131071:HHU131148 HHU196607:HHU196684 HHU262143:HHU262220 HHU327679:HHU327756 HHU393215:HHU393292 HHU458751:HHU458828 HHU524287:HHU524364 HHU589823:HHU589900 HHU655359:HHU655436 HHU720895:HHU720972 HHU786431:HHU786508 HHU851967:HHU852044 HHU917503:HHU917580 HHU983039:HHU983116 HRQ2:HRQ76 HRQ65535:HRQ65612 HRQ131071:HRQ131148 HRQ196607:HRQ196684 HRQ262143:HRQ262220 HRQ327679:HRQ327756 HRQ393215:HRQ393292 HRQ458751:HRQ458828 HRQ524287:HRQ524364 HRQ589823:HRQ589900 HRQ655359:HRQ655436 HRQ720895:HRQ720972 HRQ786431:HRQ786508 HRQ851967:HRQ852044 HRQ917503:HRQ917580 HRQ983039:HRQ983116 IBM2:IBM76 IBM65535:IBM65612 IBM131071:IBM131148 IBM196607:IBM196684 IBM262143:IBM262220 IBM327679:IBM327756 IBM393215:IBM393292 IBM458751:IBM458828 IBM524287:IBM524364 IBM589823:IBM589900 IBM655359:IBM655436 IBM720895:IBM720972 IBM786431:IBM786508 IBM851967:IBM852044 IBM917503:IBM917580 IBM983039:IBM983116 ILI2:ILI76 ILI65535:ILI65612 ILI131071:ILI131148 ILI196607:ILI196684 ILI262143:ILI262220 ILI327679:ILI327756 ILI393215:ILI393292 ILI458751:ILI458828 ILI524287:ILI524364 ILI589823:ILI589900 ILI655359:ILI655436 ILI720895:ILI720972 ILI786431:ILI786508 ILI851967:ILI852044 ILI917503:ILI917580 ILI983039:ILI983116 IVE2:IVE76 IVE65535:IVE65612 IVE131071:IVE131148 IVE196607:IVE196684 IVE262143:IVE262220 IVE327679:IVE327756 IVE393215:IVE393292 IVE458751:IVE458828 IVE524287:IVE524364 IVE589823:IVE589900 IVE655359:IVE655436 IVE720895:IVE720972 IVE786431:IVE786508 IVE851967:IVE852044 IVE917503:IVE917580 IVE983039:IVE983116 JFA2:JFA76 JFA65535:JFA65612 JFA131071:JFA131148 JFA196607:JFA196684 JFA262143:JFA262220 JFA327679:JFA327756 JFA393215:JFA393292 JFA458751:JFA458828 JFA524287:JFA524364 JFA589823:JFA589900 JFA655359:JFA655436 JFA720895:JFA720972 JFA786431:JFA786508 JFA851967:JFA852044 JFA917503:JFA917580 JFA983039:JFA983116 JOW2:JOW76 JOW65535:JOW65612 JOW131071:JOW131148 JOW196607:JOW196684 JOW262143:JOW262220 JOW327679:JOW327756 JOW393215:JOW393292 JOW458751:JOW458828 JOW524287:JOW524364 JOW589823:JOW589900 JOW655359:JOW655436 JOW720895:JOW720972 JOW786431:JOW786508 JOW851967:JOW852044 JOW917503:JOW917580 JOW983039:JOW983116 JYS2:JYS76 JYS65535:JYS65612 JYS131071:JYS131148 JYS196607:JYS196684 JYS262143:JYS262220 JYS327679:JYS327756 JYS393215:JYS393292 JYS458751:JYS458828 JYS524287:JYS524364 JYS589823:JYS589900 JYS655359:JYS655436 JYS720895:JYS720972 JYS786431:JYS786508 JYS851967:JYS852044 JYS917503:JYS917580 JYS983039:JYS983116 KIO2:KIO76 KIO65535:KIO65612 KIO131071:KIO131148 KIO196607:KIO196684 KIO262143:KIO262220 KIO327679:KIO327756 KIO393215:KIO393292 KIO458751:KIO458828 KIO524287:KIO524364 KIO589823:KIO589900 KIO655359:KIO655436 KIO720895:KIO720972 KIO786431:KIO786508 KIO851967:KIO852044 KIO917503:KIO917580 KIO983039:KIO983116 KSK2:KSK76 KSK65535:KSK65612 KSK131071:KSK131148 KSK196607:KSK196684 KSK262143:KSK262220 KSK327679:KSK327756 KSK393215:KSK393292 KSK458751:KSK458828 KSK524287:KSK524364 KSK589823:KSK589900 KSK655359:KSK655436 KSK720895:KSK720972 KSK786431:KSK786508 KSK851967:KSK852044 KSK917503:KSK917580 KSK983039:KSK983116 LCG2:LCG76 LCG65535:LCG65612 LCG131071:LCG131148 LCG196607:LCG196684 LCG262143:LCG262220 LCG327679:LCG327756 LCG393215:LCG393292 LCG458751:LCG458828 LCG524287:LCG524364 LCG589823:LCG589900 LCG655359:LCG655436 LCG720895:LCG720972 LCG786431:LCG786508 LCG851967:LCG852044 LCG917503:LCG917580 LCG983039:LCG983116 LMC2:LMC76 LMC65535:LMC65612 LMC131071:LMC131148 LMC196607:LMC196684 LMC262143:LMC262220 LMC327679:LMC327756 LMC393215:LMC393292 LMC458751:LMC458828 LMC524287:LMC524364 LMC589823:LMC589900 LMC655359:LMC655436 LMC720895:LMC720972 LMC786431:LMC786508 LMC851967:LMC852044 LMC917503:LMC917580 LMC983039:LMC983116 LVY2:LVY76 LVY65535:LVY65612 LVY131071:LVY131148 LVY196607:LVY196684 LVY262143:LVY262220 LVY327679:LVY327756 LVY393215:LVY393292 LVY458751:LVY458828 LVY524287:LVY524364 LVY589823:LVY589900 LVY655359:LVY655436 LVY720895:LVY720972 LVY786431:LVY786508 LVY851967:LVY852044 LVY917503:LVY917580 LVY983039:LVY983116 MFU2:MFU76 MFU65535:MFU65612 MFU131071:MFU131148 MFU196607:MFU196684 MFU262143:MFU262220 MFU327679:MFU327756 MFU393215:MFU393292 MFU458751:MFU458828 MFU524287:MFU524364 MFU589823:MFU589900 MFU655359:MFU655436 MFU720895:MFU720972 MFU786431:MFU786508 MFU851967:MFU852044 MFU917503:MFU917580 MFU983039:MFU983116 MPQ2:MPQ76 MPQ65535:MPQ65612 MPQ131071:MPQ131148 MPQ196607:MPQ196684 MPQ262143:MPQ262220 MPQ327679:MPQ327756 MPQ393215:MPQ393292 MPQ458751:MPQ458828 MPQ524287:MPQ524364 MPQ589823:MPQ589900 MPQ655359:MPQ655436 MPQ720895:MPQ720972 MPQ786431:MPQ786508 MPQ851967:MPQ852044 MPQ917503:MPQ917580 MPQ983039:MPQ983116 MZM2:MZM76 MZM65535:MZM65612 MZM131071:MZM131148 MZM196607:MZM196684 MZM262143:MZM262220 MZM327679:MZM327756 MZM393215:MZM393292 MZM458751:MZM458828 MZM524287:MZM524364 MZM589823:MZM589900 MZM655359:MZM655436 MZM720895:MZM720972 MZM786431:MZM786508 MZM851967:MZM852044 MZM917503:MZM917580 MZM983039:MZM983116 NJI2:NJI76 NJI65535:NJI65612 NJI131071:NJI131148 NJI196607:NJI196684 NJI262143:NJI262220 NJI327679:NJI327756 NJI393215:NJI393292 NJI458751:NJI458828 NJI524287:NJI524364 NJI589823:NJI589900 NJI655359:NJI655436 NJI720895:NJI720972 NJI786431:NJI786508 NJI851967:NJI852044 NJI917503:NJI917580 NJI983039:NJI983116 NTE2:NTE76 NTE65535:NTE65612 NTE131071:NTE131148 NTE196607:NTE196684 NTE262143:NTE262220 NTE327679:NTE327756 NTE393215:NTE393292 NTE458751:NTE458828 NTE524287:NTE524364 NTE589823:NTE589900 NTE655359:NTE655436 NTE720895:NTE720972 NTE786431:NTE786508 NTE851967:NTE852044 NTE917503:NTE917580 NTE983039:NTE983116 ODA2:ODA76 ODA65535:ODA65612 ODA131071:ODA131148 ODA196607:ODA196684 ODA262143:ODA262220 ODA327679:ODA327756 ODA393215:ODA393292 ODA458751:ODA458828 ODA524287:ODA524364 ODA589823:ODA589900 ODA655359:ODA655436 ODA720895:ODA720972 ODA786431:ODA786508 ODA851967:ODA852044 ODA917503:ODA917580 ODA983039:ODA983116 OMW2:OMW76 OMW65535:OMW65612 OMW131071:OMW131148 OMW196607:OMW196684 OMW262143:OMW262220 OMW327679:OMW327756 OMW393215:OMW393292 OMW458751:OMW458828 OMW524287:OMW524364 OMW589823:OMW589900 OMW655359:OMW655436 OMW720895:OMW720972 OMW786431:OMW786508 OMW851967:OMW852044 OMW917503:OMW917580 OMW983039:OMW983116 OWS2:OWS76 OWS65535:OWS65612 OWS131071:OWS131148 OWS196607:OWS196684 OWS262143:OWS262220 OWS327679:OWS327756 OWS393215:OWS393292 OWS458751:OWS458828 OWS524287:OWS524364 OWS589823:OWS589900 OWS655359:OWS655436 OWS720895:OWS720972 OWS786431:OWS786508 OWS851967:OWS852044 OWS917503:OWS917580 OWS983039:OWS983116 PGO2:PGO76 PGO65535:PGO65612 PGO131071:PGO131148 PGO196607:PGO196684 PGO262143:PGO262220 PGO327679:PGO327756 PGO393215:PGO393292 PGO458751:PGO458828 PGO524287:PGO524364 PGO589823:PGO589900 PGO655359:PGO655436 PGO720895:PGO720972 PGO786431:PGO786508 PGO851967:PGO852044 PGO917503:PGO917580 PGO983039:PGO983116 PQK2:PQK76 PQK65535:PQK65612 PQK131071:PQK131148 PQK196607:PQK196684 PQK262143:PQK262220 PQK327679:PQK327756 PQK393215:PQK393292 PQK458751:PQK458828 PQK524287:PQK524364 PQK589823:PQK589900 PQK655359:PQK655436 PQK720895:PQK720972 PQK786431:PQK786508 PQK851967:PQK852044 PQK917503:PQK917580 PQK983039:PQK983116 QAG2:QAG76 QAG65535:QAG65612 QAG131071:QAG131148 QAG196607:QAG196684 QAG262143:QAG262220 QAG327679:QAG327756 QAG393215:QAG393292 QAG458751:QAG458828 QAG524287:QAG524364 QAG589823:QAG589900 QAG655359:QAG655436 QAG720895:QAG720972 QAG786431:QAG786508 QAG851967:QAG852044 QAG917503:QAG917580 QAG983039:QAG983116 QKC2:QKC76 QKC65535:QKC65612 QKC131071:QKC131148 QKC196607:QKC196684 QKC262143:QKC262220 QKC327679:QKC327756 QKC393215:QKC393292 QKC458751:QKC458828 QKC524287:QKC524364 QKC589823:QKC589900 QKC655359:QKC655436 QKC720895:QKC720972 QKC786431:QKC786508 QKC851967:QKC852044 QKC917503:QKC917580 QKC983039:QKC983116 QTY2:QTY76 QTY65535:QTY65612 QTY131071:QTY131148 QTY196607:QTY196684 QTY262143:QTY262220 QTY327679:QTY327756 QTY393215:QTY393292 QTY458751:QTY458828 QTY524287:QTY524364 QTY589823:QTY589900 QTY655359:QTY655436 QTY720895:QTY720972 QTY786431:QTY786508 QTY851967:QTY852044 QTY917503:QTY917580 QTY983039:QTY983116 RDU2:RDU76 RDU65535:RDU65612 RDU131071:RDU131148 RDU196607:RDU196684 RDU262143:RDU262220 RDU327679:RDU327756 RDU393215:RDU393292 RDU458751:RDU458828 RDU524287:RDU524364 RDU589823:RDU589900 RDU655359:RDU655436 RDU720895:RDU720972 RDU786431:RDU786508 RDU851967:RDU852044 RDU917503:RDU917580 RDU983039:RDU983116 RNQ2:RNQ76 RNQ65535:RNQ65612 RNQ131071:RNQ131148 RNQ196607:RNQ196684 RNQ262143:RNQ262220 RNQ327679:RNQ327756 RNQ393215:RNQ393292 RNQ458751:RNQ458828 RNQ524287:RNQ524364 RNQ589823:RNQ589900 RNQ655359:RNQ655436 RNQ720895:RNQ720972 RNQ786431:RNQ786508 RNQ851967:RNQ852044 RNQ917503:RNQ917580 RNQ983039:RNQ983116 RXM2:RXM76 RXM65535:RXM65612 RXM131071:RXM131148 RXM196607:RXM196684 RXM262143:RXM262220 RXM327679:RXM327756 RXM393215:RXM393292 RXM458751:RXM458828 RXM524287:RXM524364 RXM589823:RXM589900 RXM655359:RXM655436 RXM720895:RXM720972 RXM786431:RXM786508 RXM851967:RXM852044 RXM917503:RXM917580 RXM983039:RXM983116 SHI2:SHI76 SHI65535:SHI65612 SHI131071:SHI131148 SHI196607:SHI196684 SHI262143:SHI262220 SHI327679:SHI327756 SHI393215:SHI393292 SHI458751:SHI458828 SHI524287:SHI524364 SHI589823:SHI589900 SHI655359:SHI655436 SHI720895:SHI720972 SHI786431:SHI786508 SHI851967:SHI852044 SHI917503:SHI917580 SHI983039:SHI983116 SRE2:SRE76 SRE65535:SRE65612 SRE131071:SRE131148 SRE196607:SRE196684 SRE262143:SRE262220 SRE327679:SRE327756 SRE393215:SRE393292 SRE458751:SRE458828 SRE524287:SRE524364 SRE589823:SRE589900 SRE655359:SRE655436 SRE720895:SRE720972 SRE786431:SRE786508 SRE851967:SRE852044 SRE917503:SRE917580 SRE983039:SRE983116 TBA2:TBA76 TBA65535:TBA65612 TBA131071:TBA131148 TBA196607:TBA196684 TBA262143:TBA262220 TBA327679:TBA327756 TBA393215:TBA393292 TBA458751:TBA458828 TBA524287:TBA524364 TBA589823:TBA589900 TBA655359:TBA655436 TBA720895:TBA720972 TBA786431:TBA786508 TBA851967:TBA852044 TBA917503:TBA917580 TBA983039:TBA983116 TKW2:TKW76 TKW65535:TKW65612 TKW131071:TKW131148 TKW196607:TKW196684 TKW262143:TKW262220 TKW327679:TKW327756 TKW393215:TKW393292 TKW458751:TKW458828 TKW524287:TKW524364 TKW589823:TKW589900 TKW655359:TKW655436 TKW720895:TKW720972 TKW786431:TKW786508 TKW851967:TKW852044 TKW917503:TKW917580 TKW983039:TKW983116 TUS2:TUS76 TUS65535:TUS65612 TUS131071:TUS131148 TUS196607:TUS196684 TUS262143:TUS262220 TUS327679:TUS327756 TUS393215:TUS393292 TUS458751:TUS458828 TUS524287:TUS524364 TUS589823:TUS589900 TUS655359:TUS655436 TUS720895:TUS720972 TUS786431:TUS786508 TUS851967:TUS852044 TUS917503:TUS917580 TUS983039:TUS983116 UEO2:UEO76 UEO65535:UEO65612 UEO131071:UEO131148 UEO196607:UEO196684 UEO262143:UEO262220 UEO327679:UEO327756 UEO393215:UEO393292 UEO458751:UEO458828 UEO524287:UEO524364 UEO589823:UEO589900 UEO655359:UEO655436 UEO720895:UEO720972 UEO786431:UEO786508 UEO851967:UEO852044 UEO917503:UEO917580 UEO983039:UEO983116 UOK2:UOK76 UOK65535:UOK65612 UOK131071:UOK131148 UOK196607:UOK196684 UOK262143:UOK262220 UOK327679:UOK327756 UOK393215:UOK393292 UOK458751:UOK458828 UOK524287:UOK524364 UOK589823:UOK589900 UOK655359:UOK655436 UOK720895:UOK720972 UOK786431:UOK786508 UOK851967:UOK852044 UOK917503:UOK917580 UOK983039:UOK983116 UYG2:UYG76 UYG65535:UYG65612 UYG131071:UYG131148 UYG196607:UYG196684 UYG262143:UYG262220 UYG327679:UYG327756 UYG393215:UYG393292 UYG458751:UYG458828 UYG524287:UYG524364 UYG589823:UYG589900 UYG655359:UYG655436 UYG720895:UYG720972 UYG786431:UYG786508 UYG851967:UYG852044 UYG917503:UYG917580 UYG983039:UYG983116 VIC2:VIC76 VIC65535:VIC65612 VIC131071:VIC131148 VIC196607:VIC196684 VIC262143:VIC262220 VIC327679:VIC327756 VIC393215:VIC393292 VIC458751:VIC458828 VIC524287:VIC524364 VIC589823:VIC589900 VIC655359:VIC655436 VIC720895:VIC720972 VIC786431:VIC786508 VIC851967:VIC852044 VIC917503:VIC917580 VIC983039:VIC983116 VRY2:VRY76 VRY65535:VRY65612 VRY131071:VRY131148 VRY196607:VRY196684 VRY262143:VRY262220 VRY327679:VRY327756 VRY393215:VRY393292 VRY458751:VRY458828 VRY524287:VRY524364 VRY589823:VRY589900 VRY655359:VRY655436 VRY720895:VRY720972 VRY786431:VRY786508 VRY851967:VRY852044 VRY917503:VRY917580 VRY983039:VRY983116 WBU2:WBU76 WBU65535:WBU65612 WBU131071:WBU131148 WBU196607:WBU196684 WBU262143:WBU262220 WBU327679:WBU327756 WBU393215:WBU393292 WBU458751:WBU458828 WBU524287:WBU524364 WBU589823:WBU589900 WBU655359:WBU655436 WBU720895:WBU720972 WBU786431:WBU786508 WBU851967:WBU852044 WBU917503:WBU917580 WBU983039:WBU983116 WLQ2:WLQ76 WLQ65535:WLQ65612 WLQ131071:WLQ131148 WLQ196607:WLQ196684 WLQ262143:WLQ262220 WLQ327679:WLQ327756 WLQ393215:WLQ393292 WLQ458751:WLQ458828 WLQ524287:WLQ524364 WLQ589823:WLQ589900 WLQ655359:WLQ655436 WLQ720895:WLQ720972 WLQ786431:WLQ786508 WLQ851967:WLQ852044 WLQ917503:WLQ917580 WLQ983039:WLQ983116 WVM2:WVM76 WVM65535:WVM65612 WVM131071:WVM131148 WVM196607:WVM196684 WVM262143:WVM262220 WVM327679:WVM327756 WVM393215:WVM393292 WVM458751:WVM458828 WVM524287:WVM524364 WVM589823:WVM589900 WVM655359:WVM655436 WVM720895:WVM720972 WVM786431:WVM786508 WVM851967:WVM852044 WVM917503:WVM917580 WVM983039:WVM983116">
      <formula1>$AG$2:$AG$11</formula1>
    </dataValidation>
    <dataValidation type="list" allowBlank="1" showInputMessage="1" showErrorMessage="1" sqref="A2:A497 A65535:A65612 A131071:A131148 A196607:A196684 A262143:A262220 A327679:A327756 A393215:A393292 A458751:A458828 A524287:A524364 A589823:A589900 A655359:A655436 A720895:A720972 A786431:A786508 A851967:A852044 A917503:A917580 A983039:A983116 IW2:IW76 IW65535:IW65612 IW131071:IW131148 IW196607:IW196684 IW262143:IW262220 IW327679:IW327756 IW393215:IW393292 IW458751:IW458828 IW524287:IW524364 IW589823:IW589900 IW655359:IW655436 IW720895:IW720972 IW786431:IW786508 IW851967:IW852044 IW917503:IW917580 IW983039:IW983116 SS2:SS76 SS65535:SS65612 SS131071:SS131148 SS196607:SS196684 SS262143:SS262220 SS327679:SS327756 SS393215:SS393292 SS458751:SS458828 SS524287:SS524364 SS589823:SS589900 SS655359:SS655436 SS720895:SS720972 SS786431:SS786508 SS851967:SS852044 SS917503:SS917580 SS983039:SS983116 ACO2:ACO76 ACO65535:ACO65612 ACO131071:ACO131148 ACO196607:ACO196684 ACO262143:ACO262220 ACO327679:ACO327756 ACO393215:ACO393292 ACO458751:ACO458828 ACO524287:ACO524364 ACO589823:ACO589900 ACO655359:ACO655436 ACO720895:ACO720972 ACO786431:ACO786508 ACO851967:ACO852044 ACO917503:ACO917580 ACO983039:ACO983116 AMK2:AMK76 AMK65535:AMK65612 AMK131071:AMK131148 AMK196607:AMK196684 AMK262143:AMK262220 AMK327679:AMK327756 AMK393215:AMK393292 AMK458751:AMK458828 AMK524287:AMK524364 AMK589823:AMK589900 AMK655359:AMK655436 AMK720895:AMK720972 AMK786431:AMK786508 AMK851967:AMK852044 AMK917503:AMK917580 AMK983039:AMK983116 AWG2:AWG76 AWG65535:AWG65612 AWG131071:AWG131148 AWG196607:AWG196684 AWG262143:AWG262220 AWG327679:AWG327756 AWG393215:AWG393292 AWG458751:AWG458828 AWG524287:AWG524364 AWG589823:AWG589900 AWG655359:AWG655436 AWG720895:AWG720972 AWG786431:AWG786508 AWG851967:AWG852044 AWG917503:AWG917580 AWG983039:AWG983116 BGC2:BGC76 BGC65535:BGC65612 BGC131071:BGC131148 BGC196607:BGC196684 BGC262143:BGC262220 BGC327679:BGC327756 BGC393215:BGC393292 BGC458751:BGC458828 BGC524287:BGC524364 BGC589823:BGC589900 BGC655359:BGC655436 BGC720895:BGC720972 BGC786431:BGC786508 BGC851967:BGC852044 BGC917503:BGC917580 BGC983039:BGC983116 BPY2:BPY76 BPY65535:BPY65612 BPY131071:BPY131148 BPY196607:BPY196684 BPY262143:BPY262220 BPY327679:BPY327756 BPY393215:BPY393292 BPY458751:BPY458828 BPY524287:BPY524364 BPY589823:BPY589900 BPY655359:BPY655436 BPY720895:BPY720972 BPY786431:BPY786508 BPY851967:BPY852044 BPY917503:BPY917580 BPY983039:BPY983116 BZU2:BZU76 BZU65535:BZU65612 BZU131071:BZU131148 BZU196607:BZU196684 BZU262143:BZU262220 BZU327679:BZU327756 BZU393215:BZU393292 BZU458751:BZU458828 BZU524287:BZU524364 BZU589823:BZU589900 BZU655359:BZU655436 BZU720895:BZU720972 BZU786431:BZU786508 BZU851967:BZU852044 BZU917503:BZU917580 BZU983039:BZU983116 CJQ2:CJQ76 CJQ65535:CJQ65612 CJQ131071:CJQ131148 CJQ196607:CJQ196684 CJQ262143:CJQ262220 CJQ327679:CJQ327756 CJQ393215:CJQ393292 CJQ458751:CJQ458828 CJQ524287:CJQ524364 CJQ589823:CJQ589900 CJQ655359:CJQ655436 CJQ720895:CJQ720972 CJQ786431:CJQ786508 CJQ851967:CJQ852044 CJQ917503:CJQ917580 CJQ983039:CJQ983116 CTM2:CTM76 CTM65535:CTM65612 CTM131071:CTM131148 CTM196607:CTM196684 CTM262143:CTM262220 CTM327679:CTM327756 CTM393215:CTM393292 CTM458751:CTM458828 CTM524287:CTM524364 CTM589823:CTM589900 CTM655359:CTM655436 CTM720895:CTM720972 CTM786431:CTM786508 CTM851967:CTM852044 CTM917503:CTM917580 CTM983039:CTM983116 DDI2:DDI76 DDI65535:DDI65612 DDI131071:DDI131148 DDI196607:DDI196684 DDI262143:DDI262220 DDI327679:DDI327756 DDI393215:DDI393292 DDI458751:DDI458828 DDI524287:DDI524364 DDI589823:DDI589900 DDI655359:DDI655436 DDI720895:DDI720972 DDI786431:DDI786508 DDI851967:DDI852044 DDI917503:DDI917580 DDI983039:DDI983116 DNE2:DNE76 DNE65535:DNE65612 DNE131071:DNE131148 DNE196607:DNE196684 DNE262143:DNE262220 DNE327679:DNE327756 DNE393215:DNE393292 DNE458751:DNE458828 DNE524287:DNE524364 DNE589823:DNE589900 DNE655359:DNE655436 DNE720895:DNE720972 DNE786431:DNE786508 DNE851967:DNE852044 DNE917503:DNE917580 DNE983039:DNE983116 DXA2:DXA76 DXA65535:DXA65612 DXA131071:DXA131148 DXA196607:DXA196684 DXA262143:DXA262220 DXA327679:DXA327756 DXA393215:DXA393292 DXA458751:DXA458828 DXA524287:DXA524364 DXA589823:DXA589900 DXA655359:DXA655436 DXA720895:DXA720972 DXA786431:DXA786508 DXA851967:DXA852044 DXA917503:DXA917580 DXA983039:DXA983116 EGW2:EGW76 EGW65535:EGW65612 EGW131071:EGW131148 EGW196607:EGW196684 EGW262143:EGW262220 EGW327679:EGW327756 EGW393215:EGW393292 EGW458751:EGW458828 EGW524287:EGW524364 EGW589823:EGW589900 EGW655359:EGW655436 EGW720895:EGW720972 EGW786431:EGW786508 EGW851967:EGW852044 EGW917503:EGW917580 EGW983039:EGW983116 EQS2:EQS76 EQS65535:EQS65612 EQS131071:EQS131148 EQS196607:EQS196684 EQS262143:EQS262220 EQS327679:EQS327756 EQS393215:EQS393292 EQS458751:EQS458828 EQS524287:EQS524364 EQS589823:EQS589900 EQS655359:EQS655436 EQS720895:EQS720972 EQS786431:EQS786508 EQS851967:EQS852044 EQS917503:EQS917580 EQS983039:EQS983116 FAO2:FAO76 FAO65535:FAO65612 FAO131071:FAO131148 FAO196607:FAO196684 FAO262143:FAO262220 FAO327679:FAO327756 FAO393215:FAO393292 FAO458751:FAO458828 FAO524287:FAO524364 FAO589823:FAO589900 FAO655359:FAO655436 FAO720895:FAO720972 FAO786431:FAO786508 FAO851967:FAO852044 FAO917503:FAO917580 FAO983039:FAO983116 FKK2:FKK76 FKK65535:FKK65612 FKK131071:FKK131148 FKK196607:FKK196684 FKK262143:FKK262220 FKK327679:FKK327756 FKK393215:FKK393292 FKK458751:FKK458828 FKK524287:FKK524364 FKK589823:FKK589900 FKK655359:FKK655436 FKK720895:FKK720972 FKK786431:FKK786508 FKK851967:FKK852044 FKK917503:FKK917580 FKK983039:FKK983116 FUG2:FUG76 FUG65535:FUG65612 FUG131071:FUG131148 FUG196607:FUG196684 FUG262143:FUG262220 FUG327679:FUG327756 FUG393215:FUG393292 FUG458751:FUG458828 FUG524287:FUG524364 FUG589823:FUG589900 FUG655359:FUG655436 FUG720895:FUG720972 FUG786431:FUG786508 FUG851967:FUG852044 FUG917503:FUG917580 FUG983039:FUG983116 GEC2:GEC76 GEC65535:GEC65612 GEC131071:GEC131148 GEC196607:GEC196684 GEC262143:GEC262220 GEC327679:GEC327756 GEC393215:GEC393292 GEC458751:GEC458828 GEC524287:GEC524364 GEC589823:GEC589900 GEC655359:GEC655436 GEC720895:GEC720972 GEC786431:GEC786508 GEC851967:GEC852044 GEC917503:GEC917580 GEC983039:GEC983116 GNY2:GNY76 GNY65535:GNY65612 GNY131071:GNY131148 GNY196607:GNY196684 GNY262143:GNY262220 GNY327679:GNY327756 GNY393215:GNY393292 GNY458751:GNY458828 GNY524287:GNY524364 GNY589823:GNY589900 GNY655359:GNY655436 GNY720895:GNY720972 GNY786431:GNY786508 GNY851967:GNY852044 GNY917503:GNY917580 GNY983039:GNY983116 GXU2:GXU76 GXU65535:GXU65612 GXU131071:GXU131148 GXU196607:GXU196684 GXU262143:GXU262220 GXU327679:GXU327756 GXU393215:GXU393292 GXU458751:GXU458828 GXU524287:GXU524364 GXU589823:GXU589900 GXU655359:GXU655436 GXU720895:GXU720972 GXU786431:GXU786508 GXU851967:GXU852044 GXU917503:GXU917580 GXU983039:GXU983116 HHQ2:HHQ76 HHQ65535:HHQ65612 HHQ131071:HHQ131148 HHQ196607:HHQ196684 HHQ262143:HHQ262220 HHQ327679:HHQ327756 HHQ393215:HHQ393292 HHQ458751:HHQ458828 HHQ524287:HHQ524364 HHQ589823:HHQ589900 HHQ655359:HHQ655436 HHQ720895:HHQ720972 HHQ786431:HHQ786508 HHQ851967:HHQ852044 HHQ917503:HHQ917580 HHQ983039:HHQ983116 HRM2:HRM76 HRM65535:HRM65612 HRM131071:HRM131148 HRM196607:HRM196684 HRM262143:HRM262220 HRM327679:HRM327756 HRM393215:HRM393292 HRM458751:HRM458828 HRM524287:HRM524364 HRM589823:HRM589900 HRM655359:HRM655436 HRM720895:HRM720972 HRM786431:HRM786508 HRM851967:HRM852044 HRM917503:HRM917580 HRM983039:HRM983116 IBI2:IBI76 IBI65535:IBI65612 IBI131071:IBI131148 IBI196607:IBI196684 IBI262143:IBI262220 IBI327679:IBI327756 IBI393215:IBI393292 IBI458751:IBI458828 IBI524287:IBI524364 IBI589823:IBI589900 IBI655359:IBI655436 IBI720895:IBI720972 IBI786431:IBI786508 IBI851967:IBI852044 IBI917503:IBI917580 IBI983039:IBI983116 ILE2:ILE76 ILE65535:ILE65612 ILE131071:ILE131148 ILE196607:ILE196684 ILE262143:ILE262220 ILE327679:ILE327756 ILE393215:ILE393292 ILE458751:ILE458828 ILE524287:ILE524364 ILE589823:ILE589900 ILE655359:ILE655436 ILE720895:ILE720972 ILE786431:ILE786508 ILE851967:ILE852044 ILE917503:ILE917580 ILE983039:ILE983116 IVA2:IVA76 IVA65535:IVA65612 IVA131071:IVA131148 IVA196607:IVA196684 IVA262143:IVA262220 IVA327679:IVA327756 IVA393215:IVA393292 IVA458751:IVA458828 IVA524287:IVA524364 IVA589823:IVA589900 IVA655359:IVA655436 IVA720895:IVA720972 IVA786431:IVA786508 IVA851967:IVA852044 IVA917503:IVA917580 IVA983039:IVA983116 JEW2:JEW76 JEW65535:JEW65612 JEW131071:JEW131148 JEW196607:JEW196684 JEW262143:JEW262220 JEW327679:JEW327756 JEW393215:JEW393292 JEW458751:JEW458828 JEW524287:JEW524364 JEW589823:JEW589900 JEW655359:JEW655436 JEW720895:JEW720972 JEW786431:JEW786508 JEW851967:JEW852044 JEW917503:JEW917580 JEW983039:JEW983116 JOS2:JOS76 JOS65535:JOS65612 JOS131071:JOS131148 JOS196607:JOS196684 JOS262143:JOS262220 JOS327679:JOS327756 JOS393215:JOS393292 JOS458751:JOS458828 JOS524287:JOS524364 JOS589823:JOS589900 JOS655359:JOS655436 JOS720895:JOS720972 JOS786431:JOS786508 JOS851967:JOS852044 JOS917503:JOS917580 JOS983039:JOS983116 JYO2:JYO76 JYO65535:JYO65612 JYO131071:JYO131148 JYO196607:JYO196684 JYO262143:JYO262220 JYO327679:JYO327756 JYO393215:JYO393292 JYO458751:JYO458828 JYO524287:JYO524364 JYO589823:JYO589900 JYO655359:JYO655436 JYO720895:JYO720972 JYO786431:JYO786508 JYO851967:JYO852044 JYO917503:JYO917580 JYO983039:JYO983116 KIK2:KIK76 KIK65535:KIK65612 KIK131071:KIK131148 KIK196607:KIK196684 KIK262143:KIK262220 KIK327679:KIK327756 KIK393215:KIK393292 KIK458751:KIK458828 KIK524287:KIK524364 KIK589823:KIK589900 KIK655359:KIK655436 KIK720895:KIK720972 KIK786431:KIK786508 KIK851967:KIK852044 KIK917503:KIK917580 KIK983039:KIK983116 KSG2:KSG76 KSG65535:KSG65612 KSG131071:KSG131148 KSG196607:KSG196684 KSG262143:KSG262220 KSG327679:KSG327756 KSG393215:KSG393292 KSG458751:KSG458828 KSG524287:KSG524364 KSG589823:KSG589900 KSG655359:KSG655436 KSG720895:KSG720972 KSG786431:KSG786508 KSG851967:KSG852044 KSG917503:KSG917580 KSG983039:KSG983116 LCC2:LCC76 LCC65535:LCC65612 LCC131071:LCC131148 LCC196607:LCC196684 LCC262143:LCC262220 LCC327679:LCC327756 LCC393215:LCC393292 LCC458751:LCC458828 LCC524287:LCC524364 LCC589823:LCC589900 LCC655359:LCC655436 LCC720895:LCC720972 LCC786431:LCC786508 LCC851967:LCC852044 LCC917503:LCC917580 LCC983039:LCC983116 LLY2:LLY76 LLY65535:LLY65612 LLY131071:LLY131148 LLY196607:LLY196684 LLY262143:LLY262220 LLY327679:LLY327756 LLY393215:LLY393292 LLY458751:LLY458828 LLY524287:LLY524364 LLY589823:LLY589900 LLY655359:LLY655436 LLY720895:LLY720972 LLY786431:LLY786508 LLY851967:LLY852044 LLY917503:LLY917580 LLY983039:LLY983116 LVU2:LVU76 LVU65535:LVU65612 LVU131071:LVU131148 LVU196607:LVU196684 LVU262143:LVU262220 LVU327679:LVU327756 LVU393215:LVU393292 LVU458751:LVU458828 LVU524287:LVU524364 LVU589823:LVU589900 LVU655359:LVU655436 LVU720895:LVU720972 LVU786431:LVU786508 LVU851967:LVU852044 LVU917503:LVU917580 LVU983039:LVU983116 MFQ2:MFQ76 MFQ65535:MFQ65612 MFQ131071:MFQ131148 MFQ196607:MFQ196684 MFQ262143:MFQ262220 MFQ327679:MFQ327756 MFQ393215:MFQ393292 MFQ458751:MFQ458828 MFQ524287:MFQ524364 MFQ589823:MFQ589900 MFQ655359:MFQ655436 MFQ720895:MFQ720972 MFQ786431:MFQ786508 MFQ851967:MFQ852044 MFQ917503:MFQ917580 MFQ983039:MFQ983116 MPM2:MPM76 MPM65535:MPM65612 MPM131071:MPM131148 MPM196607:MPM196684 MPM262143:MPM262220 MPM327679:MPM327756 MPM393215:MPM393292 MPM458751:MPM458828 MPM524287:MPM524364 MPM589823:MPM589900 MPM655359:MPM655436 MPM720895:MPM720972 MPM786431:MPM786508 MPM851967:MPM852044 MPM917503:MPM917580 MPM983039:MPM983116 MZI2:MZI76 MZI65535:MZI65612 MZI131071:MZI131148 MZI196607:MZI196684 MZI262143:MZI262220 MZI327679:MZI327756 MZI393215:MZI393292 MZI458751:MZI458828 MZI524287:MZI524364 MZI589823:MZI589900 MZI655359:MZI655436 MZI720895:MZI720972 MZI786431:MZI786508 MZI851967:MZI852044 MZI917503:MZI917580 MZI983039:MZI983116 NJE2:NJE76 NJE65535:NJE65612 NJE131071:NJE131148 NJE196607:NJE196684 NJE262143:NJE262220 NJE327679:NJE327756 NJE393215:NJE393292 NJE458751:NJE458828 NJE524287:NJE524364 NJE589823:NJE589900 NJE655359:NJE655436 NJE720895:NJE720972 NJE786431:NJE786508 NJE851967:NJE852044 NJE917503:NJE917580 NJE983039:NJE983116 NTA2:NTA76 NTA65535:NTA65612 NTA131071:NTA131148 NTA196607:NTA196684 NTA262143:NTA262220 NTA327679:NTA327756 NTA393215:NTA393292 NTA458751:NTA458828 NTA524287:NTA524364 NTA589823:NTA589900 NTA655359:NTA655436 NTA720895:NTA720972 NTA786431:NTA786508 NTA851967:NTA852044 NTA917503:NTA917580 NTA983039:NTA983116 OCW2:OCW76 OCW65535:OCW65612 OCW131071:OCW131148 OCW196607:OCW196684 OCW262143:OCW262220 OCW327679:OCW327756 OCW393215:OCW393292 OCW458751:OCW458828 OCW524287:OCW524364 OCW589823:OCW589900 OCW655359:OCW655436 OCW720895:OCW720972 OCW786431:OCW786508 OCW851967:OCW852044 OCW917503:OCW917580 OCW983039:OCW983116 OMS2:OMS76 OMS65535:OMS65612 OMS131071:OMS131148 OMS196607:OMS196684 OMS262143:OMS262220 OMS327679:OMS327756 OMS393215:OMS393292 OMS458751:OMS458828 OMS524287:OMS524364 OMS589823:OMS589900 OMS655359:OMS655436 OMS720895:OMS720972 OMS786431:OMS786508 OMS851967:OMS852044 OMS917503:OMS917580 OMS983039:OMS983116 OWO2:OWO76 OWO65535:OWO65612 OWO131071:OWO131148 OWO196607:OWO196684 OWO262143:OWO262220 OWO327679:OWO327756 OWO393215:OWO393292 OWO458751:OWO458828 OWO524287:OWO524364 OWO589823:OWO589900 OWO655359:OWO655436 OWO720895:OWO720972 OWO786431:OWO786508 OWO851967:OWO852044 OWO917503:OWO917580 OWO983039:OWO983116 PGK2:PGK76 PGK65535:PGK65612 PGK131071:PGK131148 PGK196607:PGK196684 PGK262143:PGK262220 PGK327679:PGK327756 PGK393215:PGK393292 PGK458751:PGK458828 PGK524287:PGK524364 PGK589823:PGK589900 PGK655359:PGK655436 PGK720895:PGK720972 PGK786431:PGK786508 PGK851967:PGK852044 PGK917503:PGK917580 PGK983039:PGK983116 PQG2:PQG76 PQG65535:PQG65612 PQG131071:PQG131148 PQG196607:PQG196684 PQG262143:PQG262220 PQG327679:PQG327756 PQG393215:PQG393292 PQG458751:PQG458828 PQG524287:PQG524364 PQG589823:PQG589900 PQG655359:PQG655436 PQG720895:PQG720972 PQG786431:PQG786508 PQG851967:PQG852044 PQG917503:PQG917580 PQG983039:PQG983116 QAC2:QAC76 QAC65535:QAC65612 QAC131071:QAC131148 QAC196607:QAC196684 QAC262143:QAC262220 QAC327679:QAC327756 QAC393215:QAC393292 QAC458751:QAC458828 QAC524287:QAC524364 QAC589823:QAC589900 QAC655359:QAC655436 QAC720895:QAC720972 QAC786431:QAC786508 QAC851967:QAC852044 QAC917503:QAC917580 QAC983039:QAC983116 QJY2:QJY76 QJY65535:QJY65612 QJY131071:QJY131148 QJY196607:QJY196684 QJY262143:QJY262220 QJY327679:QJY327756 QJY393215:QJY393292 QJY458751:QJY458828 QJY524287:QJY524364 QJY589823:QJY589900 QJY655359:QJY655436 QJY720895:QJY720972 QJY786431:QJY786508 QJY851967:QJY852044 QJY917503:QJY917580 QJY983039:QJY983116 QTU2:QTU76 QTU65535:QTU65612 QTU131071:QTU131148 QTU196607:QTU196684 QTU262143:QTU262220 QTU327679:QTU327756 QTU393215:QTU393292 QTU458751:QTU458828 QTU524287:QTU524364 QTU589823:QTU589900 QTU655359:QTU655436 QTU720895:QTU720972 QTU786431:QTU786508 QTU851967:QTU852044 QTU917503:QTU917580 QTU983039:QTU983116 RDQ2:RDQ76 RDQ65535:RDQ65612 RDQ131071:RDQ131148 RDQ196607:RDQ196684 RDQ262143:RDQ262220 RDQ327679:RDQ327756 RDQ393215:RDQ393292 RDQ458751:RDQ458828 RDQ524287:RDQ524364 RDQ589823:RDQ589900 RDQ655359:RDQ655436 RDQ720895:RDQ720972 RDQ786431:RDQ786508 RDQ851967:RDQ852044 RDQ917503:RDQ917580 RDQ983039:RDQ983116 RNM2:RNM76 RNM65535:RNM65612 RNM131071:RNM131148 RNM196607:RNM196684 RNM262143:RNM262220 RNM327679:RNM327756 RNM393215:RNM393292 RNM458751:RNM458828 RNM524287:RNM524364 RNM589823:RNM589900 RNM655359:RNM655436 RNM720895:RNM720972 RNM786431:RNM786508 RNM851967:RNM852044 RNM917503:RNM917580 RNM983039:RNM983116 RXI2:RXI76 RXI65535:RXI65612 RXI131071:RXI131148 RXI196607:RXI196684 RXI262143:RXI262220 RXI327679:RXI327756 RXI393215:RXI393292 RXI458751:RXI458828 RXI524287:RXI524364 RXI589823:RXI589900 RXI655359:RXI655436 RXI720895:RXI720972 RXI786431:RXI786508 RXI851967:RXI852044 RXI917503:RXI917580 RXI983039:RXI983116 SHE2:SHE76 SHE65535:SHE65612 SHE131071:SHE131148 SHE196607:SHE196684 SHE262143:SHE262220 SHE327679:SHE327756 SHE393215:SHE393292 SHE458751:SHE458828 SHE524287:SHE524364 SHE589823:SHE589900 SHE655359:SHE655436 SHE720895:SHE720972 SHE786431:SHE786508 SHE851967:SHE852044 SHE917503:SHE917580 SHE983039:SHE983116 SRA2:SRA76 SRA65535:SRA65612 SRA131071:SRA131148 SRA196607:SRA196684 SRA262143:SRA262220 SRA327679:SRA327756 SRA393215:SRA393292 SRA458751:SRA458828 SRA524287:SRA524364 SRA589823:SRA589900 SRA655359:SRA655436 SRA720895:SRA720972 SRA786431:SRA786508 SRA851967:SRA852044 SRA917503:SRA917580 SRA983039:SRA983116 TAW2:TAW76 TAW65535:TAW65612 TAW131071:TAW131148 TAW196607:TAW196684 TAW262143:TAW262220 TAW327679:TAW327756 TAW393215:TAW393292 TAW458751:TAW458828 TAW524287:TAW524364 TAW589823:TAW589900 TAW655359:TAW655436 TAW720895:TAW720972 TAW786431:TAW786508 TAW851967:TAW852044 TAW917503:TAW917580 TAW983039:TAW983116 TKS2:TKS76 TKS65535:TKS65612 TKS131071:TKS131148 TKS196607:TKS196684 TKS262143:TKS262220 TKS327679:TKS327756 TKS393215:TKS393292 TKS458751:TKS458828 TKS524287:TKS524364 TKS589823:TKS589900 TKS655359:TKS655436 TKS720895:TKS720972 TKS786431:TKS786508 TKS851967:TKS852044 TKS917503:TKS917580 TKS983039:TKS983116 TUO2:TUO76 TUO65535:TUO65612 TUO131071:TUO131148 TUO196607:TUO196684 TUO262143:TUO262220 TUO327679:TUO327756 TUO393215:TUO393292 TUO458751:TUO458828 TUO524287:TUO524364 TUO589823:TUO589900 TUO655359:TUO655436 TUO720895:TUO720972 TUO786431:TUO786508 TUO851967:TUO852044 TUO917503:TUO917580 TUO983039:TUO983116 UEK2:UEK76 UEK65535:UEK65612 UEK131071:UEK131148 UEK196607:UEK196684 UEK262143:UEK262220 UEK327679:UEK327756 UEK393215:UEK393292 UEK458751:UEK458828 UEK524287:UEK524364 UEK589823:UEK589900 UEK655359:UEK655436 UEK720895:UEK720972 UEK786431:UEK786508 UEK851967:UEK852044 UEK917503:UEK917580 UEK983039:UEK983116 UOG2:UOG76 UOG65535:UOG65612 UOG131071:UOG131148 UOG196607:UOG196684 UOG262143:UOG262220 UOG327679:UOG327756 UOG393215:UOG393292 UOG458751:UOG458828 UOG524287:UOG524364 UOG589823:UOG589900 UOG655359:UOG655436 UOG720895:UOG720972 UOG786431:UOG786508 UOG851967:UOG852044 UOG917503:UOG917580 UOG983039:UOG983116 UYC2:UYC76 UYC65535:UYC65612 UYC131071:UYC131148 UYC196607:UYC196684 UYC262143:UYC262220 UYC327679:UYC327756 UYC393215:UYC393292 UYC458751:UYC458828 UYC524287:UYC524364 UYC589823:UYC589900 UYC655359:UYC655436 UYC720895:UYC720972 UYC786431:UYC786508 UYC851967:UYC852044 UYC917503:UYC917580 UYC983039:UYC983116 VHY2:VHY76 VHY65535:VHY65612 VHY131071:VHY131148 VHY196607:VHY196684 VHY262143:VHY262220 VHY327679:VHY327756 VHY393215:VHY393292 VHY458751:VHY458828 VHY524287:VHY524364 VHY589823:VHY589900 VHY655359:VHY655436 VHY720895:VHY720972 VHY786431:VHY786508 VHY851967:VHY852044 VHY917503:VHY917580 VHY983039:VHY983116 VRU2:VRU76 VRU65535:VRU65612 VRU131071:VRU131148 VRU196607:VRU196684 VRU262143:VRU262220 VRU327679:VRU327756 VRU393215:VRU393292 VRU458751:VRU458828 VRU524287:VRU524364 VRU589823:VRU589900 VRU655359:VRU655436 VRU720895:VRU720972 VRU786431:VRU786508 VRU851967:VRU852044 VRU917503:VRU917580 VRU983039:VRU983116 WBQ2:WBQ76 WBQ65535:WBQ65612 WBQ131071:WBQ131148 WBQ196607:WBQ196684 WBQ262143:WBQ262220 WBQ327679:WBQ327756 WBQ393215:WBQ393292 WBQ458751:WBQ458828 WBQ524287:WBQ524364 WBQ589823:WBQ589900 WBQ655359:WBQ655436 WBQ720895:WBQ720972 WBQ786431:WBQ786508 WBQ851967:WBQ852044 WBQ917503:WBQ917580 WBQ983039:WBQ983116 WLM2:WLM76 WLM65535:WLM65612 WLM131071:WLM131148 WLM196607:WLM196684 WLM262143:WLM262220 WLM327679:WLM327756 WLM393215:WLM393292 WLM458751:WLM458828 WLM524287:WLM524364 WLM589823:WLM589900 WLM655359:WLM655436 WLM720895:WLM720972 WLM786431:WLM786508 WLM851967:WLM852044 WLM917503:WLM917580 WLM983039:WLM983116 WVI2:WVI76 WVI65535:WVI65612 WVI131071:WVI131148 WVI196607:WVI196684 WVI262143:WVI262220 WVI327679:WVI327756 WVI393215:WVI393292 WVI458751:WVI458828 WVI524287:WVI524364 WVI589823:WVI589900 WVI655359:WVI655436 WVI720895:WVI720972 WVI786431:WVI786508 WVI851967:WVI852044 WVI917503:WVI917580 WVI983039:WVI983116">
      <formula1>$AE$2:$AE$19</formula1>
    </dataValidation>
    <dataValidation type="list" allowBlank="1" showInputMessage="1" showErrorMessage="1" sqref="G2:G497 G65535:G65612 G131071:G131148 G196607:G196684 G262143:G262220 G327679:G327756 G393215:G393292 G458751:G458828 G524287:G524364 G589823:G589900 G655359:G655436 G720895:G720972 G786431:G786508 G851967:G852044 G917503:G917580 G983039:G983116 JC2:JC76 JC65535:JC65612 JC131071:JC131148 JC196607:JC196684 JC262143:JC262220 JC327679:JC327756 JC393215:JC393292 JC458751:JC458828 JC524287:JC524364 JC589823:JC589900 JC655359:JC655436 JC720895:JC720972 JC786431:JC786508 JC851967:JC852044 JC917503:JC917580 JC983039:JC983116 SY2:SY76 SY65535:SY65612 SY131071:SY131148 SY196607:SY196684 SY262143:SY262220 SY327679:SY327756 SY393215:SY393292 SY458751:SY458828 SY524287:SY524364 SY589823:SY589900 SY655359:SY655436 SY720895:SY720972 SY786431:SY786508 SY851967:SY852044 SY917503:SY917580 SY983039:SY983116 ACU2:ACU76 ACU65535:ACU65612 ACU131071:ACU131148 ACU196607:ACU196684 ACU262143:ACU262220 ACU327679:ACU327756 ACU393215:ACU393292 ACU458751:ACU458828 ACU524287:ACU524364 ACU589823:ACU589900 ACU655359:ACU655436 ACU720895:ACU720972 ACU786431:ACU786508 ACU851967:ACU852044 ACU917503:ACU917580 ACU983039:ACU983116 AMQ2:AMQ76 AMQ65535:AMQ65612 AMQ131071:AMQ131148 AMQ196607:AMQ196684 AMQ262143:AMQ262220 AMQ327679:AMQ327756 AMQ393215:AMQ393292 AMQ458751:AMQ458828 AMQ524287:AMQ524364 AMQ589823:AMQ589900 AMQ655359:AMQ655436 AMQ720895:AMQ720972 AMQ786431:AMQ786508 AMQ851967:AMQ852044 AMQ917503:AMQ917580 AMQ983039:AMQ983116 AWM2:AWM76 AWM65535:AWM65612 AWM131071:AWM131148 AWM196607:AWM196684 AWM262143:AWM262220 AWM327679:AWM327756 AWM393215:AWM393292 AWM458751:AWM458828 AWM524287:AWM524364 AWM589823:AWM589900 AWM655359:AWM655436 AWM720895:AWM720972 AWM786431:AWM786508 AWM851967:AWM852044 AWM917503:AWM917580 AWM983039:AWM983116 BGI2:BGI76 BGI65535:BGI65612 BGI131071:BGI131148 BGI196607:BGI196684 BGI262143:BGI262220 BGI327679:BGI327756 BGI393215:BGI393292 BGI458751:BGI458828 BGI524287:BGI524364 BGI589823:BGI589900 BGI655359:BGI655436 BGI720895:BGI720972 BGI786431:BGI786508 BGI851967:BGI852044 BGI917503:BGI917580 BGI983039:BGI983116 BQE2:BQE76 BQE65535:BQE65612 BQE131071:BQE131148 BQE196607:BQE196684 BQE262143:BQE262220 BQE327679:BQE327756 BQE393215:BQE393292 BQE458751:BQE458828 BQE524287:BQE524364 BQE589823:BQE589900 BQE655359:BQE655436 BQE720895:BQE720972 BQE786431:BQE786508 BQE851967:BQE852044 BQE917503:BQE917580 BQE983039:BQE983116 CAA2:CAA76 CAA65535:CAA65612 CAA131071:CAA131148 CAA196607:CAA196684 CAA262143:CAA262220 CAA327679:CAA327756 CAA393215:CAA393292 CAA458751:CAA458828 CAA524287:CAA524364 CAA589823:CAA589900 CAA655359:CAA655436 CAA720895:CAA720972 CAA786431:CAA786508 CAA851967:CAA852044 CAA917503:CAA917580 CAA983039:CAA983116 CJW2:CJW76 CJW65535:CJW65612 CJW131071:CJW131148 CJW196607:CJW196684 CJW262143:CJW262220 CJW327679:CJW327756 CJW393215:CJW393292 CJW458751:CJW458828 CJW524287:CJW524364 CJW589823:CJW589900 CJW655359:CJW655436 CJW720895:CJW720972 CJW786431:CJW786508 CJW851967:CJW852044 CJW917503:CJW917580 CJW983039:CJW983116 CTS2:CTS76 CTS65535:CTS65612 CTS131071:CTS131148 CTS196607:CTS196684 CTS262143:CTS262220 CTS327679:CTS327756 CTS393215:CTS393292 CTS458751:CTS458828 CTS524287:CTS524364 CTS589823:CTS589900 CTS655359:CTS655436 CTS720895:CTS720972 CTS786431:CTS786508 CTS851967:CTS852044 CTS917503:CTS917580 CTS983039:CTS983116 DDO2:DDO76 DDO65535:DDO65612 DDO131071:DDO131148 DDO196607:DDO196684 DDO262143:DDO262220 DDO327679:DDO327756 DDO393215:DDO393292 DDO458751:DDO458828 DDO524287:DDO524364 DDO589823:DDO589900 DDO655359:DDO655436 DDO720895:DDO720972 DDO786431:DDO786508 DDO851967:DDO852044 DDO917503:DDO917580 DDO983039:DDO983116 DNK2:DNK76 DNK65535:DNK65612 DNK131071:DNK131148 DNK196607:DNK196684 DNK262143:DNK262220 DNK327679:DNK327756 DNK393215:DNK393292 DNK458751:DNK458828 DNK524287:DNK524364 DNK589823:DNK589900 DNK655359:DNK655436 DNK720895:DNK720972 DNK786431:DNK786508 DNK851967:DNK852044 DNK917503:DNK917580 DNK983039:DNK983116 DXG2:DXG76 DXG65535:DXG65612 DXG131071:DXG131148 DXG196607:DXG196684 DXG262143:DXG262220 DXG327679:DXG327756 DXG393215:DXG393292 DXG458751:DXG458828 DXG524287:DXG524364 DXG589823:DXG589900 DXG655359:DXG655436 DXG720895:DXG720972 DXG786431:DXG786508 DXG851967:DXG852044 DXG917503:DXG917580 DXG983039:DXG983116 EHC2:EHC76 EHC65535:EHC65612 EHC131071:EHC131148 EHC196607:EHC196684 EHC262143:EHC262220 EHC327679:EHC327756 EHC393215:EHC393292 EHC458751:EHC458828 EHC524287:EHC524364 EHC589823:EHC589900 EHC655359:EHC655436 EHC720895:EHC720972 EHC786431:EHC786508 EHC851967:EHC852044 EHC917503:EHC917580 EHC983039:EHC983116 EQY2:EQY76 EQY65535:EQY65612 EQY131071:EQY131148 EQY196607:EQY196684 EQY262143:EQY262220 EQY327679:EQY327756 EQY393215:EQY393292 EQY458751:EQY458828 EQY524287:EQY524364 EQY589823:EQY589900 EQY655359:EQY655436 EQY720895:EQY720972 EQY786431:EQY786508 EQY851967:EQY852044 EQY917503:EQY917580 EQY983039:EQY983116 FAU2:FAU76 FAU65535:FAU65612 FAU131071:FAU131148 FAU196607:FAU196684 FAU262143:FAU262220 FAU327679:FAU327756 FAU393215:FAU393292 FAU458751:FAU458828 FAU524287:FAU524364 FAU589823:FAU589900 FAU655359:FAU655436 FAU720895:FAU720972 FAU786431:FAU786508 FAU851967:FAU852044 FAU917503:FAU917580 FAU983039:FAU983116 FKQ2:FKQ76 FKQ65535:FKQ65612 FKQ131071:FKQ131148 FKQ196607:FKQ196684 FKQ262143:FKQ262220 FKQ327679:FKQ327756 FKQ393215:FKQ393292 FKQ458751:FKQ458828 FKQ524287:FKQ524364 FKQ589823:FKQ589900 FKQ655359:FKQ655436 FKQ720895:FKQ720972 FKQ786431:FKQ786508 FKQ851967:FKQ852044 FKQ917503:FKQ917580 FKQ983039:FKQ983116 FUM2:FUM76 FUM65535:FUM65612 FUM131071:FUM131148 FUM196607:FUM196684 FUM262143:FUM262220 FUM327679:FUM327756 FUM393215:FUM393292 FUM458751:FUM458828 FUM524287:FUM524364 FUM589823:FUM589900 FUM655359:FUM655436 FUM720895:FUM720972 FUM786431:FUM786508 FUM851967:FUM852044 FUM917503:FUM917580 FUM983039:FUM983116 GEI2:GEI76 GEI65535:GEI65612 GEI131071:GEI131148 GEI196607:GEI196684 GEI262143:GEI262220 GEI327679:GEI327756 GEI393215:GEI393292 GEI458751:GEI458828 GEI524287:GEI524364 GEI589823:GEI589900 GEI655359:GEI655436 GEI720895:GEI720972 GEI786431:GEI786508 GEI851967:GEI852044 GEI917503:GEI917580 GEI983039:GEI983116 GOE2:GOE76 GOE65535:GOE65612 GOE131071:GOE131148 GOE196607:GOE196684 GOE262143:GOE262220 GOE327679:GOE327756 GOE393215:GOE393292 GOE458751:GOE458828 GOE524287:GOE524364 GOE589823:GOE589900 GOE655359:GOE655436 GOE720895:GOE720972 GOE786431:GOE786508 GOE851967:GOE852044 GOE917503:GOE917580 GOE983039:GOE983116 GYA2:GYA76 GYA65535:GYA65612 GYA131071:GYA131148 GYA196607:GYA196684 GYA262143:GYA262220 GYA327679:GYA327756 GYA393215:GYA393292 GYA458751:GYA458828 GYA524287:GYA524364 GYA589823:GYA589900 GYA655359:GYA655436 GYA720895:GYA720972 GYA786431:GYA786508 GYA851967:GYA852044 GYA917503:GYA917580 GYA983039:GYA983116 HHW2:HHW76 HHW65535:HHW65612 HHW131071:HHW131148 HHW196607:HHW196684 HHW262143:HHW262220 HHW327679:HHW327756 HHW393215:HHW393292 HHW458751:HHW458828 HHW524287:HHW524364 HHW589823:HHW589900 HHW655359:HHW655436 HHW720895:HHW720972 HHW786431:HHW786508 HHW851967:HHW852044 HHW917503:HHW917580 HHW983039:HHW983116 HRS2:HRS76 HRS65535:HRS65612 HRS131071:HRS131148 HRS196607:HRS196684 HRS262143:HRS262220 HRS327679:HRS327756 HRS393215:HRS393292 HRS458751:HRS458828 HRS524287:HRS524364 HRS589823:HRS589900 HRS655359:HRS655436 HRS720895:HRS720972 HRS786431:HRS786508 HRS851967:HRS852044 HRS917503:HRS917580 HRS983039:HRS983116 IBO2:IBO76 IBO65535:IBO65612 IBO131071:IBO131148 IBO196607:IBO196684 IBO262143:IBO262220 IBO327679:IBO327756 IBO393215:IBO393292 IBO458751:IBO458828 IBO524287:IBO524364 IBO589823:IBO589900 IBO655359:IBO655436 IBO720895:IBO720972 IBO786431:IBO786508 IBO851967:IBO852044 IBO917503:IBO917580 IBO983039:IBO983116 ILK2:ILK76 ILK65535:ILK65612 ILK131071:ILK131148 ILK196607:ILK196684 ILK262143:ILK262220 ILK327679:ILK327756 ILK393215:ILK393292 ILK458751:ILK458828 ILK524287:ILK524364 ILK589823:ILK589900 ILK655359:ILK655436 ILK720895:ILK720972 ILK786431:ILK786508 ILK851967:ILK852044 ILK917503:ILK917580 ILK983039:ILK983116 IVG2:IVG76 IVG65535:IVG65612 IVG131071:IVG131148 IVG196607:IVG196684 IVG262143:IVG262220 IVG327679:IVG327756 IVG393215:IVG393292 IVG458751:IVG458828 IVG524287:IVG524364 IVG589823:IVG589900 IVG655359:IVG655436 IVG720895:IVG720972 IVG786431:IVG786508 IVG851967:IVG852044 IVG917503:IVG917580 IVG983039:IVG983116 JFC2:JFC76 JFC65535:JFC65612 JFC131071:JFC131148 JFC196607:JFC196684 JFC262143:JFC262220 JFC327679:JFC327756 JFC393215:JFC393292 JFC458751:JFC458828 JFC524287:JFC524364 JFC589823:JFC589900 JFC655359:JFC655436 JFC720895:JFC720972 JFC786431:JFC786508 JFC851967:JFC852044 JFC917503:JFC917580 JFC983039:JFC983116 JOY2:JOY76 JOY65535:JOY65612 JOY131071:JOY131148 JOY196607:JOY196684 JOY262143:JOY262220 JOY327679:JOY327756 JOY393215:JOY393292 JOY458751:JOY458828 JOY524287:JOY524364 JOY589823:JOY589900 JOY655359:JOY655436 JOY720895:JOY720972 JOY786431:JOY786508 JOY851967:JOY852044 JOY917503:JOY917580 JOY983039:JOY983116 JYU2:JYU76 JYU65535:JYU65612 JYU131071:JYU131148 JYU196607:JYU196684 JYU262143:JYU262220 JYU327679:JYU327756 JYU393215:JYU393292 JYU458751:JYU458828 JYU524287:JYU524364 JYU589823:JYU589900 JYU655359:JYU655436 JYU720895:JYU720972 JYU786431:JYU786508 JYU851967:JYU852044 JYU917503:JYU917580 JYU983039:JYU983116 KIQ2:KIQ76 KIQ65535:KIQ65612 KIQ131071:KIQ131148 KIQ196607:KIQ196684 KIQ262143:KIQ262220 KIQ327679:KIQ327756 KIQ393215:KIQ393292 KIQ458751:KIQ458828 KIQ524287:KIQ524364 KIQ589823:KIQ589900 KIQ655359:KIQ655436 KIQ720895:KIQ720972 KIQ786431:KIQ786508 KIQ851967:KIQ852044 KIQ917503:KIQ917580 KIQ983039:KIQ983116 KSM2:KSM76 KSM65535:KSM65612 KSM131071:KSM131148 KSM196607:KSM196684 KSM262143:KSM262220 KSM327679:KSM327756 KSM393215:KSM393292 KSM458751:KSM458828 KSM524287:KSM524364 KSM589823:KSM589900 KSM655359:KSM655436 KSM720895:KSM720972 KSM786431:KSM786508 KSM851967:KSM852044 KSM917503:KSM917580 KSM983039:KSM983116 LCI2:LCI76 LCI65535:LCI65612 LCI131071:LCI131148 LCI196607:LCI196684 LCI262143:LCI262220 LCI327679:LCI327756 LCI393215:LCI393292 LCI458751:LCI458828 LCI524287:LCI524364 LCI589823:LCI589900 LCI655359:LCI655436 LCI720895:LCI720972 LCI786431:LCI786508 LCI851967:LCI852044 LCI917503:LCI917580 LCI983039:LCI983116 LME2:LME76 LME65535:LME65612 LME131071:LME131148 LME196607:LME196684 LME262143:LME262220 LME327679:LME327756 LME393215:LME393292 LME458751:LME458828 LME524287:LME524364 LME589823:LME589900 LME655359:LME655436 LME720895:LME720972 LME786431:LME786508 LME851967:LME852044 LME917503:LME917580 LME983039:LME983116 LWA2:LWA76 LWA65535:LWA65612 LWA131071:LWA131148 LWA196607:LWA196684 LWA262143:LWA262220 LWA327679:LWA327756 LWA393215:LWA393292 LWA458751:LWA458828 LWA524287:LWA524364 LWA589823:LWA589900 LWA655359:LWA655436 LWA720895:LWA720972 LWA786431:LWA786508 LWA851967:LWA852044 LWA917503:LWA917580 LWA983039:LWA983116 MFW2:MFW76 MFW65535:MFW65612 MFW131071:MFW131148 MFW196607:MFW196684 MFW262143:MFW262220 MFW327679:MFW327756 MFW393215:MFW393292 MFW458751:MFW458828 MFW524287:MFW524364 MFW589823:MFW589900 MFW655359:MFW655436 MFW720895:MFW720972 MFW786431:MFW786508 MFW851967:MFW852044 MFW917503:MFW917580 MFW983039:MFW983116 MPS2:MPS76 MPS65535:MPS65612 MPS131071:MPS131148 MPS196607:MPS196684 MPS262143:MPS262220 MPS327679:MPS327756 MPS393215:MPS393292 MPS458751:MPS458828 MPS524287:MPS524364 MPS589823:MPS589900 MPS655359:MPS655436 MPS720895:MPS720972 MPS786431:MPS786508 MPS851967:MPS852044 MPS917503:MPS917580 MPS983039:MPS983116 MZO2:MZO76 MZO65535:MZO65612 MZO131071:MZO131148 MZO196607:MZO196684 MZO262143:MZO262220 MZO327679:MZO327756 MZO393215:MZO393292 MZO458751:MZO458828 MZO524287:MZO524364 MZO589823:MZO589900 MZO655359:MZO655436 MZO720895:MZO720972 MZO786431:MZO786508 MZO851967:MZO852044 MZO917503:MZO917580 MZO983039:MZO983116 NJK2:NJK76 NJK65535:NJK65612 NJK131071:NJK131148 NJK196607:NJK196684 NJK262143:NJK262220 NJK327679:NJK327756 NJK393215:NJK393292 NJK458751:NJK458828 NJK524287:NJK524364 NJK589823:NJK589900 NJK655359:NJK655436 NJK720895:NJK720972 NJK786431:NJK786508 NJK851967:NJK852044 NJK917503:NJK917580 NJK983039:NJK983116 NTG2:NTG76 NTG65535:NTG65612 NTG131071:NTG131148 NTG196607:NTG196684 NTG262143:NTG262220 NTG327679:NTG327756 NTG393215:NTG393292 NTG458751:NTG458828 NTG524287:NTG524364 NTG589823:NTG589900 NTG655359:NTG655436 NTG720895:NTG720972 NTG786431:NTG786508 NTG851967:NTG852044 NTG917503:NTG917580 NTG983039:NTG983116 ODC2:ODC76 ODC65535:ODC65612 ODC131071:ODC131148 ODC196607:ODC196684 ODC262143:ODC262220 ODC327679:ODC327756 ODC393215:ODC393292 ODC458751:ODC458828 ODC524287:ODC524364 ODC589823:ODC589900 ODC655359:ODC655436 ODC720895:ODC720972 ODC786431:ODC786508 ODC851967:ODC852044 ODC917503:ODC917580 ODC983039:ODC983116 OMY2:OMY76 OMY65535:OMY65612 OMY131071:OMY131148 OMY196607:OMY196684 OMY262143:OMY262220 OMY327679:OMY327756 OMY393215:OMY393292 OMY458751:OMY458828 OMY524287:OMY524364 OMY589823:OMY589900 OMY655359:OMY655436 OMY720895:OMY720972 OMY786431:OMY786508 OMY851967:OMY852044 OMY917503:OMY917580 OMY983039:OMY983116 OWU2:OWU76 OWU65535:OWU65612 OWU131071:OWU131148 OWU196607:OWU196684 OWU262143:OWU262220 OWU327679:OWU327756 OWU393215:OWU393292 OWU458751:OWU458828 OWU524287:OWU524364 OWU589823:OWU589900 OWU655359:OWU655436 OWU720895:OWU720972 OWU786431:OWU786508 OWU851967:OWU852044 OWU917503:OWU917580 OWU983039:OWU983116 PGQ2:PGQ76 PGQ65535:PGQ65612 PGQ131071:PGQ131148 PGQ196607:PGQ196684 PGQ262143:PGQ262220 PGQ327679:PGQ327756 PGQ393215:PGQ393292 PGQ458751:PGQ458828 PGQ524287:PGQ524364 PGQ589823:PGQ589900 PGQ655359:PGQ655436 PGQ720895:PGQ720972 PGQ786431:PGQ786508 PGQ851967:PGQ852044 PGQ917503:PGQ917580 PGQ983039:PGQ983116 PQM2:PQM76 PQM65535:PQM65612 PQM131071:PQM131148 PQM196607:PQM196684 PQM262143:PQM262220 PQM327679:PQM327756 PQM393215:PQM393292 PQM458751:PQM458828 PQM524287:PQM524364 PQM589823:PQM589900 PQM655359:PQM655436 PQM720895:PQM720972 PQM786431:PQM786508 PQM851967:PQM852044 PQM917503:PQM917580 PQM983039:PQM983116 QAI2:QAI76 QAI65535:QAI65612 QAI131071:QAI131148 QAI196607:QAI196684 QAI262143:QAI262220 QAI327679:QAI327756 QAI393215:QAI393292 QAI458751:QAI458828 QAI524287:QAI524364 QAI589823:QAI589900 QAI655359:QAI655436 QAI720895:QAI720972 QAI786431:QAI786508 QAI851967:QAI852044 QAI917503:QAI917580 QAI983039:QAI983116 QKE2:QKE76 QKE65535:QKE65612 QKE131071:QKE131148 QKE196607:QKE196684 QKE262143:QKE262220 QKE327679:QKE327756 QKE393215:QKE393292 QKE458751:QKE458828 QKE524287:QKE524364 QKE589823:QKE589900 QKE655359:QKE655436 QKE720895:QKE720972 QKE786431:QKE786508 QKE851967:QKE852044 QKE917503:QKE917580 QKE983039:QKE983116 QUA2:QUA76 QUA65535:QUA65612 QUA131071:QUA131148 QUA196607:QUA196684 QUA262143:QUA262220 QUA327679:QUA327756 QUA393215:QUA393292 QUA458751:QUA458828 QUA524287:QUA524364 QUA589823:QUA589900 QUA655359:QUA655436 QUA720895:QUA720972 QUA786431:QUA786508 QUA851967:QUA852044 QUA917503:QUA917580 QUA983039:QUA983116 RDW2:RDW76 RDW65535:RDW65612 RDW131071:RDW131148 RDW196607:RDW196684 RDW262143:RDW262220 RDW327679:RDW327756 RDW393215:RDW393292 RDW458751:RDW458828 RDW524287:RDW524364 RDW589823:RDW589900 RDW655359:RDW655436 RDW720895:RDW720972 RDW786431:RDW786508 RDW851967:RDW852044 RDW917503:RDW917580 RDW983039:RDW983116 RNS2:RNS76 RNS65535:RNS65612 RNS131071:RNS131148 RNS196607:RNS196684 RNS262143:RNS262220 RNS327679:RNS327756 RNS393215:RNS393292 RNS458751:RNS458828 RNS524287:RNS524364 RNS589823:RNS589900 RNS655359:RNS655436 RNS720895:RNS720972 RNS786431:RNS786508 RNS851967:RNS852044 RNS917503:RNS917580 RNS983039:RNS983116 RXO2:RXO76 RXO65535:RXO65612 RXO131071:RXO131148 RXO196607:RXO196684 RXO262143:RXO262220 RXO327679:RXO327756 RXO393215:RXO393292 RXO458751:RXO458828 RXO524287:RXO524364 RXO589823:RXO589900 RXO655359:RXO655436 RXO720895:RXO720972 RXO786431:RXO786508 RXO851967:RXO852044 RXO917503:RXO917580 RXO983039:RXO983116 SHK2:SHK76 SHK65535:SHK65612 SHK131071:SHK131148 SHK196607:SHK196684 SHK262143:SHK262220 SHK327679:SHK327756 SHK393215:SHK393292 SHK458751:SHK458828 SHK524287:SHK524364 SHK589823:SHK589900 SHK655359:SHK655436 SHK720895:SHK720972 SHK786431:SHK786508 SHK851967:SHK852044 SHK917503:SHK917580 SHK983039:SHK983116 SRG2:SRG76 SRG65535:SRG65612 SRG131071:SRG131148 SRG196607:SRG196684 SRG262143:SRG262220 SRG327679:SRG327756 SRG393215:SRG393292 SRG458751:SRG458828 SRG524287:SRG524364 SRG589823:SRG589900 SRG655359:SRG655436 SRG720895:SRG720972 SRG786431:SRG786508 SRG851967:SRG852044 SRG917503:SRG917580 SRG983039:SRG983116 TBC2:TBC76 TBC65535:TBC65612 TBC131071:TBC131148 TBC196607:TBC196684 TBC262143:TBC262220 TBC327679:TBC327756 TBC393215:TBC393292 TBC458751:TBC458828 TBC524287:TBC524364 TBC589823:TBC589900 TBC655359:TBC655436 TBC720895:TBC720972 TBC786431:TBC786508 TBC851967:TBC852044 TBC917503:TBC917580 TBC983039:TBC983116 TKY2:TKY76 TKY65535:TKY65612 TKY131071:TKY131148 TKY196607:TKY196684 TKY262143:TKY262220 TKY327679:TKY327756 TKY393215:TKY393292 TKY458751:TKY458828 TKY524287:TKY524364 TKY589823:TKY589900 TKY655359:TKY655436 TKY720895:TKY720972 TKY786431:TKY786508 TKY851967:TKY852044 TKY917503:TKY917580 TKY983039:TKY983116 TUU2:TUU76 TUU65535:TUU65612 TUU131071:TUU131148 TUU196607:TUU196684 TUU262143:TUU262220 TUU327679:TUU327756 TUU393215:TUU393292 TUU458751:TUU458828 TUU524287:TUU524364 TUU589823:TUU589900 TUU655359:TUU655436 TUU720895:TUU720972 TUU786431:TUU786508 TUU851967:TUU852044 TUU917503:TUU917580 TUU983039:TUU983116 UEQ2:UEQ76 UEQ65535:UEQ65612 UEQ131071:UEQ131148 UEQ196607:UEQ196684 UEQ262143:UEQ262220 UEQ327679:UEQ327756 UEQ393215:UEQ393292 UEQ458751:UEQ458828 UEQ524287:UEQ524364 UEQ589823:UEQ589900 UEQ655359:UEQ655436 UEQ720895:UEQ720972 UEQ786431:UEQ786508 UEQ851967:UEQ852044 UEQ917503:UEQ917580 UEQ983039:UEQ983116 UOM2:UOM76 UOM65535:UOM65612 UOM131071:UOM131148 UOM196607:UOM196684 UOM262143:UOM262220 UOM327679:UOM327756 UOM393215:UOM393292 UOM458751:UOM458828 UOM524287:UOM524364 UOM589823:UOM589900 UOM655359:UOM655436 UOM720895:UOM720972 UOM786431:UOM786508 UOM851967:UOM852044 UOM917503:UOM917580 UOM983039:UOM983116 UYI2:UYI76 UYI65535:UYI65612 UYI131071:UYI131148 UYI196607:UYI196684 UYI262143:UYI262220 UYI327679:UYI327756 UYI393215:UYI393292 UYI458751:UYI458828 UYI524287:UYI524364 UYI589823:UYI589900 UYI655359:UYI655436 UYI720895:UYI720972 UYI786431:UYI786508 UYI851967:UYI852044 UYI917503:UYI917580 UYI983039:UYI983116 VIE2:VIE76 VIE65535:VIE65612 VIE131071:VIE131148 VIE196607:VIE196684 VIE262143:VIE262220 VIE327679:VIE327756 VIE393215:VIE393292 VIE458751:VIE458828 VIE524287:VIE524364 VIE589823:VIE589900 VIE655359:VIE655436 VIE720895:VIE720972 VIE786431:VIE786508 VIE851967:VIE852044 VIE917503:VIE917580 VIE983039:VIE983116 VSA2:VSA76 VSA65535:VSA65612 VSA131071:VSA131148 VSA196607:VSA196684 VSA262143:VSA262220 VSA327679:VSA327756 VSA393215:VSA393292 VSA458751:VSA458828 VSA524287:VSA524364 VSA589823:VSA589900 VSA655359:VSA655436 VSA720895:VSA720972 VSA786431:VSA786508 VSA851967:VSA852044 VSA917503:VSA917580 VSA983039:VSA983116 WBW2:WBW76 WBW65535:WBW65612 WBW131071:WBW131148 WBW196607:WBW196684 WBW262143:WBW262220 WBW327679:WBW327756 WBW393215:WBW393292 WBW458751:WBW458828 WBW524287:WBW524364 WBW589823:WBW589900 WBW655359:WBW655436 WBW720895:WBW720972 WBW786431:WBW786508 WBW851967:WBW852044 WBW917503:WBW917580 WBW983039:WBW983116 WLS2:WLS76 WLS65535:WLS65612 WLS131071:WLS131148 WLS196607:WLS196684 WLS262143:WLS262220 WLS327679:WLS327756 WLS393215:WLS393292 WLS458751:WLS458828 WLS524287:WLS524364 WLS589823:WLS589900 WLS655359:WLS655436 WLS720895:WLS720972 WLS786431:WLS786508 WLS851967:WLS852044 WLS917503:WLS917580 WLS983039:WLS983116 WVO2:WVO76 WVO65535:WVO65612 WVO131071:WVO131148 WVO196607:WVO196684 WVO262143:WVO262220 WVO327679:WVO327756 WVO393215:WVO393292 WVO458751:WVO458828 WVO524287:WVO524364 WVO589823:WVO589900 WVO655359:WVO655436 WVO720895:WVO720972 WVO786431:WVO786508 WVO851967:WVO852044 WVO917503:WVO917580 WVO983039:WVO983116">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14"/>
  <sheetViews>
    <sheetView topLeftCell="A4" zoomScale="80" zoomScaleNormal="80" workbookViewId="0">
      <selection activeCell="AC70" sqref="AC70"/>
    </sheetView>
  </sheetViews>
  <sheetFormatPr defaultRowHeight="13.5" x14ac:dyDescent="0.15"/>
  <cols>
    <col min="1" max="3" width="9" style="208" customWidth="1"/>
    <col min="4" max="4" width="10.5" style="208" customWidth="1"/>
    <col min="5" max="5" width="11.25" style="208" bestFit="1" customWidth="1"/>
    <col min="6" max="7" width="9" style="208"/>
    <col min="8" max="10" width="9" style="208" customWidth="1"/>
    <col min="11" max="11" width="11.375" style="208" customWidth="1"/>
    <col min="12" max="16" width="9" style="208" customWidth="1"/>
    <col min="17" max="17" width="9" style="217" customWidth="1"/>
    <col min="18" max="18" width="9" style="208"/>
    <col min="19" max="19" width="9.5" style="208" bestFit="1" customWidth="1"/>
    <col min="20" max="20" width="9" style="217" customWidth="1"/>
    <col min="21" max="21" width="9" style="208"/>
    <col min="22" max="22" width="9" style="217" customWidth="1"/>
    <col min="23" max="28" width="9" style="208"/>
    <col min="29" max="29" width="26.5" style="208" customWidth="1"/>
    <col min="30" max="32" width="9" style="208"/>
    <col min="33" max="33" width="15.75" style="208" bestFit="1" customWidth="1"/>
    <col min="34" max="34" width="15" style="208" bestFit="1" customWidth="1"/>
    <col min="35" max="256" width="9" style="208"/>
    <col min="257" max="259" width="9" style="208" customWidth="1"/>
    <col min="260" max="260" width="10.5" style="208" customWidth="1"/>
    <col min="261" max="261" width="11.25" style="208" bestFit="1" customWidth="1"/>
    <col min="262" max="263" width="9" style="208"/>
    <col min="264" max="273" width="9" style="208" customWidth="1"/>
    <col min="274" max="274" width="9" style="208"/>
    <col min="275" max="275" width="9.5" style="208" bestFit="1" customWidth="1"/>
    <col min="276" max="276" width="9" style="208" customWidth="1"/>
    <col min="277" max="277" width="9" style="208"/>
    <col min="278" max="278" width="9" style="208" customWidth="1"/>
    <col min="279" max="284" width="9" style="208"/>
    <col min="285" max="285" width="26.5" style="208" customWidth="1"/>
    <col min="286" max="288" width="9" style="208"/>
    <col min="289" max="289" width="14.75" style="208" bestFit="1" customWidth="1"/>
    <col min="290" max="512" width="9" style="208"/>
    <col min="513" max="515" width="9" style="208" customWidth="1"/>
    <col min="516" max="516" width="10.5" style="208" customWidth="1"/>
    <col min="517" max="517" width="11.25" style="208" bestFit="1" customWidth="1"/>
    <col min="518" max="519" width="9" style="208"/>
    <col min="520" max="529" width="9" style="208" customWidth="1"/>
    <col min="530" max="530" width="9" style="208"/>
    <col min="531" max="531" width="9.5" style="208" bestFit="1" customWidth="1"/>
    <col min="532" max="532" width="9" style="208" customWidth="1"/>
    <col min="533" max="533" width="9" style="208"/>
    <col min="534" max="534" width="9" style="208" customWidth="1"/>
    <col min="535" max="540" width="9" style="208"/>
    <col min="541" max="541" width="26.5" style="208" customWidth="1"/>
    <col min="542" max="544" width="9" style="208"/>
    <col min="545" max="545" width="14.75" style="208" bestFit="1" customWidth="1"/>
    <col min="546" max="768" width="9" style="208"/>
    <col min="769" max="771" width="9" style="208" customWidth="1"/>
    <col min="772" max="772" width="10.5" style="208" customWidth="1"/>
    <col min="773" max="773" width="11.25" style="208" bestFit="1" customWidth="1"/>
    <col min="774" max="775" width="9" style="208"/>
    <col min="776" max="785" width="9" style="208" customWidth="1"/>
    <col min="786" max="786" width="9" style="208"/>
    <col min="787" max="787" width="9.5" style="208" bestFit="1" customWidth="1"/>
    <col min="788" max="788" width="9" style="208" customWidth="1"/>
    <col min="789" max="789" width="9" style="208"/>
    <col min="790" max="790" width="9" style="208" customWidth="1"/>
    <col min="791" max="796" width="9" style="208"/>
    <col min="797" max="797" width="26.5" style="208" customWidth="1"/>
    <col min="798" max="800" width="9" style="208"/>
    <col min="801" max="801" width="14.75" style="208" bestFit="1" customWidth="1"/>
    <col min="802" max="1024" width="9" style="208"/>
    <col min="1025" max="1027" width="9" style="208" customWidth="1"/>
    <col min="1028" max="1028" width="10.5" style="208" customWidth="1"/>
    <col min="1029" max="1029" width="11.25" style="208" bestFit="1" customWidth="1"/>
    <col min="1030" max="1031" width="9" style="208"/>
    <col min="1032" max="1041" width="9" style="208" customWidth="1"/>
    <col min="1042" max="1042" width="9" style="208"/>
    <col min="1043" max="1043" width="9.5" style="208" bestFit="1" customWidth="1"/>
    <col min="1044" max="1044" width="9" style="208" customWidth="1"/>
    <col min="1045" max="1045" width="9" style="208"/>
    <col min="1046" max="1046" width="9" style="208" customWidth="1"/>
    <col min="1047" max="1052" width="9" style="208"/>
    <col min="1053" max="1053" width="26.5" style="208" customWidth="1"/>
    <col min="1054" max="1056" width="9" style="208"/>
    <col min="1057" max="1057" width="14.75" style="208" bestFit="1" customWidth="1"/>
    <col min="1058" max="1280" width="9" style="208"/>
    <col min="1281" max="1283" width="9" style="208" customWidth="1"/>
    <col min="1284" max="1284" width="10.5" style="208" customWidth="1"/>
    <col min="1285" max="1285" width="11.25" style="208" bestFit="1" customWidth="1"/>
    <col min="1286" max="1287" width="9" style="208"/>
    <col min="1288" max="1297" width="9" style="208" customWidth="1"/>
    <col min="1298" max="1298" width="9" style="208"/>
    <col min="1299" max="1299" width="9.5" style="208" bestFit="1" customWidth="1"/>
    <col min="1300" max="1300" width="9" style="208" customWidth="1"/>
    <col min="1301" max="1301" width="9" style="208"/>
    <col min="1302" max="1302" width="9" style="208" customWidth="1"/>
    <col min="1303" max="1308" width="9" style="208"/>
    <col min="1309" max="1309" width="26.5" style="208" customWidth="1"/>
    <col min="1310" max="1312" width="9" style="208"/>
    <col min="1313" max="1313" width="14.75" style="208" bestFit="1" customWidth="1"/>
    <col min="1314" max="1536" width="9" style="208"/>
    <col min="1537" max="1539" width="9" style="208" customWidth="1"/>
    <col min="1540" max="1540" width="10.5" style="208" customWidth="1"/>
    <col min="1541" max="1541" width="11.25" style="208" bestFit="1" customWidth="1"/>
    <col min="1542" max="1543" width="9" style="208"/>
    <col min="1544" max="1553" width="9" style="208" customWidth="1"/>
    <col min="1554" max="1554" width="9" style="208"/>
    <col min="1555" max="1555" width="9.5" style="208" bestFit="1" customWidth="1"/>
    <col min="1556" max="1556" width="9" style="208" customWidth="1"/>
    <col min="1557" max="1557" width="9" style="208"/>
    <col min="1558" max="1558" width="9" style="208" customWidth="1"/>
    <col min="1559" max="1564" width="9" style="208"/>
    <col min="1565" max="1565" width="26.5" style="208" customWidth="1"/>
    <col min="1566" max="1568" width="9" style="208"/>
    <col min="1569" max="1569" width="14.75" style="208" bestFit="1" customWidth="1"/>
    <col min="1570" max="1792" width="9" style="208"/>
    <col min="1793" max="1795" width="9" style="208" customWidth="1"/>
    <col min="1796" max="1796" width="10.5" style="208" customWidth="1"/>
    <col min="1797" max="1797" width="11.25" style="208" bestFit="1" customWidth="1"/>
    <col min="1798" max="1799" width="9" style="208"/>
    <col min="1800" max="1809" width="9" style="208" customWidth="1"/>
    <col min="1810" max="1810" width="9" style="208"/>
    <col min="1811" max="1811" width="9.5" style="208" bestFit="1" customWidth="1"/>
    <col min="1812" max="1812" width="9" style="208" customWidth="1"/>
    <col min="1813" max="1813" width="9" style="208"/>
    <col min="1814" max="1814" width="9" style="208" customWidth="1"/>
    <col min="1815" max="1820" width="9" style="208"/>
    <col min="1821" max="1821" width="26.5" style="208" customWidth="1"/>
    <col min="1822" max="1824" width="9" style="208"/>
    <col min="1825" max="1825" width="14.75" style="208" bestFit="1" customWidth="1"/>
    <col min="1826" max="2048" width="9" style="208"/>
    <col min="2049" max="2051" width="9" style="208" customWidth="1"/>
    <col min="2052" max="2052" width="10.5" style="208" customWidth="1"/>
    <col min="2053" max="2053" width="11.25" style="208" bestFit="1" customWidth="1"/>
    <col min="2054" max="2055" width="9" style="208"/>
    <col min="2056" max="2065" width="9" style="208" customWidth="1"/>
    <col min="2066" max="2066" width="9" style="208"/>
    <col min="2067" max="2067" width="9.5" style="208" bestFit="1" customWidth="1"/>
    <col min="2068" max="2068" width="9" style="208" customWidth="1"/>
    <col min="2069" max="2069" width="9" style="208"/>
    <col min="2070" max="2070" width="9" style="208" customWidth="1"/>
    <col min="2071" max="2076" width="9" style="208"/>
    <col min="2077" max="2077" width="26.5" style="208" customWidth="1"/>
    <col min="2078" max="2080" width="9" style="208"/>
    <col min="2081" max="2081" width="14.75" style="208" bestFit="1" customWidth="1"/>
    <col min="2082" max="2304" width="9" style="208"/>
    <col min="2305" max="2307" width="9" style="208" customWidth="1"/>
    <col min="2308" max="2308" width="10.5" style="208" customWidth="1"/>
    <col min="2309" max="2309" width="11.25" style="208" bestFit="1" customWidth="1"/>
    <col min="2310" max="2311" width="9" style="208"/>
    <col min="2312" max="2321" width="9" style="208" customWidth="1"/>
    <col min="2322" max="2322" width="9" style="208"/>
    <col min="2323" max="2323" width="9.5" style="208" bestFit="1" customWidth="1"/>
    <col min="2324" max="2324" width="9" style="208" customWidth="1"/>
    <col min="2325" max="2325" width="9" style="208"/>
    <col min="2326" max="2326" width="9" style="208" customWidth="1"/>
    <col min="2327" max="2332" width="9" style="208"/>
    <col min="2333" max="2333" width="26.5" style="208" customWidth="1"/>
    <col min="2334" max="2336" width="9" style="208"/>
    <col min="2337" max="2337" width="14.75" style="208" bestFit="1" customWidth="1"/>
    <col min="2338" max="2560" width="9" style="208"/>
    <col min="2561" max="2563" width="9" style="208" customWidth="1"/>
    <col min="2564" max="2564" width="10.5" style="208" customWidth="1"/>
    <col min="2565" max="2565" width="11.25" style="208" bestFit="1" customWidth="1"/>
    <col min="2566" max="2567" width="9" style="208"/>
    <col min="2568" max="2577" width="9" style="208" customWidth="1"/>
    <col min="2578" max="2578" width="9" style="208"/>
    <col min="2579" max="2579" width="9.5" style="208" bestFit="1" customWidth="1"/>
    <col min="2580" max="2580" width="9" style="208" customWidth="1"/>
    <col min="2581" max="2581" width="9" style="208"/>
    <col min="2582" max="2582" width="9" style="208" customWidth="1"/>
    <col min="2583" max="2588" width="9" style="208"/>
    <col min="2589" max="2589" width="26.5" style="208" customWidth="1"/>
    <col min="2590" max="2592" width="9" style="208"/>
    <col min="2593" max="2593" width="14.75" style="208" bestFit="1" customWidth="1"/>
    <col min="2594" max="2816" width="9" style="208"/>
    <col min="2817" max="2819" width="9" style="208" customWidth="1"/>
    <col min="2820" max="2820" width="10.5" style="208" customWidth="1"/>
    <col min="2821" max="2821" width="11.25" style="208" bestFit="1" customWidth="1"/>
    <col min="2822" max="2823" width="9" style="208"/>
    <col min="2824" max="2833" width="9" style="208" customWidth="1"/>
    <col min="2834" max="2834" width="9" style="208"/>
    <col min="2835" max="2835" width="9.5" style="208" bestFit="1" customWidth="1"/>
    <col min="2836" max="2836" width="9" style="208" customWidth="1"/>
    <col min="2837" max="2837" width="9" style="208"/>
    <col min="2838" max="2838" width="9" style="208" customWidth="1"/>
    <col min="2839" max="2844" width="9" style="208"/>
    <col min="2845" max="2845" width="26.5" style="208" customWidth="1"/>
    <col min="2846" max="2848" width="9" style="208"/>
    <col min="2849" max="2849" width="14.75" style="208" bestFit="1" customWidth="1"/>
    <col min="2850" max="3072" width="9" style="208"/>
    <col min="3073" max="3075" width="9" style="208" customWidth="1"/>
    <col min="3076" max="3076" width="10.5" style="208" customWidth="1"/>
    <col min="3077" max="3077" width="11.25" style="208" bestFit="1" customWidth="1"/>
    <col min="3078" max="3079" width="9" style="208"/>
    <col min="3080" max="3089" width="9" style="208" customWidth="1"/>
    <col min="3090" max="3090" width="9" style="208"/>
    <col min="3091" max="3091" width="9.5" style="208" bestFit="1" customWidth="1"/>
    <col min="3092" max="3092" width="9" style="208" customWidth="1"/>
    <col min="3093" max="3093" width="9" style="208"/>
    <col min="3094" max="3094" width="9" style="208" customWidth="1"/>
    <col min="3095" max="3100" width="9" style="208"/>
    <col min="3101" max="3101" width="26.5" style="208" customWidth="1"/>
    <col min="3102" max="3104" width="9" style="208"/>
    <col min="3105" max="3105" width="14.75" style="208" bestFit="1" customWidth="1"/>
    <col min="3106" max="3328" width="9" style="208"/>
    <col min="3329" max="3331" width="9" style="208" customWidth="1"/>
    <col min="3332" max="3332" width="10.5" style="208" customWidth="1"/>
    <col min="3333" max="3333" width="11.25" style="208" bestFit="1" customWidth="1"/>
    <col min="3334" max="3335" width="9" style="208"/>
    <col min="3336" max="3345" width="9" style="208" customWidth="1"/>
    <col min="3346" max="3346" width="9" style="208"/>
    <col min="3347" max="3347" width="9.5" style="208" bestFit="1" customWidth="1"/>
    <col min="3348" max="3348" width="9" style="208" customWidth="1"/>
    <col min="3349" max="3349" width="9" style="208"/>
    <col min="3350" max="3350" width="9" style="208" customWidth="1"/>
    <col min="3351" max="3356" width="9" style="208"/>
    <col min="3357" max="3357" width="26.5" style="208" customWidth="1"/>
    <col min="3358" max="3360" width="9" style="208"/>
    <col min="3361" max="3361" width="14.75" style="208" bestFit="1" customWidth="1"/>
    <col min="3362" max="3584" width="9" style="208"/>
    <col min="3585" max="3587" width="9" style="208" customWidth="1"/>
    <col min="3588" max="3588" width="10.5" style="208" customWidth="1"/>
    <col min="3589" max="3589" width="11.25" style="208" bestFit="1" customWidth="1"/>
    <col min="3590" max="3591" width="9" style="208"/>
    <col min="3592" max="3601" width="9" style="208" customWidth="1"/>
    <col min="3602" max="3602" width="9" style="208"/>
    <col min="3603" max="3603" width="9.5" style="208" bestFit="1" customWidth="1"/>
    <col min="3604" max="3604" width="9" style="208" customWidth="1"/>
    <col min="3605" max="3605" width="9" style="208"/>
    <col min="3606" max="3606" width="9" style="208" customWidth="1"/>
    <col min="3607" max="3612" width="9" style="208"/>
    <col min="3613" max="3613" width="26.5" style="208" customWidth="1"/>
    <col min="3614" max="3616" width="9" style="208"/>
    <col min="3617" max="3617" width="14.75" style="208" bestFit="1" customWidth="1"/>
    <col min="3618" max="3840" width="9" style="208"/>
    <col min="3841" max="3843" width="9" style="208" customWidth="1"/>
    <col min="3844" max="3844" width="10.5" style="208" customWidth="1"/>
    <col min="3845" max="3845" width="11.25" style="208" bestFit="1" customWidth="1"/>
    <col min="3846" max="3847" width="9" style="208"/>
    <col min="3848" max="3857" width="9" style="208" customWidth="1"/>
    <col min="3858" max="3858" width="9" style="208"/>
    <col min="3859" max="3859" width="9.5" style="208" bestFit="1" customWidth="1"/>
    <col min="3860" max="3860" width="9" style="208" customWidth="1"/>
    <col min="3861" max="3861" width="9" style="208"/>
    <col min="3862" max="3862" width="9" style="208" customWidth="1"/>
    <col min="3863" max="3868" width="9" style="208"/>
    <col min="3869" max="3869" width="26.5" style="208" customWidth="1"/>
    <col min="3870" max="3872" width="9" style="208"/>
    <col min="3873" max="3873" width="14.75" style="208" bestFit="1" customWidth="1"/>
    <col min="3874" max="4096" width="9" style="208"/>
    <col min="4097" max="4099" width="9" style="208" customWidth="1"/>
    <col min="4100" max="4100" width="10.5" style="208" customWidth="1"/>
    <col min="4101" max="4101" width="11.25" style="208" bestFit="1" customWidth="1"/>
    <col min="4102" max="4103" width="9" style="208"/>
    <col min="4104" max="4113" width="9" style="208" customWidth="1"/>
    <col min="4114" max="4114" width="9" style="208"/>
    <col min="4115" max="4115" width="9.5" style="208" bestFit="1" customWidth="1"/>
    <col min="4116" max="4116" width="9" style="208" customWidth="1"/>
    <col min="4117" max="4117" width="9" style="208"/>
    <col min="4118" max="4118" width="9" style="208" customWidth="1"/>
    <col min="4119" max="4124" width="9" style="208"/>
    <col min="4125" max="4125" width="26.5" style="208" customWidth="1"/>
    <col min="4126" max="4128" width="9" style="208"/>
    <col min="4129" max="4129" width="14.75" style="208" bestFit="1" customWidth="1"/>
    <col min="4130" max="4352" width="9" style="208"/>
    <col min="4353" max="4355" width="9" style="208" customWidth="1"/>
    <col min="4356" max="4356" width="10.5" style="208" customWidth="1"/>
    <col min="4357" max="4357" width="11.25" style="208" bestFit="1" customWidth="1"/>
    <col min="4358" max="4359" width="9" style="208"/>
    <col min="4360" max="4369" width="9" style="208" customWidth="1"/>
    <col min="4370" max="4370" width="9" style="208"/>
    <col min="4371" max="4371" width="9.5" style="208" bestFit="1" customWidth="1"/>
    <col min="4372" max="4372" width="9" style="208" customWidth="1"/>
    <col min="4373" max="4373" width="9" style="208"/>
    <col min="4374" max="4374" width="9" style="208" customWidth="1"/>
    <col min="4375" max="4380" width="9" style="208"/>
    <col min="4381" max="4381" width="26.5" style="208" customWidth="1"/>
    <col min="4382" max="4384" width="9" style="208"/>
    <col min="4385" max="4385" width="14.75" style="208" bestFit="1" customWidth="1"/>
    <col min="4386" max="4608" width="9" style="208"/>
    <col min="4609" max="4611" width="9" style="208" customWidth="1"/>
    <col min="4612" max="4612" width="10.5" style="208" customWidth="1"/>
    <col min="4613" max="4613" width="11.25" style="208" bestFit="1" customWidth="1"/>
    <col min="4614" max="4615" width="9" style="208"/>
    <col min="4616" max="4625" width="9" style="208" customWidth="1"/>
    <col min="4626" max="4626" width="9" style="208"/>
    <col min="4627" max="4627" width="9.5" style="208" bestFit="1" customWidth="1"/>
    <col min="4628" max="4628" width="9" style="208" customWidth="1"/>
    <col min="4629" max="4629" width="9" style="208"/>
    <col min="4630" max="4630" width="9" style="208" customWidth="1"/>
    <col min="4631" max="4636" width="9" style="208"/>
    <col min="4637" max="4637" width="26.5" style="208" customWidth="1"/>
    <col min="4638" max="4640" width="9" style="208"/>
    <col min="4641" max="4641" width="14.75" style="208" bestFit="1" customWidth="1"/>
    <col min="4642" max="4864" width="9" style="208"/>
    <col min="4865" max="4867" width="9" style="208" customWidth="1"/>
    <col min="4868" max="4868" width="10.5" style="208" customWidth="1"/>
    <col min="4869" max="4869" width="11.25" style="208" bestFit="1" customWidth="1"/>
    <col min="4870" max="4871" width="9" style="208"/>
    <col min="4872" max="4881" width="9" style="208" customWidth="1"/>
    <col min="4882" max="4882" width="9" style="208"/>
    <col min="4883" max="4883" width="9.5" style="208" bestFit="1" customWidth="1"/>
    <col min="4884" max="4884" width="9" style="208" customWidth="1"/>
    <col min="4885" max="4885" width="9" style="208"/>
    <col min="4886" max="4886" width="9" style="208" customWidth="1"/>
    <col min="4887" max="4892" width="9" style="208"/>
    <col min="4893" max="4893" width="26.5" style="208" customWidth="1"/>
    <col min="4894" max="4896" width="9" style="208"/>
    <col min="4897" max="4897" width="14.75" style="208" bestFit="1" customWidth="1"/>
    <col min="4898" max="5120" width="9" style="208"/>
    <col min="5121" max="5123" width="9" style="208" customWidth="1"/>
    <col min="5124" max="5124" width="10.5" style="208" customWidth="1"/>
    <col min="5125" max="5125" width="11.25" style="208" bestFit="1" customWidth="1"/>
    <col min="5126" max="5127" width="9" style="208"/>
    <col min="5128" max="5137" width="9" style="208" customWidth="1"/>
    <col min="5138" max="5138" width="9" style="208"/>
    <col min="5139" max="5139" width="9.5" style="208" bestFit="1" customWidth="1"/>
    <col min="5140" max="5140" width="9" style="208" customWidth="1"/>
    <col min="5141" max="5141" width="9" style="208"/>
    <col min="5142" max="5142" width="9" style="208" customWidth="1"/>
    <col min="5143" max="5148" width="9" style="208"/>
    <col min="5149" max="5149" width="26.5" style="208" customWidth="1"/>
    <col min="5150" max="5152" width="9" style="208"/>
    <col min="5153" max="5153" width="14.75" style="208" bestFit="1" customWidth="1"/>
    <col min="5154" max="5376" width="9" style="208"/>
    <col min="5377" max="5379" width="9" style="208" customWidth="1"/>
    <col min="5380" max="5380" width="10.5" style="208" customWidth="1"/>
    <col min="5381" max="5381" width="11.25" style="208" bestFit="1" customWidth="1"/>
    <col min="5382" max="5383" width="9" style="208"/>
    <col min="5384" max="5393" width="9" style="208" customWidth="1"/>
    <col min="5394" max="5394" width="9" style="208"/>
    <col min="5395" max="5395" width="9.5" style="208" bestFit="1" customWidth="1"/>
    <col min="5396" max="5396" width="9" style="208" customWidth="1"/>
    <col min="5397" max="5397" width="9" style="208"/>
    <col min="5398" max="5398" width="9" style="208" customWidth="1"/>
    <col min="5399" max="5404" width="9" style="208"/>
    <col min="5405" max="5405" width="26.5" style="208" customWidth="1"/>
    <col min="5406" max="5408" width="9" style="208"/>
    <col min="5409" max="5409" width="14.75" style="208" bestFit="1" customWidth="1"/>
    <col min="5410" max="5632" width="9" style="208"/>
    <col min="5633" max="5635" width="9" style="208" customWidth="1"/>
    <col min="5636" max="5636" width="10.5" style="208" customWidth="1"/>
    <col min="5637" max="5637" width="11.25" style="208" bestFit="1" customWidth="1"/>
    <col min="5638" max="5639" width="9" style="208"/>
    <col min="5640" max="5649" width="9" style="208" customWidth="1"/>
    <col min="5650" max="5650" width="9" style="208"/>
    <col min="5651" max="5651" width="9.5" style="208" bestFit="1" customWidth="1"/>
    <col min="5652" max="5652" width="9" style="208" customWidth="1"/>
    <col min="5653" max="5653" width="9" style="208"/>
    <col min="5654" max="5654" width="9" style="208" customWidth="1"/>
    <col min="5655" max="5660" width="9" style="208"/>
    <col min="5661" max="5661" width="26.5" style="208" customWidth="1"/>
    <col min="5662" max="5664" width="9" style="208"/>
    <col min="5665" max="5665" width="14.75" style="208" bestFit="1" customWidth="1"/>
    <col min="5666" max="5888" width="9" style="208"/>
    <col min="5889" max="5891" width="9" style="208" customWidth="1"/>
    <col min="5892" max="5892" width="10.5" style="208" customWidth="1"/>
    <col min="5893" max="5893" width="11.25" style="208" bestFit="1" customWidth="1"/>
    <col min="5894" max="5895" width="9" style="208"/>
    <col min="5896" max="5905" width="9" style="208" customWidth="1"/>
    <col min="5906" max="5906" width="9" style="208"/>
    <col min="5907" max="5907" width="9.5" style="208" bestFit="1" customWidth="1"/>
    <col min="5908" max="5908" width="9" style="208" customWidth="1"/>
    <col min="5909" max="5909" width="9" style="208"/>
    <col min="5910" max="5910" width="9" style="208" customWidth="1"/>
    <col min="5911" max="5916" width="9" style="208"/>
    <col min="5917" max="5917" width="26.5" style="208" customWidth="1"/>
    <col min="5918" max="5920" width="9" style="208"/>
    <col min="5921" max="5921" width="14.75" style="208" bestFit="1" customWidth="1"/>
    <col min="5922" max="6144" width="9" style="208"/>
    <col min="6145" max="6147" width="9" style="208" customWidth="1"/>
    <col min="6148" max="6148" width="10.5" style="208" customWidth="1"/>
    <col min="6149" max="6149" width="11.25" style="208" bestFit="1" customWidth="1"/>
    <col min="6150" max="6151" width="9" style="208"/>
    <col min="6152" max="6161" width="9" style="208" customWidth="1"/>
    <col min="6162" max="6162" width="9" style="208"/>
    <col min="6163" max="6163" width="9.5" style="208" bestFit="1" customWidth="1"/>
    <col min="6164" max="6164" width="9" style="208" customWidth="1"/>
    <col min="6165" max="6165" width="9" style="208"/>
    <col min="6166" max="6166" width="9" style="208" customWidth="1"/>
    <col min="6167" max="6172" width="9" style="208"/>
    <col min="6173" max="6173" width="26.5" style="208" customWidth="1"/>
    <col min="6174" max="6176" width="9" style="208"/>
    <col min="6177" max="6177" width="14.75" style="208" bestFit="1" customWidth="1"/>
    <col min="6178" max="6400" width="9" style="208"/>
    <col min="6401" max="6403" width="9" style="208" customWidth="1"/>
    <col min="6404" max="6404" width="10.5" style="208" customWidth="1"/>
    <col min="6405" max="6405" width="11.25" style="208" bestFit="1" customWidth="1"/>
    <col min="6406" max="6407" width="9" style="208"/>
    <col min="6408" max="6417" width="9" style="208" customWidth="1"/>
    <col min="6418" max="6418" width="9" style="208"/>
    <col min="6419" max="6419" width="9.5" style="208" bestFit="1" customWidth="1"/>
    <col min="6420" max="6420" width="9" style="208" customWidth="1"/>
    <col min="6421" max="6421" width="9" style="208"/>
    <col min="6422" max="6422" width="9" style="208" customWidth="1"/>
    <col min="6423" max="6428" width="9" style="208"/>
    <col min="6429" max="6429" width="26.5" style="208" customWidth="1"/>
    <col min="6430" max="6432" width="9" style="208"/>
    <col min="6433" max="6433" width="14.75" style="208" bestFit="1" customWidth="1"/>
    <col min="6434" max="6656" width="9" style="208"/>
    <col min="6657" max="6659" width="9" style="208" customWidth="1"/>
    <col min="6660" max="6660" width="10.5" style="208" customWidth="1"/>
    <col min="6661" max="6661" width="11.25" style="208" bestFit="1" customWidth="1"/>
    <col min="6662" max="6663" width="9" style="208"/>
    <col min="6664" max="6673" width="9" style="208" customWidth="1"/>
    <col min="6674" max="6674" width="9" style="208"/>
    <col min="6675" max="6675" width="9.5" style="208" bestFit="1" customWidth="1"/>
    <col min="6676" max="6676" width="9" style="208" customWidth="1"/>
    <col min="6677" max="6677" width="9" style="208"/>
    <col min="6678" max="6678" width="9" style="208" customWidth="1"/>
    <col min="6679" max="6684" width="9" style="208"/>
    <col min="6685" max="6685" width="26.5" style="208" customWidth="1"/>
    <col min="6686" max="6688" width="9" style="208"/>
    <col min="6689" max="6689" width="14.75" style="208" bestFit="1" customWidth="1"/>
    <col min="6690" max="6912" width="9" style="208"/>
    <col min="6913" max="6915" width="9" style="208" customWidth="1"/>
    <col min="6916" max="6916" width="10.5" style="208" customWidth="1"/>
    <col min="6917" max="6917" width="11.25" style="208" bestFit="1" customWidth="1"/>
    <col min="6918" max="6919" width="9" style="208"/>
    <col min="6920" max="6929" width="9" style="208" customWidth="1"/>
    <col min="6930" max="6930" width="9" style="208"/>
    <col min="6931" max="6931" width="9.5" style="208" bestFit="1" customWidth="1"/>
    <col min="6932" max="6932" width="9" style="208" customWidth="1"/>
    <col min="6933" max="6933" width="9" style="208"/>
    <col min="6934" max="6934" width="9" style="208" customWidth="1"/>
    <col min="6935" max="6940" width="9" style="208"/>
    <col min="6941" max="6941" width="26.5" style="208" customWidth="1"/>
    <col min="6942" max="6944" width="9" style="208"/>
    <col min="6945" max="6945" width="14.75" style="208" bestFit="1" customWidth="1"/>
    <col min="6946" max="7168" width="9" style="208"/>
    <col min="7169" max="7171" width="9" style="208" customWidth="1"/>
    <col min="7172" max="7172" width="10.5" style="208" customWidth="1"/>
    <col min="7173" max="7173" width="11.25" style="208" bestFit="1" customWidth="1"/>
    <col min="7174" max="7175" width="9" style="208"/>
    <col min="7176" max="7185" width="9" style="208" customWidth="1"/>
    <col min="7186" max="7186" width="9" style="208"/>
    <col min="7187" max="7187" width="9.5" style="208" bestFit="1" customWidth="1"/>
    <col min="7188" max="7188" width="9" style="208" customWidth="1"/>
    <col min="7189" max="7189" width="9" style="208"/>
    <col min="7190" max="7190" width="9" style="208" customWidth="1"/>
    <col min="7191" max="7196" width="9" style="208"/>
    <col min="7197" max="7197" width="26.5" style="208" customWidth="1"/>
    <col min="7198" max="7200" width="9" style="208"/>
    <col min="7201" max="7201" width="14.75" style="208" bestFit="1" customWidth="1"/>
    <col min="7202" max="7424" width="9" style="208"/>
    <col min="7425" max="7427" width="9" style="208" customWidth="1"/>
    <col min="7428" max="7428" width="10.5" style="208" customWidth="1"/>
    <col min="7429" max="7429" width="11.25" style="208" bestFit="1" customWidth="1"/>
    <col min="7430" max="7431" width="9" style="208"/>
    <col min="7432" max="7441" width="9" style="208" customWidth="1"/>
    <col min="7442" max="7442" width="9" style="208"/>
    <col min="7443" max="7443" width="9.5" style="208" bestFit="1" customWidth="1"/>
    <col min="7444" max="7444" width="9" style="208" customWidth="1"/>
    <col min="7445" max="7445" width="9" style="208"/>
    <col min="7446" max="7446" width="9" style="208" customWidth="1"/>
    <col min="7447" max="7452" width="9" style="208"/>
    <col min="7453" max="7453" width="26.5" style="208" customWidth="1"/>
    <col min="7454" max="7456" width="9" style="208"/>
    <col min="7457" max="7457" width="14.75" style="208" bestFit="1" customWidth="1"/>
    <col min="7458" max="7680" width="9" style="208"/>
    <col min="7681" max="7683" width="9" style="208" customWidth="1"/>
    <col min="7684" max="7684" width="10.5" style="208" customWidth="1"/>
    <col min="7685" max="7685" width="11.25" style="208" bestFit="1" customWidth="1"/>
    <col min="7686" max="7687" width="9" style="208"/>
    <col min="7688" max="7697" width="9" style="208" customWidth="1"/>
    <col min="7698" max="7698" width="9" style="208"/>
    <col min="7699" max="7699" width="9.5" style="208" bestFit="1" customWidth="1"/>
    <col min="7700" max="7700" width="9" style="208" customWidth="1"/>
    <col min="7701" max="7701" width="9" style="208"/>
    <col min="7702" max="7702" width="9" style="208" customWidth="1"/>
    <col min="7703" max="7708" width="9" style="208"/>
    <col min="7709" max="7709" width="26.5" style="208" customWidth="1"/>
    <col min="7710" max="7712" width="9" style="208"/>
    <col min="7713" max="7713" width="14.75" style="208" bestFit="1" customWidth="1"/>
    <col min="7714" max="7936" width="9" style="208"/>
    <col min="7937" max="7939" width="9" style="208" customWidth="1"/>
    <col min="7940" max="7940" width="10.5" style="208" customWidth="1"/>
    <col min="7941" max="7941" width="11.25" style="208" bestFit="1" customWidth="1"/>
    <col min="7942" max="7943" width="9" style="208"/>
    <col min="7944" max="7953" width="9" style="208" customWidth="1"/>
    <col min="7954" max="7954" width="9" style="208"/>
    <col min="7955" max="7955" width="9.5" style="208" bestFit="1" customWidth="1"/>
    <col min="7956" max="7956" width="9" style="208" customWidth="1"/>
    <col min="7957" max="7957" width="9" style="208"/>
    <col min="7958" max="7958" width="9" style="208" customWidth="1"/>
    <col min="7959" max="7964" width="9" style="208"/>
    <col min="7965" max="7965" width="26.5" style="208" customWidth="1"/>
    <col min="7966" max="7968" width="9" style="208"/>
    <col min="7969" max="7969" width="14.75" style="208" bestFit="1" customWidth="1"/>
    <col min="7970" max="8192" width="9" style="208"/>
    <col min="8193" max="8195" width="9" style="208" customWidth="1"/>
    <col min="8196" max="8196" width="10.5" style="208" customWidth="1"/>
    <col min="8197" max="8197" width="11.25" style="208" bestFit="1" customWidth="1"/>
    <col min="8198" max="8199" width="9" style="208"/>
    <col min="8200" max="8209" width="9" style="208" customWidth="1"/>
    <col min="8210" max="8210" width="9" style="208"/>
    <col min="8211" max="8211" width="9.5" style="208" bestFit="1" customWidth="1"/>
    <col min="8212" max="8212" width="9" style="208" customWidth="1"/>
    <col min="8213" max="8213" width="9" style="208"/>
    <col min="8214" max="8214" width="9" style="208" customWidth="1"/>
    <col min="8215" max="8220" width="9" style="208"/>
    <col min="8221" max="8221" width="26.5" style="208" customWidth="1"/>
    <col min="8222" max="8224" width="9" style="208"/>
    <col min="8225" max="8225" width="14.75" style="208" bestFit="1" customWidth="1"/>
    <col min="8226" max="8448" width="9" style="208"/>
    <col min="8449" max="8451" width="9" style="208" customWidth="1"/>
    <col min="8452" max="8452" width="10.5" style="208" customWidth="1"/>
    <col min="8453" max="8453" width="11.25" style="208" bestFit="1" customWidth="1"/>
    <col min="8454" max="8455" width="9" style="208"/>
    <col min="8456" max="8465" width="9" style="208" customWidth="1"/>
    <col min="8466" max="8466" width="9" style="208"/>
    <col min="8467" max="8467" width="9.5" style="208" bestFit="1" customWidth="1"/>
    <col min="8468" max="8468" width="9" style="208" customWidth="1"/>
    <col min="8469" max="8469" width="9" style="208"/>
    <col min="8470" max="8470" width="9" style="208" customWidth="1"/>
    <col min="8471" max="8476" width="9" style="208"/>
    <col min="8477" max="8477" width="26.5" style="208" customWidth="1"/>
    <col min="8478" max="8480" width="9" style="208"/>
    <col min="8481" max="8481" width="14.75" style="208" bestFit="1" customWidth="1"/>
    <col min="8482" max="8704" width="9" style="208"/>
    <col min="8705" max="8707" width="9" style="208" customWidth="1"/>
    <col min="8708" max="8708" width="10.5" style="208" customWidth="1"/>
    <col min="8709" max="8709" width="11.25" style="208" bestFit="1" customWidth="1"/>
    <col min="8710" max="8711" width="9" style="208"/>
    <col min="8712" max="8721" width="9" style="208" customWidth="1"/>
    <col min="8722" max="8722" width="9" style="208"/>
    <col min="8723" max="8723" width="9.5" style="208" bestFit="1" customWidth="1"/>
    <col min="8724" max="8724" width="9" style="208" customWidth="1"/>
    <col min="8725" max="8725" width="9" style="208"/>
    <col min="8726" max="8726" width="9" style="208" customWidth="1"/>
    <col min="8727" max="8732" width="9" style="208"/>
    <col min="8733" max="8733" width="26.5" style="208" customWidth="1"/>
    <col min="8734" max="8736" width="9" style="208"/>
    <col min="8737" max="8737" width="14.75" style="208" bestFit="1" customWidth="1"/>
    <col min="8738" max="8960" width="9" style="208"/>
    <col min="8961" max="8963" width="9" style="208" customWidth="1"/>
    <col min="8964" max="8964" width="10.5" style="208" customWidth="1"/>
    <col min="8965" max="8965" width="11.25" style="208" bestFit="1" customWidth="1"/>
    <col min="8966" max="8967" width="9" style="208"/>
    <col min="8968" max="8977" width="9" style="208" customWidth="1"/>
    <col min="8978" max="8978" width="9" style="208"/>
    <col min="8979" max="8979" width="9.5" style="208" bestFit="1" customWidth="1"/>
    <col min="8980" max="8980" width="9" style="208" customWidth="1"/>
    <col min="8981" max="8981" width="9" style="208"/>
    <col min="8982" max="8982" width="9" style="208" customWidth="1"/>
    <col min="8983" max="8988" width="9" style="208"/>
    <col min="8989" max="8989" width="26.5" style="208" customWidth="1"/>
    <col min="8990" max="8992" width="9" style="208"/>
    <col min="8993" max="8993" width="14.75" style="208" bestFit="1" customWidth="1"/>
    <col min="8994" max="9216" width="9" style="208"/>
    <col min="9217" max="9219" width="9" style="208" customWidth="1"/>
    <col min="9220" max="9220" width="10.5" style="208" customWidth="1"/>
    <col min="9221" max="9221" width="11.25" style="208" bestFit="1" customWidth="1"/>
    <col min="9222" max="9223" width="9" style="208"/>
    <col min="9224" max="9233" width="9" style="208" customWidth="1"/>
    <col min="9234" max="9234" width="9" style="208"/>
    <col min="9235" max="9235" width="9.5" style="208" bestFit="1" customWidth="1"/>
    <col min="9236" max="9236" width="9" style="208" customWidth="1"/>
    <col min="9237" max="9237" width="9" style="208"/>
    <col min="9238" max="9238" width="9" style="208" customWidth="1"/>
    <col min="9239" max="9244" width="9" style="208"/>
    <col min="9245" max="9245" width="26.5" style="208" customWidth="1"/>
    <col min="9246" max="9248" width="9" style="208"/>
    <col min="9249" max="9249" width="14.75" style="208" bestFit="1" customWidth="1"/>
    <col min="9250" max="9472" width="9" style="208"/>
    <col min="9473" max="9475" width="9" style="208" customWidth="1"/>
    <col min="9476" max="9476" width="10.5" style="208" customWidth="1"/>
    <col min="9477" max="9477" width="11.25" style="208" bestFit="1" customWidth="1"/>
    <col min="9478" max="9479" width="9" style="208"/>
    <col min="9480" max="9489" width="9" style="208" customWidth="1"/>
    <col min="9490" max="9490" width="9" style="208"/>
    <col min="9491" max="9491" width="9.5" style="208" bestFit="1" customWidth="1"/>
    <col min="9492" max="9492" width="9" style="208" customWidth="1"/>
    <col min="9493" max="9493" width="9" style="208"/>
    <col min="9494" max="9494" width="9" style="208" customWidth="1"/>
    <col min="9495" max="9500" width="9" style="208"/>
    <col min="9501" max="9501" width="26.5" style="208" customWidth="1"/>
    <col min="9502" max="9504" width="9" style="208"/>
    <col min="9505" max="9505" width="14.75" style="208" bestFit="1" customWidth="1"/>
    <col min="9506" max="9728" width="9" style="208"/>
    <col min="9729" max="9731" width="9" style="208" customWidth="1"/>
    <col min="9732" max="9732" width="10.5" style="208" customWidth="1"/>
    <col min="9733" max="9733" width="11.25" style="208" bestFit="1" customWidth="1"/>
    <col min="9734" max="9735" width="9" style="208"/>
    <col min="9736" max="9745" width="9" style="208" customWidth="1"/>
    <col min="9746" max="9746" width="9" style="208"/>
    <col min="9747" max="9747" width="9.5" style="208" bestFit="1" customWidth="1"/>
    <col min="9748" max="9748" width="9" style="208" customWidth="1"/>
    <col min="9749" max="9749" width="9" style="208"/>
    <col min="9750" max="9750" width="9" style="208" customWidth="1"/>
    <col min="9751" max="9756" width="9" style="208"/>
    <col min="9757" max="9757" width="26.5" style="208" customWidth="1"/>
    <col min="9758" max="9760" width="9" style="208"/>
    <col min="9761" max="9761" width="14.75" style="208" bestFit="1" customWidth="1"/>
    <col min="9762" max="9984" width="9" style="208"/>
    <col min="9985" max="9987" width="9" style="208" customWidth="1"/>
    <col min="9988" max="9988" width="10.5" style="208" customWidth="1"/>
    <col min="9989" max="9989" width="11.25" style="208" bestFit="1" customWidth="1"/>
    <col min="9990" max="9991" width="9" style="208"/>
    <col min="9992" max="10001" width="9" style="208" customWidth="1"/>
    <col min="10002" max="10002" width="9" style="208"/>
    <col min="10003" max="10003" width="9.5" style="208" bestFit="1" customWidth="1"/>
    <col min="10004" max="10004" width="9" style="208" customWidth="1"/>
    <col min="10005" max="10005" width="9" style="208"/>
    <col min="10006" max="10006" width="9" style="208" customWidth="1"/>
    <col min="10007" max="10012" width="9" style="208"/>
    <col min="10013" max="10013" width="26.5" style="208" customWidth="1"/>
    <col min="10014" max="10016" width="9" style="208"/>
    <col min="10017" max="10017" width="14.75" style="208" bestFit="1" customWidth="1"/>
    <col min="10018" max="10240" width="9" style="208"/>
    <col min="10241" max="10243" width="9" style="208" customWidth="1"/>
    <col min="10244" max="10244" width="10.5" style="208" customWidth="1"/>
    <col min="10245" max="10245" width="11.25" style="208" bestFit="1" customWidth="1"/>
    <col min="10246" max="10247" width="9" style="208"/>
    <col min="10248" max="10257" width="9" style="208" customWidth="1"/>
    <col min="10258" max="10258" width="9" style="208"/>
    <col min="10259" max="10259" width="9.5" style="208" bestFit="1" customWidth="1"/>
    <col min="10260" max="10260" width="9" style="208" customWidth="1"/>
    <col min="10261" max="10261" width="9" style="208"/>
    <col min="10262" max="10262" width="9" style="208" customWidth="1"/>
    <col min="10263" max="10268" width="9" style="208"/>
    <col min="10269" max="10269" width="26.5" style="208" customWidth="1"/>
    <col min="10270" max="10272" width="9" style="208"/>
    <col min="10273" max="10273" width="14.75" style="208" bestFit="1" customWidth="1"/>
    <col min="10274" max="10496" width="9" style="208"/>
    <col min="10497" max="10499" width="9" style="208" customWidth="1"/>
    <col min="10500" max="10500" width="10.5" style="208" customWidth="1"/>
    <col min="10501" max="10501" width="11.25" style="208" bestFit="1" customWidth="1"/>
    <col min="10502" max="10503" width="9" style="208"/>
    <col min="10504" max="10513" width="9" style="208" customWidth="1"/>
    <col min="10514" max="10514" width="9" style="208"/>
    <col min="10515" max="10515" width="9.5" style="208" bestFit="1" customWidth="1"/>
    <col min="10516" max="10516" width="9" style="208" customWidth="1"/>
    <col min="10517" max="10517" width="9" style="208"/>
    <col min="10518" max="10518" width="9" style="208" customWidth="1"/>
    <col min="10519" max="10524" width="9" style="208"/>
    <col min="10525" max="10525" width="26.5" style="208" customWidth="1"/>
    <col min="10526" max="10528" width="9" style="208"/>
    <col min="10529" max="10529" width="14.75" style="208" bestFit="1" customWidth="1"/>
    <col min="10530" max="10752" width="9" style="208"/>
    <col min="10753" max="10755" width="9" style="208" customWidth="1"/>
    <col min="10756" max="10756" width="10.5" style="208" customWidth="1"/>
    <col min="10757" max="10757" width="11.25" style="208" bestFit="1" customWidth="1"/>
    <col min="10758" max="10759" width="9" style="208"/>
    <col min="10760" max="10769" width="9" style="208" customWidth="1"/>
    <col min="10770" max="10770" width="9" style="208"/>
    <col min="10771" max="10771" width="9.5" style="208" bestFit="1" customWidth="1"/>
    <col min="10772" max="10772" width="9" style="208" customWidth="1"/>
    <col min="10773" max="10773" width="9" style="208"/>
    <col min="10774" max="10774" width="9" style="208" customWidth="1"/>
    <col min="10775" max="10780" width="9" style="208"/>
    <col min="10781" max="10781" width="26.5" style="208" customWidth="1"/>
    <col min="10782" max="10784" width="9" style="208"/>
    <col min="10785" max="10785" width="14.75" style="208" bestFit="1" customWidth="1"/>
    <col min="10786" max="11008" width="9" style="208"/>
    <col min="11009" max="11011" width="9" style="208" customWidth="1"/>
    <col min="11012" max="11012" width="10.5" style="208" customWidth="1"/>
    <col min="11013" max="11013" width="11.25" style="208" bestFit="1" customWidth="1"/>
    <col min="11014" max="11015" width="9" style="208"/>
    <col min="11016" max="11025" width="9" style="208" customWidth="1"/>
    <col min="11026" max="11026" width="9" style="208"/>
    <col min="11027" max="11027" width="9.5" style="208" bestFit="1" customWidth="1"/>
    <col min="11028" max="11028" width="9" style="208" customWidth="1"/>
    <col min="11029" max="11029" width="9" style="208"/>
    <col min="11030" max="11030" width="9" style="208" customWidth="1"/>
    <col min="11031" max="11036" width="9" style="208"/>
    <col min="11037" max="11037" width="26.5" style="208" customWidth="1"/>
    <col min="11038" max="11040" width="9" style="208"/>
    <col min="11041" max="11041" width="14.75" style="208" bestFit="1" customWidth="1"/>
    <col min="11042" max="11264" width="9" style="208"/>
    <col min="11265" max="11267" width="9" style="208" customWidth="1"/>
    <col min="11268" max="11268" width="10.5" style="208" customWidth="1"/>
    <col min="11269" max="11269" width="11.25" style="208" bestFit="1" customWidth="1"/>
    <col min="11270" max="11271" width="9" style="208"/>
    <col min="11272" max="11281" width="9" style="208" customWidth="1"/>
    <col min="11282" max="11282" width="9" style="208"/>
    <col min="11283" max="11283" width="9.5" style="208" bestFit="1" customWidth="1"/>
    <col min="11284" max="11284" width="9" style="208" customWidth="1"/>
    <col min="11285" max="11285" width="9" style="208"/>
    <col min="11286" max="11286" width="9" style="208" customWidth="1"/>
    <col min="11287" max="11292" width="9" style="208"/>
    <col min="11293" max="11293" width="26.5" style="208" customWidth="1"/>
    <col min="11294" max="11296" width="9" style="208"/>
    <col min="11297" max="11297" width="14.75" style="208" bestFit="1" customWidth="1"/>
    <col min="11298" max="11520" width="9" style="208"/>
    <col min="11521" max="11523" width="9" style="208" customWidth="1"/>
    <col min="11524" max="11524" width="10.5" style="208" customWidth="1"/>
    <col min="11525" max="11525" width="11.25" style="208" bestFit="1" customWidth="1"/>
    <col min="11526" max="11527" width="9" style="208"/>
    <col min="11528" max="11537" width="9" style="208" customWidth="1"/>
    <col min="11538" max="11538" width="9" style="208"/>
    <col min="11539" max="11539" width="9.5" style="208" bestFit="1" customWidth="1"/>
    <col min="11540" max="11540" width="9" style="208" customWidth="1"/>
    <col min="11541" max="11541" width="9" style="208"/>
    <col min="11542" max="11542" width="9" style="208" customWidth="1"/>
    <col min="11543" max="11548" width="9" style="208"/>
    <col min="11549" max="11549" width="26.5" style="208" customWidth="1"/>
    <col min="11550" max="11552" width="9" style="208"/>
    <col min="11553" max="11553" width="14.75" style="208" bestFit="1" customWidth="1"/>
    <col min="11554" max="11776" width="9" style="208"/>
    <col min="11777" max="11779" width="9" style="208" customWidth="1"/>
    <col min="11780" max="11780" width="10.5" style="208" customWidth="1"/>
    <col min="11781" max="11781" width="11.25" style="208" bestFit="1" customWidth="1"/>
    <col min="11782" max="11783" width="9" style="208"/>
    <col min="11784" max="11793" width="9" style="208" customWidth="1"/>
    <col min="11794" max="11794" width="9" style="208"/>
    <col min="11795" max="11795" width="9.5" style="208" bestFit="1" customWidth="1"/>
    <col min="11796" max="11796" width="9" style="208" customWidth="1"/>
    <col min="11797" max="11797" width="9" style="208"/>
    <col min="11798" max="11798" width="9" style="208" customWidth="1"/>
    <col min="11799" max="11804" width="9" style="208"/>
    <col min="11805" max="11805" width="26.5" style="208" customWidth="1"/>
    <col min="11806" max="11808" width="9" style="208"/>
    <col min="11809" max="11809" width="14.75" style="208" bestFit="1" customWidth="1"/>
    <col min="11810" max="12032" width="9" style="208"/>
    <col min="12033" max="12035" width="9" style="208" customWidth="1"/>
    <col min="12036" max="12036" width="10.5" style="208" customWidth="1"/>
    <col min="12037" max="12037" width="11.25" style="208" bestFit="1" customWidth="1"/>
    <col min="12038" max="12039" width="9" style="208"/>
    <col min="12040" max="12049" width="9" style="208" customWidth="1"/>
    <col min="12050" max="12050" width="9" style="208"/>
    <col min="12051" max="12051" width="9.5" style="208" bestFit="1" customWidth="1"/>
    <col min="12052" max="12052" width="9" style="208" customWidth="1"/>
    <col min="12053" max="12053" width="9" style="208"/>
    <col min="12054" max="12054" width="9" style="208" customWidth="1"/>
    <col min="12055" max="12060" width="9" style="208"/>
    <col min="12061" max="12061" width="26.5" style="208" customWidth="1"/>
    <col min="12062" max="12064" width="9" style="208"/>
    <col min="12065" max="12065" width="14.75" style="208" bestFit="1" customWidth="1"/>
    <col min="12066" max="12288" width="9" style="208"/>
    <col min="12289" max="12291" width="9" style="208" customWidth="1"/>
    <col min="12292" max="12292" width="10.5" style="208" customWidth="1"/>
    <col min="12293" max="12293" width="11.25" style="208" bestFit="1" customWidth="1"/>
    <col min="12294" max="12295" width="9" style="208"/>
    <col min="12296" max="12305" width="9" style="208" customWidth="1"/>
    <col min="12306" max="12306" width="9" style="208"/>
    <col min="12307" max="12307" width="9.5" style="208" bestFit="1" customWidth="1"/>
    <col min="12308" max="12308" width="9" style="208" customWidth="1"/>
    <col min="12309" max="12309" width="9" style="208"/>
    <col min="12310" max="12310" width="9" style="208" customWidth="1"/>
    <col min="12311" max="12316" width="9" style="208"/>
    <col min="12317" max="12317" width="26.5" style="208" customWidth="1"/>
    <col min="12318" max="12320" width="9" style="208"/>
    <col min="12321" max="12321" width="14.75" style="208" bestFit="1" customWidth="1"/>
    <col min="12322" max="12544" width="9" style="208"/>
    <col min="12545" max="12547" width="9" style="208" customWidth="1"/>
    <col min="12548" max="12548" width="10.5" style="208" customWidth="1"/>
    <col min="12549" max="12549" width="11.25" style="208" bestFit="1" customWidth="1"/>
    <col min="12550" max="12551" width="9" style="208"/>
    <col min="12552" max="12561" width="9" style="208" customWidth="1"/>
    <col min="12562" max="12562" width="9" style="208"/>
    <col min="12563" max="12563" width="9.5" style="208" bestFit="1" customWidth="1"/>
    <col min="12564" max="12564" width="9" style="208" customWidth="1"/>
    <col min="12565" max="12565" width="9" style="208"/>
    <col min="12566" max="12566" width="9" style="208" customWidth="1"/>
    <col min="12567" max="12572" width="9" style="208"/>
    <col min="12573" max="12573" width="26.5" style="208" customWidth="1"/>
    <col min="12574" max="12576" width="9" style="208"/>
    <col min="12577" max="12577" width="14.75" style="208" bestFit="1" customWidth="1"/>
    <col min="12578" max="12800" width="9" style="208"/>
    <col min="12801" max="12803" width="9" style="208" customWidth="1"/>
    <col min="12804" max="12804" width="10.5" style="208" customWidth="1"/>
    <col min="12805" max="12805" width="11.25" style="208" bestFit="1" customWidth="1"/>
    <col min="12806" max="12807" width="9" style="208"/>
    <col min="12808" max="12817" width="9" style="208" customWidth="1"/>
    <col min="12818" max="12818" width="9" style="208"/>
    <col min="12819" max="12819" width="9.5" style="208" bestFit="1" customWidth="1"/>
    <col min="12820" max="12820" width="9" style="208" customWidth="1"/>
    <col min="12821" max="12821" width="9" style="208"/>
    <col min="12822" max="12822" width="9" style="208" customWidth="1"/>
    <col min="12823" max="12828" width="9" style="208"/>
    <col min="12829" max="12829" width="26.5" style="208" customWidth="1"/>
    <col min="12830" max="12832" width="9" style="208"/>
    <col min="12833" max="12833" width="14.75" style="208" bestFit="1" customWidth="1"/>
    <col min="12834" max="13056" width="9" style="208"/>
    <col min="13057" max="13059" width="9" style="208" customWidth="1"/>
    <col min="13060" max="13060" width="10.5" style="208" customWidth="1"/>
    <col min="13061" max="13061" width="11.25" style="208" bestFit="1" customWidth="1"/>
    <col min="13062" max="13063" width="9" style="208"/>
    <col min="13064" max="13073" width="9" style="208" customWidth="1"/>
    <col min="13074" max="13074" width="9" style="208"/>
    <col min="13075" max="13075" width="9.5" style="208" bestFit="1" customWidth="1"/>
    <col min="13076" max="13076" width="9" style="208" customWidth="1"/>
    <col min="13077" max="13077" width="9" style="208"/>
    <col min="13078" max="13078" width="9" style="208" customWidth="1"/>
    <col min="13079" max="13084" width="9" style="208"/>
    <col min="13085" max="13085" width="26.5" style="208" customWidth="1"/>
    <col min="13086" max="13088" width="9" style="208"/>
    <col min="13089" max="13089" width="14.75" style="208" bestFit="1" customWidth="1"/>
    <col min="13090" max="13312" width="9" style="208"/>
    <col min="13313" max="13315" width="9" style="208" customWidth="1"/>
    <col min="13316" max="13316" width="10.5" style="208" customWidth="1"/>
    <col min="13317" max="13317" width="11.25" style="208" bestFit="1" customWidth="1"/>
    <col min="13318" max="13319" width="9" style="208"/>
    <col min="13320" max="13329" width="9" style="208" customWidth="1"/>
    <col min="13330" max="13330" width="9" style="208"/>
    <col min="13331" max="13331" width="9.5" style="208" bestFit="1" customWidth="1"/>
    <col min="13332" max="13332" width="9" style="208" customWidth="1"/>
    <col min="13333" max="13333" width="9" style="208"/>
    <col min="13334" max="13334" width="9" style="208" customWidth="1"/>
    <col min="13335" max="13340" width="9" style="208"/>
    <col min="13341" max="13341" width="26.5" style="208" customWidth="1"/>
    <col min="13342" max="13344" width="9" style="208"/>
    <col min="13345" max="13345" width="14.75" style="208" bestFit="1" customWidth="1"/>
    <col min="13346" max="13568" width="9" style="208"/>
    <col min="13569" max="13571" width="9" style="208" customWidth="1"/>
    <col min="13572" max="13572" width="10.5" style="208" customWidth="1"/>
    <col min="13573" max="13573" width="11.25" style="208" bestFit="1" customWidth="1"/>
    <col min="13574" max="13575" width="9" style="208"/>
    <col min="13576" max="13585" width="9" style="208" customWidth="1"/>
    <col min="13586" max="13586" width="9" style="208"/>
    <col min="13587" max="13587" width="9.5" style="208" bestFit="1" customWidth="1"/>
    <col min="13588" max="13588" width="9" style="208" customWidth="1"/>
    <col min="13589" max="13589" width="9" style="208"/>
    <col min="13590" max="13590" width="9" style="208" customWidth="1"/>
    <col min="13591" max="13596" width="9" style="208"/>
    <col min="13597" max="13597" width="26.5" style="208" customWidth="1"/>
    <col min="13598" max="13600" width="9" style="208"/>
    <col min="13601" max="13601" width="14.75" style="208" bestFit="1" customWidth="1"/>
    <col min="13602" max="13824" width="9" style="208"/>
    <col min="13825" max="13827" width="9" style="208" customWidth="1"/>
    <col min="13828" max="13828" width="10.5" style="208" customWidth="1"/>
    <col min="13829" max="13829" width="11.25" style="208" bestFit="1" customWidth="1"/>
    <col min="13830" max="13831" width="9" style="208"/>
    <col min="13832" max="13841" width="9" style="208" customWidth="1"/>
    <col min="13842" max="13842" width="9" style="208"/>
    <col min="13843" max="13843" width="9.5" style="208" bestFit="1" customWidth="1"/>
    <col min="13844" max="13844" width="9" style="208" customWidth="1"/>
    <col min="13845" max="13845" width="9" style="208"/>
    <col min="13846" max="13846" width="9" style="208" customWidth="1"/>
    <col min="13847" max="13852" width="9" style="208"/>
    <col min="13853" max="13853" width="26.5" style="208" customWidth="1"/>
    <col min="13854" max="13856" width="9" style="208"/>
    <col min="13857" max="13857" width="14.75" style="208" bestFit="1" customWidth="1"/>
    <col min="13858" max="14080" width="9" style="208"/>
    <col min="14081" max="14083" width="9" style="208" customWidth="1"/>
    <col min="14084" max="14084" width="10.5" style="208" customWidth="1"/>
    <col min="14085" max="14085" width="11.25" style="208" bestFit="1" customWidth="1"/>
    <col min="14086" max="14087" width="9" style="208"/>
    <col min="14088" max="14097" width="9" style="208" customWidth="1"/>
    <col min="14098" max="14098" width="9" style="208"/>
    <col min="14099" max="14099" width="9.5" style="208" bestFit="1" customWidth="1"/>
    <col min="14100" max="14100" width="9" style="208" customWidth="1"/>
    <col min="14101" max="14101" width="9" style="208"/>
    <col min="14102" max="14102" width="9" style="208" customWidth="1"/>
    <col min="14103" max="14108" width="9" style="208"/>
    <col min="14109" max="14109" width="26.5" style="208" customWidth="1"/>
    <col min="14110" max="14112" width="9" style="208"/>
    <col min="14113" max="14113" width="14.75" style="208" bestFit="1" customWidth="1"/>
    <col min="14114" max="14336" width="9" style="208"/>
    <col min="14337" max="14339" width="9" style="208" customWidth="1"/>
    <col min="14340" max="14340" width="10.5" style="208" customWidth="1"/>
    <col min="14341" max="14341" width="11.25" style="208" bestFit="1" customWidth="1"/>
    <col min="14342" max="14343" width="9" style="208"/>
    <col min="14344" max="14353" width="9" style="208" customWidth="1"/>
    <col min="14354" max="14354" width="9" style="208"/>
    <col min="14355" max="14355" width="9.5" style="208" bestFit="1" customWidth="1"/>
    <col min="14356" max="14356" width="9" style="208" customWidth="1"/>
    <col min="14357" max="14357" width="9" style="208"/>
    <col min="14358" max="14358" width="9" style="208" customWidth="1"/>
    <col min="14359" max="14364" width="9" style="208"/>
    <col min="14365" max="14365" width="26.5" style="208" customWidth="1"/>
    <col min="14366" max="14368" width="9" style="208"/>
    <col min="14369" max="14369" width="14.75" style="208" bestFit="1" customWidth="1"/>
    <col min="14370" max="14592" width="9" style="208"/>
    <col min="14593" max="14595" width="9" style="208" customWidth="1"/>
    <col min="14596" max="14596" width="10.5" style="208" customWidth="1"/>
    <col min="14597" max="14597" width="11.25" style="208" bestFit="1" customWidth="1"/>
    <col min="14598" max="14599" width="9" style="208"/>
    <col min="14600" max="14609" width="9" style="208" customWidth="1"/>
    <col min="14610" max="14610" width="9" style="208"/>
    <col min="14611" max="14611" width="9.5" style="208" bestFit="1" customWidth="1"/>
    <col min="14612" max="14612" width="9" style="208" customWidth="1"/>
    <col min="14613" max="14613" width="9" style="208"/>
    <col min="14614" max="14614" width="9" style="208" customWidth="1"/>
    <col min="14615" max="14620" width="9" style="208"/>
    <col min="14621" max="14621" width="26.5" style="208" customWidth="1"/>
    <col min="14622" max="14624" width="9" style="208"/>
    <col min="14625" max="14625" width="14.75" style="208" bestFit="1" customWidth="1"/>
    <col min="14626" max="14848" width="9" style="208"/>
    <col min="14849" max="14851" width="9" style="208" customWidth="1"/>
    <col min="14852" max="14852" width="10.5" style="208" customWidth="1"/>
    <col min="14853" max="14853" width="11.25" style="208" bestFit="1" customWidth="1"/>
    <col min="14854" max="14855" width="9" style="208"/>
    <col min="14856" max="14865" width="9" style="208" customWidth="1"/>
    <col min="14866" max="14866" width="9" style="208"/>
    <col min="14867" max="14867" width="9.5" style="208" bestFit="1" customWidth="1"/>
    <col min="14868" max="14868" width="9" style="208" customWidth="1"/>
    <col min="14869" max="14869" width="9" style="208"/>
    <col min="14870" max="14870" width="9" style="208" customWidth="1"/>
    <col min="14871" max="14876" width="9" style="208"/>
    <col min="14877" max="14877" width="26.5" style="208" customWidth="1"/>
    <col min="14878" max="14880" width="9" style="208"/>
    <col min="14881" max="14881" width="14.75" style="208" bestFit="1" customWidth="1"/>
    <col min="14882" max="15104" width="9" style="208"/>
    <col min="15105" max="15107" width="9" style="208" customWidth="1"/>
    <col min="15108" max="15108" width="10.5" style="208" customWidth="1"/>
    <col min="15109" max="15109" width="11.25" style="208" bestFit="1" customWidth="1"/>
    <col min="15110" max="15111" width="9" style="208"/>
    <col min="15112" max="15121" width="9" style="208" customWidth="1"/>
    <col min="15122" max="15122" width="9" style="208"/>
    <col min="15123" max="15123" width="9.5" style="208" bestFit="1" customWidth="1"/>
    <col min="15124" max="15124" width="9" style="208" customWidth="1"/>
    <col min="15125" max="15125" width="9" style="208"/>
    <col min="15126" max="15126" width="9" style="208" customWidth="1"/>
    <col min="15127" max="15132" width="9" style="208"/>
    <col min="15133" max="15133" width="26.5" style="208" customWidth="1"/>
    <col min="15134" max="15136" width="9" style="208"/>
    <col min="15137" max="15137" width="14.75" style="208" bestFit="1" customWidth="1"/>
    <col min="15138" max="15360" width="9" style="208"/>
    <col min="15361" max="15363" width="9" style="208" customWidth="1"/>
    <col min="15364" max="15364" width="10.5" style="208" customWidth="1"/>
    <col min="15365" max="15365" width="11.25" style="208" bestFit="1" customWidth="1"/>
    <col min="15366" max="15367" width="9" style="208"/>
    <col min="15368" max="15377" width="9" style="208" customWidth="1"/>
    <col min="15378" max="15378" width="9" style="208"/>
    <col min="15379" max="15379" width="9.5" style="208" bestFit="1" customWidth="1"/>
    <col min="15380" max="15380" width="9" style="208" customWidth="1"/>
    <col min="15381" max="15381" width="9" style="208"/>
    <col min="15382" max="15382" width="9" style="208" customWidth="1"/>
    <col min="15383" max="15388" width="9" style="208"/>
    <col min="15389" max="15389" width="26.5" style="208" customWidth="1"/>
    <col min="15390" max="15392" width="9" style="208"/>
    <col min="15393" max="15393" width="14.75" style="208" bestFit="1" customWidth="1"/>
    <col min="15394" max="15616" width="9" style="208"/>
    <col min="15617" max="15619" width="9" style="208" customWidth="1"/>
    <col min="15620" max="15620" width="10.5" style="208" customWidth="1"/>
    <col min="15621" max="15621" width="11.25" style="208" bestFit="1" customWidth="1"/>
    <col min="15622" max="15623" width="9" style="208"/>
    <col min="15624" max="15633" width="9" style="208" customWidth="1"/>
    <col min="15634" max="15634" width="9" style="208"/>
    <col min="15635" max="15635" width="9.5" style="208" bestFit="1" customWidth="1"/>
    <col min="15636" max="15636" width="9" style="208" customWidth="1"/>
    <col min="15637" max="15637" width="9" style="208"/>
    <col min="15638" max="15638" width="9" style="208" customWidth="1"/>
    <col min="15639" max="15644" width="9" style="208"/>
    <col min="15645" max="15645" width="26.5" style="208" customWidth="1"/>
    <col min="15646" max="15648" width="9" style="208"/>
    <col min="15649" max="15649" width="14.75" style="208" bestFit="1" customWidth="1"/>
    <col min="15650" max="15872" width="9" style="208"/>
    <col min="15873" max="15875" width="9" style="208" customWidth="1"/>
    <col min="15876" max="15876" width="10.5" style="208" customWidth="1"/>
    <col min="15877" max="15877" width="11.25" style="208" bestFit="1" customWidth="1"/>
    <col min="15878" max="15879" width="9" style="208"/>
    <col min="15880" max="15889" width="9" style="208" customWidth="1"/>
    <col min="15890" max="15890" width="9" style="208"/>
    <col min="15891" max="15891" width="9.5" style="208" bestFit="1" customWidth="1"/>
    <col min="15892" max="15892" width="9" style="208" customWidth="1"/>
    <col min="15893" max="15893" width="9" style="208"/>
    <col min="15894" max="15894" width="9" style="208" customWidth="1"/>
    <col min="15895" max="15900" width="9" style="208"/>
    <col min="15901" max="15901" width="26.5" style="208" customWidth="1"/>
    <col min="15902" max="15904" width="9" style="208"/>
    <col min="15905" max="15905" width="14.75" style="208" bestFit="1" customWidth="1"/>
    <col min="15906" max="16128" width="9" style="208"/>
    <col min="16129" max="16131" width="9" style="208" customWidth="1"/>
    <col min="16132" max="16132" width="10.5" style="208" customWidth="1"/>
    <col min="16133" max="16133" width="11.25" style="208" bestFit="1" customWidth="1"/>
    <col min="16134" max="16135" width="9" style="208"/>
    <col min="16136" max="16145" width="9" style="208" customWidth="1"/>
    <col min="16146" max="16146" width="9" style="208"/>
    <col min="16147" max="16147" width="9.5" style="208" bestFit="1" customWidth="1"/>
    <col min="16148" max="16148" width="9" style="208" customWidth="1"/>
    <col min="16149" max="16149" width="9" style="208"/>
    <col min="16150" max="16150" width="9" style="208" customWidth="1"/>
    <col min="16151" max="16156" width="9" style="208"/>
    <col min="16157" max="16157" width="26.5" style="208" customWidth="1"/>
    <col min="16158" max="16160" width="9" style="208"/>
    <col min="16161" max="16161" width="14.75" style="208" bestFit="1" customWidth="1"/>
    <col min="16162" max="16384" width="9" style="208"/>
  </cols>
  <sheetData>
    <row r="1" spans="1:53" ht="44.25" customHeight="1" x14ac:dyDescent="0.15">
      <c r="A1" s="133" t="s">
        <v>386</v>
      </c>
      <c r="B1" s="202" t="s">
        <v>1</v>
      </c>
      <c r="C1" s="202" t="s">
        <v>2</v>
      </c>
      <c r="D1" s="203" t="s">
        <v>3</v>
      </c>
      <c r="E1" s="203" t="s">
        <v>225</v>
      </c>
      <c r="F1" s="203" t="s">
        <v>5</v>
      </c>
      <c r="G1" s="203" t="s">
        <v>6</v>
      </c>
      <c r="H1" s="203" t="s">
        <v>387</v>
      </c>
      <c r="I1" s="203" t="s">
        <v>8</v>
      </c>
      <c r="J1" s="203" t="s">
        <v>9</v>
      </c>
      <c r="K1" s="203" t="s">
        <v>10</v>
      </c>
      <c r="L1" s="203" t="s">
        <v>303</v>
      </c>
      <c r="M1" s="203" t="s">
        <v>12</v>
      </c>
      <c r="N1" s="203" t="s">
        <v>13</v>
      </c>
      <c r="O1" s="203" t="s">
        <v>343</v>
      </c>
      <c r="P1" s="203" t="s">
        <v>15</v>
      </c>
      <c r="Q1" s="204" t="s">
        <v>16</v>
      </c>
      <c r="R1" s="203" t="s">
        <v>245</v>
      </c>
      <c r="S1" s="203" t="s">
        <v>344</v>
      </c>
      <c r="T1" s="204" t="s">
        <v>19</v>
      </c>
      <c r="U1" s="205" t="s">
        <v>108</v>
      </c>
      <c r="V1" s="206" t="s">
        <v>20</v>
      </c>
      <c r="W1" s="203" t="s">
        <v>21</v>
      </c>
      <c r="X1" s="203" t="s">
        <v>22</v>
      </c>
      <c r="Y1" s="203" t="s">
        <v>23</v>
      </c>
      <c r="Z1" s="203" t="s">
        <v>24</v>
      </c>
      <c r="AA1" s="134" t="s">
        <v>25</v>
      </c>
      <c r="AB1" s="135" t="s">
        <v>26</v>
      </c>
      <c r="AC1" s="136"/>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30</v>
      </c>
      <c r="AY1" s="214" t="s">
        <v>31</v>
      </c>
      <c r="AZ1" s="214" t="s">
        <v>32</v>
      </c>
      <c r="BA1" s="215" t="s">
        <v>325</v>
      </c>
    </row>
    <row r="2" spans="1:53" s="143" customFormat="1" x14ac:dyDescent="0.15">
      <c r="A2" s="137" t="s">
        <v>61</v>
      </c>
      <c r="B2" s="137" t="s">
        <v>345</v>
      </c>
      <c r="C2" s="137">
        <v>2018</v>
      </c>
      <c r="D2" s="138" t="s">
        <v>388</v>
      </c>
      <c r="E2" s="137" t="s">
        <v>227</v>
      </c>
      <c r="F2" s="137" t="s">
        <v>226</v>
      </c>
      <c r="G2" s="137" t="s">
        <v>42</v>
      </c>
      <c r="H2" s="247" t="s">
        <v>155</v>
      </c>
      <c r="I2" s="247" t="s">
        <v>153</v>
      </c>
      <c r="J2" s="137" t="s">
        <v>38</v>
      </c>
      <c r="K2" s="247" t="s">
        <v>154</v>
      </c>
      <c r="L2" s="247">
        <v>1</v>
      </c>
      <c r="M2" s="247"/>
      <c r="N2" s="247">
        <v>1</v>
      </c>
      <c r="O2" s="247">
        <v>0.5</v>
      </c>
      <c r="P2" s="247">
        <v>0.5</v>
      </c>
      <c r="Q2" s="139">
        <f t="shared" ref="Q2:Q65" si="0">IF(OR(O2="",P2=""),"",AVERAGE(O2,P2))</f>
        <v>0.5</v>
      </c>
      <c r="R2" s="247">
        <v>18.100000000000001</v>
      </c>
      <c r="S2" s="247">
        <v>92</v>
      </c>
      <c r="T2" s="140">
        <f t="shared" ref="T2:T65" si="1">IF(H2="","",IF(OR(H2="GREEN",H2="GK"),IF(S2&gt;=$AX$2,VLOOKUP(S2,$AX$2:$AY$15,2,1),""),IF(S2&gt;=$AZ$2,VLOOKUP(S2,$AZ$2:$BA$15,2,1),"")))</f>
        <v>36</v>
      </c>
      <c r="U2" s="247">
        <v>72</v>
      </c>
      <c r="V2" s="141">
        <f t="shared" ref="V2:V65" si="2">IF(OR(N2="",U2="",T2=""),"",U2/N2*T2)</f>
        <v>2592</v>
      </c>
      <c r="W2" s="247">
        <v>4</v>
      </c>
      <c r="X2" s="137" t="s">
        <v>39</v>
      </c>
      <c r="Y2" s="247" t="s">
        <v>50</v>
      </c>
      <c r="Z2" s="247" t="s">
        <v>84</v>
      </c>
      <c r="AA2" s="247" t="s">
        <v>90</v>
      </c>
      <c r="AB2" s="137" t="s">
        <v>389</v>
      </c>
      <c r="AC2" s="142"/>
      <c r="AE2" s="218" t="s">
        <v>35</v>
      </c>
      <c r="AG2" s="49" t="s">
        <v>227</v>
      </c>
      <c r="AH2" s="49" t="s">
        <v>226</v>
      </c>
      <c r="AJ2" s="144" t="s">
        <v>36</v>
      </c>
      <c r="AL2" s="219" t="s">
        <v>127</v>
      </c>
      <c r="AN2" s="144" t="s">
        <v>37</v>
      </c>
      <c r="AP2" s="219" t="s">
        <v>38</v>
      </c>
      <c r="AR2" s="219" t="s">
        <v>120</v>
      </c>
      <c r="AT2" s="144" t="s">
        <v>39</v>
      </c>
      <c r="AV2" s="219" t="s">
        <v>40</v>
      </c>
      <c r="AX2" s="145">
        <v>1</v>
      </c>
      <c r="AY2" s="146">
        <v>50</v>
      </c>
      <c r="AZ2" s="146">
        <v>1</v>
      </c>
      <c r="BA2" s="147">
        <v>50</v>
      </c>
    </row>
    <row r="3" spans="1:53" x14ac:dyDescent="0.15">
      <c r="A3" s="137" t="s">
        <v>61</v>
      </c>
      <c r="B3" s="137" t="s">
        <v>345</v>
      </c>
      <c r="C3" s="137">
        <v>2018</v>
      </c>
      <c r="D3" s="138" t="s">
        <v>388</v>
      </c>
      <c r="E3" s="137" t="s">
        <v>227</v>
      </c>
      <c r="F3" s="137" t="s">
        <v>226</v>
      </c>
      <c r="G3" s="137" t="s">
        <v>42</v>
      </c>
      <c r="H3" s="247" t="s">
        <v>155</v>
      </c>
      <c r="I3" s="247" t="s">
        <v>153</v>
      </c>
      <c r="J3" s="137" t="s">
        <v>38</v>
      </c>
      <c r="K3" s="247" t="s">
        <v>154</v>
      </c>
      <c r="L3" s="247">
        <v>2</v>
      </c>
      <c r="M3" s="247"/>
      <c r="N3" s="247">
        <v>1</v>
      </c>
      <c r="O3" s="247">
        <v>0.5</v>
      </c>
      <c r="P3" s="247">
        <v>0.6</v>
      </c>
      <c r="Q3" s="139">
        <f t="shared" si="0"/>
        <v>0.55000000000000004</v>
      </c>
      <c r="R3" s="247">
        <v>18</v>
      </c>
      <c r="S3" s="247">
        <v>90</v>
      </c>
      <c r="T3" s="140">
        <f t="shared" si="1"/>
        <v>36</v>
      </c>
      <c r="U3" s="247">
        <v>72</v>
      </c>
      <c r="V3" s="141">
        <f t="shared" si="2"/>
        <v>2592</v>
      </c>
      <c r="W3" s="247">
        <v>4</v>
      </c>
      <c r="X3" s="137" t="s">
        <v>39</v>
      </c>
      <c r="Y3" s="247" t="s">
        <v>50</v>
      </c>
      <c r="Z3" s="247" t="s">
        <v>84</v>
      </c>
      <c r="AA3" s="247" t="s">
        <v>90</v>
      </c>
      <c r="AB3" s="137" t="s">
        <v>389</v>
      </c>
      <c r="AC3" s="142"/>
      <c r="AE3" s="223" t="s">
        <v>41</v>
      </c>
      <c r="AG3" s="49" t="s">
        <v>228</v>
      </c>
      <c r="AH3" s="49" t="s">
        <v>229</v>
      </c>
      <c r="AJ3" s="224" t="s">
        <v>42</v>
      </c>
      <c r="AL3" s="224" t="s">
        <v>128</v>
      </c>
      <c r="AN3" s="224" t="s">
        <v>43</v>
      </c>
      <c r="AP3" s="224" t="s">
        <v>44</v>
      </c>
      <c r="AR3" s="238" t="s">
        <v>45</v>
      </c>
      <c r="AT3" s="224" t="s">
        <v>46</v>
      </c>
      <c r="AV3" s="238" t="s">
        <v>47</v>
      </c>
      <c r="AX3" s="225">
        <v>72</v>
      </c>
      <c r="AY3" s="226">
        <v>46</v>
      </c>
      <c r="AZ3" s="226">
        <v>71</v>
      </c>
      <c r="BA3" s="227">
        <v>42</v>
      </c>
    </row>
    <row r="4" spans="1:53" x14ac:dyDescent="0.15">
      <c r="A4" s="137" t="s">
        <v>61</v>
      </c>
      <c r="B4" s="137" t="s">
        <v>345</v>
      </c>
      <c r="C4" s="137">
        <v>2018</v>
      </c>
      <c r="D4" s="138" t="s">
        <v>388</v>
      </c>
      <c r="E4" s="137" t="s">
        <v>227</v>
      </c>
      <c r="F4" s="137" t="s">
        <v>226</v>
      </c>
      <c r="G4" s="137" t="s">
        <v>42</v>
      </c>
      <c r="H4" s="247" t="s">
        <v>155</v>
      </c>
      <c r="I4" s="247" t="s">
        <v>153</v>
      </c>
      <c r="J4" s="137" t="s">
        <v>38</v>
      </c>
      <c r="K4" s="247" t="s">
        <v>154</v>
      </c>
      <c r="L4" s="247">
        <v>3</v>
      </c>
      <c r="M4" s="247"/>
      <c r="N4" s="247">
        <v>1</v>
      </c>
      <c r="O4" s="247">
        <v>0.55000000000000004</v>
      </c>
      <c r="P4" s="247">
        <v>0.5</v>
      </c>
      <c r="Q4" s="139">
        <f t="shared" si="0"/>
        <v>0.52500000000000002</v>
      </c>
      <c r="R4" s="247">
        <v>17.8</v>
      </c>
      <c r="S4" s="247">
        <v>99</v>
      </c>
      <c r="T4" s="140">
        <f t="shared" si="1"/>
        <v>33</v>
      </c>
      <c r="U4" s="247">
        <v>72</v>
      </c>
      <c r="V4" s="141">
        <f t="shared" si="2"/>
        <v>2376</v>
      </c>
      <c r="W4" s="247">
        <v>4</v>
      </c>
      <c r="X4" s="137" t="s">
        <v>39</v>
      </c>
      <c r="Y4" s="247" t="s">
        <v>50</v>
      </c>
      <c r="Z4" s="247" t="s">
        <v>84</v>
      </c>
      <c r="AA4" s="247" t="s">
        <v>90</v>
      </c>
      <c r="AB4" s="137" t="s">
        <v>389</v>
      </c>
      <c r="AC4" s="142"/>
      <c r="AE4" s="223" t="s">
        <v>34</v>
      </c>
      <c r="AG4" s="49" t="s">
        <v>230</v>
      </c>
      <c r="AH4" s="49" t="s">
        <v>231</v>
      </c>
      <c r="AJ4" s="228" t="s">
        <v>48</v>
      </c>
      <c r="AL4" s="228" t="s">
        <v>129</v>
      </c>
      <c r="AN4" s="229" t="s">
        <v>49</v>
      </c>
      <c r="AP4" s="224" t="s">
        <v>93</v>
      </c>
      <c r="AR4" s="238" t="s">
        <v>304</v>
      </c>
      <c r="AT4" s="229"/>
      <c r="AV4" s="238" t="s">
        <v>50</v>
      </c>
      <c r="AX4" s="225">
        <v>75</v>
      </c>
      <c r="AY4" s="226">
        <v>42</v>
      </c>
      <c r="AZ4" s="226">
        <v>76</v>
      </c>
      <c r="BA4" s="227">
        <v>39</v>
      </c>
    </row>
    <row r="5" spans="1:53" x14ac:dyDescent="0.15">
      <c r="A5" s="137" t="s">
        <v>61</v>
      </c>
      <c r="B5" s="137" t="s">
        <v>345</v>
      </c>
      <c r="C5" s="137">
        <v>2018</v>
      </c>
      <c r="D5" s="138" t="s">
        <v>388</v>
      </c>
      <c r="E5" s="137" t="s">
        <v>227</v>
      </c>
      <c r="F5" s="137" t="s">
        <v>226</v>
      </c>
      <c r="G5" s="137" t="s">
        <v>42</v>
      </c>
      <c r="H5" s="247" t="s">
        <v>157</v>
      </c>
      <c r="I5" s="247" t="s">
        <v>153</v>
      </c>
      <c r="J5" s="137" t="s">
        <v>38</v>
      </c>
      <c r="K5" s="247" t="s">
        <v>154</v>
      </c>
      <c r="L5" s="247">
        <v>1</v>
      </c>
      <c r="M5" s="247"/>
      <c r="N5" s="247">
        <v>1</v>
      </c>
      <c r="O5" s="247">
        <v>0.6</v>
      </c>
      <c r="P5" s="247">
        <v>0.55000000000000004</v>
      </c>
      <c r="Q5" s="139">
        <f t="shared" si="0"/>
        <v>0.57499999999999996</v>
      </c>
      <c r="R5" s="247">
        <v>17</v>
      </c>
      <c r="S5" s="247">
        <v>125</v>
      </c>
      <c r="T5" s="140">
        <f t="shared" si="1"/>
        <v>27</v>
      </c>
      <c r="U5" s="247">
        <v>166</v>
      </c>
      <c r="V5" s="141">
        <f t="shared" si="2"/>
        <v>4482</v>
      </c>
      <c r="W5" s="247">
        <v>4</v>
      </c>
      <c r="X5" s="137" t="s">
        <v>39</v>
      </c>
      <c r="Y5" s="247" t="s">
        <v>50</v>
      </c>
      <c r="Z5" s="247" t="s">
        <v>84</v>
      </c>
      <c r="AA5" s="247" t="s">
        <v>90</v>
      </c>
      <c r="AB5" s="137" t="s">
        <v>389</v>
      </c>
      <c r="AC5" s="142"/>
      <c r="AE5" s="223" t="s">
        <v>51</v>
      </c>
      <c r="AG5" s="49" t="s">
        <v>232</v>
      </c>
      <c r="AH5" s="49" t="s">
        <v>233</v>
      </c>
      <c r="AJ5" s="228"/>
      <c r="AL5" s="230" t="s">
        <v>234</v>
      </c>
      <c r="AN5" s="230" t="s">
        <v>52</v>
      </c>
      <c r="AP5" s="224" t="s">
        <v>119</v>
      </c>
      <c r="AR5" s="238" t="s">
        <v>54</v>
      </c>
      <c r="AT5" s="247"/>
      <c r="AV5" s="238" t="s">
        <v>55</v>
      </c>
      <c r="AX5" s="225">
        <v>84</v>
      </c>
      <c r="AY5" s="226">
        <v>39</v>
      </c>
      <c r="AZ5" s="226">
        <v>84</v>
      </c>
      <c r="BA5" s="227">
        <v>36</v>
      </c>
    </row>
    <row r="6" spans="1:53" x14ac:dyDescent="0.15">
      <c r="A6" s="137" t="s">
        <v>61</v>
      </c>
      <c r="B6" s="137" t="s">
        <v>345</v>
      </c>
      <c r="C6" s="137">
        <v>2018</v>
      </c>
      <c r="D6" s="138" t="s">
        <v>388</v>
      </c>
      <c r="E6" s="137" t="s">
        <v>227</v>
      </c>
      <c r="F6" s="137" t="s">
        <v>226</v>
      </c>
      <c r="G6" s="137" t="s">
        <v>42</v>
      </c>
      <c r="H6" s="247" t="s">
        <v>157</v>
      </c>
      <c r="I6" s="247" t="s">
        <v>153</v>
      </c>
      <c r="J6" s="137" t="s">
        <v>38</v>
      </c>
      <c r="K6" s="247" t="s">
        <v>154</v>
      </c>
      <c r="L6" s="247">
        <v>2</v>
      </c>
      <c r="M6" s="247"/>
      <c r="N6" s="247">
        <v>1</v>
      </c>
      <c r="O6" s="247">
        <v>0.5</v>
      </c>
      <c r="P6" s="247">
        <v>0.5</v>
      </c>
      <c r="Q6" s="139">
        <f t="shared" si="0"/>
        <v>0.5</v>
      </c>
      <c r="R6" s="247">
        <v>16.8</v>
      </c>
      <c r="S6" s="247">
        <v>128</v>
      </c>
      <c r="T6" s="140">
        <f t="shared" si="1"/>
        <v>27</v>
      </c>
      <c r="U6" s="247">
        <v>166</v>
      </c>
      <c r="V6" s="141">
        <f t="shared" si="2"/>
        <v>4482</v>
      </c>
      <c r="W6" s="247">
        <v>4</v>
      </c>
      <c r="X6" s="137" t="s">
        <v>39</v>
      </c>
      <c r="Y6" s="247" t="s">
        <v>50</v>
      </c>
      <c r="Z6" s="247" t="s">
        <v>84</v>
      </c>
      <c r="AA6" s="247" t="s">
        <v>90</v>
      </c>
      <c r="AB6" s="137" t="s">
        <v>389</v>
      </c>
      <c r="AC6" s="142"/>
      <c r="AE6" s="223" t="s">
        <v>56</v>
      </c>
      <c r="AG6" s="49" t="s">
        <v>235</v>
      </c>
      <c r="AH6" s="49" t="s">
        <v>236</v>
      </c>
      <c r="AJ6" s="228"/>
      <c r="AL6" s="230" t="s">
        <v>305</v>
      </c>
      <c r="AN6" s="230" t="s">
        <v>57</v>
      </c>
      <c r="AP6" s="224" t="s">
        <v>53</v>
      </c>
      <c r="AR6" s="238" t="s">
        <v>59</v>
      </c>
      <c r="AT6" s="247"/>
      <c r="AV6" s="238" t="s">
        <v>60</v>
      </c>
      <c r="AX6" s="225">
        <v>97</v>
      </c>
      <c r="AY6" s="226">
        <v>36</v>
      </c>
      <c r="AZ6" s="226">
        <v>99</v>
      </c>
      <c r="BA6" s="227">
        <v>33</v>
      </c>
    </row>
    <row r="7" spans="1:53" x14ac:dyDescent="0.15">
      <c r="A7" s="137" t="s">
        <v>61</v>
      </c>
      <c r="B7" s="137" t="s">
        <v>345</v>
      </c>
      <c r="C7" s="137">
        <v>2018</v>
      </c>
      <c r="D7" s="138" t="s">
        <v>388</v>
      </c>
      <c r="E7" s="137" t="s">
        <v>227</v>
      </c>
      <c r="F7" s="137" t="s">
        <v>226</v>
      </c>
      <c r="G7" s="137" t="s">
        <v>42</v>
      </c>
      <c r="H7" s="247" t="s">
        <v>157</v>
      </c>
      <c r="I7" s="247" t="s">
        <v>153</v>
      </c>
      <c r="J7" s="137" t="s">
        <v>38</v>
      </c>
      <c r="K7" s="247" t="s">
        <v>154</v>
      </c>
      <c r="L7" s="247">
        <v>3</v>
      </c>
      <c r="M7" s="247"/>
      <c r="N7" s="247">
        <v>1</v>
      </c>
      <c r="O7" s="247">
        <v>0.55000000000000004</v>
      </c>
      <c r="P7" s="247">
        <v>0.5</v>
      </c>
      <c r="Q7" s="139">
        <f t="shared" si="0"/>
        <v>0.52500000000000002</v>
      </c>
      <c r="R7" s="247">
        <v>17.100000000000001</v>
      </c>
      <c r="S7" s="247">
        <v>125</v>
      </c>
      <c r="T7" s="140">
        <f t="shared" si="1"/>
        <v>27</v>
      </c>
      <c r="U7" s="247">
        <v>166</v>
      </c>
      <c r="V7" s="141">
        <f t="shared" si="2"/>
        <v>4482</v>
      </c>
      <c r="W7" s="247">
        <v>4</v>
      </c>
      <c r="X7" s="137" t="s">
        <v>39</v>
      </c>
      <c r="Y7" s="247" t="s">
        <v>50</v>
      </c>
      <c r="Z7" s="247" t="s">
        <v>84</v>
      </c>
      <c r="AA7" s="247" t="s">
        <v>90</v>
      </c>
      <c r="AB7" s="137" t="s">
        <v>389</v>
      </c>
      <c r="AC7" s="142"/>
      <c r="AE7" s="223" t="s">
        <v>61</v>
      </c>
      <c r="AG7" s="49" t="s">
        <v>237</v>
      </c>
      <c r="AH7" s="49" t="s">
        <v>238</v>
      </c>
      <c r="AJ7" s="228"/>
      <c r="AL7" s="235" t="s">
        <v>306</v>
      </c>
      <c r="AN7" s="148"/>
      <c r="AP7" s="224" t="s">
        <v>58</v>
      </c>
      <c r="AR7" s="231" t="s">
        <v>122</v>
      </c>
      <c r="AT7" s="247"/>
      <c r="AV7" s="238" t="s">
        <v>64</v>
      </c>
      <c r="AX7" s="225">
        <v>109</v>
      </c>
      <c r="AY7" s="226">
        <v>33</v>
      </c>
      <c r="AZ7" s="226">
        <v>113</v>
      </c>
      <c r="BA7" s="227">
        <v>30</v>
      </c>
    </row>
    <row r="8" spans="1:53" x14ac:dyDescent="0.15">
      <c r="A8" s="137" t="s">
        <v>61</v>
      </c>
      <c r="B8" s="137" t="s">
        <v>356</v>
      </c>
      <c r="C8" s="137">
        <v>2018</v>
      </c>
      <c r="D8" s="138" t="s">
        <v>390</v>
      </c>
      <c r="E8" s="137" t="s">
        <v>227</v>
      </c>
      <c r="F8" s="137" t="s">
        <v>226</v>
      </c>
      <c r="G8" s="137" t="s">
        <v>42</v>
      </c>
      <c r="H8" s="247" t="s">
        <v>127</v>
      </c>
      <c r="I8" s="247" t="s">
        <v>153</v>
      </c>
      <c r="J8" s="137" t="s">
        <v>80</v>
      </c>
      <c r="K8" s="247" t="s">
        <v>87</v>
      </c>
      <c r="L8" s="247">
        <v>1</v>
      </c>
      <c r="M8" s="247"/>
      <c r="N8" s="247">
        <v>5</v>
      </c>
      <c r="O8" s="247">
        <v>0.5</v>
      </c>
      <c r="P8" s="247">
        <v>0.5</v>
      </c>
      <c r="Q8" s="139">
        <f t="shared" si="0"/>
        <v>0.5</v>
      </c>
      <c r="R8" s="247">
        <v>12.9</v>
      </c>
      <c r="S8" s="247">
        <v>106</v>
      </c>
      <c r="T8" s="140">
        <f t="shared" si="1"/>
        <v>33</v>
      </c>
      <c r="U8" s="247">
        <v>275</v>
      </c>
      <c r="V8" s="141">
        <f t="shared" si="2"/>
        <v>1815</v>
      </c>
      <c r="W8" s="247">
        <v>4</v>
      </c>
      <c r="X8" s="137" t="s">
        <v>39</v>
      </c>
      <c r="Y8" s="247" t="s">
        <v>50</v>
      </c>
      <c r="Z8" s="247" t="s">
        <v>84</v>
      </c>
      <c r="AA8" s="247" t="s">
        <v>90</v>
      </c>
      <c r="AB8" s="137" t="s">
        <v>391</v>
      </c>
      <c r="AC8" s="142"/>
      <c r="AE8" s="223" t="s">
        <v>59</v>
      </c>
      <c r="AG8" s="49" t="s">
        <v>239</v>
      </c>
      <c r="AH8" s="49" t="s">
        <v>240</v>
      </c>
      <c r="AJ8" s="229"/>
      <c r="AL8" s="142" t="s">
        <v>392</v>
      </c>
      <c r="AN8" s="230"/>
      <c r="AP8" s="224" t="s">
        <v>62</v>
      </c>
      <c r="AR8" s="238" t="s">
        <v>81</v>
      </c>
      <c r="AT8" s="247"/>
      <c r="AV8" s="238" t="s">
        <v>97</v>
      </c>
      <c r="AX8" s="225">
        <v>119</v>
      </c>
      <c r="AY8" s="226">
        <v>30</v>
      </c>
      <c r="AZ8" s="226">
        <v>121</v>
      </c>
      <c r="BA8" s="227">
        <v>27</v>
      </c>
    </row>
    <row r="9" spans="1:53" x14ac:dyDescent="0.15">
      <c r="A9" s="137" t="s">
        <v>61</v>
      </c>
      <c r="B9" s="137" t="s">
        <v>366</v>
      </c>
      <c r="C9" s="137">
        <v>2018</v>
      </c>
      <c r="D9" s="138" t="s">
        <v>393</v>
      </c>
      <c r="E9" s="137" t="s">
        <v>227</v>
      </c>
      <c r="F9" s="137" t="s">
        <v>226</v>
      </c>
      <c r="G9" s="137" t="s">
        <v>42</v>
      </c>
      <c r="H9" s="247" t="s">
        <v>127</v>
      </c>
      <c r="I9" s="247" t="s">
        <v>153</v>
      </c>
      <c r="J9" s="137" t="s">
        <v>80</v>
      </c>
      <c r="K9" s="247" t="s">
        <v>87</v>
      </c>
      <c r="L9" s="247">
        <v>2</v>
      </c>
      <c r="M9" s="247"/>
      <c r="N9" s="247">
        <v>5</v>
      </c>
      <c r="O9" s="247">
        <v>0.6</v>
      </c>
      <c r="P9" s="247">
        <v>0.55000000000000004</v>
      </c>
      <c r="Q9" s="139">
        <f t="shared" si="0"/>
        <v>0.57499999999999996</v>
      </c>
      <c r="R9" s="247">
        <v>13.4</v>
      </c>
      <c r="S9" s="247">
        <v>80</v>
      </c>
      <c r="T9" s="140">
        <f t="shared" si="1"/>
        <v>39</v>
      </c>
      <c r="U9" s="247">
        <v>275</v>
      </c>
      <c r="V9" s="141">
        <f t="shared" si="2"/>
        <v>2145</v>
      </c>
      <c r="W9" s="247">
        <v>4</v>
      </c>
      <c r="X9" s="137" t="s">
        <v>39</v>
      </c>
      <c r="Y9" s="247" t="s">
        <v>50</v>
      </c>
      <c r="Z9" s="247" t="s">
        <v>84</v>
      </c>
      <c r="AA9" s="247" t="s">
        <v>90</v>
      </c>
      <c r="AB9" s="137" t="s">
        <v>391</v>
      </c>
      <c r="AC9" s="142"/>
      <c r="AE9" s="223" t="s">
        <v>98</v>
      </c>
      <c r="AG9" s="49" t="s">
        <v>133</v>
      </c>
      <c r="AH9" s="49" t="s">
        <v>241</v>
      </c>
      <c r="AJ9" s="247"/>
      <c r="AL9" s="230"/>
      <c r="AN9" s="230"/>
      <c r="AP9" s="224" t="s">
        <v>95</v>
      </c>
      <c r="AR9" s="231" t="s">
        <v>89</v>
      </c>
      <c r="AT9" s="247"/>
      <c r="AV9" s="238" t="s">
        <v>102</v>
      </c>
      <c r="AX9" s="225">
        <v>128</v>
      </c>
      <c r="AY9" s="226">
        <v>27</v>
      </c>
      <c r="AZ9" s="226">
        <v>129</v>
      </c>
      <c r="BA9" s="227">
        <v>25</v>
      </c>
    </row>
    <row r="10" spans="1:53" x14ac:dyDescent="0.15">
      <c r="A10" s="137" t="s">
        <v>61</v>
      </c>
      <c r="B10" s="137" t="s">
        <v>359</v>
      </c>
      <c r="C10" s="137">
        <v>2018</v>
      </c>
      <c r="D10" s="138" t="s">
        <v>394</v>
      </c>
      <c r="E10" s="137" t="s">
        <v>227</v>
      </c>
      <c r="F10" s="137" t="s">
        <v>226</v>
      </c>
      <c r="G10" s="137" t="s">
        <v>42</v>
      </c>
      <c r="H10" s="247" t="s">
        <v>127</v>
      </c>
      <c r="I10" s="247" t="s">
        <v>153</v>
      </c>
      <c r="J10" s="137" t="s">
        <v>80</v>
      </c>
      <c r="K10" s="247" t="s">
        <v>87</v>
      </c>
      <c r="L10" s="247">
        <v>3</v>
      </c>
      <c r="M10" s="247"/>
      <c r="N10" s="247">
        <v>5</v>
      </c>
      <c r="O10" s="247">
        <v>0.5</v>
      </c>
      <c r="P10" s="247">
        <v>0.5</v>
      </c>
      <c r="Q10" s="139">
        <f t="shared" si="0"/>
        <v>0.5</v>
      </c>
      <c r="R10" s="247">
        <v>13.8</v>
      </c>
      <c r="S10" s="247">
        <v>85</v>
      </c>
      <c r="T10" s="140">
        <f t="shared" si="1"/>
        <v>36</v>
      </c>
      <c r="U10" s="247">
        <v>275</v>
      </c>
      <c r="V10" s="141">
        <f t="shared" si="2"/>
        <v>1980</v>
      </c>
      <c r="W10" s="247">
        <v>4</v>
      </c>
      <c r="X10" s="137" t="s">
        <v>39</v>
      </c>
      <c r="Y10" s="247" t="s">
        <v>50</v>
      </c>
      <c r="Z10" s="247" t="s">
        <v>84</v>
      </c>
      <c r="AA10" s="247" t="s">
        <v>90</v>
      </c>
      <c r="AB10" s="137" t="s">
        <v>391</v>
      </c>
      <c r="AC10" s="142"/>
      <c r="AE10" s="223" t="s">
        <v>103</v>
      </c>
      <c r="AG10" s="49" t="s">
        <v>242</v>
      </c>
      <c r="AH10" s="49" t="s">
        <v>243</v>
      </c>
      <c r="AJ10" s="247"/>
      <c r="AL10" s="228"/>
      <c r="AN10" s="247"/>
      <c r="AP10" s="224" t="s">
        <v>100</v>
      </c>
      <c r="AR10" s="231" t="s">
        <v>123</v>
      </c>
      <c r="AT10" s="247"/>
      <c r="AV10" s="238" t="s">
        <v>106</v>
      </c>
      <c r="AX10" s="225">
        <v>138</v>
      </c>
      <c r="AY10" s="226">
        <v>25</v>
      </c>
      <c r="AZ10" s="226">
        <v>138</v>
      </c>
      <c r="BA10" s="227">
        <v>22</v>
      </c>
    </row>
    <row r="11" spans="1:53" x14ac:dyDescent="0.15">
      <c r="A11" s="137" t="s">
        <v>61</v>
      </c>
      <c r="B11" s="137" t="s">
        <v>366</v>
      </c>
      <c r="C11" s="137">
        <v>2018</v>
      </c>
      <c r="D11" s="138" t="s">
        <v>393</v>
      </c>
      <c r="E11" s="137" t="s">
        <v>227</v>
      </c>
      <c r="F11" s="137" t="s">
        <v>226</v>
      </c>
      <c r="G11" s="137" t="s">
        <v>42</v>
      </c>
      <c r="H11" s="247" t="s">
        <v>129</v>
      </c>
      <c r="I11" s="247" t="s">
        <v>153</v>
      </c>
      <c r="J11" s="137" t="s">
        <v>222</v>
      </c>
      <c r="K11" s="247" t="s">
        <v>59</v>
      </c>
      <c r="L11" s="247">
        <v>1</v>
      </c>
      <c r="M11" s="247"/>
      <c r="N11" s="247">
        <v>5</v>
      </c>
      <c r="O11" s="247">
        <v>0.5</v>
      </c>
      <c r="P11" s="247">
        <v>0.5</v>
      </c>
      <c r="Q11" s="139">
        <f t="shared" si="0"/>
        <v>0.5</v>
      </c>
      <c r="R11" s="247">
        <v>17</v>
      </c>
      <c r="S11" s="247">
        <v>51</v>
      </c>
      <c r="T11" s="140">
        <f t="shared" si="1"/>
        <v>50</v>
      </c>
      <c r="U11" s="247">
        <v>359</v>
      </c>
      <c r="V11" s="141">
        <f t="shared" si="2"/>
        <v>3590</v>
      </c>
      <c r="W11" s="247">
        <v>4</v>
      </c>
      <c r="X11" s="137" t="s">
        <v>39</v>
      </c>
      <c r="Y11" s="247" t="s">
        <v>50</v>
      </c>
      <c r="Z11" s="247" t="s">
        <v>84</v>
      </c>
      <c r="AA11" s="247" t="s">
        <v>90</v>
      </c>
      <c r="AB11" s="137" t="s">
        <v>391</v>
      </c>
      <c r="AC11" s="142"/>
      <c r="AE11" s="223" t="s">
        <v>65</v>
      </c>
      <c r="AG11" s="49" t="s">
        <v>244</v>
      </c>
      <c r="AH11" s="49" t="s">
        <v>243</v>
      </c>
      <c r="AJ11" s="247"/>
      <c r="AL11" s="149"/>
      <c r="AN11" s="247"/>
      <c r="AP11" s="224" t="s">
        <v>104</v>
      </c>
      <c r="AR11" s="231" t="s">
        <v>87</v>
      </c>
      <c r="AV11" s="150" t="s">
        <v>395</v>
      </c>
      <c r="AX11" s="225">
        <v>151</v>
      </c>
      <c r="AY11" s="226">
        <v>22</v>
      </c>
      <c r="AZ11" s="226">
        <v>152</v>
      </c>
      <c r="BA11" s="227">
        <v>18</v>
      </c>
    </row>
    <row r="12" spans="1:53" x14ac:dyDescent="0.15">
      <c r="A12" s="137" t="s">
        <v>61</v>
      </c>
      <c r="B12" s="137" t="s">
        <v>366</v>
      </c>
      <c r="C12" s="137">
        <v>2018</v>
      </c>
      <c r="D12" s="138" t="s">
        <v>393</v>
      </c>
      <c r="E12" s="137" t="s">
        <v>227</v>
      </c>
      <c r="F12" s="137" t="s">
        <v>226</v>
      </c>
      <c r="G12" s="137" t="s">
        <v>42</v>
      </c>
      <c r="H12" s="247" t="s">
        <v>129</v>
      </c>
      <c r="I12" s="247" t="s">
        <v>153</v>
      </c>
      <c r="J12" s="137" t="s">
        <v>222</v>
      </c>
      <c r="K12" s="247" t="s">
        <v>59</v>
      </c>
      <c r="L12" s="247">
        <v>2</v>
      </c>
      <c r="M12" s="247"/>
      <c r="N12" s="247">
        <v>5</v>
      </c>
      <c r="O12" s="247">
        <v>0.5</v>
      </c>
      <c r="P12" s="247">
        <v>0.6</v>
      </c>
      <c r="Q12" s="139">
        <f t="shared" si="0"/>
        <v>0.55000000000000004</v>
      </c>
      <c r="R12" s="247">
        <v>17</v>
      </c>
      <c r="S12" s="247">
        <v>48</v>
      </c>
      <c r="T12" s="140">
        <f t="shared" si="1"/>
        <v>50</v>
      </c>
      <c r="U12" s="247">
        <v>359</v>
      </c>
      <c r="V12" s="141">
        <f t="shared" si="2"/>
        <v>3590</v>
      </c>
      <c r="W12" s="247">
        <v>4</v>
      </c>
      <c r="X12" s="137" t="s">
        <v>39</v>
      </c>
      <c r="Y12" s="247" t="s">
        <v>50</v>
      </c>
      <c r="Z12" s="247" t="s">
        <v>84</v>
      </c>
      <c r="AA12" s="247" t="s">
        <v>90</v>
      </c>
      <c r="AB12" s="137" t="s">
        <v>391</v>
      </c>
      <c r="AC12" s="142"/>
      <c r="AE12" s="223" t="s">
        <v>70</v>
      </c>
      <c r="AG12" s="224"/>
      <c r="AH12" s="223"/>
      <c r="AJ12" s="247"/>
      <c r="AL12" s="149"/>
      <c r="AN12" s="247"/>
      <c r="AP12" s="224" t="s">
        <v>67</v>
      </c>
      <c r="AR12" s="231" t="s">
        <v>124</v>
      </c>
      <c r="AV12" s="150" t="s">
        <v>396</v>
      </c>
      <c r="AX12" s="225">
        <v>180</v>
      </c>
      <c r="AY12" s="226">
        <v>18</v>
      </c>
      <c r="AZ12" s="226">
        <v>181</v>
      </c>
      <c r="BA12" s="227">
        <v>16</v>
      </c>
    </row>
    <row r="13" spans="1:53" x14ac:dyDescent="0.15">
      <c r="A13" s="137" t="s">
        <v>61</v>
      </c>
      <c r="B13" s="137" t="s">
        <v>370</v>
      </c>
      <c r="C13" s="137">
        <v>2018</v>
      </c>
      <c r="D13" s="138" t="s">
        <v>397</v>
      </c>
      <c r="E13" s="137" t="s">
        <v>227</v>
      </c>
      <c r="F13" s="137" t="s">
        <v>226</v>
      </c>
      <c r="G13" s="137" t="s">
        <v>42</v>
      </c>
      <c r="H13" s="247" t="s">
        <v>129</v>
      </c>
      <c r="I13" s="247" t="s">
        <v>153</v>
      </c>
      <c r="J13" s="137" t="s">
        <v>222</v>
      </c>
      <c r="K13" s="247" t="s">
        <v>59</v>
      </c>
      <c r="L13" s="247">
        <v>3</v>
      </c>
      <c r="M13" s="247"/>
      <c r="N13" s="247">
        <v>5</v>
      </c>
      <c r="O13" s="247">
        <v>0.55000000000000004</v>
      </c>
      <c r="P13" s="247">
        <v>0.6</v>
      </c>
      <c r="Q13" s="139">
        <f t="shared" si="0"/>
        <v>0.57499999999999996</v>
      </c>
      <c r="R13" s="247">
        <v>17.399999999999999</v>
      </c>
      <c r="S13" s="247">
        <v>54</v>
      </c>
      <c r="T13" s="140">
        <f t="shared" si="1"/>
        <v>50</v>
      </c>
      <c r="U13" s="247">
        <v>359</v>
      </c>
      <c r="V13" s="141">
        <f t="shared" si="2"/>
        <v>3590</v>
      </c>
      <c r="W13" s="247">
        <v>4</v>
      </c>
      <c r="X13" s="137" t="s">
        <v>39</v>
      </c>
      <c r="Y13" s="247" t="s">
        <v>50</v>
      </c>
      <c r="Z13" s="247" t="s">
        <v>84</v>
      </c>
      <c r="AA13" s="247" t="s">
        <v>90</v>
      </c>
      <c r="AB13" s="137" t="s">
        <v>398</v>
      </c>
      <c r="AC13" s="142"/>
      <c r="AE13" s="223" t="s">
        <v>73</v>
      </c>
      <c r="AG13" s="224"/>
      <c r="AH13" s="223"/>
      <c r="AJ13" s="247"/>
      <c r="AL13" s="151"/>
      <c r="AN13" s="247"/>
      <c r="AP13" s="224" t="s">
        <v>71</v>
      </c>
      <c r="AR13" s="231" t="s">
        <v>103</v>
      </c>
      <c r="AV13" s="150" t="s">
        <v>399</v>
      </c>
      <c r="AX13" s="225"/>
      <c r="AY13" s="226"/>
      <c r="AZ13" s="226"/>
      <c r="BA13" s="227"/>
    </row>
    <row r="14" spans="1:53" x14ac:dyDescent="0.15">
      <c r="A14" s="137" t="s">
        <v>61</v>
      </c>
      <c r="B14" s="137" t="s">
        <v>372</v>
      </c>
      <c r="C14" s="137">
        <v>2018</v>
      </c>
      <c r="D14" s="138" t="s">
        <v>400</v>
      </c>
      <c r="E14" s="137" t="s">
        <v>228</v>
      </c>
      <c r="F14" s="137" t="s">
        <v>229</v>
      </c>
      <c r="G14" s="137" t="s">
        <v>42</v>
      </c>
      <c r="H14" s="247" t="s">
        <v>155</v>
      </c>
      <c r="I14" s="247" t="s">
        <v>153</v>
      </c>
      <c r="J14" s="137" t="s">
        <v>38</v>
      </c>
      <c r="K14" s="247" t="s">
        <v>154</v>
      </c>
      <c r="L14" s="247">
        <v>1</v>
      </c>
      <c r="M14" s="247"/>
      <c r="N14" s="247">
        <v>4</v>
      </c>
      <c r="O14" s="247">
        <v>0.7</v>
      </c>
      <c r="P14" s="247">
        <v>0.65</v>
      </c>
      <c r="Q14" s="139">
        <f t="shared" si="0"/>
        <v>0.67500000000000004</v>
      </c>
      <c r="R14" s="247">
        <v>17.7</v>
      </c>
      <c r="S14" s="247">
        <v>91</v>
      </c>
      <c r="T14" s="140">
        <f t="shared" si="1"/>
        <v>36</v>
      </c>
      <c r="U14" s="247">
        <v>398</v>
      </c>
      <c r="V14" s="141">
        <f t="shared" si="2"/>
        <v>3582</v>
      </c>
      <c r="W14" s="247">
        <v>4</v>
      </c>
      <c r="X14" s="137" t="s">
        <v>46</v>
      </c>
      <c r="Y14" s="247" t="s">
        <v>84</v>
      </c>
      <c r="Z14" s="247" t="s">
        <v>90</v>
      </c>
      <c r="AA14" s="247" t="s">
        <v>69</v>
      </c>
      <c r="AB14" s="137" t="s">
        <v>401</v>
      </c>
      <c r="AC14" s="142"/>
      <c r="AE14" s="223" t="s">
        <v>76</v>
      </c>
      <c r="AG14" s="224"/>
      <c r="AH14" s="223"/>
      <c r="AL14" s="235"/>
      <c r="AP14" s="224" t="s">
        <v>74</v>
      </c>
      <c r="AR14" s="231" t="s">
        <v>125</v>
      </c>
      <c r="AV14" s="150" t="s">
        <v>402</v>
      </c>
      <c r="AX14" s="225"/>
      <c r="AY14" s="226"/>
      <c r="AZ14" s="226"/>
      <c r="BA14" s="227"/>
    </row>
    <row r="15" spans="1:53" x14ac:dyDescent="0.15">
      <c r="A15" s="137" t="s">
        <v>61</v>
      </c>
      <c r="B15" s="137" t="s">
        <v>372</v>
      </c>
      <c r="C15" s="137">
        <v>2018</v>
      </c>
      <c r="D15" s="138" t="s">
        <v>400</v>
      </c>
      <c r="E15" s="137" t="s">
        <v>228</v>
      </c>
      <c r="F15" s="137" t="s">
        <v>229</v>
      </c>
      <c r="G15" s="137" t="s">
        <v>42</v>
      </c>
      <c r="H15" s="247" t="s">
        <v>155</v>
      </c>
      <c r="I15" s="247" t="s">
        <v>153</v>
      </c>
      <c r="J15" s="137" t="s">
        <v>38</v>
      </c>
      <c r="K15" s="247" t="s">
        <v>154</v>
      </c>
      <c r="L15" s="247">
        <v>2</v>
      </c>
      <c r="M15" s="247"/>
      <c r="N15" s="247">
        <v>4</v>
      </c>
      <c r="O15" s="247">
        <v>0.6</v>
      </c>
      <c r="P15" s="247">
        <v>0.6</v>
      </c>
      <c r="Q15" s="139">
        <f t="shared" si="0"/>
        <v>0.6</v>
      </c>
      <c r="R15" s="142">
        <v>17.5</v>
      </c>
      <c r="S15" s="247">
        <v>94</v>
      </c>
      <c r="T15" s="140">
        <f t="shared" si="1"/>
        <v>36</v>
      </c>
      <c r="U15" s="247">
        <v>398</v>
      </c>
      <c r="V15" s="141">
        <f t="shared" si="2"/>
        <v>3582</v>
      </c>
      <c r="W15" s="247">
        <v>4</v>
      </c>
      <c r="X15" s="137" t="s">
        <v>46</v>
      </c>
      <c r="Y15" s="247" t="s">
        <v>84</v>
      </c>
      <c r="Z15" s="247" t="s">
        <v>90</v>
      </c>
      <c r="AA15" s="247" t="s">
        <v>69</v>
      </c>
      <c r="AB15" s="137" t="s">
        <v>401</v>
      </c>
      <c r="AC15" s="142"/>
      <c r="AE15" s="223" t="s">
        <v>79</v>
      </c>
      <c r="AG15" s="224"/>
      <c r="AH15" s="224"/>
      <c r="AL15" s="235"/>
      <c r="AP15" s="224" t="s">
        <v>77</v>
      </c>
      <c r="AR15" s="231" t="s">
        <v>94</v>
      </c>
      <c r="AV15" s="150" t="s">
        <v>403</v>
      </c>
      <c r="AX15" s="232"/>
      <c r="AY15" s="233"/>
      <c r="AZ15" s="233"/>
      <c r="BA15" s="234"/>
    </row>
    <row r="16" spans="1:53" x14ac:dyDescent="0.15">
      <c r="A16" s="137" t="s">
        <v>61</v>
      </c>
      <c r="B16" s="137" t="s">
        <v>374</v>
      </c>
      <c r="C16" s="137">
        <v>2018</v>
      </c>
      <c r="D16" s="138" t="s">
        <v>404</v>
      </c>
      <c r="E16" s="137" t="s">
        <v>228</v>
      </c>
      <c r="F16" s="137" t="s">
        <v>229</v>
      </c>
      <c r="G16" s="137" t="s">
        <v>42</v>
      </c>
      <c r="H16" s="247" t="s">
        <v>155</v>
      </c>
      <c r="I16" s="247" t="s">
        <v>153</v>
      </c>
      <c r="J16" s="137" t="s">
        <v>38</v>
      </c>
      <c r="K16" s="247" t="s">
        <v>154</v>
      </c>
      <c r="L16" s="247">
        <v>3</v>
      </c>
      <c r="M16" s="247"/>
      <c r="N16" s="247">
        <v>4</v>
      </c>
      <c r="O16" s="247">
        <v>0.5</v>
      </c>
      <c r="P16" s="247">
        <v>0.5</v>
      </c>
      <c r="Q16" s="139">
        <f t="shared" si="0"/>
        <v>0.5</v>
      </c>
      <c r="R16" s="247">
        <v>17.100000000000001</v>
      </c>
      <c r="S16" s="247">
        <v>102</v>
      </c>
      <c r="T16" s="140">
        <f t="shared" si="1"/>
        <v>33</v>
      </c>
      <c r="U16" s="247">
        <v>398</v>
      </c>
      <c r="V16" s="141">
        <f t="shared" si="2"/>
        <v>3283.5</v>
      </c>
      <c r="W16" s="247">
        <v>4</v>
      </c>
      <c r="X16" s="137" t="s">
        <v>46</v>
      </c>
      <c r="Y16" s="247" t="s">
        <v>84</v>
      </c>
      <c r="Z16" s="247" t="s">
        <v>90</v>
      </c>
      <c r="AA16" s="247" t="s">
        <v>69</v>
      </c>
      <c r="AB16" s="137" t="s">
        <v>405</v>
      </c>
      <c r="AC16" s="142"/>
      <c r="AE16" s="223" t="s">
        <v>82</v>
      </c>
      <c r="AG16" s="224"/>
      <c r="AH16" s="224"/>
      <c r="AP16" s="224" t="s">
        <v>80</v>
      </c>
      <c r="AR16" s="238" t="s">
        <v>63</v>
      </c>
      <c r="AV16" s="150" t="s">
        <v>406</v>
      </c>
    </row>
    <row r="17" spans="1:48" x14ac:dyDescent="0.15">
      <c r="A17" s="137" t="s">
        <v>61</v>
      </c>
      <c r="B17" s="137" t="s">
        <v>374</v>
      </c>
      <c r="C17" s="137">
        <v>2018</v>
      </c>
      <c r="D17" s="138" t="s">
        <v>404</v>
      </c>
      <c r="E17" s="137" t="s">
        <v>228</v>
      </c>
      <c r="F17" s="137" t="s">
        <v>229</v>
      </c>
      <c r="G17" s="137" t="s">
        <v>42</v>
      </c>
      <c r="H17" s="247" t="s">
        <v>157</v>
      </c>
      <c r="I17" s="247" t="s">
        <v>153</v>
      </c>
      <c r="J17" s="137" t="s">
        <v>38</v>
      </c>
      <c r="K17" s="247" t="s">
        <v>154</v>
      </c>
      <c r="L17" s="247">
        <v>1</v>
      </c>
      <c r="M17" s="247"/>
      <c r="N17" s="247">
        <v>4</v>
      </c>
      <c r="O17" s="247">
        <v>0.5</v>
      </c>
      <c r="P17" s="247">
        <v>0.5</v>
      </c>
      <c r="Q17" s="139">
        <f t="shared" si="0"/>
        <v>0.5</v>
      </c>
      <c r="R17" s="247">
        <v>16.7</v>
      </c>
      <c r="S17" s="247">
        <v>115</v>
      </c>
      <c r="T17" s="140">
        <f t="shared" si="1"/>
        <v>30</v>
      </c>
      <c r="U17" s="247">
        <v>498</v>
      </c>
      <c r="V17" s="141">
        <f t="shared" si="2"/>
        <v>3735</v>
      </c>
      <c r="W17" s="247">
        <v>4</v>
      </c>
      <c r="X17" s="137" t="s">
        <v>46</v>
      </c>
      <c r="Y17" s="247" t="s">
        <v>84</v>
      </c>
      <c r="Z17" s="247" t="s">
        <v>90</v>
      </c>
      <c r="AA17" s="247" t="s">
        <v>69</v>
      </c>
      <c r="AB17" s="137" t="s">
        <v>405</v>
      </c>
      <c r="AC17" s="142"/>
      <c r="AE17" s="223" t="s">
        <v>85</v>
      </c>
      <c r="AP17" s="239" t="s">
        <v>110</v>
      </c>
      <c r="AR17" s="238" t="s">
        <v>96</v>
      </c>
      <c r="AV17" s="150" t="s">
        <v>407</v>
      </c>
    </row>
    <row r="18" spans="1:48" x14ac:dyDescent="0.15">
      <c r="A18" s="137" t="s">
        <v>61</v>
      </c>
      <c r="B18" s="137" t="s">
        <v>374</v>
      </c>
      <c r="C18" s="137">
        <v>2018</v>
      </c>
      <c r="D18" s="138" t="s">
        <v>404</v>
      </c>
      <c r="E18" s="137" t="s">
        <v>228</v>
      </c>
      <c r="F18" s="137" t="s">
        <v>229</v>
      </c>
      <c r="G18" s="137" t="s">
        <v>42</v>
      </c>
      <c r="H18" s="247" t="s">
        <v>157</v>
      </c>
      <c r="I18" s="247" t="s">
        <v>153</v>
      </c>
      <c r="J18" s="137" t="s">
        <v>38</v>
      </c>
      <c r="K18" s="247" t="s">
        <v>154</v>
      </c>
      <c r="L18" s="247">
        <v>2</v>
      </c>
      <c r="M18" s="247"/>
      <c r="N18" s="247">
        <v>4</v>
      </c>
      <c r="O18" s="247">
        <v>0.6</v>
      </c>
      <c r="P18" s="247">
        <v>0.5</v>
      </c>
      <c r="Q18" s="139">
        <f t="shared" si="0"/>
        <v>0.55000000000000004</v>
      </c>
      <c r="R18" s="247">
        <v>17.100000000000001</v>
      </c>
      <c r="S18" s="247">
        <v>119</v>
      </c>
      <c r="T18" s="140">
        <f t="shared" si="1"/>
        <v>30</v>
      </c>
      <c r="U18" s="247">
        <v>498</v>
      </c>
      <c r="V18" s="141">
        <f t="shared" si="2"/>
        <v>3735</v>
      </c>
      <c r="W18" s="247">
        <v>4</v>
      </c>
      <c r="X18" s="137" t="s">
        <v>46</v>
      </c>
      <c r="Y18" s="247" t="s">
        <v>84</v>
      </c>
      <c r="Z18" s="247" t="s">
        <v>90</v>
      </c>
      <c r="AA18" s="247" t="s">
        <v>69</v>
      </c>
      <c r="AB18" s="137" t="s">
        <v>405</v>
      </c>
      <c r="AC18" s="142"/>
      <c r="AE18" s="223" t="s">
        <v>87</v>
      </c>
      <c r="AP18" s="239" t="s">
        <v>111</v>
      </c>
      <c r="AR18" s="238" t="s">
        <v>101</v>
      </c>
      <c r="AV18" s="150" t="s">
        <v>340</v>
      </c>
    </row>
    <row r="19" spans="1:48" x14ac:dyDescent="0.15">
      <c r="A19" s="137" t="s">
        <v>61</v>
      </c>
      <c r="B19" s="137" t="s">
        <v>366</v>
      </c>
      <c r="C19" s="137">
        <v>2018</v>
      </c>
      <c r="D19" s="138" t="s">
        <v>393</v>
      </c>
      <c r="E19" s="137" t="s">
        <v>228</v>
      </c>
      <c r="F19" s="137" t="s">
        <v>229</v>
      </c>
      <c r="G19" s="137" t="s">
        <v>42</v>
      </c>
      <c r="H19" s="247" t="s">
        <v>157</v>
      </c>
      <c r="I19" s="247" t="s">
        <v>153</v>
      </c>
      <c r="J19" s="137" t="s">
        <v>38</v>
      </c>
      <c r="K19" s="247" t="s">
        <v>154</v>
      </c>
      <c r="L19" s="247">
        <v>3</v>
      </c>
      <c r="M19" s="247"/>
      <c r="N19" s="247">
        <v>4</v>
      </c>
      <c r="O19" s="247">
        <v>0.5</v>
      </c>
      <c r="P19" s="247">
        <v>0.55000000000000004</v>
      </c>
      <c r="Q19" s="139">
        <f t="shared" si="0"/>
        <v>0.52500000000000002</v>
      </c>
      <c r="R19" s="247">
        <v>17</v>
      </c>
      <c r="S19" s="247">
        <v>130</v>
      </c>
      <c r="T19" s="140">
        <f t="shared" si="1"/>
        <v>25</v>
      </c>
      <c r="U19" s="247">
        <v>498</v>
      </c>
      <c r="V19" s="141">
        <f t="shared" si="2"/>
        <v>3112.5</v>
      </c>
      <c r="W19" s="247">
        <v>4</v>
      </c>
      <c r="X19" s="137" t="s">
        <v>46</v>
      </c>
      <c r="Y19" s="247" t="s">
        <v>84</v>
      </c>
      <c r="Z19" s="247" t="s">
        <v>90</v>
      </c>
      <c r="AA19" s="247" t="s">
        <v>69</v>
      </c>
      <c r="AB19" s="137" t="s">
        <v>391</v>
      </c>
      <c r="AC19" s="142"/>
      <c r="AE19" s="236" t="s">
        <v>89</v>
      </c>
      <c r="AP19" s="239" t="s">
        <v>112</v>
      </c>
      <c r="AR19" s="231" t="s">
        <v>126</v>
      </c>
      <c r="AV19" s="150" t="s">
        <v>408</v>
      </c>
    </row>
    <row r="20" spans="1:48" x14ac:dyDescent="0.15">
      <c r="A20" s="137" t="s">
        <v>61</v>
      </c>
      <c r="B20" s="137" t="s">
        <v>366</v>
      </c>
      <c r="C20" s="137">
        <v>2018</v>
      </c>
      <c r="D20" s="138" t="s">
        <v>393</v>
      </c>
      <c r="E20" s="137" t="s">
        <v>230</v>
      </c>
      <c r="F20" s="137" t="s">
        <v>231</v>
      </c>
      <c r="G20" s="137" t="s">
        <v>42</v>
      </c>
      <c r="H20" s="247" t="s">
        <v>155</v>
      </c>
      <c r="I20" s="247" t="s">
        <v>153</v>
      </c>
      <c r="J20" s="137" t="s">
        <v>38</v>
      </c>
      <c r="K20" s="247" t="s">
        <v>154</v>
      </c>
      <c r="L20" s="247">
        <v>1</v>
      </c>
      <c r="M20" s="247"/>
      <c r="N20" s="247">
        <v>5</v>
      </c>
      <c r="O20" s="247">
        <v>0.6</v>
      </c>
      <c r="P20" s="247">
        <v>0.65</v>
      </c>
      <c r="Q20" s="139">
        <f t="shared" si="0"/>
        <v>0.625</v>
      </c>
      <c r="R20" s="247">
        <v>16.100000000000001</v>
      </c>
      <c r="S20" s="247">
        <v>92</v>
      </c>
      <c r="T20" s="140">
        <f t="shared" si="1"/>
        <v>36</v>
      </c>
      <c r="U20" s="247">
        <v>298</v>
      </c>
      <c r="V20" s="141">
        <f t="shared" si="2"/>
        <v>2145.6</v>
      </c>
      <c r="W20" s="247">
        <v>13</v>
      </c>
      <c r="X20" s="137" t="s">
        <v>46</v>
      </c>
      <c r="Y20" s="247" t="s">
        <v>90</v>
      </c>
      <c r="Z20" s="247" t="s">
        <v>84</v>
      </c>
      <c r="AA20" s="247" t="s">
        <v>50</v>
      </c>
      <c r="AB20" s="137" t="s">
        <v>391</v>
      </c>
      <c r="AC20" s="142"/>
      <c r="AE20" s="223"/>
      <c r="AG20" s="247"/>
      <c r="AH20" s="247"/>
      <c r="AJ20" s="247"/>
      <c r="AN20" s="247"/>
      <c r="AP20" s="239" t="s">
        <v>113</v>
      </c>
      <c r="AR20" s="238" t="s">
        <v>105</v>
      </c>
      <c r="AV20" s="150" t="s">
        <v>409</v>
      </c>
    </row>
    <row r="21" spans="1:48" x14ac:dyDescent="0.15">
      <c r="A21" s="137" t="s">
        <v>61</v>
      </c>
      <c r="B21" s="137" t="s">
        <v>366</v>
      </c>
      <c r="C21" s="137">
        <v>2018</v>
      </c>
      <c r="D21" s="138" t="s">
        <v>393</v>
      </c>
      <c r="E21" s="137" t="s">
        <v>230</v>
      </c>
      <c r="F21" s="137" t="s">
        <v>231</v>
      </c>
      <c r="G21" s="137" t="s">
        <v>42</v>
      </c>
      <c r="H21" s="247" t="s">
        <v>155</v>
      </c>
      <c r="I21" s="247" t="s">
        <v>153</v>
      </c>
      <c r="J21" s="137" t="s">
        <v>38</v>
      </c>
      <c r="K21" s="247" t="s">
        <v>154</v>
      </c>
      <c r="L21" s="247">
        <v>2</v>
      </c>
      <c r="M21" s="247"/>
      <c r="N21" s="247">
        <v>5</v>
      </c>
      <c r="O21" s="247">
        <v>0.5</v>
      </c>
      <c r="P21" s="247">
        <v>0.6</v>
      </c>
      <c r="Q21" s="139">
        <f t="shared" si="0"/>
        <v>0.55000000000000004</v>
      </c>
      <c r="R21" s="247">
        <v>15.8</v>
      </c>
      <c r="S21" s="247">
        <v>92</v>
      </c>
      <c r="T21" s="140">
        <f t="shared" si="1"/>
        <v>36</v>
      </c>
      <c r="U21" s="247">
        <v>298</v>
      </c>
      <c r="V21" s="141">
        <f t="shared" si="2"/>
        <v>2145.6</v>
      </c>
      <c r="W21" s="247">
        <v>13</v>
      </c>
      <c r="X21" s="137" t="s">
        <v>46</v>
      </c>
      <c r="Y21" s="247" t="s">
        <v>90</v>
      </c>
      <c r="Z21" s="247" t="s">
        <v>84</v>
      </c>
      <c r="AA21" s="247" t="s">
        <v>50</v>
      </c>
      <c r="AB21" s="137" t="s">
        <v>391</v>
      </c>
      <c r="AC21" s="142"/>
      <c r="AE21" s="223"/>
      <c r="AG21" s="247"/>
      <c r="AH21" s="247"/>
      <c r="AL21" s="247"/>
      <c r="AN21" s="247"/>
      <c r="AP21" s="239" t="s">
        <v>114</v>
      </c>
      <c r="AR21" s="238" t="s">
        <v>68</v>
      </c>
      <c r="AV21" s="150" t="s">
        <v>410</v>
      </c>
    </row>
    <row r="22" spans="1:48" x14ac:dyDescent="0.15">
      <c r="A22" s="137" t="s">
        <v>61</v>
      </c>
      <c r="B22" s="137" t="s">
        <v>366</v>
      </c>
      <c r="C22" s="137">
        <v>2018</v>
      </c>
      <c r="D22" s="138" t="s">
        <v>393</v>
      </c>
      <c r="E22" s="137" t="s">
        <v>230</v>
      </c>
      <c r="F22" s="137" t="s">
        <v>231</v>
      </c>
      <c r="G22" s="137" t="s">
        <v>42</v>
      </c>
      <c r="H22" s="247" t="s">
        <v>155</v>
      </c>
      <c r="I22" s="247" t="s">
        <v>153</v>
      </c>
      <c r="J22" s="137" t="s">
        <v>38</v>
      </c>
      <c r="K22" s="247" t="s">
        <v>154</v>
      </c>
      <c r="L22" s="247">
        <v>3</v>
      </c>
      <c r="M22" s="247"/>
      <c r="N22" s="142">
        <v>5</v>
      </c>
      <c r="O22" s="142">
        <v>0.6</v>
      </c>
      <c r="P22" s="247">
        <v>0.65</v>
      </c>
      <c r="Q22" s="139">
        <f t="shared" si="0"/>
        <v>0.625</v>
      </c>
      <c r="R22" s="247">
        <v>16.399999999999999</v>
      </c>
      <c r="S22" s="247">
        <v>84</v>
      </c>
      <c r="T22" s="140">
        <f t="shared" si="1"/>
        <v>36</v>
      </c>
      <c r="U22" s="247">
        <v>298</v>
      </c>
      <c r="V22" s="141">
        <f t="shared" si="2"/>
        <v>2145.6</v>
      </c>
      <c r="W22" s="247">
        <v>13</v>
      </c>
      <c r="X22" s="137" t="s">
        <v>46</v>
      </c>
      <c r="Y22" s="247" t="s">
        <v>90</v>
      </c>
      <c r="Z22" s="247" t="s">
        <v>84</v>
      </c>
      <c r="AA22" s="247" t="s">
        <v>50</v>
      </c>
      <c r="AB22" s="137" t="s">
        <v>391</v>
      </c>
      <c r="AC22" s="142"/>
      <c r="AE22" s="236"/>
      <c r="AG22" s="247"/>
      <c r="AH22" s="247"/>
      <c r="AL22" s="247"/>
      <c r="AP22" s="239" t="s">
        <v>115</v>
      </c>
      <c r="AR22" s="238" t="s">
        <v>83</v>
      </c>
      <c r="AV22" s="224"/>
    </row>
    <row r="23" spans="1:48" x14ac:dyDescent="0.15">
      <c r="A23" s="137" t="s">
        <v>61</v>
      </c>
      <c r="B23" s="137" t="s">
        <v>366</v>
      </c>
      <c r="C23" s="137">
        <v>2018</v>
      </c>
      <c r="D23" s="138" t="s">
        <v>393</v>
      </c>
      <c r="E23" s="137" t="s">
        <v>230</v>
      </c>
      <c r="F23" s="137" t="s">
        <v>231</v>
      </c>
      <c r="G23" s="137" t="s">
        <v>42</v>
      </c>
      <c r="H23" s="247" t="s">
        <v>157</v>
      </c>
      <c r="I23" s="247" t="s">
        <v>153</v>
      </c>
      <c r="J23" s="137" t="s">
        <v>38</v>
      </c>
      <c r="K23" s="247" t="s">
        <v>154</v>
      </c>
      <c r="L23" s="247">
        <v>1</v>
      </c>
      <c r="M23" s="247"/>
      <c r="N23" s="247">
        <v>1</v>
      </c>
      <c r="O23" s="247">
        <v>0.55000000000000004</v>
      </c>
      <c r="P23" s="142">
        <v>0.6</v>
      </c>
      <c r="Q23" s="139">
        <f t="shared" si="0"/>
        <v>0.57499999999999996</v>
      </c>
      <c r="R23" s="247">
        <v>17.8</v>
      </c>
      <c r="S23" s="247">
        <v>137</v>
      </c>
      <c r="T23" s="140">
        <f t="shared" si="1"/>
        <v>25</v>
      </c>
      <c r="U23" s="247">
        <v>158</v>
      </c>
      <c r="V23" s="141">
        <f t="shared" si="2"/>
        <v>3950</v>
      </c>
      <c r="W23" s="247">
        <v>13</v>
      </c>
      <c r="X23" s="137" t="s">
        <v>46</v>
      </c>
      <c r="Y23" s="247" t="s">
        <v>90</v>
      </c>
      <c r="Z23" s="247" t="s">
        <v>84</v>
      </c>
      <c r="AA23" s="247" t="s">
        <v>50</v>
      </c>
      <c r="AB23" s="137" t="s">
        <v>391</v>
      </c>
      <c r="AC23" s="142"/>
      <c r="AE23" s="223"/>
      <c r="AG23" s="247"/>
      <c r="AH23" s="247"/>
      <c r="AL23" s="247"/>
      <c r="AP23" s="239" t="s">
        <v>379</v>
      </c>
      <c r="AR23" s="238" t="s">
        <v>61</v>
      </c>
      <c r="AV23" s="247"/>
    </row>
    <row r="24" spans="1:48" x14ac:dyDescent="0.15">
      <c r="A24" s="137" t="s">
        <v>61</v>
      </c>
      <c r="B24" s="137" t="s">
        <v>366</v>
      </c>
      <c r="C24" s="137">
        <v>2018</v>
      </c>
      <c r="D24" s="138" t="s">
        <v>393</v>
      </c>
      <c r="E24" s="137" t="s">
        <v>230</v>
      </c>
      <c r="F24" s="137" t="s">
        <v>231</v>
      </c>
      <c r="G24" s="137" t="s">
        <v>42</v>
      </c>
      <c r="H24" s="247" t="s">
        <v>157</v>
      </c>
      <c r="I24" s="247" t="s">
        <v>153</v>
      </c>
      <c r="J24" s="137" t="s">
        <v>38</v>
      </c>
      <c r="K24" s="247" t="s">
        <v>154</v>
      </c>
      <c r="L24" s="247">
        <v>2</v>
      </c>
      <c r="M24" s="247"/>
      <c r="N24" s="247">
        <v>1</v>
      </c>
      <c r="O24" s="247">
        <v>0.6</v>
      </c>
      <c r="P24" s="142">
        <v>0.6</v>
      </c>
      <c r="Q24" s="139">
        <f t="shared" si="0"/>
        <v>0.6</v>
      </c>
      <c r="R24" s="247">
        <v>17.8</v>
      </c>
      <c r="S24" s="247">
        <v>148</v>
      </c>
      <c r="T24" s="140">
        <f t="shared" si="1"/>
        <v>22</v>
      </c>
      <c r="U24" s="247">
        <v>158</v>
      </c>
      <c r="V24" s="141">
        <f t="shared" si="2"/>
        <v>3476</v>
      </c>
      <c r="W24" s="247">
        <v>13</v>
      </c>
      <c r="X24" s="137" t="s">
        <v>46</v>
      </c>
      <c r="Y24" s="247" t="s">
        <v>90</v>
      </c>
      <c r="Z24" s="247" t="s">
        <v>84</v>
      </c>
      <c r="AA24" s="247" t="s">
        <v>50</v>
      </c>
      <c r="AB24" s="137" t="s">
        <v>391</v>
      </c>
      <c r="AC24" s="142"/>
      <c r="AE24" s="223"/>
      <c r="AG24" s="247"/>
      <c r="AH24" s="247"/>
      <c r="AL24" s="247"/>
      <c r="AP24" s="239" t="s">
        <v>380</v>
      </c>
      <c r="AR24" s="238" t="s">
        <v>91</v>
      </c>
      <c r="AV24" s="247"/>
    </row>
    <row r="25" spans="1:48" x14ac:dyDescent="0.15">
      <c r="A25" s="137" t="s">
        <v>61</v>
      </c>
      <c r="B25" s="137" t="s">
        <v>366</v>
      </c>
      <c r="C25" s="137">
        <v>2018</v>
      </c>
      <c r="D25" s="138" t="s">
        <v>393</v>
      </c>
      <c r="E25" s="137" t="s">
        <v>230</v>
      </c>
      <c r="F25" s="137" t="s">
        <v>231</v>
      </c>
      <c r="G25" s="137" t="s">
        <v>42</v>
      </c>
      <c r="H25" s="247" t="s">
        <v>157</v>
      </c>
      <c r="I25" s="247" t="s">
        <v>153</v>
      </c>
      <c r="J25" s="137" t="s">
        <v>38</v>
      </c>
      <c r="K25" s="247" t="s">
        <v>154</v>
      </c>
      <c r="L25" s="247">
        <v>3</v>
      </c>
      <c r="M25" s="247"/>
      <c r="N25" s="247">
        <v>1</v>
      </c>
      <c r="O25" s="247">
        <v>0.5</v>
      </c>
      <c r="P25" s="142">
        <v>0.5</v>
      </c>
      <c r="Q25" s="139">
        <f t="shared" si="0"/>
        <v>0.5</v>
      </c>
      <c r="R25" s="247">
        <v>18.100000000000001</v>
      </c>
      <c r="S25" s="247">
        <v>144</v>
      </c>
      <c r="T25" s="140">
        <f t="shared" si="1"/>
        <v>22</v>
      </c>
      <c r="U25" s="247">
        <v>158</v>
      </c>
      <c r="V25" s="141">
        <f t="shared" si="2"/>
        <v>3476</v>
      </c>
      <c r="W25" s="247">
        <v>13</v>
      </c>
      <c r="X25" s="137" t="s">
        <v>46</v>
      </c>
      <c r="Y25" s="247" t="s">
        <v>90</v>
      </c>
      <c r="Z25" s="247" t="s">
        <v>84</v>
      </c>
      <c r="AA25" s="247" t="s">
        <v>50</v>
      </c>
      <c r="AB25" s="137" t="s">
        <v>391</v>
      </c>
      <c r="AC25" s="142"/>
      <c r="AE25" s="236"/>
      <c r="AG25" s="247"/>
      <c r="AH25" s="247"/>
      <c r="AL25" s="247"/>
      <c r="AP25" s="239" t="s">
        <v>116</v>
      </c>
      <c r="AR25" s="42" t="s">
        <v>92</v>
      </c>
      <c r="AV25" s="247"/>
    </row>
    <row r="26" spans="1:48" x14ac:dyDescent="0.15">
      <c r="A26" s="137" t="s">
        <v>61</v>
      </c>
      <c r="B26" s="137" t="s">
        <v>366</v>
      </c>
      <c r="C26" s="137">
        <v>2018</v>
      </c>
      <c r="D26" s="138" t="s">
        <v>393</v>
      </c>
      <c r="E26" s="137" t="s">
        <v>232</v>
      </c>
      <c r="F26" s="137" t="s">
        <v>233</v>
      </c>
      <c r="G26" s="137" t="s">
        <v>42</v>
      </c>
      <c r="H26" s="247" t="s">
        <v>155</v>
      </c>
      <c r="I26" s="247" t="s">
        <v>153</v>
      </c>
      <c r="J26" s="137" t="s">
        <v>38</v>
      </c>
      <c r="K26" s="247" t="s">
        <v>154</v>
      </c>
      <c r="L26" s="247">
        <v>1</v>
      </c>
      <c r="M26" s="247"/>
      <c r="N26" s="247">
        <v>4</v>
      </c>
      <c r="O26" s="247">
        <v>0.5</v>
      </c>
      <c r="P26" s="142">
        <v>0.5</v>
      </c>
      <c r="Q26" s="139">
        <f t="shared" si="0"/>
        <v>0.5</v>
      </c>
      <c r="R26" s="247">
        <v>17.7</v>
      </c>
      <c r="S26" s="247">
        <v>94</v>
      </c>
      <c r="T26" s="140">
        <f t="shared" si="1"/>
        <v>36</v>
      </c>
      <c r="U26" s="247">
        <v>429</v>
      </c>
      <c r="V26" s="141">
        <f t="shared" si="2"/>
        <v>3861</v>
      </c>
      <c r="W26" s="247">
        <v>12</v>
      </c>
      <c r="X26" s="137" t="s">
        <v>46</v>
      </c>
      <c r="Y26" s="247" t="s">
        <v>84</v>
      </c>
      <c r="Z26" s="247" t="s">
        <v>90</v>
      </c>
      <c r="AA26" s="247" t="s">
        <v>69</v>
      </c>
      <c r="AB26" s="137" t="s">
        <v>391</v>
      </c>
      <c r="AC26" s="142"/>
      <c r="AD26" s="235"/>
      <c r="AE26" s="236"/>
      <c r="AG26" s="247"/>
      <c r="AH26" s="247"/>
      <c r="AP26" s="239" t="s">
        <v>117</v>
      </c>
      <c r="AR26" s="224" t="s">
        <v>273</v>
      </c>
      <c r="AV26" s="247"/>
    </row>
    <row r="27" spans="1:48" x14ac:dyDescent="0.15">
      <c r="A27" s="137" t="s">
        <v>61</v>
      </c>
      <c r="B27" s="137" t="s">
        <v>366</v>
      </c>
      <c r="C27" s="137">
        <v>2018</v>
      </c>
      <c r="D27" s="138" t="s">
        <v>393</v>
      </c>
      <c r="E27" s="137" t="s">
        <v>232</v>
      </c>
      <c r="F27" s="137" t="s">
        <v>233</v>
      </c>
      <c r="G27" s="137" t="s">
        <v>42</v>
      </c>
      <c r="H27" s="247" t="s">
        <v>155</v>
      </c>
      <c r="I27" s="247" t="s">
        <v>153</v>
      </c>
      <c r="J27" s="137" t="s">
        <v>38</v>
      </c>
      <c r="K27" s="247" t="s">
        <v>154</v>
      </c>
      <c r="L27" s="247">
        <v>2</v>
      </c>
      <c r="M27" s="247"/>
      <c r="N27" s="247">
        <v>4</v>
      </c>
      <c r="O27" s="247">
        <v>0.65</v>
      </c>
      <c r="P27" s="142">
        <v>0.6</v>
      </c>
      <c r="Q27" s="139">
        <f t="shared" si="0"/>
        <v>0.625</v>
      </c>
      <c r="R27" s="247">
        <v>17.399999999999999</v>
      </c>
      <c r="S27" s="247">
        <v>101</v>
      </c>
      <c r="T27" s="140">
        <f t="shared" si="1"/>
        <v>33</v>
      </c>
      <c r="U27" s="247">
        <v>429</v>
      </c>
      <c r="V27" s="141">
        <f t="shared" si="2"/>
        <v>3539.25</v>
      </c>
      <c r="W27" s="247">
        <v>12</v>
      </c>
      <c r="X27" s="137" t="s">
        <v>46</v>
      </c>
      <c r="Y27" s="247" t="s">
        <v>84</v>
      </c>
      <c r="Z27" s="247" t="s">
        <v>90</v>
      </c>
      <c r="AA27" s="247" t="s">
        <v>69</v>
      </c>
      <c r="AB27" s="137" t="s">
        <v>391</v>
      </c>
      <c r="AC27" s="142"/>
      <c r="AD27" s="235"/>
      <c r="AE27" s="229"/>
      <c r="AG27" s="247"/>
      <c r="AH27" s="247"/>
      <c r="AP27" s="239" t="s">
        <v>118</v>
      </c>
      <c r="AR27" s="224"/>
      <c r="AV27" s="247"/>
    </row>
    <row r="28" spans="1:48" x14ac:dyDescent="0.15">
      <c r="A28" s="137" t="s">
        <v>61</v>
      </c>
      <c r="B28" s="137" t="s">
        <v>366</v>
      </c>
      <c r="C28" s="137">
        <v>2018</v>
      </c>
      <c r="D28" s="138" t="s">
        <v>393</v>
      </c>
      <c r="E28" s="137" t="s">
        <v>232</v>
      </c>
      <c r="F28" s="137" t="s">
        <v>233</v>
      </c>
      <c r="G28" s="137" t="s">
        <v>42</v>
      </c>
      <c r="H28" s="247" t="s">
        <v>155</v>
      </c>
      <c r="I28" s="247" t="s">
        <v>153</v>
      </c>
      <c r="J28" s="137" t="s">
        <v>38</v>
      </c>
      <c r="K28" s="247" t="s">
        <v>154</v>
      </c>
      <c r="L28" s="247">
        <v>3</v>
      </c>
      <c r="M28" s="247"/>
      <c r="N28" s="247">
        <v>4</v>
      </c>
      <c r="O28" s="247">
        <v>0.8</v>
      </c>
      <c r="P28" s="142">
        <v>0.7</v>
      </c>
      <c r="Q28" s="139">
        <f t="shared" si="0"/>
        <v>0.75</v>
      </c>
      <c r="R28" s="247">
        <v>16.399999999999999</v>
      </c>
      <c r="S28" s="247">
        <v>100</v>
      </c>
      <c r="T28" s="140">
        <f t="shared" si="1"/>
        <v>33</v>
      </c>
      <c r="U28" s="247">
        <v>429</v>
      </c>
      <c r="V28" s="141">
        <f t="shared" si="2"/>
        <v>3539.25</v>
      </c>
      <c r="W28" s="247">
        <v>12</v>
      </c>
      <c r="X28" s="137" t="s">
        <v>46</v>
      </c>
      <c r="Y28" s="247" t="s">
        <v>84</v>
      </c>
      <c r="Z28" s="247" t="s">
        <v>90</v>
      </c>
      <c r="AA28" s="247" t="s">
        <v>69</v>
      </c>
      <c r="AB28" s="137" t="s">
        <v>391</v>
      </c>
      <c r="AC28" s="142"/>
      <c r="AD28" s="235"/>
      <c r="AE28" s="247"/>
      <c r="AG28" s="247"/>
      <c r="AH28" s="247"/>
      <c r="AP28" s="228"/>
      <c r="AR28" s="224"/>
      <c r="AV28" s="247"/>
    </row>
    <row r="29" spans="1:48" x14ac:dyDescent="0.15">
      <c r="A29" s="137" t="s">
        <v>61</v>
      </c>
      <c r="B29" s="137" t="s">
        <v>366</v>
      </c>
      <c r="C29" s="137">
        <v>2018</v>
      </c>
      <c r="D29" s="138" t="s">
        <v>393</v>
      </c>
      <c r="E29" s="137" t="s">
        <v>232</v>
      </c>
      <c r="F29" s="137" t="s">
        <v>233</v>
      </c>
      <c r="G29" s="137" t="s">
        <v>42</v>
      </c>
      <c r="H29" s="247" t="s">
        <v>157</v>
      </c>
      <c r="I29" s="247" t="s">
        <v>153</v>
      </c>
      <c r="J29" s="137" t="s">
        <v>38</v>
      </c>
      <c r="K29" s="247" t="s">
        <v>154</v>
      </c>
      <c r="L29" s="247">
        <v>1</v>
      </c>
      <c r="M29" s="247"/>
      <c r="N29" s="247">
        <v>4</v>
      </c>
      <c r="O29" s="247">
        <v>0.5</v>
      </c>
      <c r="P29" s="247">
        <v>0.5</v>
      </c>
      <c r="Q29" s="139">
        <f t="shared" si="0"/>
        <v>0.5</v>
      </c>
      <c r="R29" s="247">
        <v>17.8</v>
      </c>
      <c r="S29" s="247">
        <v>90</v>
      </c>
      <c r="T29" s="140">
        <f t="shared" si="1"/>
        <v>36</v>
      </c>
      <c r="U29" s="247">
        <v>429</v>
      </c>
      <c r="V29" s="141">
        <f t="shared" si="2"/>
        <v>3861</v>
      </c>
      <c r="W29" s="247">
        <v>12</v>
      </c>
      <c r="X29" s="137" t="s">
        <v>46</v>
      </c>
      <c r="Y29" s="247" t="s">
        <v>84</v>
      </c>
      <c r="Z29" s="247" t="s">
        <v>90</v>
      </c>
      <c r="AA29" s="247" t="s">
        <v>69</v>
      </c>
      <c r="AB29" s="137" t="s">
        <v>391</v>
      </c>
      <c r="AC29" s="142"/>
    </row>
    <row r="30" spans="1:48" x14ac:dyDescent="0.15">
      <c r="A30" s="137" t="s">
        <v>61</v>
      </c>
      <c r="B30" s="137" t="s">
        <v>366</v>
      </c>
      <c r="C30" s="137">
        <v>2018</v>
      </c>
      <c r="D30" s="138" t="s">
        <v>393</v>
      </c>
      <c r="E30" s="137" t="s">
        <v>232</v>
      </c>
      <c r="F30" s="137" t="s">
        <v>233</v>
      </c>
      <c r="G30" s="137" t="s">
        <v>42</v>
      </c>
      <c r="H30" s="247" t="s">
        <v>157</v>
      </c>
      <c r="I30" s="247" t="s">
        <v>153</v>
      </c>
      <c r="J30" s="137" t="s">
        <v>38</v>
      </c>
      <c r="K30" s="247" t="s">
        <v>154</v>
      </c>
      <c r="L30" s="247">
        <v>2</v>
      </c>
      <c r="M30" s="247"/>
      <c r="N30" s="247">
        <v>4</v>
      </c>
      <c r="O30" s="247">
        <v>0.5</v>
      </c>
      <c r="P30" s="247">
        <v>0.6</v>
      </c>
      <c r="Q30" s="139">
        <f t="shared" si="0"/>
        <v>0.55000000000000004</v>
      </c>
      <c r="R30" s="247">
        <v>17.399999999999999</v>
      </c>
      <c r="S30" s="247">
        <v>107</v>
      </c>
      <c r="T30" s="140">
        <f t="shared" si="1"/>
        <v>33</v>
      </c>
      <c r="U30" s="247">
        <v>429</v>
      </c>
      <c r="V30" s="141">
        <f t="shared" si="2"/>
        <v>3539.25</v>
      </c>
      <c r="W30" s="247">
        <v>12</v>
      </c>
      <c r="X30" s="137" t="s">
        <v>46</v>
      </c>
      <c r="Y30" s="247" t="s">
        <v>84</v>
      </c>
      <c r="Z30" s="247" t="s">
        <v>90</v>
      </c>
      <c r="AA30" s="247" t="s">
        <v>69</v>
      </c>
      <c r="AB30" s="137" t="s">
        <v>391</v>
      </c>
      <c r="AC30" s="142"/>
    </row>
    <row r="31" spans="1:48" x14ac:dyDescent="0.15">
      <c r="A31" s="137" t="s">
        <v>61</v>
      </c>
      <c r="B31" s="137" t="s">
        <v>366</v>
      </c>
      <c r="C31" s="137">
        <v>2018</v>
      </c>
      <c r="D31" s="138" t="s">
        <v>393</v>
      </c>
      <c r="E31" s="137" t="s">
        <v>232</v>
      </c>
      <c r="F31" s="137" t="s">
        <v>233</v>
      </c>
      <c r="G31" s="137" t="s">
        <v>42</v>
      </c>
      <c r="H31" s="247" t="s">
        <v>157</v>
      </c>
      <c r="I31" s="247" t="s">
        <v>153</v>
      </c>
      <c r="J31" s="137" t="s">
        <v>38</v>
      </c>
      <c r="K31" s="247" t="s">
        <v>154</v>
      </c>
      <c r="L31" s="247">
        <v>3</v>
      </c>
      <c r="M31" s="247"/>
      <c r="N31" s="247">
        <v>4</v>
      </c>
      <c r="O31" s="247">
        <v>0.55000000000000004</v>
      </c>
      <c r="P31" s="247">
        <v>0.6</v>
      </c>
      <c r="Q31" s="139">
        <f t="shared" si="0"/>
        <v>0.57499999999999996</v>
      </c>
      <c r="R31" s="247">
        <v>17.600000000000001</v>
      </c>
      <c r="S31" s="247">
        <v>110</v>
      </c>
      <c r="T31" s="140">
        <f t="shared" si="1"/>
        <v>33</v>
      </c>
      <c r="U31" s="247">
        <v>429</v>
      </c>
      <c r="V31" s="141">
        <f t="shared" si="2"/>
        <v>3539.25</v>
      </c>
      <c r="W31" s="247">
        <v>12</v>
      </c>
      <c r="X31" s="137" t="s">
        <v>46</v>
      </c>
      <c r="Y31" s="247" t="s">
        <v>84</v>
      </c>
      <c r="Z31" s="247" t="s">
        <v>90</v>
      </c>
      <c r="AA31" s="247" t="s">
        <v>69</v>
      </c>
      <c r="AB31" s="137" t="s">
        <v>391</v>
      </c>
      <c r="AC31" s="142"/>
    </row>
    <row r="32" spans="1:48" x14ac:dyDescent="0.15">
      <c r="A32" s="137" t="s">
        <v>61</v>
      </c>
      <c r="B32" s="137" t="s">
        <v>366</v>
      </c>
      <c r="C32" s="137">
        <v>2018</v>
      </c>
      <c r="D32" s="138" t="s">
        <v>393</v>
      </c>
      <c r="E32" s="137" t="s">
        <v>232</v>
      </c>
      <c r="F32" s="137" t="s">
        <v>233</v>
      </c>
      <c r="G32" s="137" t="s">
        <v>42</v>
      </c>
      <c r="H32" s="247" t="s">
        <v>155</v>
      </c>
      <c r="I32" s="247" t="s">
        <v>156</v>
      </c>
      <c r="J32" s="137" t="s">
        <v>38</v>
      </c>
      <c r="K32" s="247" t="s">
        <v>154</v>
      </c>
      <c r="L32" s="247">
        <v>1</v>
      </c>
      <c r="M32" s="247"/>
      <c r="N32" s="247">
        <v>4</v>
      </c>
      <c r="O32" s="247">
        <v>0.65</v>
      </c>
      <c r="P32" s="247">
        <v>0.7</v>
      </c>
      <c r="Q32" s="139">
        <f t="shared" si="0"/>
        <v>0.67500000000000004</v>
      </c>
      <c r="R32" s="247">
        <v>15.7</v>
      </c>
      <c r="S32" s="247">
        <v>94</v>
      </c>
      <c r="T32" s="140">
        <f t="shared" si="1"/>
        <v>36</v>
      </c>
      <c r="U32" s="247">
        <v>429</v>
      </c>
      <c r="V32" s="141">
        <f t="shared" si="2"/>
        <v>3861</v>
      </c>
      <c r="W32" s="247">
        <v>12</v>
      </c>
      <c r="X32" s="137" t="s">
        <v>46</v>
      </c>
      <c r="Y32" s="247" t="s">
        <v>84</v>
      </c>
      <c r="Z32" s="247" t="s">
        <v>90</v>
      </c>
      <c r="AA32" s="247" t="s">
        <v>69</v>
      </c>
      <c r="AB32" s="137" t="s">
        <v>391</v>
      </c>
      <c r="AC32" s="142"/>
    </row>
    <row r="33" spans="1:29" x14ac:dyDescent="0.15">
      <c r="A33" s="137" t="s">
        <v>61</v>
      </c>
      <c r="B33" s="137" t="s">
        <v>366</v>
      </c>
      <c r="C33" s="137">
        <v>2018</v>
      </c>
      <c r="D33" s="138" t="s">
        <v>393</v>
      </c>
      <c r="E33" s="137" t="s">
        <v>232</v>
      </c>
      <c r="F33" s="137" t="s">
        <v>233</v>
      </c>
      <c r="G33" s="137" t="s">
        <v>42</v>
      </c>
      <c r="H33" s="247" t="s">
        <v>155</v>
      </c>
      <c r="I33" s="247" t="s">
        <v>156</v>
      </c>
      <c r="J33" s="137" t="s">
        <v>38</v>
      </c>
      <c r="K33" s="247" t="s">
        <v>154</v>
      </c>
      <c r="L33" s="247">
        <v>2</v>
      </c>
      <c r="M33" s="247"/>
      <c r="N33" s="247">
        <v>4</v>
      </c>
      <c r="O33" s="247">
        <v>0.7</v>
      </c>
      <c r="P33" s="247">
        <v>0.7</v>
      </c>
      <c r="Q33" s="139">
        <f t="shared" si="0"/>
        <v>0.7</v>
      </c>
      <c r="R33" s="247">
        <v>16.100000000000001</v>
      </c>
      <c r="S33" s="247">
        <v>92</v>
      </c>
      <c r="T33" s="140">
        <f t="shared" si="1"/>
        <v>36</v>
      </c>
      <c r="U33" s="247">
        <v>429</v>
      </c>
      <c r="V33" s="141">
        <f t="shared" si="2"/>
        <v>3861</v>
      </c>
      <c r="W33" s="247">
        <v>12</v>
      </c>
      <c r="X33" s="137" t="s">
        <v>46</v>
      </c>
      <c r="Y33" s="247" t="s">
        <v>84</v>
      </c>
      <c r="Z33" s="247" t="s">
        <v>90</v>
      </c>
      <c r="AA33" s="247" t="s">
        <v>69</v>
      </c>
      <c r="AB33" s="137" t="s">
        <v>391</v>
      </c>
      <c r="AC33" s="142"/>
    </row>
    <row r="34" spans="1:29" x14ac:dyDescent="0.15">
      <c r="A34" s="137" t="s">
        <v>61</v>
      </c>
      <c r="B34" s="137" t="s">
        <v>366</v>
      </c>
      <c r="C34" s="137">
        <v>2018</v>
      </c>
      <c r="D34" s="138" t="s">
        <v>393</v>
      </c>
      <c r="E34" s="137" t="s">
        <v>232</v>
      </c>
      <c r="F34" s="137" t="s">
        <v>233</v>
      </c>
      <c r="G34" s="137" t="s">
        <v>42</v>
      </c>
      <c r="H34" s="247" t="s">
        <v>155</v>
      </c>
      <c r="I34" s="247" t="s">
        <v>156</v>
      </c>
      <c r="J34" s="137" t="s">
        <v>38</v>
      </c>
      <c r="K34" s="247" t="s">
        <v>154</v>
      </c>
      <c r="L34" s="247">
        <v>3</v>
      </c>
      <c r="M34" s="247"/>
      <c r="N34" s="247">
        <v>4</v>
      </c>
      <c r="O34" s="247">
        <v>0.6</v>
      </c>
      <c r="P34" s="247">
        <v>0.7</v>
      </c>
      <c r="Q34" s="139">
        <f t="shared" si="0"/>
        <v>0.64999999999999991</v>
      </c>
      <c r="R34" s="247">
        <v>16</v>
      </c>
      <c r="S34" s="247">
        <v>100</v>
      </c>
      <c r="T34" s="140">
        <f t="shared" si="1"/>
        <v>33</v>
      </c>
      <c r="U34" s="247">
        <v>429</v>
      </c>
      <c r="V34" s="141">
        <f t="shared" si="2"/>
        <v>3539.25</v>
      </c>
      <c r="W34" s="247">
        <v>12</v>
      </c>
      <c r="X34" s="137" t="s">
        <v>46</v>
      </c>
      <c r="Y34" s="247" t="s">
        <v>84</v>
      </c>
      <c r="Z34" s="247" t="s">
        <v>90</v>
      </c>
      <c r="AA34" s="247" t="s">
        <v>69</v>
      </c>
      <c r="AB34" s="137" t="s">
        <v>391</v>
      </c>
      <c r="AC34" s="142"/>
    </row>
    <row r="35" spans="1:29" x14ac:dyDescent="0.15">
      <c r="A35" s="137" t="s">
        <v>61</v>
      </c>
      <c r="B35" s="137" t="s">
        <v>366</v>
      </c>
      <c r="C35" s="137">
        <v>2018</v>
      </c>
      <c r="D35" s="138" t="s">
        <v>393</v>
      </c>
      <c r="E35" s="137" t="s">
        <v>235</v>
      </c>
      <c r="F35" s="137" t="s">
        <v>236</v>
      </c>
      <c r="G35" s="137" t="s">
        <v>42</v>
      </c>
      <c r="H35" s="247" t="s">
        <v>155</v>
      </c>
      <c r="I35" s="247" t="s">
        <v>153</v>
      </c>
      <c r="J35" s="137" t="s">
        <v>38</v>
      </c>
      <c r="K35" s="247" t="s">
        <v>154</v>
      </c>
      <c r="L35" s="247">
        <v>1</v>
      </c>
      <c r="M35" s="247"/>
      <c r="N35" s="247">
        <v>5</v>
      </c>
      <c r="O35" s="247">
        <v>0.75</v>
      </c>
      <c r="P35" s="247">
        <v>0.8</v>
      </c>
      <c r="Q35" s="139">
        <f t="shared" si="0"/>
        <v>0.77500000000000002</v>
      </c>
      <c r="R35" s="247">
        <v>17.399999999999999</v>
      </c>
      <c r="S35" s="247">
        <v>83</v>
      </c>
      <c r="T35" s="140">
        <f t="shared" si="1"/>
        <v>39</v>
      </c>
      <c r="U35" s="247">
        <v>429</v>
      </c>
      <c r="V35" s="141">
        <f t="shared" si="2"/>
        <v>3346.2</v>
      </c>
      <c r="W35" s="247">
        <v>8</v>
      </c>
      <c r="X35" s="137" t="s">
        <v>39</v>
      </c>
      <c r="Y35" s="247" t="s">
        <v>69</v>
      </c>
      <c r="Z35" s="247" t="s">
        <v>90</v>
      </c>
      <c r="AA35" s="247" t="s">
        <v>84</v>
      </c>
      <c r="AB35" s="137" t="s">
        <v>391</v>
      </c>
      <c r="AC35" s="142"/>
    </row>
    <row r="36" spans="1:29" x14ac:dyDescent="0.15">
      <c r="A36" s="137" t="s">
        <v>61</v>
      </c>
      <c r="B36" s="137" t="s">
        <v>366</v>
      </c>
      <c r="C36" s="137">
        <v>2018</v>
      </c>
      <c r="D36" s="138" t="s">
        <v>393</v>
      </c>
      <c r="E36" s="137" t="s">
        <v>235</v>
      </c>
      <c r="F36" s="137" t="s">
        <v>236</v>
      </c>
      <c r="G36" s="137" t="s">
        <v>42</v>
      </c>
      <c r="H36" s="247" t="s">
        <v>155</v>
      </c>
      <c r="I36" s="247" t="s">
        <v>153</v>
      </c>
      <c r="J36" s="137" t="s">
        <v>38</v>
      </c>
      <c r="K36" s="247" t="s">
        <v>154</v>
      </c>
      <c r="L36" s="247">
        <v>2</v>
      </c>
      <c r="M36" s="247"/>
      <c r="N36" s="247">
        <v>5</v>
      </c>
      <c r="O36" s="247">
        <v>0.7</v>
      </c>
      <c r="P36" s="247">
        <v>0.7</v>
      </c>
      <c r="Q36" s="139">
        <f t="shared" si="0"/>
        <v>0.7</v>
      </c>
      <c r="R36" s="247">
        <v>107.3</v>
      </c>
      <c r="S36" s="247">
        <v>101</v>
      </c>
      <c r="T36" s="140">
        <f t="shared" si="1"/>
        <v>33</v>
      </c>
      <c r="U36" s="247">
        <v>429</v>
      </c>
      <c r="V36" s="141">
        <f t="shared" si="2"/>
        <v>2831.4</v>
      </c>
      <c r="W36" s="247">
        <v>8</v>
      </c>
      <c r="X36" s="137" t="s">
        <v>39</v>
      </c>
      <c r="Y36" s="247" t="s">
        <v>69</v>
      </c>
      <c r="Z36" s="247" t="s">
        <v>90</v>
      </c>
      <c r="AA36" s="247" t="s">
        <v>84</v>
      </c>
      <c r="AB36" s="137" t="s">
        <v>391</v>
      </c>
      <c r="AC36" s="142"/>
    </row>
    <row r="37" spans="1:29" x14ac:dyDescent="0.15">
      <c r="A37" s="137" t="s">
        <v>61</v>
      </c>
      <c r="B37" s="137" t="s">
        <v>366</v>
      </c>
      <c r="C37" s="137">
        <v>2018</v>
      </c>
      <c r="D37" s="138" t="s">
        <v>393</v>
      </c>
      <c r="E37" s="137" t="s">
        <v>235</v>
      </c>
      <c r="F37" s="137" t="s">
        <v>236</v>
      </c>
      <c r="G37" s="137" t="s">
        <v>42</v>
      </c>
      <c r="H37" s="247" t="s">
        <v>155</v>
      </c>
      <c r="I37" s="247" t="s">
        <v>153</v>
      </c>
      <c r="J37" s="137" t="s">
        <v>38</v>
      </c>
      <c r="K37" s="247" t="s">
        <v>154</v>
      </c>
      <c r="L37" s="247">
        <v>3</v>
      </c>
      <c r="M37" s="247"/>
      <c r="N37" s="247">
        <v>5</v>
      </c>
      <c r="O37" s="247">
        <v>0.8</v>
      </c>
      <c r="P37" s="247">
        <v>0.75</v>
      </c>
      <c r="Q37" s="139">
        <f t="shared" si="0"/>
        <v>0.77500000000000002</v>
      </c>
      <c r="R37" s="247">
        <v>17.100000000000001</v>
      </c>
      <c r="S37" s="247">
        <v>90</v>
      </c>
      <c r="T37" s="140">
        <f t="shared" si="1"/>
        <v>36</v>
      </c>
      <c r="U37" s="247">
        <v>429</v>
      </c>
      <c r="V37" s="141">
        <f t="shared" si="2"/>
        <v>3088.7999999999997</v>
      </c>
      <c r="W37" s="247">
        <v>8</v>
      </c>
      <c r="X37" s="137" t="s">
        <v>39</v>
      </c>
      <c r="Y37" s="247" t="s">
        <v>69</v>
      </c>
      <c r="Z37" s="247" t="s">
        <v>90</v>
      </c>
      <c r="AA37" s="247" t="s">
        <v>84</v>
      </c>
      <c r="AB37" s="137" t="s">
        <v>391</v>
      </c>
      <c r="AC37" s="142"/>
    </row>
    <row r="38" spans="1:29" x14ac:dyDescent="0.15">
      <c r="A38" s="137" t="s">
        <v>61</v>
      </c>
      <c r="B38" s="137" t="s">
        <v>366</v>
      </c>
      <c r="C38" s="137">
        <v>2018</v>
      </c>
      <c r="D38" s="138" t="s">
        <v>393</v>
      </c>
      <c r="E38" s="137" t="s">
        <v>235</v>
      </c>
      <c r="F38" s="137" t="s">
        <v>236</v>
      </c>
      <c r="G38" s="137" t="s">
        <v>42</v>
      </c>
      <c r="H38" s="247" t="s">
        <v>157</v>
      </c>
      <c r="I38" s="247" t="s">
        <v>153</v>
      </c>
      <c r="J38" s="137" t="s">
        <v>38</v>
      </c>
      <c r="K38" s="247" t="s">
        <v>154</v>
      </c>
      <c r="L38" s="247">
        <v>1</v>
      </c>
      <c r="M38" s="247"/>
      <c r="N38" s="247">
        <v>1</v>
      </c>
      <c r="O38" s="247">
        <v>0.5</v>
      </c>
      <c r="P38" s="247">
        <v>0.5</v>
      </c>
      <c r="Q38" s="139">
        <f t="shared" si="0"/>
        <v>0.5</v>
      </c>
      <c r="R38" s="247">
        <v>17.399999999999999</v>
      </c>
      <c r="S38" s="247">
        <v>141</v>
      </c>
      <c r="T38" s="140">
        <f t="shared" si="1"/>
        <v>22</v>
      </c>
      <c r="U38" s="247">
        <v>138</v>
      </c>
      <c r="V38" s="141">
        <f t="shared" si="2"/>
        <v>3036</v>
      </c>
      <c r="W38" s="247">
        <v>8</v>
      </c>
      <c r="X38" s="137" t="s">
        <v>39</v>
      </c>
      <c r="Y38" s="247" t="s">
        <v>69</v>
      </c>
      <c r="Z38" s="247" t="s">
        <v>90</v>
      </c>
      <c r="AA38" s="247" t="s">
        <v>84</v>
      </c>
      <c r="AB38" s="137" t="s">
        <v>391</v>
      </c>
      <c r="AC38" s="142"/>
    </row>
    <row r="39" spans="1:29" x14ac:dyDescent="0.15">
      <c r="A39" s="137" t="s">
        <v>61</v>
      </c>
      <c r="B39" s="137" t="s">
        <v>366</v>
      </c>
      <c r="C39" s="137">
        <v>2018</v>
      </c>
      <c r="D39" s="138" t="s">
        <v>393</v>
      </c>
      <c r="E39" s="137" t="s">
        <v>235</v>
      </c>
      <c r="F39" s="137" t="s">
        <v>236</v>
      </c>
      <c r="G39" s="137" t="s">
        <v>42</v>
      </c>
      <c r="H39" s="247" t="s">
        <v>157</v>
      </c>
      <c r="I39" s="247" t="s">
        <v>153</v>
      </c>
      <c r="J39" s="137" t="s">
        <v>38</v>
      </c>
      <c r="K39" s="247" t="s">
        <v>154</v>
      </c>
      <c r="L39" s="247">
        <v>2</v>
      </c>
      <c r="M39" s="247"/>
      <c r="N39" s="247">
        <v>1</v>
      </c>
      <c r="O39" s="247">
        <v>0.65</v>
      </c>
      <c r="P39" s="247">
        <v>0.6</v>
      </c>
      <c r="Q39" s="139">
        <f t="shared" si="0"/>
        <v>0.625</v>
      </c>
      <c r="R39" s="247">
        <v>17.3</v>
      </c>
      <c r="S39" s="247">
        <v>139</v>
      </c>
      <c r="T39" s="140">
        <f t="shared" si="1"/>
        <v>22</v>
      </c>
      <c r="U39" s="247">
        <v>138</v>
      </c>
      <c r="V39" s="141">
        <f t="shared" si="2"/>
        <v>3036</v>
      </c>
      <c r="W39" s="247">
        <v>8</v>
      </c>
      <c r="X39" s="137" t="s">
        <v>39</v>
      </c>
      <c r="Y39" s="247" t="s">
        <v>69</v>
      </c>
      <c r="Z39" s="247" t="s">
        <v>90</v>
      </c>
      <c r="AA39" s="247" t="s">
        <v>84</v>
      </c>
      <c r="AB39" s="137" t="s">
        <v>391</v>
      </c>
      <c r="AC39" s="142"/>
    </row>
    <row r="40" spans="1:29" x14ac:dyDescent="0.15">
      <c r="A40" s="137" t="s">
        <v>61</v>
      </c>
      <c r="B40" s="137" t="s">
        <v>366</v>
      </c>
      <c r="C40" s="137">
        <v>2018</v>
      </c>
      <c r="D40" s="138" t="s">
        <v>393</v>
      </c>
      <c r="E40" s="137" t="s">
        <v>235</v>
      </c>
      <c r="F40" s="137" t="s">
        <v>236</v>
      </c>
      <c r="G40" s="137" t="s">
        <v>42</v>
      </c>
      <c r="H40" s="247" t="s">
        <v>157</v>
      </c>
      <c r="I40" s="247" t="s">
        <v>153</v>
      </c>
      <c r="J40" s="137" t="s">
        <v>38</v>
      </c>
      <c r="K40" s="247" t="s">
        <v>154</v>
      </c>
      <c r="L40" s="247">
        <v>3</v>
      </c>
      <c r="M40" s="247"/>
      <c r="N40" s="247">
        <v>1</v>
      </c>
      <c r="O40" s="247">
        <v>0.55000000000000004</v>
      </c>
      <c r="P40" s="247">
        <v>0.6</v>
      </c>
      <c r="Q40" s="139">
        <f t="shared" si="0"/>
        <v>0.57499999999999996</v>
      </c>
      <c r="R40" s="247">
        <v>17.100000000000001</v>
      </c>
      <c r="S40" s="247">
        <v>135</v>
      </c>
      <c r="T40" s="140">
        <f t="shared" si="1"/>
        <v>25</v>
      </c>
      <c r="U40" s="247">
        <v>138</v>
      </c>
      <c r="V40" s="141">
        <f t="shared" si="2"/>
        <v>3450</v>
      </c>
      <c r="W40" s="247">
        <v>8</v>
      </c>
      <c r="X40" s="137" t="s">
        <v>39</v>
      </c>
      <c r="Y40" s="247" t="s">
        <v>69</v>
      </c>
      <c r="Z40" s="247" t="s">
        <v>90</v>
      </c>
      <c r="AA40" s="247" t="s">
        <v>84</v>
      </c>
      <c r="AB40" s="137" t="s">
        <v>391</v>
      </c>
      <c r="AC40" s="142"/>
    </row>
    <row r="41" spans="1:29" x14ac:dyDescent="0.15">
      <c r="A41" s="137" t="s">
        <v>61</v>
      </c>
      <c r="B41" s="137" t="s">
        <v>366</v>
      </c>
      <c r="C41" s="137">
        <v>2018</v>
      </c>
      <c r="D41" s="138" t="s">
        <v>393</v>
      </c>
      <c r="E41" s="137" t="s">
        <v>235</v>
      </c>
      <c r="F41" s="137" t="s">
        <v>236</v>
      </c>
      <c r="G41" s="137" t="s">
        <v>42</v>
      </c>
      <c r="H41" s="247" t="s">
        <v>155</v>
      </c>
      <c r="I41" s="247" t="s">
        <v>156</v>
      </c>
      <c r="J41" s="137" t="s">
        <v>38</v>
      </c>
      <c r="K41" s="247" t="s">
        <v>154</v>
      </c>
      <c r="L41" s="247">
        <v>1</v>
      </c>
      <c r="M41" s="247"/>
      <c r="N41" s="247">
        <v>1</v>
      </c>
      <c r="O41" s="247">
        <v>0.7</v>
      </c>
      <c r="P41" s="247">
        <v>0.7</v>
      </c>
      <c r="Q41" s="139">
        <f t="shared" si="0"/>
        <v>0.7</v>
      </c>
      <c r="R41" s="247">
        <v>15.1</v>
      </c>
      <c r="S41" s="247">
        <v>140</v>
      </c>
      <c r="T41" s="140">
        <f t="shared" si="1"/>
        <v>22</v>
      </c>
      <c r="U41" s="247">
        <v>105</v>
      </c>
      <c r="V41" s="141">
        <f t="shared" si="2"/>
        <v>2310</v>
      </c>
      <c r="W41" s="247">
        <v>8</v>
      </c>
      <c r="X41" s="137" t="s">
        <v>39</v>
      </c>
      <c r="Y41" s="247" t="s">
        <v>69</v>
      </c>
      <c r="Z41" s="247" t="s">
        <v>90</v>
      </c>
      <c r="AA41" s="247" t="s">
        <v>84</v>
      </c>
      <c r="AB41" s="137" t="s">
        <v>391</v>
      </c>
      <c r="AC41" s="142"/>
    </row>
    <row r="42" spans="1:29" x14ac:dyDescent="0.15">
      <c r="A42" s="137" t="s">
        <v>61</v>
      </c>
      <c r="B42" s="137" t="s">
        <v>366</v>
      </c>
      <c r="C42" s="137">
        <v>2018</v>
      </c>
      <c r="D42" s="138" t="s">
        <v>393</v>
      </c>
      <c r="E42" s="137" t="s">
        <v>235</v>
      </c>
      <c r="F42" s="137" t="s">
        <v>236</v>
      </c>
      <c r="G42" s="137" t="s">
        <v>42</v>
      </c>
      <c r="H42" s="247" t="s">
        <v>155</v>
      </c>
      <c r="I42" s="247" t="s">
        <v>156</v>
      </c>
      <c r="J42" s="137" t="s">
        <v>38</v>
      </c>
      <c r="K42" s="247" t="s">
        <v>154</v>
      </c>
      <c r="L42" s="247">
        <v>2</v>
      </c>
      <c r="M42" s="247"/>
      <c r="N42" s="247">
        <v>1</v>
      </c>
      <c r="O42" s="247">
        <v>0.7</v>
      </c>
      <c r="P42" s="247">
        <v>0.65</v>
      </c>
      <c r="Q42" s="139">
        <f t="shared" si="0"/>
        <v>0.67500000000000004</v>
      </c>
      <c r="R42" s="247">
        <v>16.399999999999999</v>
      </c>
      <c r="S42" s="247">
        <v>137</v>
      </c>
      <c r="T42" s="140">
        <f t="shared" si="1"/>
        <v>25</v>
      </c>
      <c r="U42" s="247">
        <v>105</v>
      </c>
      <c r="V42" s="141">
        <f t="shared" si="2"/>
        <v>2625</v>
      </c>
      <c r="W42" s="247">
        <v>8</v>
      </c>
      <c r="X42" s="137" t="s">
        <v>39</v>
      </c>
      <c r="Y42" s="247" t="s">
        <v>69</v>
      </c>
      <c r="Z42" s="247" t="s">
        <v>90</v>
      </c>
      <c r="AA42" s="247" t="s">
        <v>84</v>
      </c>
      <c r="AB42" s="137" t="s">
        <v>391</v>
      </c>
      <c r="AC42" s="142"/>
    </row>
    <row r="43" spans="1:29" x14ac:dyDescent="0.15">
      <c r="A43" s="137" t="s">
        <v>61</v>
      </c>
      <c r="B43" s="137" t="s">
        <v>366</v>
      </c>
      <c r="C43" s="137">
        <v>2018</v>
      </c>
      <c r="D43" s="138" t="s">
        <v>393</v>
      </c>
      <c r="E43" s="137" t="s">
        <v>235</v>
      </c>
      <c r="F43" s="137" t="s">
        <v>236</v>
      </c>
      <c r="G43" s="137" t="s">
        <v>42</v>
      </c>
      <c r="H43" s="247" t="s">
        <v>155</v>
      </c>
      <c r="I43" s="247" t="s">
        <v>156</v>
      </c>
      <c r="J43" s="137" t="s">
        <v>38</v>
      </c>
      <c r="K43" s="247" t="s">
        <v>154</v>
      </c>
      <c r="L43" s="247">
        <v>3</v>
      </c>
      <c r="M43" s="247"/>
      <c r="N43" s="247">
        <v>1</v>
      </c>
      <c r="O43" s="247">
        <v>0.6</v>
      </c>
      <c r="P43" s="247">
        <v>0.65</v>
      </c>
      <c r="Q43" s="139">
        <f t="shared" si="0"/>
        <v>0.625</v>
      </c>
      <c r="R43" s="247">
        <v>16.600000000000001</v>
      </c>
      <c r="S43" s="247">
        <v>138</v>
      </c>
      <c r="T43" s="140">
        <f t="shared" si="1"/>
        <v>22</v>
      </c>
      <c r="U43" s="247">
        <v>105</v>
      </c>
      <c r="V43" s="141">
        <f t="shared" si="2"/>
        <v>2310</v>
      </c>
      <c r="W43" s="247">
        <v>8</v>
      </c>
      <c r="X43" s="137" t="s">
        <v>39</v>
      </c>
      <c r="Y43" s="247" t="s">
        <v>69</v>
      </c>
      <c r="Z43" s="247" t="s">
        <v>90</v>
      </c>
      <c r="AA43" s="247" t="s">
        <v>84</v>
      </c>
      <c r="AB43" s="137" t="s">
        <v>391</v>
      </c>
      <c r="AC43" s="142"/>
    </row>
    <row r="44" spans="1:29" x14ac:dyDescent="0.15">
      <c r="A44" s="137" t="s">
        <v>61</v>
      </c>
      <c r="B44" s="137" t="s">
        <v>366</v>
      </c>
      <c r="C44" s="137">
        <v>2018</v>
      </c>
      <c r="D44" s="138" t="s">
        <v>393</v>
      </c>
      <c r="E44" s="137" t="s">
        <v>235</v>
      </c>
      <c r="F44" s="137" t="s">
        <v>236</v>
      </c>
      <c r="G44" s="137" t="s">
        <v>42</v>
      </c>
      <c r="H44" s="247" t="s">
        <v>129</v>
      </c>
      <c r="I44" s="247" t="s">
        <v>153</v>
      </c>
      <c r="J44" s="137" t="s">
        <v>222</v>
      </c>
      <c r="K44" s="247" t="s">
        <v>59</v>
      </c>
      <c r="L44" s="247">
        <v>1</v>
      </c>
      <c r="M44" s="247"/>
      <c r="N44" s="247">
        <v>4</v>
      </c>
      <c r="O44" s="247">
        <v>0.5</v>
      </c>
      <c r="P44" s="247">
        <v>0.5</v>
      </c>
      <c r="Q44" s="139">
        <f t="shared" si="0"/>
        <v>0.5</v>
      </c>
      <c r="R44" s="247">
        <v>16.2</v>
      </c>
      <c r="S44" s="247">
        <v>77</v>
      </c>
      <c r="T44" s="140">
        <f t="shared" si="1"/>
        <v>39</v>
      </c>
      <c r="U44" s="247">
        <v>429</v>
      </c>
      <c r="V44" s="141">
        <f t="shared" si="2"/>
        <v>4182.75</v>
      </c>
      <c r="W44" s="247">
        <v>8</v>
      </c>
      <c r="X44" s="137" t="s">
        <v>39</v>
      </c>
      <c r="Y44" s="247" t="s">
        <v>69</v>
      </c>
      <c r="Z44" s="247" t="s">
        <v>90</v>
      </c>
      <c r="AA44" s="247" t="s">
        <v>84</v>
      </c>
      <c r="AB44" s="137" t="s">
        <v>391</v>
      </c>
      <c r="AC44" s="142"/>
    </row>
    <row r="45" spans="1:29" x14ac:dyDescent="0.15">
      <c r="A45" s="137" t="s">
        <v>61</v>
      </c>
      <c r="B45" s="137" t="s">
        <v>366</v>
      </c>
      <c r="C45" s="137">
        <v>2018</v>
      </c>
      <c r="D45" s="138" t="s">
        <v>393</v>
      </c>
      <c r="E45" s="137" t="s">
        <v>235</v>
      </c>
      <c r="F45" s="137" t="s">
        <v>236</v>
      </c>
      <c r="G45" s="137" t="s">
        <v>42</v>
      </c>
      <c r="H45" s="247" t="s">
        <v>129</v>
      </c>
      <c r="I45" s="247" t="s">
        <v>153</v>
      </c>
      <c r="J45" s="137" t="s">
        <v>222</v>
      </c>
      <c r="K45" s="247" t="s">
        <v>59</v>
      </c>
      <c r="L45" s="247">
        <v>2</v>
      </c>
      <c r="M45" s="247"/>
      <c r="N45" s="247">
        <v>4</v>
      </c>
      <c r="O45" s="247">
        <v>0.5</v>
      </c>
      <c r="P45" s="247">
        <v>0.6</v>
      </c>
      <c r="Q45" s="139">
        <f t="shared" si="0"/>
        <v>0.55000000000000004</v>
      </c>
      <c r="R45" s="247">
        <v>16.8</v>
      </c>
      <c r="S45" s="247">
        <v>83</v>
      </c>
      <c r="T45" s="140">
        <f t="shared" si="1"/>
        <v>39</v>
      </c>
      <c r="U45" s="247">
        <v>429</v>
      </c>
      <c r="V45" s="141">
        <f t="shared" si="2"/>
        <v>4182.75</v>
      </c>
      <c r="W45" s="247">
        <v>8</v>
      </c>
      <c r="X45" s="137" t="s">
        <v>39</v>
      </c>
      <c r="Y45" s="247" t="s">
        <v>69</v>
      </c>
      <c r="Z45" s="247" t="s">
        <v>90</v>
      </c>
      <c r="AA45" s="247" t="s">
        <v>84</v>
      </c>
      <c r="AB45" s="137" t="s">
        <v>391</v>
      </c>
      <c r="AC45" s="142"/>
    </row>
    <row r="46" spans="1:29" x14ac:dyDescent="0.15">
      <c r="A46" s="137" t="s">
        <v>61</v>
      </c>
      <c r="B46" s="137" t="s">
        <v>366</v>
      </c>
      <c r="C46" s="137">
        <v>2018</v>
      </c>
      <c r="D46" s="138" t="s">
        <v>393</v>
      </c>
      <c r="E46" s="137" t="s">
        <v>235</v>
      </c>
      <c r="F46" s="137" t="s">
        <v>236</v>
      </c>
      <c r="G46" s="137" t="s">
        <v>42</v>
      </c>
      <c r="H46" s="247" t="s">
        <v>129</v>
      </c>
      <c r="I46" s="247" t="s">
        <v>153</v>
      </c>
      <c r="J46" s="137" t="s">
        <v>222</v>
      </c>
      <c r="K46" s="247" t="s">
        <v>59</v>
      </c>
      <c r="L46" s="247">
        <v>3</v>
      </c>
      <c r="M46" s="247"/>
      <c r="N46" s="247">
        <v>4</v>
      </c>
      <c r="O46" s="247">
        <v>0.55000000000000004</v>
      </c>
      <c r="P46" s="247">
        <v>0.5</v>
      </c>
      <c r="Q46" s="139">
        <f t="shared" si="0"/>
        <v>0.52500000000000002</v>
      </c>
      <c r="R46" s="247">
        <v>16.600000000000001</v>
      </c>
      <c r="S46" s="247">
        <v>81</v>
      </c>
      <c r="T46" s="140">
        <f t="shared" si="1"/>
        <v>39</v>
      </c>
      <c r="U46" s="247">
        <v>429</v>
      </c>
      <c r="V46" s="141">
        <f t="shared" si="2"/>
        <v>4182.75</v>
      </c>
      <c r="W46" s="247">
        <v>8</v>
      </c>
      <c r="X46" s="137" t="s">
        <v>39</v>
      </c>
      <c r="Y46" s="247" t="s">
        <v>69</v>
      </c>
      <c r="Z46" s="247" t="s">
        <v>90</v>
      </c>
      <c r="AA46" s="247" t="s">
        <v>84</v>
      </c>
      <c r="AB46" s="137" t="s">
        <v>391</v>
      </c>
      <c r="AC46" s="142"/>
    </row>
    <row r="47" spans="1:29" x14ac:dyDescent="0.15">
      <c r="A47" s="137" t="s">
        <v>61</v>
      </c>
      <c r="B47" s="137" t="s">
        <v>366</v>
      </c>
      <c r="C47" s="137">
        <v>2018</v>
      </c>
      <c r="D47" s="138" t="s">
        <v>393</v>
      </c>
      <c r="E47" s="137" t="s">
        <v>237</v>
      </c>
      <c r="F47" s="137" t="s">
        <v>238</v>
      </c>
      <c r="G47" s="137" t="s">
        <v>42</v>
      </c>
      <c r="H47" s="247" t="s">
        <v>155</v>
      </c>
      <c r="I47" s="247" t="s">
        <v>153</v>
      </c>
      <c r="J47" s="137" t="s">
        <v>38</v>
      </c>
      <c r="K47" s="247" t="s">
        <v>154</v>
      </c>
      <c r="L47" s="247">
        <v>1</v>
      </c>
      <c r="M47" s="247"/>
      <c r="N47" s="247">
        <v>4</v>
      </c>
      <c r="O47" s="247">
        <v>0.5</v>
      </c>
      <c r="P47" s="247">
        <v>0.5</v>
      </c>
      <c r="Q47" s="139">
        <f t="shared" si="0"/>
        <v>0.5</v>
      </c>
      <c r="R47" s="247">
        <v>17.100000000000001</v>
      </c>
      <c r="S47" s="247">
        <v>85</v>
      </c>
      <c r="T47" s="140">
        <f t="shared" si="1"/>
        <v>36</v>
      </c>
      <c r="U47" s="247">
        <v>350</v>
      </c>
      <c r="V47" s="141">
        <f t="shared" si="2"/>
        <v>3150</v>
      </c>
      <c r="W47" s="247">
        <v>4</v>
      </c>
      <c r="X47" s="137" t="s">
        <v>39</v>
      </c>
      <c r="Y47" s="247" t="s">
        <v>90</v>
      </c>
      <c r="Z47" s="247" t="s">
        <v>84</v>
      </c>
      <c r="AA47" s="247" t="s">
        <v>69</v>
      </c>
      <c r="AB47" s="137" t="s">
        <v>391</v>
      </c>
      <c r="AC47" s="142"/>
    </row>
    <row r="48" spans="1:29" x14ac:dyDescent="0.15">
      <c r="A48" s="137" t="s">
        <v>61</v>
      </c>
      <c r="B48" s="137" t="s">
        <v>366</v>
      </c>
      <c r="C48" s="137">
        <v>2018</v>
      </c>
      <c r="D48" s="138" t="s">
        <v>393</v>
      </c>
      <c r="E48" s="137" t="s">
        <v>237</v>
      </c>
      <c r="F48" s="137" t="s">
        <v>238</v>
      </c>
      <c r="G48" s="137" t="s">
        <v>42</v>
      </c>
      <c r="H48" s="247" t="s">
        <v>155</v>
      </c>
      <c r="I48" s="247" t="s">
        <v>153</v>
      </c>
      <c r="J48" s="137" t="s">
        <v>38</v>
      </c>
      <c r="K48" s="247" t="s">
        <v>154</v>
      </c>
      <c r="L48" s="247">
        <v>2</v>
      </c>
      <c r="M48" s="247"/>
      <c r="N48" s="247">
        <v>4</v>
      </c>
      <c r="O48" s="247">
        <v>0.55000000000000004</v>
      </c>
      <c r="P48" s="247">
        <v>0.5</v>
      </c>
      <c r="Q48" s="139">
        <f t="shared" si="0"/>
        <v>0.52500000000000002</v>
      </c>
      <c r="R48" s="247">
        <v>17.399999999999999</v>
      </c>
      <c r="S48" s="247">
        <v>90</v>
      </c>
      <c r="T48" s="140">
        <f t="shared" si="1"/>
        <v>36</v>
      </c>
      <c r="U48" s="247">
        <v>350</v>
      </c>
      <c r="V48" s="141">
        <f t="shared" si="2"/>
        <v>3150</v>
      </c>
      <c r="W48" s="247">
        <v>4</v>
      </c>
      <c r="X48" s="137" t="s">
        <v>39</v>
      </c>
      <c r="Y48" s="247" t="s">
        <v>90</v>
      </c>
      <c r="Z48" s="247" t="s">
        <v>84</v>
      </c>
      <c r="AA48" s="247" t="s">
        <v>69</v>
      </c>
      <c r="AB48" s="137" t="s">
        <v>391</v>
      </c>
      <c r="AC48" s="142"/>
    </row>
    <row r="49" spans="1:29" x14ac:dyDescent="0.15">
      <c r="A49" s="137" t="s">
        <v>61</v>
      </c>
      <c r="B49" s="137" t="s">
        <v>366</v>
      </c>
      <c r="C49" s="137">
        <v>2018</v>
      </c>
      <c r="D49" s="138" t="s">
        <v>393</v>
      </c>
      <c r="E49" s="137" t="s">
        <v>237</v>
      </c>
      <c r="F49" s="137" t="s">
        <v>238</v>
      </c>
      <c r="G49" s="137" t="s">
        <v>42</v>
      </c>
      <c r="H49" s="247" t="s">
        <v>155</v>
      </c>
      <c r="I49" s="247" t="s">
        <v>153</v>
      </c>
      <c r="J49" s="137" t="s">
        <v>38</v>
      </c>
      <c r="K49" s="247" t="s">
        <v>154</v>
      </c>
      <c r="L49" s="247">
        <v>3</v>
      </c>
      <c r="M49" s="247"/>
      <c r="N49" s="247">
        <v>4</v>
      </c>
      <c r="O49" s="247">
        <v>0.6</v>
      </c>
      <c r="P49" s="247">
        <v>0.6</v>
      </c>
      <c r="Q49" s="139">
        <f t="shared" si="0"/>
        <v>0.6</v>
      </c>
      <c r="R49" s="247">
        <v>17</v>
      </c>
      <c r="S49" s="247">
        <v>94</v>
      </c>
      <c r="T49" s="140">
        <f t="shared" si="1"/>
        <v>36</v>
      </c>
      <c r="U49" s="247">
        <v>350</v>
      </c>
      <c r="V49" s="141">
        <f t="shared" si="2"/>
        <v>3150</v>
      </c>
      <c r="W49" s="247">
        <v>4</v>
      </c>
      <c r="X49" s="137" t="s">
        <v>39</v>
      </c>
      <c r="Y49" s="247" t="s">
        <v>90</v>
      </c>
      <c r="Z49" s="247" t="s">
        <v>84</v>
      </c>
      <c r="AA49" s="247" t="s">
        <v>69</v>
      </c>
      <c r="AB49" s="137" t="s">
        <v>391</v>
      </c>
      <c r="AC49" s="142"/>
    </row>
    <row r="50" spans="1:29" x14ac:dyDescent="0.15">
      <c r="A50" s="137" t="s">
        <v>61</v>
      </c>
      <c r="B50" s="137" t="s">
        <v>366</v>
      </c>
      <c r="C50" s="137">
        <v>2018</v>
      </c>
      <c r="D50" s="138" t="s">
        <v>393</v>
      </c>
      <c r="E50" s="137" t="s">
        <v>237</v>
      </c>
      <c r="F50" s="137" t="s">
        <v>238</v>
      </c>
      <c r="G50" s="137" t="s">
        <v>42</v>
      </c>
      <c r="H50" s="247" t="s">
        <v>157</v>
      </c>
      <c r="I50" s="247" t="s">
        <v>153</v>
      </c>
      <c r="J50" s="137" t="s">
        <v>38</v>
      </c>
      <c r="K50" s="247" t="s">
        <v>154</v>
      </c>
      <c r="L50" s="247">
        <v>1</v>
      </c>
      <c r="M50" s="247"/>
      <c r="N50" s="247">
        <v>1</v>
      </c>
      <c r="O50" s="247">
        <v>0.8</v>
      </c>
      <c r="P50" s="247">
        <v>0.7</v>
      </c>
      <c r="Q50" s="139">
        <f t="shared" si="0"/>
        <v>0.75</v>
      </c>
      <c r="R50" s="247">
        <v>16.8</v>
      </c>
      <c r="S50" s="247">
        <v>139</v>
      </c>
      <c r="T50" s="140">
        <f t="shared" si="1"/>
        <v>22</v>
      </c>
      <c r="U50" s="247">
        <v>138</v>
      </c>
      <c r="V50" s="141">
        <f t="shared" si="2"/>
        <v>3036</v>
      </c>
      <c r="W50" s="247">
        <v>4</v>
      </c>
      <c r="X50" s="137" t="s">
        <v>39</v>
      </c>
      <c r="Y50" s="247" t="s">
        <v>90</v>
      </c>
      <c r="Z50" s="247" t="s">
        <v>84</v>
      </c>
      <c r="AA50" s="247" t="s">
        <v>69</v>
      </c>
      <c r="AB50" s="137" t="s">
        <v>391</v>
      </c>
      <c r="AC50" s="142"/>
    </row>
    <row r="51" spans="1:29" x14ac:dyDescent="0.15">
      <c r="A51" s="137" t="s">
        <v>61</v>
      </c>
      <c r="B51" s="137" t="s">
        <v>366</v>
      </c>
      <c r="C51" s="137">
        <v>2018</v>
      </c>
      <c r="D51" s="138" t="s">
        <v>393</v>
      </c>
      <c r="E51" s="137" t="s">
        <v>237</v>
      </c>
      <c r="F51" s="137" t="s">
        <v>238</v>
      </c>
      <c r="G51" s="137" t="s">
        <v>42</v>
      </c>
      <c r="H51" s="247" t="s">
        <v>157</v>
      </c>
      <c r="I51" s="247" t="s">
        <v>153</v>
      </c>
      <c r="J51" s="137" t="s">
        <v>38</v>
      </c>
      <c r="K51" s="247" t="s">
        <v>154</v>
      </c>
      <c r="L51" s="247">
        <v>2</v>
      </c>
      <c r="M51" s="247"/>
      <c r="N51" s="247">
        <v>1</v>
      </c>
      <c r="O51" s="247">
        <v>0.6</v>
      </c>
      <c r="P51" s="247">
        <v>0.6</v>
      </c>
      <c r="Q51" s="139">
        <f t="shared" si="0"/>
        <v>0.6</v>
      </c>
      <c r="R51" s="247">
        <v>16.5</v>
      </c>
      <c r="S51" s="247">
        <v>137</v>
      </c>
      <c r="T51" s="140">
        <f t="shared" si="1"/>
        <v>25</v>
      </c>
      <c r="U51" s="247">
        <v>138</v>
      </c>
      <c r="V51" s="141">
        <f t="shared" si="2"/>
        <v>3450</v>
      </c>
      <c r="W51" s="247">
        <v>4</v>
      </c>
      <c r="X51" s="137" t="s">
        <v>39</v>
      </c>
      <c r="Y51" s="247" t="s">
        <v>90</v>
      </c>
      <c r="Z51" s="247" t="s">
        <v>84</v>
      </c>
      <c r="AA51" s="247" t="s">
        <v>69</v>
      </c>
      <c r="AB51" s="137" t="s">
        <v>391</v>
      </c>
      <c r="AC51" s="142"/>
    </row>
    <row r="52" spans="1:29" x14ac:dyDescent="0.15">
      <c r="A52" s="137" t="s">
        <v>61</v>
      </c>
      <c r="B52" s="137" t="s">
        <v>366</v>
      </c>
      <c r="C52" s="137">
        <v>2018</v>
      </c>
      <c r="D52" s="138" t="s">
        <v>393</v>
      </c>
      <c r="E52" s="137" t="s">
        <v>237</v>
      </c>
      <c r="F52" s="137" t="s">
        <v>238</v>
      </c>
      <c r="G52" s="137" t="s">
        <v>42</v>
      </c>
      <c r="H52" s="247" t="s">
        <v>157</v>
      </c>
      <c r="I52" s="247" t="s">
        <v>153</v>
      </c>
      <c r="J52" s="137" t="s">
        <v>38</v>
      </c>
      <c r="K52" s="247" t="s">
        <v>154</v>
      </c>
      <c r="L52" s="247">
        <v>3</v>
      </c>
      <c r="M52" s="247"/>
      <c r="N52" s="247">
        <v>1</v>
      </c>
      <c r="O52" s="247">
        <v>0.65</v>
      </c>
      <c r="P52" s="247">
        <v>0.65</v>
      </c>
      <c r="Q52" s="139">
        <f t="shared" si="0"/>
        <v>0.65</v>
      </c>
      <c r="R52" s="247">
        <v>17.100000000000001</v>
      </c>
      <c r="S52" s="247">
        <v>138</v>
      </c>
      <c r="T52" s="140">
        <f t="shared" si="1"/>
        <v>22</v>
      </c>
      <c r="U52" s="247">
        <v>138</v>
      </c>
      <c r="V52" s="141">
        <f t="shared" si="2"/>
        <v>3036</v>
      </c>
      <c r="W52" s="247">
        <v>4</v>
      </c>
      <c r="X52" s="137" t="s">
        <v>39</v>
      </c>
      <c r="Y52" s="247" t="s">
        <v>90</v>
      </c>
      <c r="Z52" s="247" t="s">
        <v>84</v>
      </c>
      <c r="AA52" s="247" t="s">
        <v>69</v>
      </c>
      <c r="AB52" s="137" t="s">
        <v>391</v>
      </c>
      <c r="AC52" s="142"/>
    </row>
    <row r="53" spans="1:29" x14ac:dyDescent="0.15">
      <c r="A53" s="137" t="s">
        <v>61</v>
      </c>
      <c r="B53" s="137" t="s">
        <v>366</v>
      </c>
      <c r="C53" s="137">
        <v>2018</v>
      </c>
      <c r="D53" s="138" t="s">
        <v>393</v>
      </c>
      <c r="E53" s="137" t="s">
        <v>239</v>
      </c>
      <c r="F53" s="137" t="s">
        <v>240</v>
      </c>
      <c r="G53" s="137" t="s">
        <v>42</v>
      </c>
      <c r="H53" s="247" t="s">
        <v>155</v>
      </c>
      <c r="I53" s="247" t="s">
        <v>153</v>
      </c>
      <c r="J53" s="137" t="s">
        <v>38</v>
      </c>
      <c r="K53" s="247" t="s">
        <v>154</v>
      </c>
      <c r="L53" s="247">
        <v>1</v>
      </c>
      <c r="M53" s="247"/>
      <c r="N53" s="247">
        <v>4</v>
      </c>
      <c r="O53" s="247">
        <v>0.65</v>
      </c>
      <c r="P53" s="247">
        <v>0.6</v>
      </c>
      <c r="Q53" s="139">
        <f t="shared" si="0"/>
        <v>0.625</v>
      </c>
      <c r="R53" s="247">
        <v>15.8</v>
      </c>
      <c r="S53" s="247">
        <v>97</v>
      </c>
      <c r="T53" s="140">
        <f t="shared" si="1"/>
        <v>36</v>
      </c>
      <c r="U53" s="247">
        <v>321</v>
      </c>
      <c r="V53" s="141">
        <f t="shared" si="2"/>
        <v>2889</v>
      </c>
      <c r="W53" s="247">
        <v>8</v>
      </c>
      <c r="X53" s="137" t="s">
        <v>39</v>
      </c>
      <c r="Y53" s="247" t="s">
        <v>84</v>
      </c>
      <c r="Z53" s="247" t="s">
        <v>50</v>
      </c>
      <c r="AA53" s="247" t="s">
        <v>69</v>
      </c>
      <c r="AB53" s="137" t="s">
        <v>391</v>
      </c>
      <c r="AC53" s="247"/>
    </row>
    <row r="54" spans="1:29" x14ac:dyDescent="0.15">
      <c r="A54" s="137" t="s">
        <v>61</v>
      </c>
      <c r="B54" s="137" t="s">
        <v>366</v>
      </c>
      <c r="C54" s="137">
        <v>2018</v>
      </c>
      <c r="D54" s="138" t="s">
        <v>393</v>
      </c>
      <c r="E54" s="137" t="s">
        <v>239</v>
      </c>
      <c r="F54" s="137" t="s">
        <v>240</v>
      </c>
      <c r="G54" s="137" t="s">
        <v>42</v>
      </c>
      <c r="H54" s="247" t="s">
        <v>155</v>
      </c>
      <c r="I54" s="247" t="s">
        <v>153</v>
      </c>
      <c r="J54" s="137" t="s">
        <v>38</v>
      </c>
      <c r="K54" s="247" t="s">
        <v>154</v>
      </c>
      <c r="L54" s="247">
        <v>2</v>
      </c>
      <c r="M54" s="247"/>
      <c r="N54" s="247">
        <v>4</v>
      </c>
      <c r="O54" s="247">
        <v>0.6</v>
      </c>
      <c r="P54" s="247">
        <v>0.6</v>
      </c>
      <c r="Q54" s="139">
        <f t="shared" si="0"/>
        <v>0.6</v>
      </c>
      <c r="R54" s="247">
        <v>16.399999999999999</v>
      </c>
      <c r="S54" s="247">
        <v>104</v>
      </c>
      <c r="T54" s="140">
        <f t="shared" si="1"/>
        <v>33</v>
      </c>
      <c r="U54" s="247">
        <v>321</v>
      </c>
      <c r="V54" s="141">
        <f t="shared" si="2"/>
        <v>2648.25</v>
      </c>
      <c r="W54" s="247">
        <v>8</v>
      </c>
      <c r="X54" s="137" t="s">
        <v>39</v>
      </c>
      <c r="Y54" s="247" t="s">
        <v>84</v>
      </c>
      <c r="Z54" s="247" t="s">
        <v>50</v>
      </c>
      <c r="AA54" s="247" t="s">
        <v>69</v>
      </c>
      <c r="AB54" s="137" t="s">
        <v>391</v>
      </c>
      <c r="AC54" s="247"/>
    </row>
    <row r="55" spans="1:29" x14ac:dyDescent="0.15">
      <c r="A55" s="137" t="s">
        <v>61</v>
      </c>
      <c r="B55" s="137" t="s">
        <v>366</v>
      </c>
      <c r="C55" s="137">
        <v>2018</v>
      </c>
      <c r="D55" s="138" t="s">
        <v>393</v>
      </c>
      <c r="E55" s="137" t="s">
        <v>239</v>
      </c>
      <c r="F55" s="137" t="s">
        <v>240</v>
      </c>
      <c r="G55" s="137" t="s">
        <v>42</v>
      </c>
      <c r="H55" s="247" t="s">
        <v>155</v>
      </c>
      <c r="I55" s="247" t="s">
        <v>153</v>
      </c>
      <c r="J55" s="137" t="s">
        <v>38</v>
      </c>
      <c r="K55" s="247" t="s">
        <v>154</v>
      </c>
      <c r="L55" s="247">
        <v>3</v>
      </c>
      <c r="M55" s="247"/>
      <c r="N55" s="247">
        <v>4</v>
      </c>
      <c r="O55" s="247">
        <v>0.6</v>
      </c>
      <c r="P55" s="247">
        <v>0.6</v>
      </c>
      <c r="Q55" s="139">
        <f t="shared" si="0"/>
        <v>0.6</v>
      </c>
      <c r="R55" s="247">
        <v>16.8</v>
      </c>
      <c r="S55" s="247">
        <v>102</v>
      </c>
      <c r="T55" s="140">
        <f t="shared" si="1"/>
        <v>33</v>
      </c>
      <c r="U55" s="247">
        <v>321</v>
      </c>
      <c r="V55" s="141">
        <f t="shared" si="2"/>
        <v>2648.25</v>
      </c>
      <c r="W55" s="247">
        <v>8</v>
      </c>
      <c r="X55" s="137" t="s">
        <v>39</v>
      </c>
      <c r="Y55" s="247" t="s">
        <v>84</v>
      </c>
      <c r="Z55" s="247" t="s">
        <v>50</v>
      </c>
      <c r="AA55" s="247" t="s">
        <v>69</v>
      </c>
      <c r="AB55" s="137" t="s">
        <v>391</v>
      </c>
      <c r="AC55" s="247"/>
    </row>
    <row r="56" spans="1:29" x14ac:dyDescent="0.15">
      <c r="A56" s="137" t="s">
        <v>61</v>
      </c>
      <c r="B56" s="137" t="s">
        <v>366</v>
      </c>
      <c r="C56" s="137">
        <v>2018</v>
      </c>
      <c r="D56" s="138" t="s">
        <v>393</v>
      </c>
      <c r="E56" s="137" t="s">
        <v>239</v>
      </c>
      <c r="F56" s="137" t="s">
        <v>240</v>
      </c>
      <c r="G56" s="137" t="s">
        <v>42</v>
      </c>
      <c r="H56" s="247" t="s">
        <v>157</v>
      </c>
      <c r="I56" s="247" t="s">
        <v>153</v>
      </c>
      <c r="J56" s="137" t="s">
        <v>38</v>
      </c>
      <c r="K56" s="247" t="s">
        <v>154</v>
      </c>
      <c r="L56" s="247">
        <v>1</v>
      </c>
      <c r="M56" s="247"/>
      <c r="N56" s="247">
        <v>3</v>
      </c>
      <c r="O56" s="247">
        <v>0.6</v>
      </c>
      <c r="P56" s="247">
        <v>0.6</v>
      </c>
      <c r="Q56" s="139">
        <f t="shared" si="0"/>
        <v>0.6</v>
      </c>
      <c r="R56" s="247">
        <v>17</v>
      </c>
      <c r="S56" s="247">
        <v>123</v>
      </c>
      <c r="T56" s="140">
        <f t="shared" si="1"/>
        <v>27</v>
      </c>
      <c r="U56" s="247">
        <v>429</v>
      </c>
      <c r="V56" s="141">
        <f t="shared" si="2"/>
        <v>3861</v>
      </c>
      <c r="W56" s="247">
        <v>8</v>
      </c>
      <c r="X56" s="137" t="s">
        <v>39</v>
      </c>
      <c r="Y56" s="247" t="s">
        <v>84</v>
      </c>
      <c r="Z56" s="247" t="s">
        <v>50</v>
      </c>
      <c r="AA56" s="247" t="s">
        <v>69</v>
      </c>
      <c r="AB56" s="137" t="s">
        <v>391</v>
      </c>
      <c r="AC56" s="247"/>
    </row>
    <row r="57" spans="1:29" x14ac:dyDescent="0.15">
      <c r="A57" s="137" t="s">
        <v>61</v>
      </c>
      <c r="B57" s="137" t="s">
        <v>366</v>
      </c>
      <c r="C57" s="137">
        <v>2018</v>
      </c>
      <c r="D57" s="138" t="s">
        <v>393</v>
      </c>
      <c r="E57" s="137" t="s">
        <v>239</v>
      </c>
      <c r="F57" s="137" t="s">
        <v>240</v>
      </c>
      <c r="G57" s="137" t="s">
        <v>42</v>
      </c>
      <c r="H57" s="247" t="s">
        <v>157</v>
      </c>
      <c r="I57" s="247" t="s">
        <v>153</v>
      </c>
      <c r="J57" s="137" t="s">
        <v>38</v>
      </c>
      <c r="K57" s="247" t="s">
        <v>154</v>
      </c>
      <c r="L57" s="247">
        <v>2</v>
      </c>
      <c r="M57" s="247"/>
      <c r="N57" s="247">
        <v>3</v>
      </c>
      <c r="O57" s="247">
        <v>0.5</v>
      </c>
      <c r="P57" s="247">
        <v>0.5</v>
      </c>
      <c r="Q57" s="139">
        <f t="shared" si="0"/>
        <v>0.5</v>
      </c>
      <c r="R57" s="247">
        <v>16.8</v>
      </c>
      <c r="S57" s="247">
        <v>128</v>
      </c>
      <c r="T57" s="140">
        <f t="shared" si="1"/>
        <v>27</v>
      </c>
      <c r="U57" s="247">
        <v>429</v>
      </c>
      <c r="V57" s="141">
        <f t="shared" si="2"/>
        <v>3861</v>
      </c>
      <c r="W57" s="247">
        <v>8</v>
      </c>
      <c r="X57" s="137" t="s">
        <v>39</v>
      </c>
      <c r="Y57" s="247" t="s">
        <v>84</v>
      </c>
      <c r="Z57" s="247" t="s">
        <v>50</v>
      </c>
      <c r="AA57" s="247" t="s">
        <v>69</v>
      </c>
      <c r="AB57" s="137" t="s">
        <v>391</v>
      </c>
      <c r="AC57" s="247"/>
    </row>
    <row r="58" spans="1:29" x14ac:dyDescent="0.15">
      <c r="A58" s="137" t="s">
        <v>61</v>
      </c>
      <c r="B58" s="137" t="s">
        <v>366</v>
      </c>
      <c r="C58" s="137">
        <v>2018</v>
      </c>
      <c r="D58" s="138" t="s">
        <v>393</v>
      </c>
      <c r="E58" s="137" t="s">
        <v>239</v>
      </c>
      <c r="F58" s="137" t="s">
        <v>240</v>
      </c>
      <c r="G58" s="137" t="s">
        <v>42</v>
      </c>
      <c r="H58" s="247" t="s">
        <v>157</v>
      </c>
      <c r="I58" s="247" t="s">
        <v>153</v>
      </c>
      <c r="J58" s="137" t="s">
        <v>38</v>
      </c>
      <c r="K58" s="247" t="s">
        <v>154</v>
      </c>
      <c r="L58" s="247">
        <v>3</v>
      </c>
      <c r="M58" s="247"/>
      <c r="N58" s="247">
        <v>3</v>
      </c>
      <c r="O58" s="247">
        <v>0.5</v>
      </c>
      <c r="P58" s="247">
        <v>0.5</v>
      </c>
      <c r="Q58" s="139">
        <f t="shared" si="0"/>
        <v>0.5</v>
      </c>
      <c r="R58" s="247">
        <v>16.399999999999999</v>
      </c>
      <c r="S58" s="247">
        <v>127</v>
      </c>
      <c r="T58" s="140">
        <f t="shared" si="1"/>
        <v>27</v>
      </c>
      <c r="U58" s="247">
        <v>429</v>
      </c>
      <c r="V58" s="141">
        <f t="shared" si="2"/>
        <v>3861</v>
      </c>
      <c r="W58" s="247">
        <v>8</v>
      </c>
      <c r="X58" s="137" t="s">
        <v>39</v>
      </c>
      <c r="Y58" s="247" t="s">
        <v>84</v>
      </c>
      <c r="Z58" s="247" t="s">
        <v>50</v>
      </c>
      <c r="AA58" s="247" t="s">
        <v>69</v>
      </c>
      <c r="AB58" s="137" t="s">
        <v>391</v>
      </c>
      <c r="AC58" s="247"/>
    </row>
    <row r="59" spans="1:29" x14ac:dyDescent="0.15">
      <c r="A59" s="137" t="s">
        <v>61</v>
      </c>
      <c r="B59" s="137" t="s">
        <v>366</v>
      </c>
      <c r="C59" s="137">
        <v>2018</v>
      </c>
      <c r="D59" s="138" t="s">
        <v>393</v>
      </c>
      <c r="E59" s="137" t="s">
        <v>133</v>
      </c>
      <c r="F59" s="137" t="s">
        <v>241</v>
      </c>
      <c r="G59" s="137" t="s">
        <v>42</v>
      </c>
      <c r="H59" s="247" t="s">
        <v>155</v>
      </c>
      <c r="I59" s="247" t="s">
        <v>153</v>
      </c>
      <c r="J59" s="137" t="s">
        <v>38</v>
      </c>
      <c r="K59" s="247" t="s">
        <v>154</v>
      </c>
      <c r="L59" s="247">
        <v>1</v>
      </c>
      <c r="M59" s="247"/>
      <c r="N59" s="247">
        <v>1</v>
      </c>
      <c r="O59" s="247">
        <v>0.6</v>
      </c>
      <c r="P59" s="247">
        <v>0.65</v>
      </c>
      <c r="Q59" s="139">
        <f t="shared" si="0"/>
        <v>0.625</v>
      </c>
      <c r="R59" s="247">
        <v>17.2</v>
      </c>
      <c r="S59" s="247">
        <v>156</v>
      </c>
      <c r="T59" s="140">
        <f t="shared" si="1"/>
        <v>18</v>
      </c>
      <c r="U59" s="247">
        <v>85</v>
      </c>
      <c r="V59" s="141">
        <f t="shared" si="2"/>
        <v>1530</v>
      </c>
      <c r="W59" s="247">
        <v>12</v>
      </c>
      <c r="X59" s="137" t="s">
        <v>46</v>
      </c>
      <c r="Y59" s="247" t="s">
        <v>90</v>
      </c>
      <c r="Z59" s="247" t="s">
        <v>84</v>
      </c>
      <c r="AA59" s="247" t="s">
        <v>69</v>
      </c>
      <c r="AB59" s="137" t="s">
        <v>391</v>
      </c>
      <c r="AC59" s="142"/>
    </row>
    <row r="60" spans="1:29" x14ac:dyDescent="0.15">
      <c r="A60" s="137" t="s">
        <v>61</v>
      </c>
      <c r="B60" s="137" t="s">
        <v>366</v>
      </c>
      <c r="C60" s="137">
        <v>2018</v>
      </c>
      <c r="D60" s="138" t="s">
        <v>393</v>
      </c>
      <c r="E60" s="137" t="s">
        <v>133</v>
      </c>
      <c r="F60" s="137" t="s">
        <v>241</v>
      </c>
      <c r="G60" s="137" t="s">
        <v>42</v>
      </c>
      <c r="H60" s="247" t="s">
        <v>155</v>
      </c>
      <c r="I60" s="247" t="s">
        <v>153</v>
      </c>
      <c r="J60" s="137" t="s">
        <v>38</v>
      </c>
      <c r="K60" s="247" t="s">
        <v>154</v>
      </c>
      <c r="L60" s="247">
        <v>2</v>
      </c>
      <c r="M60" s="247"/>
      <c r="N60" s="247">
        <v>1</v>
      </c>
      <c r="O60" s="247">
        <v>0.6</v>
      </c>
      <c r="P60" s="247">
        <v>0.6</v>
      </c>
      <c r="Q60" s="139">
        <f t="shared" si="0"/>
        <v>0.6</v>
      </c>
      <c r="R60" s="247">
        <v>17</v>
      </c>
      <c r="S60" s="247">
        <v>156</v>
      </c>
      <c r="T60" s="140">
        <f t="shared" si="1"/>
        <v>18</v>
      </c>
      <c r="U60" s="247">
        <v>85</v>
      </c>
      <c r="V60" s="141">
        <f t="shared" si="2"/>
        <v>1530</v>
      </c>
      <c r="W60" s="247">
        <v>12</v>
      </c>
      <c r="X60" s="137" t="s">
        <v>46</v>
      </c>
      <c r="Y60" s="247" t="s">
        <v>90</v>
      </c>
      <c r="Z60" s="247" t="s">
        <v>84</v>
      </c>
      <c r="AA60" s="247" t="s">
        <v>69</v>
      </c>
      <c r="AB60" s="137" t="s">
        <v>391</v>
      </c>
      <c r="AC60" s="142"/>
    </row>
    <row r="61" spans="1:29" x14ac:dyDescent="0.15">
      <c r="A61" s="137" t="s">
        <v>61</v>
      </c>
      <c r="B61" s="137" t="s">
        <v>366</v>
      </c>
      <c r="C61" s="137">
        <v>2018</v>
      </c>
      <c r="D61" s="138" t="s">
        <v>393</v>
      </c>
      <c r="E61" s="137" t="s">
        <v>133</v>
      </c>
      <c r="F61" s="137" t="s">
        <v>241</v>
      </c>
      <c r="G61" s="137" t="s">
        <v>42</v>
      </c>
      <c r="H61" s="247" t="s">
        <v>155</v>
      </c>
      <c r="I61" s="247" t="s">
        <v>153</v>
      </c>
      <c r="J61" s="137" t="s">
        <v>38</v>
      </c>
      <c r="K61" s="247" t="s">
        <v>154</v>
      </c>
      <c r="L61" s="247">
        <v>3</v>
      </c>
      <c r="M61" s="247"/>
      <c r="N61" s="247">
        <v>1</v>
      </c>
      <c r="O61" s="247">
        <v>0.5</v>
      </c>
      <c r="P61" s="247">
        <v>0.5</v>
      </c>
      <c r="Q61" s="139">
        <f t="shared" si="0"/>
        <v>0.5</v>
      </c>
      <c r="R61" s="247">
        <v>17.399999999999999</v>
      </c>
      <c r="S61" s="247">
        <v>169</v>
      </c>
      <c r="T61" s="140">
        <f t="shared" si="1"/>
        <v>18</v>
      </c>
      <c r="U61" s="247">
        <v>85</v>
      </c>
      <c r="V61" s="141">
        <f t="shared" si="2"/>
        <v>1530</v>
      </c>
      <c r="W61" s="247">
        <v>12</v>
      </c>
      <c r="X61" s="137" t="s">
        <v>46</v>
      </c>
      <c r="Y61" s="247" t="s">
        <v>90</v>
      </c>
      <c r="Z61" s="247" t="s">
        <v>84</v>
      </c>
      <c r="AA61" s="247" t="s">
        <v>69</v>
      </c>
      <c r="AB61" s="137" t="s">
        <v>391</v>
      </c>
      <c r="AC61" s="142"/>
    </row>
    <row r="62" spans="1:29" x14ac:dyDescent="0.15">
      <c r="A62" s="137" t="s">
        <v>61</v>
      </c>
      <c r="B62" s="137" t="s">
        <v>366</v>
      </c>
      <c r="C62" s="137">
        <v>2018</v>
      </c>
      <c r="D62" s="138" t="s">
        <v>393</v>
      </c>
      <c r="E62" s="137" t="s">
        <v>133</v>
      </c>
      <c r="F62" s="137" t="s">
        <v>241</v>
      </c>
      <c r="G62" s="137" t="s">
        <v>42</v>
      </c>
      <c r="H62" s="247" t="s">
        <v>157</v>
      </c>
      <c r="I62" s="247" t="s">
        <v>153</v>
      </c>
      <c r="J62" s="137" t="s">
        <v>38</v>
      </c>
      <c r="K62" s="247" t="s">
        <v>154</v>
      </c>
      <c r="L62" s="247">
        <v>1</v>
      </c>
      <c r="M62" s="247"/>
      <c r="N62" s="247">
        <v>1</v>
      </c>
      <c r="O62" s="247">
        <v>0.5</v>
      </c>
      <c r="P62" s="247">
        <v>0.5</v>
      </c>
      <c r="Q62" s="139">
        <f t="shared" si="0"/>
        <v>0.5</v>
      </c>
      <c r="R62" s="247">
        <v>17.399999999999999</v>
      </c>
      <c r="S62" s="247">
        <v>156</v>
      </c>
      <c r="T62" s="140">
        <f t="shared" si="1"/>
        <v>18</v>
      </c>
      <c r="U62" s="247">
        <v>159</v>
      </c>
      <c r="V62" s="141">
        <f t="shared" si="2"/>
        <v>2862</v>
      </c>
      <c r="W62" s="247">
        <v>12</v>
      </c>
      <c r="X62" s="137" t="s">
        <v>46</v>
      </c>
      <c r="Y62" s="247" t="s">
        <v>90</v>
      </c>
      <c r="Z62" s="247" t="s">
        <v>84</v>
      </c>
      <c r="AA62" s="247" t="s">
        <v>69</v>
      </c>
      <c r="AB62" s="137" t="s">
        <v>391</v>
      </c>
      <c r="AC62" s="142"/>
    </row>
    <row r="63" spans="1:29" x14ac:dyDescent="0.15">
      <c r="A63" s="137" t="s">
        <v>61</v>
      </c>
      <c r="B63" s="137" t="s">
        <v>366</v>
      </c>
      <c r="C63" s="137">
        <v>2018</v>
      </c>
      <c r="D63" s="138" t="s">
        <v>393</v>
      </c>
      <c r="E63" s="137" t="s">
        <v>133</v>
      </c>
      <c r="F63" s="137" t="s">
        <v>241</v>
      </c>
      <c r="G63" s="137" t="s">
        <v>42</v>
      </c>
      <c r="H63" s="247" t="s">
        <v>157</v>
      </c>
      <c r="I63" s="247" t="s">
        <v>153</v>
      </c>
      <c r="J63" s="137" t="s">
        <v>38</v>
      </c>
      <c r="K63" s="247" t="s">
        <v>154</v>
      </c>
      <c r="L63" s="247">
        <v>2</v>
      </c>
      <c r="M63" s="247"/>
      <c r="N63" s="247">
        <v>1</v>
      </c>
      <c r="O63" s="247">
        <v>0.6</v>
      </c>
      <c r="P63" s="247">
        <v>0.65</v>
      </c>
      <c r="Q63" s="139">
        <f t="shared" si="0"/>
        <v>0.625</v>
      </c>
      <c r="R63" s="247">
        <v>17.100000000000001</v>
      </c>
      <c r="S63" s="247">
        <v>146</v>
      </c>
      <c r="T63" s="140">
        <f t="shared" si="1"/>
        <v>22</v>
      </c>
      <c r="U63" s="247">
        <v>159</v>
      </c>
      <c r="V63" s="141">
        <f t="shared" si="2"/>
        <v>3498</v>
      </c>
      <c r="W63" s="247">
        <v>12</v>
      </c>
      <c r="X63" s="137" t="s">
        <v>46</v>
      </c>
      <c r="Y63" s="247" t="s">
        <v>90</v>
      </c>
      <c r="Z63" s="247" t="s">
        <v>84</v>
      </c>
      <c r="AA63" s="247" t="s">
        <v>69</v>
      </c>
      <c r="AB63" s="137" t="s">
        <v>391</v>
      </c>
      <c r="AC63" s="142"/>
    </row>
    <row r="64" spans="1:29" x14ac:dyDescent="0.15">
      <c r="A64" s="137" t="s">
        <v>61</v>
      </c>
      <c r="B64" s="137" t="s">
        <v>366</v>
      </c>
      <c r="C64" s="137">
        <v>2018</v>
      </c>
      <c r="D64" s="138" t="s">
        <v>393</v>
      </c>
      <c r="E64" s="137" t="s">
        <v>133</v>
      </c>
      <c r="F64" s="137" t="s">
        <v>241</v>
      </c>
      <c r="G64" s="137" t="s">
        <v>42</v>
      </c>
      <c r="H64" s="247" t="s">
        <v>157</v>
      </c>
      <c r="I64" s="247" t="s">
        <v>153</v>
      </c>
      <c r="J64" s="137" t="s">
        <v>38</v>
      </c>
      <c r="K64" s="247" t="s">
        <v>154</v>
      </c>
      <c r="L64" s="247">
        <v>3</v>
      </c>
      <c r="M64" s="247"/>
      <c r="N64" s="247">
        <v>1</v>
      </c>
      <c r="O64" s="247">
        <v>0.6</v>
      </c>
      <c r="P64" s="247">
        <v>0.6</v>
      </c>
      <c r="Q64" s="139">
        <f t="shared" si="0"/>
        <v>0.6</v>
      </c>
      <c r="R64" s="247">
        <v>17.3</v>
      </c>
      <c r="S64" s="247">
        <v>156</v>
      </c>
      <c r="T64" s="140">
        <f t="shared" si="1"/>
        <v>18</v>
      </c>
      <c r="U64" s="247">
        <v>159</v>
      </c>
      <c r="V64" s="141">
        <f t="shared" si="2"/>
        <v>2862</v>
      </c>
      <c r="W64" s="247">
        <v>12</v>
      </c>
      <c r="X64" s="137" t="s">
        <v>46</v>
      </c>
      <c r="Y64" s="247" t="s">
        <v>90</v>
      </c>
      <c r="Z64" s="247" t="s">
        <v>84</v>
      </c>
      <c r="AA64" s="247" t="s">
        <v>69</v>
      </c>
      <c r="AB64" s="137" t="s">
        <v>391</v>
      </c>
      <c r="AC64" s="142"/>
    </row>
    <row r="65" spans="1:29" x14ac:dyDescent="0.15">
      <c r="A65" s="137" t="s">
        <v>61</v>
      </c>
      <c r="B65" s="137" t="s">
        <v>366</v>
      </c>
      <c r="C65" s="137">
        <v>2018</v>
      </c>
      <c r="D65" s="138" t="s">
        <v>393</v>
      </c>
      <c r="E65" s="137" t="s">
        <v>133</v>
      </c>
      <c r="F65" s="137" t="s">
        <v>241</v>
      </c>
      <c r="G65" s="137" t="s">
        <v>42</v>
      </c>
      <c r="H65" s="247" t="s">
        <v>128</v>
      </c>
      <c r="I65" s="247" t="s">
        <v>411</v>
      </c>
      <c r="J65" s="137" t="s">
        <v>80</v>
      </c>
      <c r="K65" s="247" t="s">
        <v>94</v>
      </c>
      <c r="L65" s="247">
        <v>1</v>
      </c>
      <c r="M65" s="247"/>
      <c r="N65" s="247">
        <v>1</v>
      </c>
      <c r="O65" s="247">
        <v>0.6</v>
      </c>
      <c r="P65" s="247">
        <v>0.6</v>
      </c>
      <c r="Q65" s="139">
        <f t="shared" si="0"/>
        <v>0.6</v>
      </c>
      <c r="R65" s="247">
        <v>17.399999999999999</v>
      </c>
      <c r="S65" s="247">
        <v>102</v>
      </c>
      <c r="T65" s="140">
        <f t="shared" si="1"/>
        <v>33</v>
      </c>
      <c r="U65" s="247">
        <v>105</v>
      </c>
      <c r="V65" s="141">
        <f t="shared" si="2"/>
        <v>3465</v>
      </c>
      <c r="W65" s="247">
        <v>12</v>
      </c>
      <c r="X65" s="137" t="s">
        <v>46</v>
      </c>
      <c r="Y65" s="247" t="s">
        <v>90</v>
      </c>
      <c r="Z65" s="247" t="s">
        <v>84</v>
      </c>
      <c r="AA65" s="247" t="s">
        <v>69</v>
      </c>
      <c r="AB65" s="137" t="s">
        <v>391</v>
      </c>
      <c r="AC65" s="142"/>
    </row>
    <row r="66" spans="1:29" x14ac:dyDescent="0.15">
      <c r="A66" s="137" t="s">
        <v>61</v>
      </c>
      <c r="B66" s="137" t="s">
        <v>366</v>
      </c>
      <c r="C66" s="137">
        <v>2018</v>
      </c>
      <c r="D66" s="138" t="s">
        <v>393</v>
      </c>
      <c r="E66" s="137" t="s">
        <v>133</v>
      </c>
      <c r="F66" s="137" t="s">
        <v>241</v>
      </c>
      <c r="G66" s="137" t="s">
        <v>42</v>
      </c>
      <c r="H66" s="247" t="s">
        <v>128</v>
      </c>
      <c r="I66" s="247" t="s">
        <v>153</v>
      </c>
      <c r="J66" s="137" t="s">
        <v>80</v>
      </c>
      <c r="K66" s="247" t="s">
        <v>94</v>
      </c>
      <c r="L66" s="247">
        <v>2</v>
      </c>
      <c r="M66" s="247"/>
      <c r="N66" s="247">
        <v>1</v>
      </c>
      <c r="O66" s="247">
        <v>0.5</v>
      </c>
      <c r="P66" s="247">
        <v>0.5</v>
      </c>
      <c r="Q66" s="139">
        <f t="shared" ref="Q66:Q82" si="3">IF(OR(O66="",P66=""),"",AVERAGE(O66,P66))</f>
        <v>0.5</v>
      </c>
      <c r="R66" s="247">
        <v>17.100000000000001</v>
      </c>
      <c r="S66" s="247">
        <v>102</v>
      </c>
      <c r="T66" s="140">
        <f t="shared" ref="T66:T82" si="4">IF(H66="","",IF(OR(H66="GREEN",H66="GK"),IF(S66&gt;=$AX$2,VLOOKUP(S66,$AX$2:$AY$15,2,1),""),IF(S66&gt;=$AZ$2,VLOOKUP(S66,$AZ$2:$BA$15,2,1),"")))</f>
        <v>33</v>
      </c>
      <c r="U66" s="247">
        <v>105</v>
      </c>
      <c r="V66" s="141">
        <f t="shared" ref="V66:V82" si="5">IF(OR(N66="",U66="",T66=""),"",U66/N66*T66)</f>
        <v>3465</v>
      </c>
      <c r="W66" s="247">
        <v>12</v>
      </c>
      <c r="X66" s="137" t="s">
        <v>46</v>
      </c>
      <c r="Y66" s="247" t="s">
        <v>90</v>
      </c>
      <c r="Z66" s="247" t="s">
        <v>84</v>
      </c>
      <c r="AA66" s="247" t="s">
        <v>69</v>
      </c>
      <c r="AB66" s="137" t="s">
        <v>391</v>
      </c>
      <c r="AC66" s="142"/>
    </row>
    <row r="67" spans="1:29" x14ac:dyDescent="0.15">
      <c r="A67" s="137" t="s">
        <v>61</v>
      </c>
      <c r="B67" s="137" t="s">
        <v>366</v>
      </c>
      <c r="C67" s="137">
        <v>2018</v>
      </c>
      <c r="D67" s="138" t="s">
        <v>393</v>
      </c>
      <c r="E67" s="137" t="s">
        <v>133</v>
      </c>
      <c r="F67" s="137" t="s">
        <v>241</v>
      </c>
      <c r="G67" s="137" t="s">
        <v>42</v>
      </c>
      <c r="H67" s="247" t="s">
        <v>128</v>
      </c>
      <c r="I67" s="247" t="s">
        <v>153</v>
      </c>
      <c r="J67" s="137" t="s">
        <v>80</v>
      </c>
      <c r="K67" s="247" t="s">
        <v>94</v>
      </c>
      <c r="L67" s="247">
        <v>3</v>
      </c>
      <c r="M67" s="247"/>
      <c r="N67" s="247">
        <v>1</v>
      </c>
      <c r="O67" s="247">
        <v>0.5</v>
      </c>
      <c r="P67" s="247">
        <v>0.5</v>
      </c>
      <c r="Q67" s="139">
        <f t="shared" si="3"/>
        <v>0.5</v>
      </c>
      <c r="R67" s="247">
        <v>17</v>
      </c>
      <c r="S67" s="247">
        <v>101</v>
      </c>
      <c r="T67" s="140">
        <f t="shared" si="4"/>
        <v>33</v>
      </c>
      <c r="U67" s="247">
        <v>105</v>
      </c>
      <c r="V67" s="141">
        <f t="shared" si="5"/>
        <v>3465</v>
      </c>
      <c r="W67" s="247">
        <v>12</v>
      </c>
      <c r="X67" s="137" t="s">
        <v>46</v>
      </c>
      <c r="Y67" s="247" t="s">
        <v>90</v>
      </c>
      <c r="Z67" s="247" t="s">
        <v>84</v>
      </c>
      <c r="AA67" s="247" t="s">
        <v>69</v>
      </c>
      <c r="AB67" s="137" t="s">
        <v>391</v>
      </c>
      <c r="AC67" s="142"/>
    </row>
    <row r="68" spans="1:29" x14ac:dyDescent="0.15">
      <c r="A68" s="137" t="s">
        <v>61</v>
      </c>
      <c r="B68" s="137" t="s">
        <v>366</v>
      </c>
      <c r="C68" s="137">
        <v>2018</v>
      </c>
      <c r="D68" s="138" t="s">
        <v>393</v>
      </c>
      <c r="E68" s="137" t="s">
        <v>242</v>
      </c>
      <c r="F68" s="137" t="s">
        <v>243</v>
      </c>
      <c r="G68" s="137" t="s">
        <v>42</v>
      </c>
      <c r="H68" s="247" t="s">
        <v>155</v>
      </c>
      <c r="I68" s="247" t="s">
        <v>153</v>
      </c>
      <c r="J68" s="137" t="s">
        <v>38</v>
      </c>
      <c r="K68" s="247" t="s">
        <v>154</v>
      </c>
      <c r="L68" s="247">
        <v>1</v>
      </c>
      <c r="M68" s="247"/>
      <c r="N68" s="247">
        <v>4</v>
      </c>
      <c r="O68" s="247">
        <v>0.5</v>
      </c>
      <c r="P68" s="247">
        <v>0.65</v>
      </c>
      <c r="Q68" s="139">
        <f t="shared" si="3"/>
        <v>0.57499999999999996</v>
      </c>
      <c r="R68" s="247">
        <v>17.600000000000001</v>
      </c>
      <c r="S68" s="247">
        <v>103</v>
      </c>
      <c r="T68" s="140">
        <f t="shared" si="4"/>
        <v>33</v>
      </c>
      <c r="U68" s="247">
        <v>298</v>
      </c>
      <c r="V68" s="141">
        <f t="shared" si="5"/>
        <v>2458.5</v>
      </c>
      <c r="W68" s="247">
        <v>20</v>
      </c>
      <c r="X68" s="137" t="s">
        <v>46</v>
      </c>
      <c r="Y68" s="247" t="s">
        <v>90</v>
      </c>
      <c r="Z68" s="247" t="s">
        <v>69</v>
      </c>
      <c r="AA68" s="247" t="s">
        <v>78</v>
      </c>
      <c r="AB68" s="137" t="s">
        <v>391</v>
      </c>
      <c r="AC68" s="247"/>
    </row>
    <row r="69" spans="1:29" x14ac:dyDescent="0.15">
      <c r="A69" s="137" t="s">
        <v>61</v>
      </c>
      <c r="B69" s="137" t="s">
        <v>366</v>
      </c>
      <c r="C69" s="137">
        <v>2018</v>
      </c>
      <c r="D69" s="138" t="s">
        <v>393</v>
      </c>
      <c r="E69" s="137" t="s">
        <v>242</v>
      </c>
      <c r="F69" s="137" t="s">
        <v>243</v>
      </c>
      <c r="G69" s="137" t="s">
        <v>42</v>
      </c>
      <c r="H69" s="247" t="s">
        <v>155</v>
      </c>
      <c r="I69" s="247" t="s">
        <v>153</v>
      </c>
      <c r="J69" s="137" t="s">
        <v>38</v>
      </c>
      <c r="K69" s="247" t="s">
        <v>154</v>
      </c>
      <c r="L69" s="247">
        <v>2</v>
      </c>
      <c r="M69" s="247"/>
      <c r="N69" s="247">
        <v>4</v>
      </c>
      <c r="O69" s="247">
        <v>0.6</v>
      </c>
      <c r="P69" s="247">
        <v>0.6</v>
      </c>
      <c r="Q69" s="139">
        <f t="shared" si="3"/>
        <v>0.6</v>
      </c>
      <c r="R69" s="247">
        <v>17.399999999999999</v>
      </c>
      <c r="S69" s="247">
        <v>105</v>
      </c>
      <c r="T69" s="140">
        <f t="shared" si="4"/>
        <v>33</v>
      </c>
      <c r="U69" s="247">
        <v>298</v>
      </c>
      <c r="V69" s="141">
        <f t="shared" si="5"/>
        <v>2458.5</v>
      </c>
      <c r="W69" s="247">
        <v>20</v>
      </c>
      <c r="X69" s="137" t="s">
        <v>46</v>
      </c>
      <c r="Y69" s="247" t="s">
        <v>90</v>
      </c>
      <c r="Z69" s="247" t="s">
        <v>69</v>
      </c>
      <c r="AA69" s="247" t="s">
        <v>78</v>
      </c>
      <c r="AB69" s="137" t="s">
        <v>391</v>
      </c>
      <c r="AC69" s="247"/>
    </row>
    <row r="70" spans="1:29" x14ac:dyDescent="0.15">
      <c r="A70" s="137" t="s">
        <v>61</v>
      </c>
      <c r="B70" s="137" t="s">
        <v>366</v>
      </c>
      <c r="C70" s="137">
        <v>2018</v>
      </c>
      <c r="D70" s="138" t="s">
        <v>393</v>
      </c>
      <c r="E70" s="137" t="s">
        <v>242</v>
      </c>
      <c r="F70" s="137" t="s">
        <v>243</v>
      </c>
      <c r="G70" s="137" t="s">
        <v>42</v>
      </c>
      <c r="H70" s="247" t="s">
        <v>155</v>
      </c>
      <c r="I70" s="247" t="s">
        <v>153</v>
      </c>
      <c r="J70" s="137" t="s">
        <v>38</v>
      </c>
      <c r="K70" s="247" t="s">
        <v>154</v>
      </c>
      <c r="L70" s="247">
        <v>3</v>
      </c>
      <c r="M70" s="247"/>
      <c r="N70" s="247">
        <v>4</v>
      </c>
      <c r="O70" s="247">
        <v>0.5</v>
      </c>
      <c r="P70" s="247">
        <v>0.6</v>
      </c>
      <c r="Q70" s="139">
        <f t="shared" si="3"/>
        <v>0.55000000000000004</v>
      </c>
      <c r="R70" s="247">
        <v>17.399999999999999</v>
      </c>
      <c r="S70" s="247">
        <v>98</v>
      </c>
      <c r="T70" s="140">
        <f t="shared" si="4"/>
        <v>36</v>
      </c>
      <c r="U70" s="247">
        <v>298</v>
      </c>
      <c r="V70" s="141">
        <f t="shared" si="5"/>
        <v>2682</v>
      </c>
      <c r="W70" s="247">
        <v>20</v>
      </c>
      <c r="X70" s="137" t="s">
        <v>46</v>
      </c>
      <c r="Y70" s="247" t="s">
        <v>90</v>
      </c>
      <c r="Z70" s="247" t="s">
        <v>69</v>
      </c>
      <c r="AA70" s="247" t="s">
        <v>78</v>
      </c>
      <c r="AB70" s="137" t="s">
        <v>391</v>
      </c>
      <c r="AC70" s="247"/>
    </row>
    <row r="71" spans="1:29" x14ac:dyDescent="0.15">
      <c r="A71" s="137" t="s">
        <v>61</v>
      </c>
      <c r="B71" s="137" t="s">
        <v>366</v>
      </c>
      <c r="C71" s="137">
        <v>2018</v>
      </c>
      <c r="D71" s="138" t="s">
        <v>393</v>
      </c>
      <c r="E71" s="137" t="s">
        <v>242</v>
      </c>
      <c r="F71" s="137" t="s">
        <v>243</v>
      </c>
      <c r="G71" s="137" t="s">
        <v>42</v>
      </c>
      <c r="H71" s="247" t="s">
        <v>157</v>
      </c>
      <c r="I71" s="247" t="s">
        <v>153</v>
      </c>
      <c r="J71" s="137" t="s">
        <v>38</v>
      </c>
      <c r="K71" s="247" t="s">
        <v>154</v>
      </c>
      <c r="L71" s="247">
        <v>1</v>
      </c>
      <c r="M71" s="247"/>
      <c r="N71" s="247">
        <v>1</v>
      </c>
      <c r="O71" s="247">
        <v>0.5</v>
      </c>
      <c r="P71" s="247">
        <v>0.5</v>
      </c>
      <c r="Q71" s="139">
        <f t="shared" si="3"/>
        <v>0.5</v>
      </c>
      <c r="R71" s="247">
        <v>17.8</v>
      </c>
      <c r="S71" s="247">
        <v>134</v>
      </c>
      <c r="T71" s="140">
        <f t="shared" si="4"/>
        <v>25</v>
      </c>
      <c r="U71" s="247">
        <v>158</v>
      </c>
      <c r="V71" s="141">
        <f t="shared" si="5"/>
        <v>3950</v>
      </c>
      <c r="W71" s="247">
        <v>20</v>
      </c>
      <c r="X71" s="137" t="s">
        <v>46</v>
      </c>
      <c r="Y71" s="247" t="s">
        <v>90</v>
      </c>
      <c r="Z71" s="247" t="s">
        <v>69</v>
      </c>
      <c r="AA71" s="247" t="s">
        <v>78</v>
      </c>
      <c r="AB71" s="137" t="s">
        <v>391</v>
      </c>
      <c r="AC71" s="247"/>
    </row>
    <row r="72" spans="1:29" x14ac:dyDescent="0.15">
      <c r="A72" s="137" t="s">
        <v>61</v>
      </c>
      <c r="B72" s="137" t="s">
        <v>366</v>
      </c>
      <c r="C72" s="137">
        <v>2018</v>
      </c>
      <c r="D72" s="138" t="s">
        <v>393</v>
      </c>
      <c r="E72" s="137" t="s">
        <v>242</v>
      </c>
      <c r="F72" s="137" t="s">
        <v>243</v>
      </c>
      <c r="G72" s="137" t="s">
        <v>42</v>
      </c>
      <c r="H72" s="247" t="s">
        <v>157</v>
      </c>
      <c r="I72" s="247" t="s">
        <v>153</v>
      </c>
      <c r="J72" s="137" t="s">
        <v>38</v>
      </c>
      <c r="K72" s="247" t="s">
        <v>154</v>
      </c>
      <c r="L72" s="247">
        <v>2</v>
      </c>
      <c r="M72" s="247"/>
      <c r="N72" s="247">
        <v>1</v>
      </c>
      <c r="O72" s="247">
        <v>0.5</v>
      </c>
      <c r="P72" s="247">
        <v>0.55000000000000004</v>
      </c>
      <c r="Q72" s="139">
        <f t="shared" si="3"/>
        <v>0.52500000000000002</v>
      </c>
      <c r="R72" s="247">
        <v>17.399999999999999</v>
      </c>
      <c r="S72" s="247">
        <v>135</v>
      </c>
      <c r="T72" s="140">
        <f t="shared" si="4"/>
        <v>25</v>
      </c>
      <c r="U72" s="247">
        <v>158</v>
      </c>
      <c r="V72" s="141">
        <f t="shared" si="5"/>
        <v>3950</v>
      </c>
      <c r="W72" s="247">
        <v>20</v>
      </c>
      <c r="X72" s="137" t="s">
        <v>46</v>
      </c>
      <c r="Y72" s="247" t="s">
        <v>90</v>
      </c>
      <c r="Z72" s="247" t="s">
        <v>69</v>
      </c>
      <c r="AA72" s="247" t="s">
        <v>78</v>
      </c>
      <c r="AB72" s="137" t="s">
        <v>391</v>
      </c>
      <c r="AC72" s="247"/>
    </row>
    <row r="73" spans="1:29" x14ac:dyDescent="0.15">
      <c r="A73" s="137" t="s">
        <v>61</v>
      </c>
      <c r="B73" s="137" t="s">
        <v>366</v>
      </c>
      <c r="C73" s="137">
        <v>2018</v>
      </c>
      <c r="D73" s="138" t="s">
        <v>393</v>
      </c>
      <c r="E73" s="137" t="s">
        <v>242</v>
      </c>
      <c r="F73" s="137" t="s">
        <v>243</v>
      </c>
      <c r="G73" s="137" t="s">
        <v>42</v>
      </c>
      <c r="H73" s="247" t="s">
        <v>157</v>
      </c>
      <c r="I73" s="247" t="s">
        <v>153</v>
      </c>
      <c r="J73" s="137" t="s">
        <v>38</v>
      </c>
      <c r="K73" s="247" t="s">
        <v>154</v>
      </c>
      <c r="L73" s="247">
        <v>3</v>
      </c>
      <c r="M73" s="247"/>
      <c r="N73" s="247">
        <v>1</v>
      </c>
      <c r="O73" s="247">
        <v>0.5</v>
      </c>
      <c r="P73" s="247">
        <v>0.5</v>
      </c>
      <c r="Q73" s="139">
        <f t="shared" si="3"/>
        <v>0.5</v>
      </c>
      <c r="R73" s="247">
        <v>17.399999999999999</v>
      </c>
      <c r="S73" s="247">
        <v>135</v>
      </c>
      <c r="T73" s="140">
        <f t="shared" si="4"/>
        <v>25</v>
      </c>
      <c r="U73" s="247">
        <v>158</v>
      </c>
      <c r="V73" s="141">
        <f t="shared" si="5"/>
        <v>3950</v>
      </c>
      <c r="W73" s="247">
        <v>20</v>
      </c>
      <c r="X73" s="137" t="s">
        <v>46</v>
      </c>
      <c r="Y73" s="247" t="s">
        <v>90</v>
      </c>
      <c r="Z73" s="247" t="s">
        <v>69</v>
      </c>
      <c r="AA73" s="247" t="s">
        <v>78</v>
      </c>
      <c r="AB73" s="137" t="s">
        <v>391</v>
      </c>
      <c r="AC73" s="247"/>
    </row>
    <row r="74" spans="1:29" x14ac:dyDescent="0.15">
      <c r="A74" s="137" t="s">
        <v>61</v>
      </c>
      <c r="B74" s="137" t="s">
        <v>366</v>
      </c>
      <c r="C74" s="137">
        <v>2018</v>
      </c>
      <c r="D74" s="138" t="s">
        <v>393</v>
      </c>
      <c r="E74" s="137" t="s">
        <v>244</v>
      </c>
      <c r="F74" s="137" t="s">
        <v>243</v>
      </c>
      <c r="G74" s="137" t="s">
        <v>42</v>
      </c>
      <c r="H74" s="247" t="s">
        <v>155</v>
      </c>
      <c r="I74" s="247" t="s">
        <v>153</v>
      </c>
      <c r="J74" s="137" t="s">
        <v>38</v>
      </c>
      <c r="K74" s="247" t="s">
        <v>154</v>
      </c>
      <c r="L74" s="247">
        <v>1</v>
      </c>
      <c r="M74" s="247"/>
      <c r="N74" s="247">
        <v>4</v>
      </c>
      <c r="O74" s="247">
        <v>0.65</v>
      </c>
      <c r="P74" s="247">
        <v>0.6</v>
      </c>
      <c r="Q74" s="139">
        <f t="shared" si="3"/>
        <v>0.625</v>
      </c>
      <c r="R74" s="247">
        <v>15.1</v>
      </c>
      <c r="S74" s="247">
        <v>93</v>
      </c>
      <c r="T74" s="140">
        <f t="shared" si="4"/>
        <v>36</v>
      </c>
      <c r="U74" s="247">
        <v>321</v>
      </c>
      <c r="V74" s="141">
        <f t="shared" si="5"/>
        <v>2889</v>
      </c>
      <c r="W74" s="247">
        <v>16</v>
      </c>
      <c r="X74" s="137" t="s">
        <v>46</v>
      </c>
      <c r="Y74" s="247" t="s">
        <v>90</v>
      </c>
      <c r="Z74" s="247" t="s">
        <v>50</v>
      </c>
      <c r="AA74" s="247" t="s">
        <v>69</v>
      </c>
      <c r="AB74" s="137" t="s">
        <v>391</v>
      </c>
      <c r="AC74" s="247"/>
    </row>
    <row r="75" spans="1:29" x14ac:dyDescent="0.15">
      <c r="A75" s="137" t="s">
        <v>61</v>
      </c>
      <c r="B75" s="137" t="s">
        <v>366</v>
      </c>
      <c r="C75" s="137">
        <v>2018</v>
      </c>
      <c r="D75" s="138" t="s">
        <v>393</v>
      </c>
      <c r="E75" s="137" t="s">
        <v>244</v>
      </c>
      <c r="F75" s="137" t="s">
        <v>243</v>
      </c>
      <c r="G75" s="137" t="s">
        <v>42</v>
      </c>
      <c r="H75" s="247" t="s">
        <v>155</v>
      </c>
      <c r="I75" s="247" t="s">
        <v>153</v>
      </c>
      <c r="J75" s="137" t="s">
        <v>38</v>
      </c>
      <c r="K75" s="247" t="s">
        <v>154</v>
      </c>
      <c r="L75" s="247">
        <v>2</v>
      </c>
      <c r="M75" s="247"/>
      <c r="N75" s="247">
        <v>4</v>
      </c>
      <c r="O75" s="247">
        <v>0.6</v>
      </c>
      <c r="P75" s="247">
        <v>0.6</v>
      </c>
      <c r="Q75" s="139">
        <f t="shared" si="3"/>
        <v>0.6</v>
      </c>
      <c r="R75" s="247">
        <v>16.399999999999999</v>
      </c>
      <c r="S75" s="247">
        <v>101</v>
      </c>
      <c r="T75" s="140">
        <f t="shared" si="4"/>
        <v>33</v>
      </c>
      <c r="U75" s="247">
        <v>321</v>
      </c>
      <c r="V75" s="141">
        <f t="shared" si="5"/>
        <v>2648.25</v>
      </c>
      <c r="W75" s="247">
        <v>16</v>
      </c>
      <c r="X75" s="137" t="s">
        <v>46</v>
      </c>
      <c r="Y75" s="247" t="s">
        <v>90</v>
      </c>
      <c r="Z75" s="247" t="s">
        <v>50</v>
      </c>
      <c r="AA75" s="247" t="s">
        <v>69</v>
      </c>
      <c r="AB75" s="137" t="s">
        <v>391</v>
      </c>
      <c r="AC75" s="247"/>
    </row>
    <row r="76" spans="1:29" x14ac:dyDescent="0.15">
      <c r="A76" s="137" t="s">
        <v>61</v>
      </c>
      <c r="B76" s="137" t="s">
        <v>366</v>
      </c>
      <c r="C76" s="137">
        <v>2018</v>
      </c>
      <c r="D76" s="138" t="s">
        <v>393</v>
      </c>
      <c r="E76" s="137" t="s">
        <v>244</v>
      </c>
      <c r="F76" s="137" t="s">
        <v>243</v>
      </c>
      <c r="G76" s="137" t="s">
        <v>42</v>
      </c>
      <c r="H76" s="247" t="s">
        <v>155</v>
      </c>
      <c r="I76" s="247" t="s">
        <v>153</v>
      </c>
      <c r="J76" s="137" t="s">
        <v>38</v>
      </c>
      <c r="K76" s="247" t="s">
        <v>154</v>
      </c>
      <c r="L76" s="247">
        <v>3</v>
      </c>
      <c r="M76" s="247"/>
      <c r="N76" s="247">
        <v>4</v>
      </c>
      <c r="O76" s="247">
        <v>0.6</v>
      </c>
      <c r="P76" s="247">
        <v>0.5</v>
      </c>
      <c r="Q76" s="139">
        <f t="shared" si="3"/>
        <v>0.55000000000000004</v>
      </c>
      <c r="R76" s="247">
        <v>16.8</v>
      </c>
      <c r="S76" s="247">
        <v>93</v>
      </c>
      <c r="T76" s="140">
        <f t="shared" si="4"/>
        <v>36</v>
      </c>
      <c r="U76" s="247">
        <v>321</v>
      </c>
      <c r="V76" s="141">
        <f t="shared" si="5"/>
        <v>2889</v>
      </c>
      <c r="W76" s="247">
        <v>16</v>
      </c>
      <c r="X76" s="137" t="s">
        <v>46</v>
      </c>
      <c r="Y76" s="247" t="s">
        <v>90</v>
      </c>
      <c r="Z76" s="247" t="s">
        <v>50</v>
      </c>
      <c r="AA76" s="247" t="s">
        <v>69</v>
      </c>
      <c r="AB76" s="137" t="s">
        <v>391</v>
      </c>
      <c r="AC76" s="247"/>
    </row>
    <row r="77" spans="1:29" x14ac:dyDescent="0.15">
      <c r="A77" s="137" t="s">
        <v>61</v>
      </c>
      <c r="B77" s="137" t="s">
        <v>366</v>
      </c>
      <c r="C77" s="137">
        <v>2018</v>
      </c>
      <c r="D77" s="138" t="s">
        <v>393</v>
      </c>
      <c r="E77" s="137" t="s">
        <v>244</v>
      </c>
      <c r="F77" s="137" t="s">
        <v>243</v>
      </c>
      <c r="G77" s="137" t="s">
        <v>42</v>
      </c>
      <c r="H77" s="247" t="s">
        <v>157</v>
      </c>
      <c r="I77" s="247" t="s">
        <v>153</v>
      </c>
      <c r="J77" s="137" t="s">
        <v>38</v>
      </c>
      <c r="K77" s="247" t="s">
        <v>154</v>
      </c>
      <c r="L77" s="247">
        <v>1</v>
      </c>
      <c r="M77" s="247"/>
      <c r="N77" s="247">
        <v>1</v>
      </c>
      <c r="O77" s="247">
        <v>0.5</v>
      </c>
      <c r="P77" s="247">
        <v>0.6</v>
      </c>
      <c r="Q77" s="139">
        <f t="shared" si="3"/>
        <v>0.55000000000000004</v>
      </c>
      <c r="R77" s="247">
        <v>17.100000000000001</v>
      </c>
      <c r="S77" s="247">
        <v>140</v>
      </c>
      <c r="T77" s="140">
        <f t="shared" si="4"/>
        <v>22</v>
      </c>
      <c r="U77" s="247">
        <v>159</v>
      </c>
      <c r="V77" s="141">
        <f t="shared" si="5"/>
        <v>3498</v>
      </c>
      <c r="W77" s="247">
        <v>16</v>
      </c>
      <c r="X77" s="137" t="s">
        <v>46</v>
      </c>
      <c r="Y77" s="247" t="s">
        <v>90</v>
      </c>
      <c r="Z77" s="247" t="s">
        <v>50</v>
      </c>
      <c r="AA77" s="247" t="s">
        <v>69</v>
      </c>
      <c r="AB77" s="137" t="s">
        <v>391</v>
      </c>
      <c r="AC77" s="247"/>
    </row>
    <row r="78" spans="1:29" x14ac:dyDescent="0.15">
      <c r="A78" s="137" t="s">
        <v>61</v>
      </c>
      <c r="B78" s="137" t="s">
        <v>366</v>
      </c>
      <c r="C78" s="137">
        <v>2018</v>
      </c>
      <c r="D78" s="138" t="s">
        <v>393</v>
      </c>
      <c r="E78" s="137" t="s">
        <v>244</v>
      </c>
      <c r="F78" s="137" t="s">
        <v>243</v>
      </c>
      <c r="G78" s="137" t="s">
        <v>42</v>
      </c>
      <c r="H78" s="247" t="s">
        <v>157</v>
      </c>
      <c r="I78" s="247" t="s">
        <v>153</v>
      </c>
      <c r="J78" s="137" t="s">
        <v>38</v>
      </c>
      <c r="K78" s="247" t="s">
        <v>154</v>
      </c>
      <c r="L78" s="247">
        <v>2</v>
      </c>
      <c r="M78" s="247"/>
      <c r="N78" s="247">
        <v>1</v>
      </c>
      <c r="O78" s="247">
        <v>0.6</v>
      </c>
      <c r="P78" s="247">
        <v>0.65</v>
      </c>
      <c r="Q78" s="139">
        <f t="shared" si="3"/>
        <v>0.625</v>
      </c>
      <c r="R78" s="247">
        <v>17</v>
      </c>
      <c r="S78" s="247">
        <v>142</v>
      </c>
      <c r="T78" s="140">
        <f t="shared" si="4"/>
        <v>22</v>
      </c>
      <c r="U78" s="247">
        <v>159</v>
      </c>
      <c r="V78" s="141">
        <f t="shared" si="5"/>
        <v>3498</v>
      </c>
      <c r="W78" s="247">
        <v>16</v>
      </c>
      <c r="X78" s="137" t="s">
        <v>46</v>
      </c>
      <c r="Y78" s="247" t="s">
        <v>90</v>
      </c>
      <c r="Z78" s="247" t="s">
        <v>50</v>
      </c>
      <c r="AA78" s="247" t="s">
        <v>69</v>
      </c>
      <c r="AB78" s="137" t="s">
        <v>391</v>
      </c>
      <c r="AC78" s="247"/>
    </row>
    <row r="79" spans="1:29" x14ac:dyDescent="0.15">
      <c r="A79" s="137" t="s">
        <v>61</v>
      </c>
      <c r="B79" s="137" t="s">
        <v>366</v>
      </c>
      <c r="C79" s="137">
        <v>2018</v>
      </c>
      <c r="D79" s="138" t="s">
        <v>393</v>
      </c>
      <c r="E79" s="137" t="s">
        <v>244</v>
      </c>
      <c r="F79" s="137" t="s">
        <v>243</v>
      </c>
      <c r="G79" s="137" t="s">
        <v>42</v>
      </c>
      <c r="H79" s="247" t="s">
        <v>157</v>
      </c>
      <c r="I79" s="247" t="s">
        <v>153</v>
      </c>
      <c r="J79" s="137" t="s">
        <v>38</v>
      </c>
      <c r="K79" s="247" t="s">
        <v>154</v>
      </c>
      <c r="L79" s="247">
        <v>3</v>
      </c>
      <c r="M79" s="247"/>
      <c r="N79" s="247">
        <v>1</v>
      </c>
      <c r="O79" s="247">
        <v>0.6</v>
      </c>
      <c r="P79" s="247">
        <v>0.6</v>
      </c>
      <c r="Q79" s="139">
        <f t="shared" si="3"/>
        <v>0.6</v>
      </c>
      <c r="R79" s="247">
        <v>17.399999999999999</v>
      </c>
      <c r="S79" s="247">
        <v>138</v>
      </c>
      <c r="T79" s="140">
        <f t="shared" si="4"/>
        <v>22</v>
      </c>
      <c r="U79" s="247">
        <v>159</v>
      </c>
      <c r="V79" s="141">
        <f t="shared" si="5"/>
        <v>3498</v>
      </c>
      <c r="W79" s="247">
        <v>16</v>
      </c>
      <c r="X79" s="137" t="s">
        <v>46</v>
      </c>
      <c r="Y79" s="247" t="s">
        <v>90</v>
      </c>
      <c r="Z79" s="247" t="s">
        <v>50</v>
      </c>
      <c r="AA79" s="247" t="s">
        <v>69</v>
      </c>
      <c r="AB79" s="137" t="s">
        <v>391</v>
      </c>
      <c r="AC79" s="247"/>
    </row>
    <row r="80" spans="1:29" x14ac:dyDescent="0.15">
      <c r="A80" s="137" t="s">
        <v>61</v>
      </c>
      <c r="B80" s="137" t="s">
        <v>366</v>
      </c>
      <c r="C80" s="137">
        <v>2018</v>
      </c>
      <c r="D80" s="138" t="s">
        <v>393</v>
      </c>
      <c r="E80" s="137" t="s">
        <v>244</v>
      </c>
      <c r="F80" s="137" t="s">
        <v>243</v>
      </c>
      <c r="G80" s="137" t="s">
        <v>42</v>
      </c>
      <c r="H80" s="247" t="s">
        <v>128</v>
      </c>
      <c r="I80" s="247" t="s">
        <v>411</v>
      </c>
      <c r="J80" s="137" t="s">
        <v>80</v>
      </c>
      <c r="K80" s="247" t="s">
        <v>94</v>
      </c>
      <c r="L80" s="247">
        <v>1</v>
      </c>
      <c r="M80" s="247"/>
      <c r="N80" s="247">
        <v>5</v>
      </c>
      <c r="O80" s="247">
        <v>0.5</v>
      </c>
      <c r="P80" s="247">
        <v>0.5</v>
      </c>
      <c r="Q80" s="139">
        <f t="shared" si="3"/>
        <v>0.5</v>
      </c>
      <c r="R80" s="247">
        <v>17.3</v>
      </c>
      <c r="S80" s="247">
        <v>65</v>
      </c>
      <c r="T80" s="140">
        <f t="shared" si="4"/>
        <v>50</v>
      </c>
      <c r="U80" s="247">
        <v>429</v>
      </c>
      <c r="V80" s="141">
        <f t="shared" si="5"/>
        <v>4290</v>
      </c>
      <c r="W80" s="247">
        <v>16</v>
      </c>
      <c r="X80" s="137" t="s">
        <v>46</v>
      </c>
      <c r="Y80" s="247" t="s">
        <v>90</v>
      </c>
      <c r="Z80" s="247" t="s">
        <v>50</v>
      </c>
      <c r="AA80" s="247" t="s">
        <v>69</v>
      </c>
      <c r="AB80" s="137" t="s">
        <v>391</v>
      </c>
      <c r="AC80" s="247"/>
    </row>
    <row r="81" spans="1:29" x14ac:dyDescent="0.15">
      <c r="A81" s="137" t="s">
        <v>61</v>
      </c>
      <c r="B81" s="137" t="s">
        <v>366</v>
      </c>
      <c r="C81" s="137">
        <v>2018</v>
      </c>
      <c r="D81" s="138" t="s">
        <v>393</v>
      </c>
      <c r="E81" s="137" t="s">
        <v>244</v>
      </c>
      <c r="F81" s="137" t="s">
        <v>243</v>
      </c>
      <c r="G81" s="137" t="s">
        <v>42</v>
      </c>
      <c r="H81" s="247" t="s">
        <v>128</v>
      </c>
      <c r="I81" s="247" t="s">
        <v>153</v>
      </c>
      <c r="J81" s="137" t="s">
        <v>80</v>
      </c>
      <c r="K81" s="247" t="s">
        <v>94</v>
      </c>
      <c r="L81" s="247">
        <v>2</v>
      </c>
      <c r="M81" s="247"/>
      <c r="N81" s="247">
        <v>5</v>
      </c>
      <c r="O81" s="247">
        <v>0.5</v>
      </c>
      <c r="P81" s="247">
        <v>0.5</v>
      </c>
      <c r="Q81" s="139">
        <f t="shared" si="3"/>
        <v>0.5</v>
      </c>
      <c r="R81" s="247">
        <v>17.3</v>
      </c>
      <c r="S81" s="247">
        <v>57</v>
      </c>
      <c r="T81" s="140">
        <f t="shared" si="4"/>
        <v>50</v>
      </c>
      <c r="U81" s="247">
        <v>429</v>
      </c>
      <c r="V81" s="141">
        <f t="shared" si="5"/>
        <v>4290</v>
      </c>
      <c r="W81" s="247">
        <v>16</v>
      </c>
      <c r="X81" s="137" t="s">
        <v>46</v>
      </c>
      <c r="Y81" s="247" t="s">
        <v>90</v>
      </c>
      <c r="Z81" s="247" t="s">
        <v>50</v>
      </c>
      <c r="AA81" s="247" t="s">
        <v>69</v>
      </c>
      <c r="AB81" s="137" t="s">
        <v>391</v>
      </c>
      <c r="AC81" s="247"/>
    </row>
    <row r="82" spans="1:29" x14ac:dyDescent="0.15">
      <c r="A82" s="137" t="s">
        <v>61</v>
      </c>
      <c r="B82" s="137" t="s">
        <v>366</v>
      </c>
      <c r="C82" s="137">
        <v>2018</v>
      </c>
      <c r="D82" s="138" t="s">
        <v>393</v>
      </c>
      <c r="E82" s="137" t="s">
        <v>244</v>
      </c>
      <c r="F82" s="137" t="s">
        <v>243</v>
      </c>
      <c r="G82" s="137" t="s">
        <v>42</v>
      </c>
      <c r="H82" s="247" t="s">
        <v>128</v>
      </c>
      <c r="I82" s="247" t="s">
        <v>153</v>
      </c>
      <c r="J82" s="137" t="s">
        <v>80</v>
      </c>
      <c r="K82" s="247" t="s">
        <v>94</v>
      </c>
      <c r="L82" s="247">
        <v>3</v>
      </c>
      <c r="M82" s="247"/>
      <c r="N82" s="247">
        <v>5</v>
      </c>
      <c r="O82" s="247">
        <v>0.6</v>
      </c>
      <c r="P82" s="247">
        <v>0.55000000000000004</v>
      </c>
      <c r="Q82" s="139">
        <f t="shared" si="3"/>
        <v>0.57499999999999996</v>
      </c>
      <c r="R82" s="247">
        <v>17</v>
      </c>
      <c r="S82" s="247">
        <v>55</v>
      </c>
      <c r="T82" s="140">
        <f t="shared" si="4"/>
        <v>50</v>
      </c>
      <c r="U82" s="247">
        <v>429</v>
      </c>
      <c r="V82" s="141">
        <f t="shared" si="5"/>
        <v>4290</v>
      </c>
      <c r="W82" s="247">
        <v>16</v>
      </c>
      <c r="X82" s="137" t="s">
        <v>46</v>
      </c>
      <c r="Y82" s="247" t="s">
        <v>90</v>
      </c>
      <c r="Z82" s="247" t="s">
        <v>50</v>
      </c>
      <c r="AA82" s="247" t="s">
        <v>69</v>
      </c>
      <c r="AB82" s="137" t="s">
        <v>391</v>
      </c>
      <c r="AC82" s="247"/>
    </row>
    <row r="83" spans="1:29" x14ac:dyDescent="0.15">
      <c r="A83" s="137"/>
      <c r="B83" s="137"/>
      <c r="C83" s="137"/>
      <c r="D83" s="138"/>
      <c r="E83" s="247"/>
      <c r="F83" s="247"/>
      <c r="G83" s="137"/>
      <c r="H83" s="247"/>
      <c r="I83" s="247"/>
      <c r="J83" s="137"/>
      <c r="K83" s="247"/>
      <c r="L83" s="247"/>
      <c r="M83" s="247"/>
      <c r="N83" s="247"/>
      <c r="O83" s="247"/>
      <c r="P83" s="247"/>
      <c r="Q83" s="139"/>
      <c r="R83" s="247"/>
      <c r="S83" s="247"/>
      <c r="T83" s="140"/>
      <c r="U83" s="247"/>
      <c r="V83" s="141"/>
      <c r="W83" s="247"/>
      <c r="X83" s="137"/>
      <c r="Y83" s="247"/>
      <c r="Z83" s="247"/>
      <c r="AA83" s="247"/>
      <c r="AB83" s="137"/>
      <c r="AC83" s="247"/>
    </row>
    <row r="84" spans="1:29" x14ac:dyDescent="0.15">
      <c r="A84" s="137"/>
      <c r="B84" s="137"/>
      <c r="C84" s="137"/>
      <c r="D84" s="138"/>
      <c r="E84" s="247"/>
      <c r="F84" s="247"/>
      <c r="G84" s="137"/>
      <c r="H84" s="247"/>
      <c r="I84" s="247"/>
      <c r="J84" s="137"/>
      <c r="K84" s="247"/>
      <c r="L84" s="247"/>
      <c r="M84" s="247"/>
      <c r="N84" s="247"/>
      <c r="O84" s="247"/>
      <c r="P84" s="247"/>
      <c r="Q84" s="139"/>
      <c r="R84" s="247"/>
      <c r="S84" s="247"/>
      <c r="T84" s="140"/>
      <c r="U84" s="247"/>
      <c r="V84" s="141"/>
      <c r="W84" s="247"/>
      <c r="X84" s="137"/>
      <c r="Y84" s="247"/>
      <c r="Z84" s="247"/>
      <c r="AA84" s="247"/>
      <c r="AB84" s="137"/>
      <c r="AC84" s="247"/>
    </row>
    <row r="85" spans="1:29" x14ac:dyDescent="0.15">
      <c r="A85" s="137"/>
      <c r="B85" s="137"/>
      <c r="C85" s="137"/>
      <c r="D85" s="138"/>
      <c r="E85" s="247"/>
      <c r="F85" s="247"/>
      <c r="G85" s="137"/>
      <c r="H85" s="247"/>
      <c r="I85" s="247"/>
      <c r="J85" s="137"/>
      <c r="K85" s="247"/>
      <c r="L85" s="247"/>
      <c r="M85" s="247"/>
      <c r="N85" s="247"/>
      <c r="O85" s="247"/>
      <c r="P85" s="247"/>
      <c r="Q85" s="139"/>
      <c r="R85" s="247"/>
      <c r="S85" s="247"/>
      <c r="T85" s="140"/>
      <c r="U85" s="247"/>
      <c r="V85" s="141"/>
      <c r="W85" s="247"/>
      <c r="X85" s="137"/>
      <c r="Y85" s="247"/>
      <c r="Z85" s="247"/>
      <c r="AA85" s="247"/>
      <c r="AB85" s="137"/>
      <c r="AC85" s="247"/>
    </row>
    <row r="86" spans="1:29" x14ac:dyDescent="0.15">
      <c r="A86" s="137"/>
      <c r="B86" s="137"/>
      <c r="C86" s="137"/>
      <c r="D86" s="138"/>
      <c r="E86" s="247"/>
      <c r="F86" s="247"/>
      <c r="G86" s="137"/>
      <c r="H86" s="247"/>
      <c r="I86" s="247"/>
      <c r="J86" s="137"/>
      <c r="K86" s="247"/>
      <c r="L86" s="247"/>
      <c r="M86" s="247"/>
      <c r="N86" s="247"/>
      <c r="O86" s="247"/>
      <c r="P86" s="247"/>
      <c r="Q86" s="139"/>
      <c r="R86" s="247"/>
      <c r="S86" s="247"/>
      <c r="T86" s="140"/>
      <c r="U86" s="247"/>
      <c r="V86" s="141"/>
      <c r="W86" s="247"/>
      <c r="X86" s="137"/>
      <c r="Y86" s="247"/>
      <c r="Z86" s="247"/>
      <c r="AA86" s="247"/>
      <c r="AB86" s="137"/>
      <c r="AC86" s="247"/>
    </row>
    <row r="87" spans="1:29" x14ac:dyDescent="0.15">
      <c r="A87" s="137"/>
      <c r="B87" s="137"/>
      <c r="C87" s="137"/>
      <c r="D87" s="138"/>
      <c r="E87" s="247"/>
      <c r="F87" s="247"/>
      <c r="G87" s="137"/>
      <c r="H87" s="247"/>
      <c r="I87" s="247"/>
      <c r="J87" s="137"/>
      <c r="K87" s="247"/>
      <c r="L87" s="247"/>
      <c r="M87" s="247"/>
      <c r="N87" s="247"/>
      <c r="O87" s="247"/>
      <c r="P87" s="247"/>
      <c r="Q87" s="139"/>
      <c r="R87" s="247"/>
      <c r="S87" s="247"/>
      <c r="T87" s="140"/>
      <c r="U87" s="247"/>
      <c r="V87" s="141"/>
      <c r="W87" s="247"/>
      <c r="X87" s="137"/>
      <c r="Y87" s="247"/>
      <c r="Z87" s="247"/>
      <c r="AA87" s="247"/>
      <c r="AB87" s="137"/>
      <c r="AC87" s="247"/>
    </row>
    <row r="88" spans="1:29" x14ac:dyDescent="0.15">
      <c r="A88" s="137"/>
      <c r="B88" s="137"/>
      <c r="C88" s="137"/>
      <c r="D88" s="138"/>
      <c r="E88" s="247"/>
      <c r="F88" s="247"/>
      <c r="G88" s="137"/>
      <c r="H88" s="247"/>
      <c r="I88" s="247"/>
      <c r="J88" s="137"/>
      <c r="K88" s="247"/>
      <c r="L88" s="247"/>
      <c r="M88" s="247"/>
      <c r="N88" s="247"/>
      <c r="O88" s="247"/>
      <c r="P88" s="247"/>
      <c r="Q88" s="139"/>
      <c r="R88" s="247"/>
      <c r="S88" s="247"/>
      <c r="T88" s="140"/>
      <c r="U88" s="247"/>
      <c r="V88" s="141"/>
      <c r="W88" s="247"/>
      <c r="X88" s="137"/>
      <c r="Y88" s="247"/>
      <c r="Z88" s="247"/>
      <c r="AA88" s="247"/>
      <c r="AB88" s="137"/>
      <c r="AC88" s="247"/>
    </row>
    <row r="89" spans="1:29" x14ac:dyDescent="0.15">
      <c r="K89" s="247"/>
      <c r="AC89" s="247"/>
    </row>
    <row r="90" spans="1:29" x14ac:dyDescent="0.15">
      <c r="A90" s="137"/>
      <c r="B90" s="137"/>
      <c r="C90" s="137"/>
      <c r="D90" s="138"/>
      <c r="E90" s="247"/>
      <c r="F90" s="247"/>
      <c r="G90" s="137"/>
      <c r="H90" s="247"/>
      <c r="I90" s="247"/>
      <c r="J90" s="137"/>
      <c r="K90" s="247"/>
      <c r="L90" s="247"/>
      <c r="M90" s="247"/>
      <c r="N90" s="247"/>
      <c r="O90" s="247"/>
      <c r="P90" s="247"/>
      <c r="Q90" s="139"/>
      <c r="R90" s="247"/>
      <c r="S90" s="247"/>
      <c r="T90" s="140"/>
      <c r="U90" s="247"/>
      <c r="V90" s="141"/>
      <c r="W90" s="247"/>
      <c r="X90" s="137"/>
      <c r="Y90" s="247"/>
      <c r="Z90" s="247"/>
      <c r="AA90" s="247"/>
      <c r="AB90" s="137"/>
      <c r="AC90" s="247"/>
    </row>
    <row r="91" spans="1:29" x14ac:dyDescent="0.15">
      <c r="A91" s="137"/>
      <c r="B91" s="137"/>
      <c r="C91" s="137"/>
      <c r="D91" s="138"/>
      <c r="E91" s="247"/>
      <c r="F91" s="247"/>
      <c r="G91" s="137"/>
      <c r="H91" s="247"/>
      <c r="I91" s="247"/>
      <c r="J91" s="137"/>
      <c r="K91" s="247"/>
      <c r="L91" s="247"/>
      <c r="M91" s="247"/>
      <c r="N91" s="247"/>
      <c r="O91" s="247"/>
      <c r="P91" s="247"/>
      <c r="Q91" s="139"/>
      <c r="R91" s="247"/>
      <c r="S91" s="247"/>
      <c r="T91" s="140"/>
      <c r="U91" s="247"/>
      <c r="V91" s="141"/>
      <c r="W91" s="247"/>
      <c r="X91" s="137"/>
      <c r="Y91" s="247"/>
      <c r="Z91" s="247"/>
      <c r="AA91" s="247"/>
      <c r="AB91" s="137"/>
      <c r="AC91" s="247"/>
    </row>
    <row r="92" spans="1:29" x14ac:dyDescent="0.15">
      <c r="A92" s="137"/>
      <c r="B92" s="137"/>
      <c r="C92" s="137"/>
      <c r="D92" s="138"/>
      <c r="E92" s="247"/>
      <c r="F92" s="247"/>
      <c r="G92" s="137"/>
      <c r="H92" s="247"/>
      <c r="I92" s="247"/>
      <c r="J92" s="137"/>
      <c r="K92" s="247"/>
      <c r="L92" s="247"/>
      <c r="M92" s="247"/>
      <c r="N92" s="247"/>
      <c r="O92" s="247"/>
      <c r="P92" s="247"/>
      <c r="Q92" s="139"/>
      <c r="R92" s="247"/>
      <c r="S92" s="247"/>
      <c r="T92" s="140"/>
      <c r="U92" s="247"/>
      <c r="V92" s="141"/>
      <c r="W92" s="247"/>
      <c r="X92" s="137"/>
      <c r="Y92" s="247"/>
      <c r="Z92" s="247"/>
      <c r="AA92" s="247"/>
      <c r="AB92" s="137"/>
      <c r="AC92" s="247"/>
    </row>
    <row r="93" spans="1:29" x14ac:dyDescent="0.15">
      <c r="A93" s="137"/>
      <c r="B93" s="137"/>
      <c r="C93" s="137"/>
      <c r="D93" s="138"/>
      <c r="E93" s="247"/>
      <c r="F93" s="247"/>
      <c r="G93" s="137"/>
      <c r="H93" s="247"/>
      <c r="I93" s="247"/>
      <c r="J93" s="137"/>
      <c r="K93" s="247"/>
      <c r="L93" s="247"/>
      <c r="M93" s="247"/>
      <c r="N93" s="247"/>
      <c r="O93" s="247"/>
      <c r="P93" s="247"/>
      <c r="Q93" s="139"/>
      <c r="R93" s="247"/>
      <c r="S93" s="247"/>
      <c r="T93" s="140"/>
      <c r="U93" s="247"/>
      <c r="V93" s="141"/>
      <c r="W93" s="247"/>
      <c r="X93" s="137"/>
      <c r="Y93" s="247"/>
      <c r="Z93" s="247"/>
      <c r="AA93" s="247"/>
      <c r="AB93" s="137"/>
      <c r="AC93" s="247"/>
    </row>
    <row r="94" spans="1:29" x14ac:dyDescent="0.15">
      <c r="A94" s="137"/>
      <c r="B94" s="137"/>
      <c r="C94" s="137"/>
      <c r="D94" s="138"/>
      <c r="E94" s="247"/>
      <c r="F94" s="247"/>
      <c r="G94" s="137"/>
      <c r="H94" s="247"/>
      <c r="I94" s="247"/>
      <c r="J94" s="137"/>
      <c r="K94" s="247"/>
      <c r="L94" s="247"/>
      <c r="M94" s="247"/>
      <c r="N94" s="247"/>
      <c r="O94" s="247"/>
      <c r="P94" s="247"/>
      <c r="Q94" s="139"/>
      <c r="R94" s="247"/>
      <c r="S94" s="247"/>
      <c r="T94" s="140"/>
      <c r="U94" s="247"/>
      <c r="V94" s="141"/>
      <c r="W94" s="247"/>
      <c r="X94" s="137"/>
      <c r="Y94" s="247"/>
      <c r="Z94" s="247"/>
      <c r="AA94" s="247"/>
      <c r="AB94" s="137"/>
      <c r="AC94" s="247"/>
    </row>
    <row r="95" spans="1:29" x14ac:dyDescent="0.15">
      <c r="A95" s="137"/>
      <c r="B95" s="137"/>
      <c r="C95" s="137"/>
      <c r="D95" s="138"/>
      <c r="E95" s="247"/>
      <c r="F95" s="247"/>
      <c r="G95" s="137"/>
      <c r="H95" s="247"/>
      <c r="I95" s="247"/>
      <c r="J95" s="137"/>
      <c r="K95" s="247"/>
      <c r="L95" s="247"/>
      <c r="M95" s="247"/>
      <c r="N95" s="247"/>
      <c r="O95" s="247"/>
      <c r="P95" s="247"/>
      <c r="Q95" s="139"/>
      <c r="R95" s="247"/>
      <c r="S95" s="247"/>
      <c r="T95" s="140"/>
      <c r="U95" s="247"/>
      <c r="V95" s="141"/>
      <c r="W95" s="247"/>
      <c r="X95" s="137"/>
      <c r="Y95" s="247"/>
      <c r="Z95" s="247"/>
      <c r="AA95" s="247"/>
      <c r="AB95" s="137"/>
      <c r="AC95" s="247"/>
    </row>
    <row r="96" spans="1:29" x14ac:dyDescent="0.15">
      <c r="A96" s="137"/>
      <c r="B96" s="137"/>
      <c r="C96" s="137"/>
      <c r="D96" s="138"/>
      <c r="E96" s="247"/>
      <c r="F96" s="247"/>
      <c r="G96" s="137"/>
      <c r="H96" s="247"/>
      <c r="I96" s="247"/>
      <c r="J96" s="137"/>
      <c r="K96" s="247"/>
      <c r="L96" s="247"/>
      <c r="M96" s="247"/>
      <c r="N96" s="247"/>
      <c r="O96" s="247"/>
      <c r="P96" s="247"/>
      <c r="Q96" s="139"/>
      <c r="R96" s="247"/>
      <c r="S96" s="247"/>
      <c r="T96" s="140"/>
      <c r="U96" s="247"/>
      <c r="V96" s="141"/>
      <c r="W96" s="247"/>
      <c r="X96" s="137"/>
      <c r="Y96" s="247"/>
      <c r="Z96" s="247"/>
      <c r="AA96" s="247"/>
      <c r="AB96" s="137"/>
      <c r="AC96" s="247"/>
    </row>
    <row r="97" spans="1:29" x14ac:dyDescent="0.15">
      <c r="A97" s="137"/>
      <c r="B97" s="137"/>
      <c r="C97" s="137"/>
      <c r="D97" s="138"/>
      <c r="E97" s="247"/>
      <c r="F97" s="247"/>
      <c r="G97" s="137"/>
      <c r="H97" s="247"/>
      <c r="I97" s="247"/>
      <c r="J97" s="137"/>
      <c r="K97" s="247"/>
      <c r="L97" s="247"/>
      <c r="M97" s="247"/>
      <c r="N97" s="247"/>
      <c r="O97" s="247"/>
      <c r="P97" s="247"/>
      <c r="Q97" s="139"/>
      <c r="R97" s="247"/>
      <c r="S97" s="247"/>
      <c r="T97" s="140"/>
      <c r="U97" s="247"/>
      <c r="V97" s="141"/>
      <c r="W97" s="247"/>
      <c r="X97" s="137"/>
      <c r="Y97" s="247"/>
      <c r="Z97" s="247"/>
      <c r="AA97" s="247"/>
      <c r="AB97" s="137"/>
      <c r="AC97" s="247"/>
    </row>
    <row r="98" spans="1:29" x14ac:dyDescent="0.15">
      <c r="A98" s="137"/>
      <c r="B98" s="137"/>
      <c r="C98" s="137"/>
      <c r="D98" s="138"/>
      <c r="E98" s="247"/>
      <c r="F98" s="247"/>
      <c r="G98" s="137"/>
      <c r="H98" s="247"/>
      <c r="I98" s="247"/>
      <c r="J98" s="137"/>
      <c r="K98" s="247"/>
      <c r="L98" s="247"/>
      <c r="M98" s="247"/>
      <c r="N98" s="247"/>
      <c r="O98" s="247"/>
      <c r="P98" s="247"/>
      <c r="Q98" s="139"/>
      <c r="R98" s="247"/>
      <c r="S98" s="247"/>
      <c r="T98" s="140"/>
      <c r="U98" s="247"/>
      <c r="V98" s="141"/>
      <c r="W98" s="247"/>
      <c r="X98" s="137"/>
      <c r="Y98" s="247"/>
      <c r="Z98" s="247"/>
      <c r="AA98" s="247"/>
      <c r="AB98" s="137"/>
      <c r="AC98" s="247"/>
    </row>
    <row r="99" spans="1:29" x14ac:dyDescent="0.15">
      <c r="A99" s="137"/>
      <c r="B99" s="137"/>
      <c r="C99" s="137"/>
      <c r="D99" s="138"/>
      <c r="E99" s="247"/>
      <c r="F99" s="247"/>
      <c r="G99" s="137"/>
      <c r="H99" s="247"/>
      <c r="I99" s="247"/>
      <c r="J99" s="137"/>
      <c r="K99" s="247"/>
      <c r="L99" s="247"/>
      <c r="M99" s="247"/>
      <c r="N99" s="247"/>
      <c r="O99" s="247"/>
      <c r="P99" s="247"/>
      <c r="Q99" s="139"/>
      <c r="R99" s="247"/>
      <c r="S99" s="247"/>
      <c r="T99" s="140"/>
      <c r="U99" s="247"/>
      <c r="V99" s="141"/>
      <c r="W99" s="247"/>
      <c r="X99" s="137"/>
      <c r="Y99" s="247"/>
      <c r="Z99" s="247"/>
      <c r="AA99" s="247"/>
      <c r="AB99" s="137"/>
      <c r="AC99" s="247"/>
    </row>
    <row r="100" spans="1:29" x14ac:dyDescent="0.15">
      <c r="A100" s="137"/>
      <c r="B100" s="137"/>
      <c r="C100" s="137"/>
      <c r="D100" s="138"/>
      <c r="E100" s="247"/>
      <c r="F100" s="247"/>
      <c r="G100" s="137"/>
      <c r="H100" s="247"/>
      <c r="I100" s="247"/>
      <c r="J100" s="137"/>
      <c r="K100" s="247"/>
      <c r="L100" s="247"/>
      <c r="M100" s="247"/>
      <c r="N100" s="247"/>
      <c r="O100" s="247"/>
      <c r="P100" s="247"/>
      <c r="Q100" s="139"/>
      <c r="R100" s="247"/>
      <c r="S100" s="247"/>
      <c r="T100" s="140"/>
      <c r="U100" s="247"/>
      <c r="V100" s="141"/>
      <c r="W100" s="247"/>
      <c r="X100" s="137"/>
      <c r="Y100" s="247"/>
      <c r="Z100" s="247"/>
      <c r="AA100" s="247"/>
      <c r="AB100" s="137"/>
      <c r="AC100" s="247"/>
    </row>
    <row r="101" spans="1:29" x14ac:dyDescent="0.15">
      <c r="A101" s="137"/>
      <c r="B101" s="137"/>
      <c r="C101" s="137"/>
      <c r="D101" s="138"/>
      <c r="E101" s="247"/>
      <c r="F101" s="247"/>
      <c r="G101" s="137"/>
      <c r="H101" s="247"/>
      <c r="I101" s="247"/>
      <c r="J101" s="137"/>
      <c r="K101" s="247"/>
      <c r="L101" s="247"/>
      <c r="M101" s="247"/>
      <c r="N101" s="247"/>
      <c r="O101" s="247"/>
      <c r="P101" s="247"/>
      <c r="Q101" s="139"/>
      <c r="R101" s="247"/>
      <c r="S101" s="247"/>
      <c r="T101" s="140"/>
      <c r="U101" s="247"/>
      <c r="V101" s="141"/>
      <c r="W101" s="247"/>
      <c r="X101" s="137"/>
      <c r="Y101" s="247"/>
      <c r="Z101" s="247"/>
      <c r="AA101" s="247"/>
      <c r="AB101" s="137"/>
      <c r="AC101" s="247"/>
    </row>
    <row r="102" spans="1:29" x14ac:dyDescent="0.15">
      <c r="A102" s="137"/>
      <c r="B102" s="137"/>
      <c r="C102" s="137"/>
      <c r="D102" s="138"/>
      <c r="E102" s="247"/>
      <c r="F102" s="247"/>
      <c r="G102" s="137"/>
      <c r="H102" s="247"/>
      <c r="I102" s="247"/>
      <c r="J102" s="137"/>
      <c r="K102" s="247"/>
      <c r="L102" s="247"/>
      <c r="M102" s="247"/>
      <c r="N102" s="247"/>
      <c r="O102" s="247"/>
      <c r="P102" s="247"/>
      <c r="Q102" s="139"/>
      <c r="R102" s="247"/>
      <c r="S102" s="247"/>
      <c r="T102" s="140"/>
      <c r="U102" s="247"/>
      <c r="V102" s="141"/>
      <c r="W102" s="247"/>
      <c r="X102" s="137"/>
      <c r="Y102" s="247"/>
      <c r="Z102" s="247"/>
      <c r="AA102" s="247"/>
      <c r="AB102" s="137"/>
      <c r="AC102" s="247"/>
    </row>
    <row r="103" spans="1:29" x14ac:dyDescent="0.15">
      <c r="A103" s="137"/>
      <c r="B103" s="137"/>
      <c r="C103" s="137"/>
      <c r="D103" s="138"/>
      <c r="E103" s="247"/>
      <c r="F103" s="247"/>
      <c r="G103" s="137"/>
      <c r="H103" s="247"/>
      <c r="I103" s="247"/>
      <c r="J103" s="137"/>
      <c r="K103" s="247"/>
      <c r="L103" s="247"/>
      <c r="M103" s="247"/>
      <c r="N103" s="247"/>
      <c r="O103" s="247"/>
      <c r="P103" s="247"/>
      <c r="Q103" s="139"/>
      <c r="R103" s="247"/>
      <c r="S103" s="247"/>
      <c r="T103" s="140"/>
      <c r="U103" s="247"/>
      <c r="V103" s="141"/>
      <c r="W103" s="247"/>
      <c r="X103" s="137"/>
      <c r="Y103" s="247"/>
      <c r="Z103" s="247"/>
      <c r="AA103" s="247"/>
      <c r="AB103" s="137"/>
      <c r="AC103" s="247"/>
    </row>
    <row r="104" spans="1:29" x14ac:dyDescent="0.15">
      <c r="A104" s="137"/>
      <c r="B104" s="137"/>
      <c r="C104" s="137"/>
      <c r="D104" s="138"/>
      <c r="E104" s="247"/>
      <c r="F104" s="247"/>
      <c r="G104" s="137"/>
      <c r="H104" s="247"/>
      <c r="I104" s="247"/>
      <c r="J104" s="137"/>
      <c r="K104" s="247"/>
      <c r="L104" s="247"/>
      <c r="M104" s="247"/>
      <c r="N104" s="247"/>
      <c r="O104" s="247"/>
      <c r="P104" s="247"/>
      <c r="Q104" s="139"/>
      <c r="R104" s="247"/>
      <c r="S104" s="247"/>
      <c r="T104" s="140"/>
      <c r="U104" s="247"/>
      <c r="V104" s="141"/>
      <c r="W104" s="247"/>
      <c r="X104" s="137"/>
      <c r="Y104" s="247"/>
      <c r="Z104" s="247"/>
      <c r="AA104" s="247"/>
      <c r="AB104" s="137"/>
      <c r="AC104" s="247"/>
    </row>
    <row r="105" spans="1:29" x14ac:dyDescent="0.15">
      <c r="A105" s="137"/>
      <c r="B105" s="137"/>
      <c r="C105" s="137"/>
      <c r="D105" s="138"/>
      <c r="E105" s="247"/>
      <c r="F105" s="247"/>
      <c r="G105" s="137"/>
      <c r="H105" s="247"/>
      <c r="I105" s="247"/>
      <c r="J105" s="137"/>
      <c r="K105" s="247"/>
      <c r="L105" s="247"/>
      <c r="M105" s="247"/>
      <c r="N105" s="247"/>
      <c r="O105" s="247"/>
      <c r="P105" s="247"/>
      <c r="Q105" s="139"/>
      <c r="R105" s="247"/>
      <c r="S105" s="247"/>
      <c r="T105" s="140"/>
      <c r="U105" s="247"/>
      <c r="V105" s="141"/>
      <c r="W105" s="247"/>
      <c r="X105" s="137"/>
      <c r="Y105" s="247"/>
      <c r="Z105" s="247"/>
      <c r="AA105" s="247"/>
      <c r="AB105" s="137"/>
      <c r="AC105" s="247"/>
    </row>
    <row r="106" spans="1:29" x14ac:dyDescent="0.15">
      <c r="A106" s="137"/>
      <c r="B106" s="137"/>
      <c r="C106" s="137"/>
      <c r="D106" s="138"/>
      <c r="E106" s="247"/>
      <c r="F106" s="247"/>
      <c r="G106" s="137"/>
      <c r="H106" s="247"/>
      <c r="I106" s="247"/>
      <c r="J106" s="137"/>
      <c r="K106" s="247"/>
      <c r="L106" s="247"/>
      <c r="M106" s="247"/>
      <c r="N106" s="247"/>
      <c r="O106" s="247"/>
      <c r="P106" s="247"/>
      <c r="Q106" s="139"/>
      <c r="R106" s="247"/>
      <c r="S106" s="247"/>
      <c r="T106" s="140"/>
      <c r="U106" s="247"/>
      <c r="V106" s="141"/>
      <c r="W106" s="247"/>
      <c r="X106" s="137"/>
      <c r="Y106" s="247"/>
      <c r="Z106" s="247"/>
      <c r="AA106" s="247"/>
      <c r="AB106" s="137"/>
      <c r="AC106" s="247"/>
    </row>
    <row r="107" spans="1:29" x14ac:dyDescent="0.15">
      <c r="A107" s="247"/>
      <c r="B107" s="247"/>
      <c r="C107" s="247"/>
      <c r="D107" s="247"/>
      <c r="E107" s="247"/>
      <c r="F107" s="247"/>
      <c r="G107" s="247"/>
      <c r="H107" s="247"/>
      <c r="I107" s="247"/>
      <c r="J107" s="247"/>
      <c r="K107" s="247"/>
      <c r="L107" s="247"/>
      <c r="M107" s="247"/>
      <c r="N107" s="247"/>
      <c r="O107" s="247"/>
      <c r="P107" s="247"/>
      <c r="Q107" s="140"/>
      <c r="R107" s="247"/>
      <c r="S107" s="247"/>
      <c r="T107" s="140"/>
      <c r="U107" s="247"/>
      <c r="V107" s="140"/>
      <c r="W107" s="247"/>
      <c r="X107" s="247"/>
      <c r="Y107" s="247"/>
      <c r="Z107" s="247"/>
      <c r="AA107" s="247"/>
      <c r="AB107" s="247"/>
      <c r="AC107" s="247"/>
    </row>
    <row r="108" spans="1:29" x14ac:dyDescent="0.15">
      <c r="A108" s="247"/>
      <c r="B108" s="247"/>
      <c r="C108" s="247"/>
      <c r="D108" s="247"/>
      <c r="E108" s="247"/>
      <c r="F108" s="247"/>
      <c r="G108" s="247"/>
      <c r="H108" s="247"/>
      <c r="I108" s="247"/>
      <c r="J108" s="247"/>
      <c r="K108" s="247"/>
      <c r="L108" s="247" t="s">
        <v>412</v>
      </c>
      <c r="M108" s="247"/>
      <c r="N108" s="247"/>
      <c r="O108" s="247"/>
      <c r="P108" s="247"/>
      <c r="Q108" s="140"/>
      <c r="R108" s="247"/>
      <c r="S108" s="247"/>
      <c r="T108" s="140"/>
      <c r="U108" s="247"/>
      <c r="V108" s="140"/>
      <c r="W108" s="247"/>
      <c r="X108" s="247"/>
      <c r="Y108" s="247"/>
      <c r="Z108" s="247"/>
      <c r="AA108" s="247"/>
      <c r="AB108" s="247"/>
      <c r="AC108" s="247"/>
    </row>
    <row r="109" spans="1:29" x14ac:dyDescent="0.15">
      <c r="K109" s="247"/>
    </row>
    <row r="110" spans="1:29" x14ac:dyDescent="0.15">
      <c r="K110" s="247"/>
    </row>
    <row r="111" spans="1:29" x14ac:dyDescent="0.15">
      <c r="K111" s="247"/>
    </row>
    <row r="112" spans="1:29" x14ac:dyDescent="0.15">
      <c r="K112" s="247"/>
    </row>
    <row r="113" spans="11:11" x14ac:dyDescent="0.15">
      <c r="K113" s="247"/>
    </row>
    <row r="114" spans="11:11" x14ac:dyDescent="0.15">
      <c r="K114" s="247"/>
    </row>
  </sheetData>
  <autoFilter ref="A1:BA1">
    <sortState ref="A2:BA64">
      <sortCondition ref="X1"/>
    </sortState>
  </autoFilter>
  <phoneticPr fontId="3"/>
  <dataValidations count="21">
    <dataValidation type="list" allowBlank="1" showInputMessage="1" showErrorMessage="1" sqref="K2:K114">
      <formula1>$AR$2:$AR$26</formula1>
    </dataValidation>
    <dataValidation type="list" allowBlank="1" showInputMessage="1" showErrorMessage="1" sqref="I64400:I64405 WVQ981883:WVQ981888 WLU981883:WLU981888 WBY981883:WBY981888 VSC981883:VSC981888 VIG981883:VIG981888 UYK981883:UYK981888 UOO981883:UOO981888 UES981883:UES981888 TUW981883:TUW981888 TLA981883:TLA981888 TBE981883:TBE981888 SRI981883:SRI981888 SHM981883:SHM981888 RXQ981883:RXQ981888 RNU981883:RNU981888 RDY981883:RDY981888 QUC981883:QUC981888 QKG981883:QKG981888 QAK981883:QAK981888 PQO981883:PQO981888 PGS981883:PGS981888 OWW981883:OWW981888 ONA981883:ONA981888 ODE981883:ODE981888 NTI981883:NTI981888 NJM981883:NJM981888 MZQ981883:MZQ981888 MPU981883:MPU981888 MFY981883:MFY981888 LWC981883:LWC981888 LMG981883:LMG981888 LCK981883:LCK981888 KSO981883:KSO981888 KIS981883:KIS981888 JYW981883:JYW981888 JPA981883:JPA981888 JFE981883:JFE981888 IVI981883:IVI981888 ILM981883:ILM981888 IBQ981883:IBQ981888 HRU981883:HRU981888 HHY981883:HHY981888 GYC981883:GYC981888 GOG981883:GOG981888 GEK981883:GEK981888 FUO981883:FUO981888 FKS981883:FKS981888 FAW981883:FAW981888 ERA981883:ERA981888 EHE981883:EHE981888 DXI981883:DXI981888 DNM981883:DNM981888 DDQ981883:DDQ981888 CTU981883:CTU981888 CJY981883:CJY981888 CAC981883:CAC981888 BQG981883:BQG981888 BGK981883:BGK981888 AWO981883:AWO981888 AMS981883:AMS981888 ACW981883:ACW981888 TA981883:TA981888 JE981883:JE981888 I981904:I981909 WVQ916347:WVQ916352 WLU916347:WLU916352 WBY916347:WBY916352 VSC916347:VSC916352 VIG916347:VIG916352 UYK916347:UYK916352 UOO916347:UOO916352 UES916347:UES916352 TUW916347:TUW916352 TLA916347:TLA916352 TBE916347:TBE916352 SRI916347:SRI916352 SHM916347:SHM916352 RXQ916347:RXQ916352 RNU916347:RNU916352 RDY916347:RDY916352 QUC916347:QUC916352 QKG916347:QKG916352 QAK916347:QAK916352 PQO916347:PQO916352 PGS916347:PGS916352 OWW916347:OWW916352 ONA916347:ONA916352 ODE916347:ODE916352 NTI916347:NTI916352 NJM916347:NJM916352 MZQ916347:MZQ916352 MPU916347:MPU916352 MFY916347:MFY916352 LWC916347:LWC916352 LMG916347:LMG916352 LCK916347:LCK916352 KSO916347:KSO916352 KIS916347:KIS916352 JYW916347:JYW916352 JPA916347:JPA916352 JFE916347:JFE916352 IVI916347:IVI916352 ILM916347:ILM916352 IBQ916347:IBQ916352 HRU916347:HRU916352 HHY916347:HHY916352 GYC916347:GYC916352 GOG916347:GOG916352 GEK916347:GEK916352 FUO916347:FUO916352 FKS916347:FKS916352 FAW916347:FAW916352 ERA916347:ERA916352 EHE916347:EHE916352 DXI916347:DXI916352 DNM916347:DNM916352 DDQ916347:DDQ916352 CTU916347:CTU916352 CJY916347:CJY916352 CAC916347:CAC916352 BQG916347:BQG916352 BGK916347:BGK916352 AWO916347:AWO916352 AMS916347:AMS916352 ACW916347:ACW916352 TA916347:TA916352 JE916347:JE916352 I916368:I916373 WVQ850811:WVQ850816 WLU850811:WLU850816 WBY850811:WBY850816 VSC850811:VSC850816 VIG850811:VIG850816 UYK850811:UYK850816 UOO850811:UOO850816 UES850811:UES850816 TUW850811:TUW850816 TLA850811:TLA850816 TBE850811:TBE850816 SRI850811:SRI850816 SHM850811:SHM850816 RXQ850811:RXQ850816 RNU850811:RNU850816 RDY850811:RDY850816 QUC850811:QUC850816 QKG850811:QKG850816 QAK850811:QAK850816 PQO850811:PQO850816 PGS850811:PGS850816 OWW850811:OWW850816 ONA850811:ONA850816 ODE850811:ODE850816 NTI850811:NTI850816 NJM850811:NJM850816 MZQ850811:MZQ850816 MPU850811:MPU850816 MFY850811:MFY850816 LWC850811:LWC850816 LMG850811:LMG850816 LCK850811:LCK850816 KSO850811:KSO850816 KIS850811:KIS850816 JYW850811:JYW850816 JPA850811:JPA850816 JFE850811:JFE850816 IVI850811:IVI850816 ILM850811:ILM850816 IBQ850811:IBQ850816 HRU850811:HRU850816 HHY850811:HHY850816 GYC850811:GYC850816 GOG850811:GOG850816 GEK850811:GEK850816 FUO850811:FUO850816 FKS850811:FKS850816 FAW850811:FAW850816 ERA850811:ERA850816 EHE850811:EHE850816 DXI850811:DXI850816 DNM850811:DNM850816 DDQ850811:DDQ850816 CTU850811:CTU850816 CJY850811:CJY850816 CAC850811:CAC850816 BQG850811:BQG850816 BGK850811:BGK850816 AWO850811:AWO850816 AMS850811:AMS850816 ACW850811:ACW850816 TA850811:TA850816 JE850811:JE850816 I850832:I850837 WVQ785275:WVQ785280 WLU785275:WLU785280 WBY785275:WBY785280 VSC785275:VSC785280 VIG785275:VIG785280 UYK785275:UYK785280 UOO785275:UOO785280 UES785275:UES785280 TUW785275:TUW785280 TLA785275:TLA785280 TBE785275:TBE785280 SRI785275:SRI785280 SHM785275:SHM785280 RXQ785275:RXQ785280 RNU785275:RNU785280 RDY785275:RDY785280 QUC785275:QUC785280 QKG785275:QKG785280 QAK785275:QAK785280 PQO785275:PQO785280 PGS785275:PGS785280 OWW785275:OWW785280 ONA785275:ONA785280 ODE785275:ODE785280 NTI785275:NTI785280 NJM785275:NJM785280 MZQ785275:MZQ785280 MPU785275:MPU785280 MFY785275:MFY785280 LWC785275:LWC785280 LMG785275:LMG785280 LCK785275:LCK785280 KSO785275:KSO785280 KIS785275:KIS785280 JYW785275:JYW785280 JPA785275:JPA785280 JFE785275:JFE785280 IVI785275:IVI785280 ILM785275:ILM785280 IBQ785275:IBQ785280 HRU785275:HRU785280 HHY785275:HHY785280 GYC785275:GYC785280 GOG785275:GOG785280 GEK785275:GEK785280 FUO785275:FUO785280 FKS785275:FKS785280 FAW785275:FAW785280 ERA785275:ERA785280 EHE785275:EHE785280 DXI785275:DXI785280 DNM785275:DNM785280 DDQ785275:DDQ785280 CTU785275:CTU785280 CJY785275:CJY785280 CAC785275:CAC785280 BQG785275:BQG785280 BGK785275:BGK785280 AWO785275:AWO785280 AMS785275:AMS785280 ACW785275:ACW785280 TA785275:TA785280 JE785275:JE785280 I785296:I785301 WVQ719739:WVQ719744 WLU719739:WLU719744 WBY719739:WBY719744 VSC719739:VSC719744 VIG719739:VIG719744 UYK719739:UYK719744 UOO719739:UOO719744 UES719739:UES719744 TUW719739:TUW719744 TLA719739:TLA719744 TBE719739:TBE719744 SRI719739:SRI719744 SHM719739:SHM719744 RXQ719739:RXQ719744 RNU719739:RNU719744 RDY719739:RDY719744 QUC719739:QUC719744 QKG719739:QKG719744 QAK719739:QAK719744 PQO719739:PQO719744 PGS719739:PGS719744 OWW719739:OWW719744 ONA719739:ONA719744 ODE719739:ODE719744 NTI719739:NTI719744 NJM719739:NJM719744 MZQ719739:MZQ719744 MPU719739:MPU719744 MFY719739:MFY719744 LWC719739:LWC719744 LMG719739:LMG719744 LCK719739:LCK719744 KSO719739:KSO719744 KIS719739:KIS719744 JYW719739:JYW719744 JPA719739:JPA719744 JFE719739:JFE719744 IVI719739:IVI719744 ILM719739:ILM719744 IBQ719739:IBQ719744 HRU719739:HRU719744 HHY719739:HHY719744 GYC719739:GYC719744 GOG719739:GOG719744 GEK719739:GEK719744 FUO719739:FUO719744 FKS719739:FKS719744 FAW719739:FAW719744 ERA719739:ERA719744 EHE719739:EHE719744 DXI719739:DXI719744 DNM719739:DNM719744 DDQ719739:DDQ719744 CTU719739:CTU719744 CJY719739:CJY719744 CAC719739:CAC719744 BQG719739:BQG719744 BGK719739:BGK719744 AWO719739:AWO719744 AMS719739:AMS719744 ACW719739:ACW719744 TA719739:TA719744 JE719739:JE719744 I719760:I719765 WVQ654203:WVQ654208 WLU654203:WLU654208 WBY654203:WBY654208 VSC654203:VSC654208 VIG654203:VIG654208 UYK654203:UYK654208 UOO654203:UOO654208 UES654203:UES654208 TUW654203:TUW654208 TLA654203:TLA654208 TBE654203:TBE654208 SRI654203:SRI654208 SHM654203:SHM654208 RXQ654203:RXQ654208 RNU654203:RNU654208 RDY654203:RDY654208 QUC654203:QUC654208 QKG654203:QKG654208 QAK654203:QAK654208 PQO654203:PQO654208 PGS654203:PGS654208 OWW654203:OWW654208 ONA654203:ONA654208 ODE654203:ODE654208 NTI654203:NTI654208 NJM654203:NJM654208 MZQ654203:MZQ654208 MPU654203:MPU654208 MFY654203:MFY654208 LWC654203:LWC654208 LMG654203:LMG654208 LCK654203:LCK654208 KSO654203:KSO654208 KIS654203:KIS654208 JYW654203:JYW654208 JPA654203:JPA654208 JFE654203:JFE654208 IVI654203:IVI654208 ILM654203:ILM654208 IBQ654203:IBQ654208 HRU654203:HRU654208 HHY654203:HHY654208 GYC654203:GYC654208 GOG654203:GOG654208 GEK654203:GEK654208 FUO654203:FUO654208 FKS654203:FKS654208 FAW654203:FAW654208 ERA654203:ERA654208 EHE654203:EHE654208 DXI654203:DXI654208 DNM654203:DNM654208 DDQ654203:DDQ654208 CTU654203:CTU654208 CJY654203:CJY654208 CAC654203:CAC654208 BQG654203:BQG654208 BGK654203:BGK654208 AWO654203:AWO654208 AMS654203:AMS654208 ACW654203:ACW654208 TA654203:TA654208 JE654203:JE654208 I654224:I654229 WVQ588667:WVQ588672 WLU588667:WLU588672 WBY588667:WBY588672 VSC588667:VSC588672 VIG588667:VIG588672 UYK588667:UYK588672 UOO588667:UOO588672 UES588667:UES588672 TUW588667:TUW588672 TLA588667:TLA588672 TBE588667:TBE588672 SRI588667:SRI588672 SHM588667:SHM588672 RXQ588667:RXQ588672 RNU588667:RNU588672 RDY588667:RDY588672 QUC588667:QUC588672 QKG588667:QKG588672 QAK588667:QAK588672 PQO588667:PQO588672 PGS588667:PGS588672 OWW588667:OWW588672 ONA588667:ONA588672 ODE588667:ODE588672 NTI588667:NTI588672 NJM588667:NJM588672 MZQ588667:MZQ588672 MPU588667:MPU588672 MFY588667:MFY588672 LWC588667:LWC588672 LMG588667:LMG588672 LCK588667:LCK588672 KSO588667:KSO588672 KIS588667:KIS588672 JYW588667:JYW588672 JPA588667:JPA588672 JFE588667:JFE588672 IVI588667:IVI588672 ILM588667:ILM588672 IBQ588667:IBQ588672 HRU588667:HRU588672 HHY588667:HHY588672 GYC588667:GYC588672 GOG588667:GOG588672 GEK588667:GEK588672 FUO588667:FUO588672 FKS588667:FKS588672 FAW588667:FAW588672 ERA588667:ERA588672 EHE588667:EHE588672 DXI588667:DXI588672 DNM588667:DNM588672 DDQ588667:DDQ588672 CTU588667:CTU588672 CJY588667:CJY588672 CAC588667:CAC588672 BQG588667:BQG588672 BGK588667:BGK588672 AWO588667:AWO588672 AMS588667:AMS588672 ACW588667:ACW588672 TA588667:TA588672 JE588667:JE588672 I588688:I588693 WVQ523131:WVQ523136 WLU523131:WLU523136 WBY523131:WBY523136 VSC523131:VSC523136 VIG523131:VIG523136 UYK523131:UYK523136 UOO523131:UOO523136 UES523131:UES523136 TUW523131:TUW523136 TLA523131:TLA523136 TBE523131:TBE523136 SRI523131:SRI523136 SHM523131:SHM523136 RXQ523131:RXQ523136 RNU523131:RNU523136 RDY523131:RDY523136 QUC523131:QUC523136 QKG523131:QKG523136 QAK523131:QAK523136 PQO523131:PQO523136 PGS523131:PGS523136 OWW523131:OWW523136 ONA523131:ONA523136 ODE523131:ODE523136 NTI523131:NTI523136 NJM523131:NJM523136 MZQ523131:MZQ523136 MPU523131:MPU523136 MFY523131:MFY523136 LWC523131:LWC523136 LMG523131:LMG523136 LCK523131:LCK523136 KSO523131:KSO523136 KIS523131:KIS523136 JYW523131:JYW523136 JPA523131:JPA523136 JFE523131:JFE523136 IVI523131:IVI523136 ILM523131:ILM523136 IBQ523131:IBQ523136 HRU523131:HRU523136 HHY523131:HHY523136 GYC523131:GYC523136 GOG523131:GOG523136 GEK523131:GEK523136 FUO523131:FUO523136 FKS523131:FKS523136 FAW523131:FAW523136 ERA523131:ERA523136 EHE523131:EHE523136 DXI523131:DXI523136 DNM523131:DNM523136 DDQ523131:DDQ523136 CTU523131:CTU523136 CJY523131:CJY523136 CAC523131:CAC523136 BQG523131:BQG523136 BGK523131:BGK523136 AWO523131:AWO523136 AMS523131:AMS523136 ACW523131:ACW523136 TA523131:TA523136 JE523131:JE523136 I523152:I523157 WVQ457595:WVQ457600 WLU457595:WLU457600 WBY457595:WBY457600 VSC457595:VSC457600 VIG457595:VIG457600 UYK457595:UYK457600 UOO457595:UOO457600 UES457595:UES457600 TUW457595:TUW457600 TLA457595:TLA457600 TBE457595:TBE457600 SRI457595:SRI457600 SHM457595:SHM457600 RXQ457595:RXQ457600 RNU457595:RNU457600 RDY457595:RDY457600 QUC457595:QUC457600 QKG457595:QKG457600 QAK457595:QAK457600 PQO457595:PQO457600 PGS457595:PGS457600 OWW457595:OWW457600 ONA457595:ONA457600 ODE457595:ODE457600 NTI457595:NTI457600 NJM457595:NJM457600 MZQ457595:MZQ457600 MPU457595:MPU457600 MFY457595:MFY457600 LWC457595:LWC457600 LMG457595:LMG457600 LCK457595:LCK457600 KSO457595:KSO457600 KIS457595:KIS457600 JYW457595:JYW457600 JPA457595:JPA457600 JFE457595:JFE457600 IVI457595:IVI457600 ILM457595:ILM457600 IBQ457595:IBQ457600 HRU457595:HRU457600 HHY457595:HHY457600 GYC457595:GYC457600 GOG457595:GOG457600 GEK457595:GEK457600 FUO457595:FUO457600 FKS457595:FKS457600 FAW457595:FAW457600 ERA457595:ERA457600 EHE457595:EHE457600 DXI457595:DXI457600 DNM457595:DNM457600 DDQ457595:DDQ457600 CTU457595:CTU457600 CJY457595:CJY457600 CAC457595:CAC457600 BQG457595:BQG457600 BGK457595:BGK457600 AWO457595:AWO457600 AMS457595:AMS457600 ACW457595:ACW457600 TA457595:TA457600 JE457595:JE457600 I457616:I457621 WVQ392059:WVQ392064 WLU392059:WLU392064 WBY392059:WBY392064 VSC392059:VSC392064 VIG392059:VIG392064 UYK392059:UYK392064 UOO392059:UOO392064 UES392059:UES392064 TUW392059:TUW392064 TLA392059:TLA392064 TBE392059:TBE392064 SRI392059:SRI392064 SHM392059:SHM392064 RXQ392059:RXQ392064 RNU392059:RNU392064 RDY392059:RDY392064 QUC392059:QUC392064 QKG392059:QKG392064 QAK392059:QAK392064 PQO392059:PQO392064 PGS392059:PGS392064 OWW392059:OWW392064 ONA392059:ONA392064 ODE392059:ODE392064 NTI392059:NTI392064 NJM392059:NJM392064 MZQ392059:MZQ392064 MPU392059:MPU392064 MFY392059:MFY392064 LWC392059:LWC392064 LMG392059:LMG392064 LCK392059:LCK392064 KSO392059:KSO392064 KIS392059:KIS392064 JYW392059:JYW392064 JPA392059:JPA392064 JFE392059:JFE392064 IVI392059:IVI392064 ILM392059:ILM392064 IBQ392059:IBQ392064 HRU392059:HRU392064 HHY392059:HHY392064 GYC392059:GYC392064 GOG392059:GOG392064 GEK392059:GEK392064 FUO392059:FUO392064 FKS392059:FKS392064 FAW392059:FAW392064 ERA392059:ERA392064 EHE392059:EHE392064 DXI392059:DXI392064 DNM392059:DNM392064 DDQ392059:DDQ392064 CTU392059:CTU392064 CJY392059:CJY392064 CAC392059:CAC392064 BQG392059:BQG392064 BGK392059:BGK392064 AWO392059:AWO392064 AMS392059:AMS392064 ACW392059:ACW392064 TA392059:TA392064 JE392059:JE392064 I392080:I392085 WVQ326523:WVQ326528 WLU326523:WLU326528 WBY326523:WBY326528 VSC326523:VSC326528 VIG326523:VIG326528 UYK326523:UYK326528 UOO326523:UOO326528 UES326523:UES326528 TUW326523:TUW326528 TLA326523:TLA326528 TBE326523:TBE326528 SRI326523:SRI326528 SHM326523:SHM326528 RXQ326523:RXQ326528 RNU326523:RNU326528 RDY326523:RDY326528 QUC326523:QUC326528 QKG326523:QKG326528 QAK326523:QAK326528 PQO326523:PQO326528 PGS326523:PGS326528 OWW326523:OWW326528 ONA326523:ONA326528 ODE326523:ODE326528 NTI326523:NTI326528 NJM326523:NJM326528 MZQ326523:MZQ326528 MPU326523:MPU326528 MFY326523:MFY326528 LWC326523:LWC326528 LMG326523:LMG326528 LCK326523:LCK326528 KSO326523:KSO326528 KIS326523:KIS326528 JYW326523:JYW326528 JPA326523:JPA326528 JFE326523:JFE326528 IVI326523:IVI326528 ILM326523:ILM326528 IBQ326523:IBQ326528 HRU326523:HRU326528 HHY326523:HHY326528 GYC326523:GYC326528 GOG326523:GOG326528 GEK326523:GEK326528 FUO326523:FUO326528 FKS326523:FKS326528 FAW326523:FAW326528 ERA326523:ERA326528 EHE326523:EHE326528 DXI326523:DXI326528 DNM326523:DNM326528 DDQ326523:DDQ326528 CTU326523:CTU326528 CJY326523:CJY326528 CAC326523:CAC326528 BQG326523:BQG326528 BGK326523:BGK326528 AWO326523:AWO326528 AMS326523:AMS326528 ACW326523:ACW326528 TA326523:TA326528 JE326523:JE326528 I326544:I326549 WVQ260987:WVQ260992 WLU260987:WLU260992 WBY260987:WBY260992 VSC260987:VSC260992 VIG260987:VIG260992 UYK260987:UYK260992 UOO260987:UOO260992 UES260987:UES260992 TUW260987:TUW260992 TLA260987:TLA260992 TBE260987:TBE260992 SRI260987:SRI260992 SHM260987:SHM260992 RXQ260987:RXQ260992 RNU260987:RNU260992 RDY260987:RDY260992 QUC260987:QUC260992 QKG260987:QKG260992 QAK260987:QAK260992 PQO260987:PQO260992 PGS260987:PGS260992 OWW260987:OWW260992 ONA260987:ONA260992 ODE260987:ODE260992 NTI260987:NTI260992 NJM260987:NJM260992 MZQ260987:MZQ260992 MPU260987:MPU260992 MFY260987:MFY260992 LWC260987:LWC260992 LMG260987:LMG260992 LCK260987:LCK260992 KSO260987:KSO260992 KIS260987:KIS260992 JYW260987:JYW260992 JPA260987:JPA260992 JFE260987:JFE260992 IVI260987:IVI260992 ILM260987:ILM260992 IBQ260987:IBQ260992 HRU260987:HRU260992 HHY260987:HHY260992 GYC260987:GYC260992 GOG260987:GOG260992 GEK260987:GEK260992 FUO260987:FUO260992 FKS260987:FKS260992 FAW260987:FAW260992 ERA260987:ERA260992 EHE260987:EHE260992 DXI260987:DXI260992 DNM260987:DNM260992 DDQ260987:DDQ260992 CTU260987:CTU260992 CJY260987:CJY260992 CAC260987:CAC260992 BQG260987:BQG260992 BGK260987:BGK260992 AWO260987:AWO260992 AMS260987:AMS260992 ACW260987:ACW260992 TA260987:TA260992 JE260987:JE260992 I261008:I261013 WVQ195451:WVQ195456 WLU195451:WLU195456 WBY195451:WBY195456 VSC195451:VSC195456 VIG195451:VIG195456 UYK195451:UYK195456 UOO195451:UOO195456 UES195451:UES195456 TUW195451:TUW195456 TLA195451:TLA195456 TBE195451:TBE195456 SRI195451:SRI195456 SHM195451:SHM195456 RXQ195451:RXQ195456 RNU195451:RNU195456 RDY195451:RDY195456 QUC195451:QUC195456 QKG195451:QKG195456 QAK195451:QAK195456 PQO195451:PQO195456 PGS195451:PGS195456 OWW195451:OWW195456 ONA195451:ONA195456 ODE195451:ODE195456 NTI195451:NTI195456 NJM195451:NJM195456 MZQ195451:MZQ195456 MPU195451:MPU195456 MFY195451:MFY195456 LWC195451:LWC195456 LMG195451:LMG195456 LCK195451:LCK195456 KSO195451:KSO195456 KIS195451:KIS195456 JYW195451:JYW195456 JPA195451:JPA195456 JFE195451:JFE195456 IVI195451:IVI195456 ILM195451:ILM195456 IBQ195451:IBQ195456 HRU195451:HRU195456 HHY195451:HHY195456 GYC195451:GYC195456 GOG195451:GOG195456 GEK195451:GEK195456 FUO195451:FUO195456 FKS195451:FKS195456 FAW195451:FAW195456 ERA195451:ERA195456 EHE195451:EHE195456 DXI195451:DXI195456 DNM195451:DNM195456 DDQ195451:DDQ195456 CTU195451:CTU195456 CJY195451:CJY195456 CAC195451:CAC195456 BQG195451:BQG195456 BGK195451:BGK195456 AWO195451:AWO195456 AMS195451:AMS195456 ACW195451:ACW195456 TA195451:TA195456 JE195451:JE195456 I195472:I195477 WVQ129915:WVQ129920 WLU129915:WLU129920 WBY129915:WBY129920 VSC129915:VSC129920 VIG129915:VIG129920 UYK129915:UYK129920 UOO129915:UOO129920 UES129915:UES129920 TUW129915:TUW129920 TLA129915:TLA129920 TBE129915:TBE129920 SRI129915:SRI129920 SHM129915:SHM129920 RXQ129915:RXQ129920 RNU129915:RNU129920 RDY129915:RDY129920 QUC129915:QUC129920 QKG129915:QKG129920 QAK129915:QAK129920 PQO129915:PQO129920 PGS129915:PGS129920 OWW129915:OWW129920 ONA129915:ONA129920 ODE129915:ODE129920 NTI129915:NTI129920 NJM129915:NJM129920 MZQ129915:MZQ129920 MPU129915:MPU129920 MFY129915:MFY129920 LWC129915:LWC129920 LMG129915:LMG129920 LCK129915:LCK129920 KSO129915:KSO129920 KIS129915:KIS129920 JYW129915:JYW129920 JPA129915:JPA129920 JFE129915:JFE129920 IVI129915:IVI129920 ILM129915:ILM129920 IBQ129915:IBQ129920 HRU129915:HRU129920 HHY129915:HHY129920 GYC129915:GYC129920 GOG129915:GOG129920 GEK129915:GEK129920 FUO129915:FUO129920 FKS129915:FKS129920 FAW129915:FAW129920 ERA129915:ERA129920 EHE129915:EHE129920 DXI129915:DXI129920 DNM129915:DNM129920 DDQ129915:DDQ129920 CTU129915:CTU129920 CJY129915:CJY129920 CAC129915:CAC129920 BQG129915:BQG129920 BGK129915:BGK129920 AWO129915:AWO129920 AMS129915:AMS129920 ACW129915:ACW129920 TA129915:TA129920 JE129915:JE129920 I129936:I129941 WVQ64379:WVQ64384 WLU64379:WLU64384 WBY64379:WBY64384 VSC64379:VSC64384 VIG64379:VIG64384 UYK64379:UYK64384 UOO64379:UOO64384 UES64379:UES64384 TUW64379:TUW64384 TLA64379:TLA64384 TBE64379:TBE64384 SRI64379:SRI64384 SHM64379:SHM64384 RXQ64379:RXQ64384 RNU64379:RNU64384 RDY64379:RDY64384 QUC64379:QUC64384 QKG64379:QKG64384 QAK64379:QAK64384 PQO64379:PQO64384 PGS64379:PGS64384 OWW64379:OWW64384 ONA64379:ONA64384 ODE64379:ODE64384 NTI64379:NTI64384 NJM64379:NJM64384 MZQ64379:MZQ64384 MPU64379:MPU64384 MFY64379:MFY64384 LWC64379:LWC64384 LMG64379:LMG64384 LCK64379:LCK64384 KSO64379:KSO64384 KIS64379:KIS64384 JYW64379:JYW64384 JPA64379:JPA64384 JFE64379:JFE64384 IVI64379:IVI64384 ILM64379:ILM64384 IBQ64379:IBQ64384 HRU64379:HRU64384 HHY64379:HHY64384 GYC64379:GYC64384 GOG64379:GOG64384 GEK64379:GEK64384 FUO64379:FUO64384 FKS64379:FKS64384 FAW64379:FAW64384 ERA64379:ERA64384 EHE64379:EHE64384 DXI64379:DXI64384 DNM64379:DNM64384 DDQ64379:DDQ64384 CTU64379:CTU64384 CJY64379:CJY64384 CAC64379:CAC64384 BQG64379:BQG64384 BGK64379:BGK64384 AWO64379:AWO64384 AMS64379:AMS64384 ACW64379:ACW64384 TA64379:TA64384 JE64379:JE64384">
      <formula1>$AN$8:$AN$9</formula1>
    </dataValidation>
    <dataValidation type="list" allowBlank="1" showInputMessage="1" showErrorMessage="1" sqref="WVS981799:WVS981888 WLW981799:WLW981888 WCA981799:WCA981888 VSE981799:VSE981888 VII981799:VII981888 UYM981799:UYM981888 UOQ981799:UOQ981888 UEU981799:UEU981888 TUY981799:TUY981888 TLC981799:TLC981888 TBG981799:TBG981888 SRK981799:SRK981888 SHO981799:SHO981888 RXS981799:RXS981888 RNW981799:RNW981888 REA981799:REA981888 QUE981799:QUE981888 QKI981799:QKI981888 QAM981799:QAM981888 PQQ981799:PQQ981888 PGU981799:PGU981888 OWY981799:OWY981888 ONC981799:ONC981888 ODG981799:ODG981888 NTK981799:NTK981888 NJO981799:NJO981888 MZS981799:MZS981888 MPW981799:MPW981888 MGA981799:MGA981888 LWE981799:LWE981888 LMI981799:LMI981888 LCM981799:LCM981888 KSQ981799:KSQ981888 KIU981799:KIU981888 JYY981799:JYY981888 JPC981799:JPC981888 JFG981799:JFG981888 IVK981799:IVK981888 ILO981799:ILO981888 IBS981799:IBS981888 HRW981799:HRW981888 HIA981799:HIA981888 GYE981799:GYE981888 GOI981799:GOI981888 GEM981799:GEM981888 FUQ981799:FUQ981888 FKU981799:FKU981888 FAY981799:FAY981888 ERC981799:ERC981888 EHG981799:EHG981888 DXK981799:DXK981888 DNO981799:DNO981888 DDS981799:DDS981888 CTW981799:CTW981888 CKA981799:CKA981888 CAE981799:CAE981888 BQI981799:BQI981888 BGM981799:BGM981888 AWQ981799:AWQ981888 AMU981799:AMU981888 ACY981799:ACY981888 TC981799:TC981888 JG981799:JG981888 K981808:K981897 WVS916263:WVS916352 WLW916263:WLW916352 WCA916263:WCA916352 VSE916263:VSE916352 VII916263:VII916352 UYM916263:UYM916352 UOQ916263:UOQ916352 UEU916263:UEU916352 TUY916263:TUY916352 TLC916263:TLC916352 TBG916263:TBG916352 SRK916263:SRK916352 SHO916263:SHO916352 RXS916263:RXS916352 RNW916263:RNW916352 REA916263:REA916352 QUE916263:QUE916352 QKI916263:QKI916352 QAM916263:QAM916352 PQQ916263:PQQ916352 PGU916263:PGU916352 OWY916263:OWY916352 ONC916263:ONC916352 ODG916263:ODG916352 NTK916263:NTK916352 NJO916263:NJO916352 MZS916263:MZS916352 MPW916263:MPW916352 MGA916263:MGA916352 LWE916263:LWE916352 LMI916263:LMI916352 LCM916263:LCM916352 KSQ916263:KSQ916352 KIU916263:KIU916352 JYY916263:JYY916352 JPC916263:JPC916352 JFG916263:JFG916352 IVK916263:IVK916352 ILO916263:ILO916352 IBS916263:IBS916352 HRW916263:HRW916352 HIA916263:HIA916352 GYE916263:GYE916352 GOI916263:GOI916352 GEM916263:GEM916352 FUQ916263:FUQ916352 FKU916263:FKU916352 FAY916263:FAY916352 ERC916263:ERC916352 EHG916263:EHG916352 DXK916263:DXK916352 DNO916263:DNO916352 DDS916263:DDS916352 CTW916263:CTW916352 CKA916263:CKA916352 CAE916263:CAE916352 BQI916263:BQI916352 BGM916263:BGM916352 AWQ916263:AWQ916352 AMU916263:AMU916352 ACY916263:ACY916352 TC916263:TC916352 JG916263:JG916352 K916272:K916361 WVS850727:WVS850816 WLW850727:WLW850816 WCA850727:WCA850816 VSE850727:VSE850816 VII850727:VII850816 UYM850727:UYM850816 UOQ850727:UOQ850816 UEU850727:UEU850816 TUY850727:TUY850816 TLC850727:TLC850816 TBG850727:TBG850816 SRK850727:SRK850816 SHO850727:SHO850816 RXS850727:RXS850816 RNW850727:RNW850816 REA850727:REA850816 QUE850727:QUE850816 QKI850727:QKI850816 QAM850727:QAM850816 PQQ850727:PQQ850816 PGU850727:PGU850816 OWY850727:OWY850816 ONC850727:ONC850816 ODG850727:ODG850816 NTK850727:NTK850816 NJO850727:NJO850816 MZS850727:MZS850816 MPW850727:MPW850816 MGA850727:MGA850816 LWE850727:LWE850816 LMI850727:LMI850816 LCM850727:LCM850816 KSQ850727:KSQ850816 KIU850727:KIU850816 JYY850727:JYY850816 JPC850727:JPC850816 JFG850727:JFG850816 IVK850727:IVK850816 ILO850727:ILO850816 IBS850727:IBS850816 HRW850727:HRW850816 HIA850727:HIA850816 GYE850727:GYE850816 GOI850727:GOI850816 GEM850727:GEM850816 FUQ850727:FUQ850816 FKU850727:FKU850816 FAY850727:FAY850816 ERC850727:ERC850816 EHG850727:EHG850816 DXK850727:DXK850816 DNO850727:DNO850816 DDS850727:DDS850816 CTW850727:CTW850816 CKA850727:CKA850816 CAE850727:CAE850816 BQI850727:BQI850816 BGM850727:BGM850816 AWQ850727:AWQ850816 AMU850727:AMU850816 ACY850727:ACY850816 TC850727:TC850816 JG850727:JG850816 K850736:K850825 WVS785191:WVS785280 WLW785191:WLW785280 WCA785191:WCA785280 VSE785191:VSE785280 VII785191:VII785280 UYM785191:UYM785280 UOQ785191:UOQ785280 UEU785191:UEU785280 TUY785191:TUY785280 TLC785191:TLC785280 TBG785191:TBG785280 SRK785191:SRK785280 SHO785191:SHO785280 RXS785191:RXS785280 RNW785191:RNW785280 REA785191:REA785280 QUE785191:QUE785280 QKI785191:QKI785280 QAM785191:QAM785280 PQQ785191:PQQ785280 PGU785191:PGU785280 OWY785191:OWY785280 ONC785191:ONC785280 ODG785191:ODG785280 NTK785191:NTK785280 NJO785191:NJO785280 MZS785191:MZS785280 MPW785191:MPW785280 MGA785191:MGA785280 LWE785191:LWE785280 LMI785191:LMI785280 LCM785191:LCM785280 KSQ785191:KSQ785280 KIU785191:KIU785280 JYY785191:JYY785280 JPC785191:JPC785280 JFG785191:JFG785280 IVK785191:IVK785280 ILO785191:ILO785280 IBS785191:IBS785280 HRW785191:HRW785280 HIA785191:HIA785280 GYE785191:GYE785280 GOI785191:GOI785280 GEM785191:GEM785280 FUQ785191:FUQ785280 FKU785191:FKU785280 FAY785191:FAY785280 ERC785191:ERC785280 EHG785191:EHG785280 DXK785191:DXK785280 DNO785191:DNO785280 DDS785191:DDS785280 CTW785191:CTW785280 CKA785191:CKA785280 CAE785191:CAE785280 BQI785191:BQI785280 BGM785191:BGM785280 AWQ785191:AWQ785280 AMU785191:AMU785280 ACY785191:ACY785280 TC785191:TC785280 JG785191:JG785280 K785200:K785289 WVS719655:WVS719744 WLW719655:WLW719744 WCA719655:WCA719744 VSE719655:VSE719744 VII719655:VII719744 UYM719655:UYM719744 UOQ719655:UOQ719744 UEU719655:UEU719744 TUY719655:TUY719744 TLC719655:TLC719744 TBG719655:TBG719744 SRK719655:SRK719744 SHO719655:SHO719744 RXS719655:RXS719744 RNW719655:RNW719744 REA719655:REA719744 QUE719655:QUE719744 QKI719655:QKI719744 QAM719655:QAM719744 PQQ719655:PQQ719744 PGU719655:PGU719744 OWY719655:OWY719744 ONC719655:ONC719744 ODG719655:ODG719744 NTK719655:NTK719744 NJO719655:NJO719744 MZS719655:MZS719744 MPW719655:MPW719744 MGA719655:MGA719744 LWE719655:LWE719744 LMI719655:LMI719744 LCM719655:LCM719744 KSQ719655:KSQ719744 KIU719655:KIU719744 JYY719655:JYY719744 JPC719655:JPC719744 JFG719655:JFG719744 IVK719655:IVK719744 ILO719655:ILO719744 IBS719655:IBS719744 HRW719655:HRW719744 HIA719655:HIA719744 GYE719655:GYE719744 GOI719655:GOI719744 GEM719655:GEM719744 FUQ719655:FUQ719744 FKU719655:FKU719744 FAY719655:FAY719744 ERC719655:ERC719744 EHG719655:EHG719744 DXK719655:DXK719744 DNO719655:DNO719744 DDS719655:DDS719744 CTW719655:CTW719744 CKA719655:CKA719744 CAE719655:CAE719744 BQI719655:BQI719744 BGM719655:BGM719744 AWQ719655:AWQ719744 AMU719655:AMU719744 ACY719655:ACY719744 TC719655:TC719744 JG719655:JG719744 K719664:K719753 WVS654119:WVS654208 WLW654119:WLW654208 WCA654119:WCA654208 VSE654119:VSE654208 VII654119:VII654208 UYM654119:UYM654208 UOQ654119:UOQ654208 UEU654119:UEU654208 TUY654119:TUY654208 TLC654119:TLC654208 TBG654119:TBG654208 SRK654119:SRK654208 SHO654119:SHO654208 RXS654119:RXS654208 RNW654119:RNW654208 REA654119:REA654208 QUE654119:QUE654208 QKI654119:QKI654208 QAM654119:QAM654208 PQQ654119:PQQ654208 PGU654119:PGU654208 OWY654119:OWY654208 ONC654119:ONC654208 ODG654119:ODG654208 NTK654119:NTK654208 NJO654119:NJO654208 MZS654119:MZS654208 MPW654119:MPW654208 MGA654119:MGA654208 LWE654119:LWE654208 LMI654119:LMI654208 LCM654119:LCM654208 KSQ654119:KSQ654208 KIU654119:KIU654208 JYY654119:JYY654208 JPC654119:JPC654208 JFG654119:JFG654208 IVK654119:IVK654208 ILO654119:ILO654208 IBS654119:IBS654208 HRW654119:HRW654208 HIA654119:HIA654208 GYE654119:GYE654208 GOI654119:GOI654208 GEM654119:GEM654208 FUQ654119:FUQ654208 FKU654119:FKU654208 FAY654119:FAY654208 ERC654119:ERC654208 EHG654119:EHG654208 DXK654119:DXK654208 DNO654119:DNO654208 DDS654119:DDS654208 CTW654119:CTW654208 CKA654119:CKA654208 CAE654119:CAE654208 BQI654119:BQI654208 BGM654119:BGM654208 AWQ654119:AWQ654208 AMU654119:AMU654208 ACY654119:ACY654208 TC654119:TC654208 JG654119:JG654208 K654128:K654217 WVS588583:WVS588672 WLW588583:WLW588672 WCA588583:WCA588672 VSE588583:VSE588672 VII588583:VII588672 UYM588583:UYM588672 UOQ588583:UOQ588672 UEU588583:UEU588672 TUY588583:TUY588672 TLC588583:TLC588672 TBG588583:TBG588672 SRK588583:SRK588672 SHO588583:SHO588672 RXS588583:RXS588672 RNW588583:RNW588672 REA588583:REA588672 QUE588583:QUE588672 QKI588583:QKI588672 QAM588583:QAM588672 PQQ588583:PQQ588672 PGU588583:PGU588672 OWY588583:OWY588672 ONC588583:ONC588672 ODG588583:ODG588672 NTK588583:NTK588672 NJO588583:NJO588672 MZS588583:MZS588672 MPW588583:MPW588672 MGA588583:MGA588672 LWE588583:LWE588672 LMI588583:LMI588672 LCM588583:LCM588672 KSQ588583:KSQ588672 KIU588583:KIU588672 JYY588583:JYY588672 JPC588583:JPC588672 JFG588583:JFG588672 IVK588583:IVK588672 ILO588583:ILO588672 IBS588583:IBS588672 HRW588583:HRW588672 HIA588583:HIA588672 GYE588583:GYE588672 GOI588583:GOI588672 GEM588583:GEM588672 FUQ588583:FUQ588672 FKU588583:FKU588672 FAY588583:FAY588672 ERC588583:ERC588672 EHG588583:EHG588672 DXK588583:DXK588672 DNO588583:DNO588672 DDS588583:DDS588672 CTW588583:CTW588672 CKA588583:CKA588672 CAE588583:CAE588672 BQI588583:BQI588672 BGM588583:BGM588672 AWQ588583:AWQ588672 AMU588583:AMU588672 ACY588583:ACY588672 TC588583:TC588672 JG588583:JG588672 K588592:K588681 WVS523047:WVS523136 WLW523047:WLW523136 WCA523047:WCA523136 VSE523047:VSE523136 VII523047:VII523136 UYM523047:UYM523136 UOQ523047:UOQ523136 UEU523047:UEU523136 TUY523047:TUY523136 TLC523047:TLC523136 TBG523047:TBG523136 SRK523047:SRK523136 SHO523047:SHO523136 RXS523047:RXS523136 RNW523047:RNW523136 REA523047:REA523136 QUE523047:QUE523136 QKI523047:QKI523136 QAM523047:QAM523136 PQQ523047:PQQ523136 PGU523047:PGU523136 OWY523047:OWY523136 ONC523047:ONC523136 ODG523047:ODG523136 NTK523047:NTK523136 NJO523047:NJO523136 MZS523047:MZS523136 MPW523047:MPW523136 MGA523047:MGA523136 LWE523047:LWE523136 LMI523047:LMI523136 LCM523047:LCM523136 KSQ523047:KSQ523136 KIU523047:KIU523136 JYY523047:JYY523136 JPC523047:JPC523136 JFG523047:JFG523136 IVK523047:IVK523136 ILO523047:ILO523136 IBS523047:IBS523136 HRW523047:HRW523136 HIA523047:HIA523136 GYE523047:GYE523136 GOI523047:GOI523136 GEM523047:GEM523136 FUQ523047:FUQ523136 FKU523047:FKU523136 FAY523047:FAY523136 ERC523047:ERC523136 EHG523047:EHG523136 DXK523047:DXK523136 DNO523047:DNO523136 DDS523047:DDS523136 CTW523047:CTW523136 CKA523047:CKA523136 CAE523047:CAE523136 BQI523047:BQI523136 BGM523047:BGM523136 AWQ523047:AWQ523136 AMU523047:AMU523136 ACY523047:ACY523136 TC523047:TC523136 JG523047:JG523136 K523056:K523145 WVS457511:WVS457600 WLW457511:WLW457600 WCA457511:WCA457600 VSE457511:VSE457600 VII457511:VII457600 UYM457511:UYM457600 UOQ457511:UOQ457600 UEU457511:UEU457600 TUY457511:TUY457600 TLC457511:TLC457600 TBG457511:TBG457600 SRK457511:SRK457600 SHO457511:SHO457600 RXS457511:RXS457600 RNW457511:RNW457600 REA457511:REA457600 QUE457511:QUE457600 QKI457511:QKI457600 QAM457511:QAM457600 PQQ457511:PQQ457600 PGU457511:PGU457600 OWY457511:OWY457600 ONC457511:ONC457600 ODG457511:ODG457600 NTK457511:NTK457600 NJO457511:NJO457600 MZS457511:MZS457600 MPW457511:MPW457600 MGA457511:MGA457600 LWE457511:LWE457600 LMI457511:LMI457600 LCM457511:LCM457600 KSQ457511:KSQ457600 KIU457511:KIU457600 JYY457511:JYY457600 JPC457511:JPC457600 JFG457511:JFG457600 IVK457511:IVK457600 ILO457511:ILO457600 IBS457511:IBS457600 HRW457511:HRW457600 HIA457511:HIA457600 GYE457511:GYE457600 GOI457511:GOI457600 GEM457511:GEM457600 FUQ457511:FUQ457600 FKU457511:FKU457600 FAY457511:FAY457600 ERC457511:ERC457600 EHG457511:EHG457600 DXK457511:DXK457600 DNO457511:DNO457600 DDS457511:DDS457600 CTW457511:CTW457600 CKA457511:CKA457600 CAE457511:CAE457600 BQI457511:BQI457600 BGM457511:BGM457600 AWQ457511:AWQ457600 AMU457511:AMU457600 ACY457511:ACY457600 TC457511:TC457600 JG457511:JG457600 K457520:K457609 WVS391975:WVS392064 WLW391975:WLW392064 WCA391975:WCA392064 VSE391975:VSE392064 VII391975:VII392064 UYM391975:UYM392064 UOQ391975:UOQ392064 UEU391975:UEU392064 TUY391975:TUY392064 TLC391975:TLC392064 TBG391975:TBG392064 SRK391975:SRK392064 SHO391975:SHO392064 RXS391975:RXS392064 RNW391975:RNW392064 REA391975:REA392064 QUE391975:QUE392064 QKI391975:QKI392064 QAM391975:QAM392064 PQQ391975:PQQ392064 PGU391975:PGU392064 OWY391975:OWY392064 ONC391975:ONC392064 ODG391975:ODG392064 NTK391975:NTK392064 NJO391975:NJO392064 MZS391975:MZS392064 MPW391975:MPW392064 MGA391975:MGA392064 LWE391975:LWE392064 LMI391975:LMI392064 LCM391975:LCM392064 KSQ391975:KSQ392064 KIU391975:KIU392064 JYY391975:JYY392064 JPC391975:JPC392064 JFG391975:JFG392064 IVK391975:IVK392064 ILO391975:ILO392064 IBS391975:IBS392064 HRW391975:HRW392064 HIA391975:HIA392064 GYE391975:GYE392064 GOI391975:GOI392064 GEM391975:GEM392064 FUQ391975:FUQ392064 FKU391975:FKU392064 FAY391975:FAY392064 ERC391975:ERC392064 EHG391975:EHG392064 DXK391975:DXK392064 DNO391975:DNO392064 DDS391975:DDS392064 CTW391975:CTW392064 CKA391975:CKA392064 CAE391975:CAE392064 BQI391975:BQI392064 BGM391975:BGM392064 AWQ391975:AWQ392064 AMU391975:AMU392064 ACY391975:ACY392064 TC391975:TC392064 JG391975:JG392064 K391984:K392073 WVS326439:WVS326528 WLW326439:WLW326528 WCA326439:WCA326528 VSE326439:VSE326528 VII326439:VII326528 UYM326439:UYM326528 UOQ326439:UOQ326528 UEU326439:UEU326528 TUY326439:TUY326528 TLC326439:TLC326528 TBG326439:TBG326528 SRK326439:SRK326528 SHO326439:SHO326528 RXS326439:RXS326528 RNW326439:RNW326528 REA326439:REA326528 QUE326439:QUE326528 QKI326439:QKI326528 QAM326439:QAM326528 PQQ326439:PQQ326528 PGU326439:PGU326528 OWY326439:OWY326528 ONC326439:ONC326528 ODG326439:ODG326528 NTK326439:NTK326528 NJO326439:NJO326528 MZS326439:MZS326528 MPW326439:MPW326528 MGA326439:MGA326528 LWE326439:LWE326528 LMI326439:LMI326528 LCM326439:LCM326528 KSQ326439:KSQ326528 KIU326439:KIU326528 JYY326439:JYY326528 JPC326439:JPC326528 JFG326439:JFG326528 IVK326439:IVK326528 ILO326439:ILO326528 IBS326439:IBS326528 HRW326439:HRW326528 HIA326439:HIA326528 GYE326439:GYE326528 GOI326439:GOI326528 GEM326439:GEM326528 FUQ326439:FUQ326528 FKU326439:FKU326528 FAY326439:FAY326528 ERC326439:ERC326528 EHG326439:EHG326528 DXK326439:DXK326528 DNO326439:DNO326528 DDS326439:DDS326528 CTW326439:CTW326528 CKA326439:CKA326528 CAE326439:CAE326528 BQI326439:BQI326528 BGM326439:BGM326528 AWQ326439:AWQ326528 AMU326439:AMU326528 ACY326439:ACY326528 TC326439:TC326528 JG326439:JG326528 K326448:K326537 WVS260903:WVS260992 WLW260903:WLW260992 WCA260903:WCA260992 VSE260903:VSE260992 VII260903:VII260992 UYM260903:UYM260992 UOQ260903:UOQ260992 UEU260903:UEU260992 TUY260903:TUY260992 TLC260903:TLC260992 TBG260903:TBG260992 SRK260903:SRK260992 SHO260903:SHO260992 RXS260903:RXS260992 RNW260903:RNW260992 REA260903:REA260992 QUE260903:QUE260992 QKI260903:QKI260992 QAM260903:QAM260992 PQQ260903:PQQ260992 PGU260903:PGU260992 OWY260903:OWY260992 ONC260903:ONC260992 ODG260903:ODG260992 NTK260903:NTK260992 NJO260903:NJO260992 MZS260903:MZS260992 MPW260903:MPW260992 MGA260903:MGA260992 LWE260903:LWE260992 LMI260903:LMI260992 LCM260903:LCM260992 KSQ260903:KSQ260992 KIU260903:KIU260992 JYY260903:JYY260992 JPC260903:JPC260992 JFG260903:JFG260992 IVK260903:IVK260992 ILO260903:ILO260992 IBS260903:IBS260992 HRW260903:HRW260992 HIA260903:HIA260992 GYE260903:GYE260992 GOI260903:GOI260992 GEM260903:GEM260992 FUQ260903:FUQ260992 FKU260903:FKU260992 FAY260903:FAY260992 ERC260903:ERC260992 EHG260903:EHG260992 DXK260903:DXK260992 DNO260903:DNO260992 DDS260903:DDS260992 CTW260903:CTW260992 CKA260903:CKA260992 CAE260903:CAE260992 BQI260903:BQI260992 BGM260903:BGM260992 AWQ260903:AWQ260992 AMU260903:AMU260992 ACY260903:ACY260992 TC260903:TC260992 JG260903:JG260992 K260912:K261001 WVS195367:WVS195456 WLW195367:WLW195456 WCA195367:WCA195456 VSE195367:VSE195456 VII195367:VII195456 UYM195367:UYM195456 UOQ195367:UOQ195456 UEU195367:UEU195456 TUY195367:TUY195456 TLC195367:TLC195456 TBG195367:TBG195456 SRK195367:SRK195456 SHO195367:SHO195456 RXS195367:RXS195456 RNW195367:RNW195456 REA195367:REA195456 QUE195367:QUE195456 QKI195367:QKI195456 QAM195367:QAM195456 PQQ195367:PQQ195456 PGU195367:PGU195456 OWY195367:OWY195456 ONC195367:ONC195456 ODG195367:ODG195456 NTK195367:NTK195456 NJO195367:NJO195456 MZS195367:MZS195456 MPW195367:MPW195456 MGA195367:MGA195456 LWE195367:LWE195456 LMI195367:LMI195456 LCM195367:LCM195456 KSQ195367:KSQ195456 KIU195367:KIU195456 JYY195367:JYY195456 JPC195367:JPC195456 JFG195367:JFG195456 IVK195367:IVK195456 ILO195367:ILO195456 IBS195367:IBS195456 HRW195367:HRW195456 HIA195367:HIA195456 GYE195367:GYE195456 GOI195367:GOI195456 GEM195367:GEM195456 FUQ195367:FUQ195456 FKU195367:FKU195456 FAY195367:FAY195456 ERC195367:ERC195456 EHG195367:EHG195456 DXK195367:DXK195456 DNO195367:DNO195456 DDS195367:DDS195456 CTW195367:CTW195456 CKA195367:CKA195456 CAE195367:CAE195456 BQI195367:BQI195456 BGM195367:BGM195456 AWQ195367:AWQ195456 AMU195367:AMU195456 ACY195367:ACY195456 TC195367:TC195456 JG195367:JG195456 K195376:K195465 WVS129831:WVS129920 WLW129831:WLW129920 WCA129831:WCA129920 VSE129831:VSE129920 VII129831:VII129920 UYM129831:UYM129920 UOQ129831:UOQ129920 UEU129831:UEU129920 TUY129831:TUY129920 TLC129831:TLC129920 TBG129831:TBG129920 SRK129831:SRK129920 SHO129831:SHO129920 RXS129831:RXS129920 RNW129831:RNW129920 REA129831:REA129920 QUE129831:QUE129920 QKI129831:QKI129920 QAM129831:QAM129920 PQQ129831:PQQ129920 PGU129831:PGU129920 OWY129831:OWY129920 ONC129831:ONC129920 ODG129831:ODG129920 NTK129831:NTK129920 NJO129831:NJO129920 MZS129831:MZS129920 MPW129831:MPW129920 MGA129831:MGA129920 LWE129831:LWE129920 LMI129831:LMI129920 LCM129831:LCM129920 KSQ129831:KSQ129920 KIU129831:KIU129920 JYY129831:JYY129920 JPC129831:JPC129920 JFG129831:JFG129920 IVK129831:IVK129920 ILO129831:ILO129920 IBS129831:IBS129920 HRW129831:HRW129920 HIA129831:HIA129920 GYE129831:GYE129920 GOI129831:GOI129920 GEM129831:GEM129920 FUQ129831:FUQ129920 FKU129831:FKU129920 FAY129831:FAY129920 ERC129831:ERC129920 EHG129831:EHG129920 DXK129831:DXK129920 DNO129831:DNO129920 DDS129831:DDS129920 CTW129831:CTW129920 CKA129831:CKA129920 CAE129831:CAE129920 BQI129831:BQI129920 BGM129831:BGM129920 AWQ129831:AWQ129920 AMU129831:AMU129920 ACY129831:ACY129920 TC129831:TC129920 JG129831:JG129920 K129840:K129929 WVS64295:WVS64384 WLW64295:WLW64384 WCA64295:WCA64384 VSE64295:VSE64384 VII64295:VII64384 UYM64295:UYM64384 UOQ64295:UOQ64384 UEU64295:UEU64384 TUY64295:TUY64384 TLC64295:TLC64384 TBG64295:TBG64384 SRK64295:SRK64384 SHO64295:SHO64384 RXS64295:RXS64384 RNW64295:RNW64384 REA64295:REA64384 QUE64295:QUE64384 QKI64295:QKI64384 QAM64295:QAM64384 PQQ64295:PQQ64384 PGU64295:PGU64384 OWY64295:OWY64384 ONC64295:ONC64384 ODG64295:ODG64384 NTK64295:NTK64384 NJO64295:NJO64384 MZS64295:MZS64384 MPW64295:MPW64384 MGA64295:MGA64384 LWE64295:LWE64384 LMI64295:LMI64384 LCM64295:LCM64384 KSQ64295:KSQ64384 KIU64295:KIU64384 JYY64295:JYY64384 JPC64295:JPC64384 JFG64295:JFG64384 IVK64295:IVK64384 ILO64295:ILO64384 IBS64295:IBS64384 HRW64295:HRW64384 HIA64295:HIA64384 GYE64295:GYE64384 GOI64295:GOI64384 GEM64295:GEM64384 FUQ64295:FUQ64384 FKU64295:FKU64384 FAY64295:FAY64384 ERC64295:ERC64384 EHG64295:EHG64384 DXK64295:DXK64384 DNO64295:DNO64384 DDS64295:DDS64384 CTW64295:CTW64384 CKA64295:CKA64384 CAE64295:CAE64384 BQI64295:BQI64384 BGM64295:BGM64384 AWQ64295:AWQ64384 AMU64295:AMU64384 ACY64295:ACY64384 TC64295:TC64384 JG64295:JG64384 K64304:K64393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formula1>$AR$2:$AR$24</formula1>
    </dataValidation>
    <dataValidation type="list" allowBlank="1" showInputMessage="1" showErrorMessage="1" sqref="WVR981799:WVR981888 WLV981799:WLV981888 WBZ981799:WBZ981888 VSD981799:VSD981888 VIH981799:VIH981888 UYL981799:UYL981888 UOP981799:UOP981888 UET981799:UET981888 TUX981799:TUX981888 TLB981799:TLB981888 TBF981799:TBF981888 SRJ981799:SRJ981888 SHN981799:SHN981888 RXR981799:RXR981888 RNV981799:RNV981888 RDZ981799:RDZ981888 QUD981799:QUD981888 QKH981799:QKH981888 QAL981799:QAL981888 PQP981799:PQP981888 PGT981799:PGT981888 OWX981799:OWX981888 ONB981799:ONB981888 ODF981799:ODF981888 NTJ981799:NTJ981888 NJN981799:NJN981888 MZR981799:MZR981888 MPV981799:MPV981888 MFZ981799:MFZ981888 LWD981799:LWD981888 LMH981799:LMH981888 LCL981799:LCL981888 KSP981799:KSP981888 KIT981799:KIT981888 JYX981799:JYX981888 JPB981799:JPB981888 JFF981799:JFF981888 IVJ981799:IVJ981888 ILN981799:ILN981888 IBR981799:IBR981888 HRV981799:HRV981888 HHZ981799:HHZ981888 GYD981799:GYD981888 GOH981799:GOH981888 GEL981799:GEL981888 FUP981799:FUP981888 FKT981799:FKT981888 FAX981799:FAX981888 ERB981799:ERB981888 EHF981799:EHF981888 DXJ981799:DXJ981888 DNN981799:DNN981888 DDR981799:DDR981888 CTV981799:CTV981888 CJZ981799:CJZ981888 CAD981799:CAD981888 BQH981799:BQH981888 BGL981799:BGL981888 AWP981799:AWP981888 AMT981799:AMT981888 ACX981799:ACX981888 TB981799:TB981888 JF981799:JF981888 J981808:J981897 WVR916263:WVR916352 WLV916263:WLV916352 WBZ916263:WBZ916352 VSD916263:VSD916352 VIH916263:VIH916352 UYL916263:UYL916352 UOP916263:UOP916352 UET916263:UET916352 TUX916263:TUX916352 TLB916263:TLB916352 TBF916263:TBF916352 SRJ916263:SRJ916352 SHN916263:SHN916352 RXR916263:RXR916352 RNV916263:RNV916352 RDZ916263:RDZ916352 QUD916263:QUD916352 QKH916263:QKH916352 QAL916263:QAL916352 PQP916263:PQP916352 PGT916263:PGT916352 OWX916263:OWX916352 ONB916263:ONB916352 ODF916263:ODF916352 NTJ916263:NTJ916352 NJN916263:NJN916352 MZR916263:MZR916352 MPV916263:MPV916352 MFZ916263:MFZ916352 LWD916263:LWD916352 LMH916263:LMH916352 LCL916263:LCL916352 KSP916263:KSP916352 KIT916263:KIT916352 JYX916263:JYX916352 JPB916263:JPB916352 JFF916263:JFF916352 IVJ916263:IVJ916352 ILN916263:ILN916352 IBR916263:IBR916352 HRV916263:HRV916352 HHZ916263:HHZ916352 GYD916263:GYD916352 GOH916263:GOH916352 GEL916263:GEL916352 FUP916263:FUP916352 FKT916263:FKT916352 FAX916263:FAX916352 ERB916263:ERB916352 EHF916263:EHF916352 DXJ916263:DXJ916352 DNN916263:DNN916352 DDR916263:DDR916352 CTV916263:CTV916352 CJZ916263:CJZ916352 CAD916263:CAD916352 BQH916263:BQH916352 BGL916263:BGL916352 AWP916263:AWP916352 AMT916263:AMT916352 ACX916263:ACX916352 TB916263:TB916352 JF916263:JF916352 J916272:J916361 WVR850727:WVR850816 WLV850727:WLV850816 WBZ850727:WBZ850816 VSD850727:VSD850816 VIH850727:VIH850816 UYL850727:UYL850816 UOP850727:UOP850816 UET850727:UET850816 TUX850727:TUX850816 TLB850727:TLB850816 TBF850727:TBF850816 SRJ850727:SRJ850816 SHN850727:SHN850816 RXR850727:RXR850816 RNV850727:RNV850816 RDZ850727:RDZ850816 QUD850727:QUD850816 QKH850727:QKH850816 QAL850727:QAL850816 PQP850727:PQP850816 PGT850727:PGT850816 OWX850727:OWX850816 ONB850727:ONB850816 ODF850727:ODF850816 NTJ850727:NTJ850816 NJN850727:NJN850816 MZR850727:MZR850816 MPV850727:MPV850816 MFZ850727:MFZ850816 LWD850727:LWD850816 LMH850727:LMH850816 LCL850727:LCL850816 KSP850727:KSP850816 KIT850727:KIT850816 JYX850727:JYX850816 JPB850727:JPB850816 JFF850727:JFF850816 IVJ850727:IVJ850816 ILN850727:ILN850816 IBR850727:IBR850816 HRV850727:HRV850816 HHZ850727:HHZ850816 GYD850727:GYD850816 GOH850727:GOH850816 GEL850727:GEL850816 FUP850727:FUP850816 FKT850727:FKT850816 FAX850727:FAX850816 ERB850727:ERB850816 EHF850727:EHF850816 DXJ850727:DXJ850816 DNN850727:DNN850816 DDR850727:DDR850816 CTV850727:CTV850816 CJZ850727:CJZ850816 CAD850727:CAD850816 BQH850727:BQH850816 BGL850727:BGL850816 AWP850727:AWP850816 AMT850727:AMT850816 ACX850727:ACX850816 TB850727:TB850816 JF850727:JF850816 J850736:J850825 WVR785191:WVR785280 WLV785191:WLV785280 WBZ785191:WBZ785280 VSD785191:VSD785280 VIH785191:VIH785280 UYL785191:UYL785280 UOP785191:UOP785280 UET785191:UET785280 TUX785191:TUX785280 TLB785191:TLB785280 TBF785191:TBF785280 SRJ785191:SRJ785280 SHN785191:SHN785280 RXR785191:RXR785280 RNV785191:RNV785280 RDZ785191:RDZ785280 QUD785191:QUD785280 QKH785191:QKH785280 QAL785191:QAL785280 PQP785191:PQP785280 PGT785191:PGT785280 OWX785191:OWX785280 ONB785191:ONB785280 ODF785191:ODF785280 NTJ785191:NTJ785280 NJN785191:NJN785280 MZR785191:MZR785280 MPV785191:MPV785280 MFZ785191:MFZ785280 LWD785191:LWD785280 LMH785191:LMH785280 LCL785191:LCL785280 KSP785191:KSP785280 KIT785191:KIT785280 JYX785191:JYX785280 JPB785191:JPB785280 JFF785191:JFF785280 IVJ785191:IVJ785280 ILN785191:ILN785280 IBR785191:IBR785280 HRV785191:HRV785280 HHZ785191:HHZ785280 GYD785191:GYD785280 GOH785191:GOH785280 GEL785191:GEL785280 FUP785191:FUP785280 FKT785191:FKT785280 FAX785191:FAX785280 ERB785191:ERB785280 EHF785191:EHF785280 DXJ785191:DXJ785280 DNN785191:DNN785280 DDR785191:DDR785280 CTV785191:CTV785280 CJZ785191:CJZ785280 CAD785191:CAD785280 BQH785191:BQH785280 BGL785191:BGL785280 AWP785191:AWP785280 AMT785191:AMT785280 ACX785191:ACX785280 TB785191:TB785280 JF785191:JF785280 J785200:J785289 WVR719655:WVR719744 WLV719655:WLV719744 WBZ719655:WBZ719744 VSD719655:VSD719744 VIH719655:VIH719744 UYL719655:UYL719744 UOP719655:UOP719744 UET719655:UET719744 TUX719655:TUX719744 TLB719655:TLB719744 TBF719655:TBF719744 SRJ719655:SRJ719744 SHN719655:SHN719744 RXR719655:RXR719744 RNV719655:RNV719744 RDZ719655:RDZ719744 QUD719655:QUD719744 QKH719655:QKH719744 QAL719655:QAL719744 PQP719655:PQP719744 PGT719655:PGT719744 OWX719655:OWX719744 ONB719655:ONB719744 ODF719655:ODF719744 NTJ719655:NTJ719744 NJN719655:NJN719744 MZR719655:MZR719744 MPV719655:MPV719744 MFZ719655:MFZ719744 LWD719655:LWD719744 LMH719655:LMH719744 LCL719655:LCL719744 KSP719655:KSP719744 KIT719655:KIT719744 JYX719655:JYX719744 JPB719655:JPB719744 JFF719655:JFF719744 IVJ719655:IVJ719744 ILN719655:ILN719744 IBR719655:IBR719744 HRV719655:HRV719744 HHZ719655:HHZ719744 GYD719655:GYD719744 GOH719655:GOH719744 GEL719655:GEL719744 FUP719655:FUP719744 FKT719655:FKT719744 FAX719655:FAX719744 ERB719655:ERB719744 EHF719655:EHF719744 DXJ719655:DXJ719744 DNN719655:DNN719744 DDR719655:DDR719744 CTV719655:CTV719744 CJZ719655:CJZ719744 CAD719655:CAD719744 BQH719655:BQH719744 BGL719655:BGL719744 AWP719655:AWP719744 AMT719655:AMT719744 ACX719655:ACX719744 TB719655:TB719744 JF719655:JF719744 J719664:J719753 WVR654119:WVR654208 WLV654119:WLV654208 WBZ654119:WBZ654208 VSD654119:VSD654208 VIH654119:VIH654208 UYL654119:UYL654208 UOP654119:UOP654208 UET654119:UET654208 TUX654119:TUX654208 TLB654119:TLB654208 TBF654119:TBF654208 SRJ654119:SRJ654208 SHN654119:SHN654208 RXR654119:RXR654208 RNV654119:RNV654208 RDZ654119:RDZ654208 QUD654119:QUD654208 QKH654119:QKH654208 QAL654119:QAL654208 PQP654119:PQP654208 PGT654119:PGT654208 OWX654119:OWX654208 ONB654119:ONB654208 ODF654119:ODF654208 NTJ654119:NTJ654208 NJN654119:NJN654208 MZR654119:MZR654208 MPV654119:MPV654208 MFZ654119:MFZ654208 LWD654119:LWD654208 LMH654119:LMH654208 LCL654119:LCL654208 KSP654119:KSP654208 KIT654119:KIT654208 JYX654119:JYX654208 JPB654119:JPB654208 JFF654119:JFF654208 IVJ654119:IVJ654208 ILN654119:ILN654208 IBR654119:IBR654208 HRV654119:HRV654208 HHZ654119:HHZ654208 GYD654119:GYD654208 GOH654119:GOH654208 GEL654119:GEL654208 FUP654119:FUP654208 FKT654119:FKT654208 FAX654119:FAX654208 ERB654119:ERB654208 EHF654119:EHF654208 DXJ654119:DXJ654208 DNN654119:DNN654208 DDR654119:DDR654208 CTV654119:CTV654208 CJZ654119:CJZ654208 CAD654119:CAD654208 BQH654119:BQH654208 BGL654119:BGL654208 AWP654119:AWP654208 AMT654119:AMT654208 ACX654119:ACX654208 TB654119:TB654208 JF654119:JF654208 J654128:J654217 WVR588583:WVR588672 WLV588583:WLV588672 WBZ588583:WBZ588672 VSD588583:VSD588672 VIH588583:VIH588672 UYL588583:UYL588672 UOP588583:UOP588672 UET588583:UET588672 TUX588583:TUX588672 TLB588583:TLB588672 TBF588583:TBF588672 SRJ588583:SRJ588672 SHN588583:SHN588672 RXR588583:RXR588672 RNV588583:RNV588672 RDZ588583:RDZ588672 QUD588583:QUD588672 QKH588583:QKH588672 QAL588583:QAL588672 PQP588583:PQP588672 PGT588583:PGT588672 OWX588583:OWX588672 ONB588583:ONB588672 ODF588583:ODF588672 NTJ588583:NTJ588672 NJN588583:NJN588672 MZR588583:MZR588672 MPV588583:MPV588672 MFZ588583:MFZ588672 LWD588583:LWD588672 LMH588583:LMH588672 LCL588583:LCL588672 KSP588583:KSP588672 KIT588583:KIT588672 JYX588583:JYX588672 JPB588583:JPB588672 JFF588583:JFF588672 IVJ588583:IVJ588672 ILN588583:ILN588672 IBR588583:IBR588672 HRV588583:HRV588672 HHZ588583:HHZ588672 GYD588583:GYD588672 GOH588583:GOH588672 GEL588583:GEL588672 FUP588583:FUP588672 FKT588583:FKT588672 FAX588583:FAX588672 ERB588583:ERB588672 EHF588583:EHF588672 DXJ588583:DXJ588672 DNN588583:DNN588672 DDR588583:DDR588672 CTV588583:CTV588672 CJZ588583:CJZ588672 CAD588583:CAD588672 BQH588583:BQH588672 BGL588583:BGL588672 AWP588583:AWP588672 AMT588583:AMT588672 ACX588583:ACX588672 TB588583:TB588672 JF588583:JF588672 J588592:J588681 WVR523047:WVR523136 WLV523047:WLV523136 WBZ523047:WBZ523136 VSD523047:VSD523136 VIH523047:VIH523136 UYL523047:UYL523136 UOP523047:UOP523136 UET523047:UET523136 TUX523047:TUX523136 TLB523047:TLB523136 TBF523047:TBF523136 SRJ523047:SRJ523136 SHN523047:SHN523136 RXR523047:RXR523136 RNV523047:RNV523136 RDZ523047:RDZ523136 QUD523047:QUD523136 QKH523047:QKH523136 QAL523047:QAL523136 PQP523047:PQP523136 PGT523047:PGT523136 OWX523047:OWX523136 ONB523047:ONB523136 ODF523047:ODF523136 NTJ523047:NTJ523136 NJN523047:NJN523136 MZR523047:MZR523136 MPV523047:MPV523136 MFZ523047:MFZ523136 LWD523047:LWD523136 LMH523047:LMH523136 LCL523047:LCL523136 KSP523047:KSP523136 KIT523047:KIT523136 JYX523047:JYX523136 JPB523047:JPB523136 JFF523047:JFF523136 IVJ523047:IVJ523136 ILN523047:ILN523136 IBR523047:IBR523136 HRV523047:HRV523136 HHZ523047:HHZ523136 GYD523047:GYD523136 GOH523047:GOH523136 GEL523047:GEL523136 FUP523047:FUP523136 FKT523047:FKT523136 FAX523047:FAX523136 ERB523047:ERB523136 EHF523047:EHF523136 DXJ523047:DXJ523136 DNN523047:DNN523136 DDR523047:DDR523136 CTV523047:CTV523136 CJZ523047:CJZ523136 CAD523047:CAD523136 BQH523047:BQH523136 BGL523047:BGL523136 AWP523047:AWP523136 AMT523047:AMT523136 ACX523047:ACX523136 TB523047:TB523136 JF523047:JF523136 J523056:J523145 WVR457511:WVR457600 WLV457511:WLV457600 WBZ457511:WBZ457600 VSD457511:VSD457600 VIH457511:VIH457600 UYL457511:UYL457600 UOP457511:UOP457600 UET457511:UET457600 TUX457511:TUX457600 TLB457511:TLB457600 TBF457511:TBF457600 SRJ457511:SRJ457600 SHN457511:SHN457600 RXR457511:RXR457600 RNV457511:RNV457600 RDZ457511:RDZ457600 QUD457511:QUD457600 QKH457511:QKH457600 QAL457511:QAL457600 PQP457511:PQP457600 PGT457511:PGT457600 OWX457511:OWX457600 ONB457511:ONB457600 ODF457511:ODF457600 NTJ457511:NTJ457600 NJN457511:NJN457600 MZR457511:MZR457600 MPV457511:MPV457600 MFZ457511:MFZ457600 LWD457511:LWD457600 LMH457511:LMH457600 LCL457511:LCL457600 KSP457511:KSP457600 KIT457511:KIT457600 JYX457511:JYX457600 JPB457511:JPB457600 JFF457511:JFF457600 IVJ457511:IVJ457600 ILN457511:ILN457600 IBR457511:IBR457600 HRV457511:HRV457600 HHZ457511:HHZ457600 GYD457511:GYD457600 GOH457511:GOH457600 GEL457511:GEL457600 FUP457511:FUP457600 FKT457511:FKT457600 FAX457511:FAX457600 ERB457511:ERB457600 EHF457511:EHF457600 DXJ457511:DXJ457600 DNN457511:DNN457600 DDR457511:DDR457600 CTV457511:CTV457600 CJZ457511:CJZ457600 CAD457511:CAD457600 BQH457511:BQH457600 BGL457511:BGL457600 AWP457511:AWP457600 AMT457511:AMT457600 ACX457511:ACX457600 TB457511:TB457600 JF457511:JF457600 J457520:J457609 WVR391975:WVR392064 WLV391975:WLV392064 WBZ391975:WBZ392064 VSD391975:VSD392064 VIH391975:VIH392064 UYL391975:UYL392064 UOP391975:UOP392064 UET391975:UET392064 TUX391975:TUX392064 TLB391975:TLB392064 TBF391975:TBF392064 SRJ391975:SRJ392064 SHN391975:SHN392064 RXR391975:RXR392064 RNV391975:RNV392064 RDZ391975:RDZ392064 QUD391975:QUD392064 QKH391975:QKH392064 QAL391975:QAL392064 PQP391975:PQP392064 PGT391975:PGT392064 OWX391975:OWX392064 ONB391975:ONB392064 ODF391975:ODF392064 NTJ391975:NTJ392064 NJN391975:NJN392064 MZR391975:MZR392064 MPV391975:MPV392064 MFZ391975:MFZ392064 LWD391975:LWD392064 LMH391975:LMH392064 LCL391975:LCL392064 KSP391975:KSP392064 KIT391975:KIT392064 JYX391975:JYX392064 JPB391975:JPB392064 JFF391975:JFF392064 IVJ391975:IVJ392064 ILN391975:ILN392064 IBR391975:IBR392064 HRV391975:HRV392064 HHZ391975:HHZ392064 GYD391975:GYD392064 GOH391975:GOH392064 GEL391975:GEL392064 FUP391975:FUP392064 FKT391975:FKT392064 FAX391975:FAX392064 ERB391975:ERB392064 EHF391975:EHF392064 DXJ391975:DXJ392064 DNN391975:DNN392064 DDR391975:DDR392064 CTV391975:CTV392064 CJZ391975:CJZ392064 CAD391975:CAD392064 BQH391975:BQH392064 BGL391975:BGL392064 AWP391975:AWP392064 AMT391975:AMT392064 ACX391975:ACX392064 TB391975:TB392064 JF391975:JF392064 J391984:J392073 WVR326439:WVR326528 WLV326439:WLV326528 WBZ326439:WBZ326528 VSD326439:VSD326528 VIH326439:VIH326528 UYL326439:UYL326528 UOP326439:UOP326528 UET326439:UET326528 TUX326439:TUX326528 TLB326439:TLB326528 TBF326439:TBF326528 SRJ326439:SRJ326528 SHN326439:SHN326528 RXR326439:RXR326528 RNV326439:RNV326528 RDZ326439:RDZ326528 QUD326439:QUD326528 QKH326439:QKH326528 QAL326439:QAL326528 PQP326439:PQP326528 PGT326439:PGT326528 OWX326439:OWX326528 ONB326439:ONB326528 ODF326439:ODF326528 NTJ326439:NTJ326528 NJN326439:NJN326528 MZR326439:MZR326528 MPV326439:MPV326528 MFZ326439:MFZ326528 LWD326439:LWD326528 LMH326439:LMH326528 LCL326439:LCL326528 KSP326439:KSP326528 KIT326439:KIT326528 JYX326439:JYX326528 JPB326439:JPB326528 JFF326439:JFF326528 IVJ326439:IVJ326528 ILN326439:ILN326528 IBR326439:IBR326528 HRV326439:HRV326528 HHZ326439:HHZ326528 GYD326439:GYD326528 GOH326439:GOH326528 GEL326439:GEL326528 FUP326439:FUP326528 FKT326439:FKT326528 FAX326439:FAX326528 ERB326439:ERB326528 EHF326439:EHF326528 DXJ326439:DXJ326528 DNN326439:DNN326528 DDR326439:DDR326528 CTV326439:CTV326528 CJZ326439:CJZ326528 CAD326439:CAD326528 BQH326439:BQH326528 BGL326439:BGL326528 AWP326439:AWP326528 AMT326439:AMT326528 ACX326439:ACX326528 TB326439:TB326528 JF326439:JF326528 J326448:J326537 WVR260903:WVR260992 WLV260903:WLV260992 WBZ260903:WBZ260992 VSD260903:VSD260992 VIH260903:VIH260992 UYL260903:UYL260992 UOP260903:UOP260992 UET260903:UET260992 TUX260903:TUX260992 TLB260903:TLB260992 TBF260903:TBF260992 SRJ260903:SRJ260992 SHN260903:SHN260992 RXR260903:RXR260992 RNV260903:RNV260992 RDZ260903:RDZ260992 QUD260903:QUD260992 QKH260903:QKH260992 QAL260903:QAL260992 PQP260903:PQP260992 PGT260903:PGT260992 OWX260903:OWX260992 ONB260903:ONB260992 ODF260903:ODF260992 NTJ260903:NTJ260992 NJN260903:NJN260992 MZR260903:MZR260992 MPV260903:MPV260992 MFZ260903:MFZ260992 LWD260903:LWD260992 LMH260903:LMH260992 LCL260903:LCL260992 KSP260903:KSP260992 KIT260903:KIT260992 JYX260903:JYX260992 JPB260903:JPB260992 JFF260903:JFF260992 IVJ260903:IVJ260992 ILN260903:ILN260992 IBR260903:IBR260992 HRV260903:HRV260992 HHZ260903:HHZ260992 GYD260903:GYD260992 GOH260903:GOH260992 GEL260903:GEL260992 FUP260903:FUP260992 FKT260903:FKT260992 FAX260903:FAX260992 ERB260903:ERB260992 EHF260903:EHF260992 DXJ260903:DXJ260992 DNN260903:DNN260992 DDR260903:DDR260992 CTV260903:CTV260992 CJZ260903:CJZ260992 CAD260903:CAD260992 BQH260903:BQH260992 BGL260903:BGL260992 AWP260903:AWP260992 AMT260903:AMT260992 ACX260903:ACX260992 TB260903:TB260992 JF260903:JF260992 J260912:J261001 WVR195367:WVR195456 WLV195367:WLV195456 WBZ195367:WBZ195456 VSD195367:VSD195456 VIH195367:VIH195456 UYL195367:UYL195456 UOP195367:UOP195456 UET195367:UET195456 TUX195367:TUX195456 TLB195367:TLB195456 TBF195367:TBF195456 SRJ195367:SRJ195456 SHN195367:SHN195456 RXR195367:RXR195456 RNV195367:RNV195456 RDZ195367:RDZ195456 QUD195367:QUD195456 QKH195367:QKH195456 QAL195367:QAL195456 PQP195367:PQP195456 PGT195367:PGT195456 OWX195367:OWX195456 ONB195367:ONB195456 ODF195367:ODF195456 NTJ195367:NTJ195456 NJN195367:NJN195456 MZR195367:MZR195456 MPV195367:MPV195456 MFZ195367:MFZ195456 LWD195367:LWD195456 LMH195367:LMH195456 LCL195367:LCL195456 KSP195367:KSP195456 KIT195367:KIT195456 JYX195367:JYX195456 JPB195367:JPB195456 JFF195367:JFF195456 IVJ195367:IVJ195456 ILN195367:ILN195456 IBR195367:IBR195456 HRV195367:HRV195456 HHZ195367:HHZ195456 GYD195367:GYD195456 GOH195367:GOH195456 GEL195367:GEL195456 FUP195367:FUP195456 FKT195367:FKT195456 FAX195367:FAX195456 ERB195367:ERB195456 EHF195367:EHF195456 DXJ195367:DXJ195456 DNN195367:DNN195456 DDR195367:DDR195456 CTV195367:CTV195456 CJZ195367:CJZ195456 CAD195367:CAD195456 BQH195367:BQH195456 BGL195367:BGL195456 AWP195367:AWP195456 AMT195367:AMT195456 ACX195367:ACX195456 TB195367:TB195456 JF195367:JF195456 J195376:J195465 WVR129831:WVR129920 WLV129831:WLV129920 WBZ129831:WBZ129920 VSD129831:VSD129920 VIH129831:VIH129920 UYL129831:UYL129920 UOP129831:UOP129920 UET129831:UET129920 TUX129831:TUX129920 TLB129831:TLB129920 TBF129831:TBF129920 SRJ129831:SRJ129920 SHN129831:SHN129920 RXR129831:RXR129920 RNV129831:RNV129920 RDZ129831:RDZ129920 QUD129831:QUD129920 QKH129831:QKH129920 QAL129831:QAL129920 PQP129831:PQP129920 PGT129831:PGT129920 OWX129831:OWX129920 ONB129831:ONB129920 ODF129831:ODF129920 NTJ129831:NTJ129920 NJN129831:NJN129920 MZR129831:MZR129920 MPV129831:MPV129920 MFZ129831:MFZ129920 LWD129831:LWD129920 LMH129831:LMH129920 LCL129831:LCL129920 KSP129831:KSP129920 KIT129831:KIT129920 JYX129831:JYX129920 JPB129831:JPB129920 JFF129831:JFF129920 IVJ129831:IVJ129920 ILN129831:ILN129920 IBR129831:IBR129920 HRV129831:HRV129920 HHZ129831:HHZ129920 GYD129831:GYD129920 GOH129831:GOH129920 GEL129831:GEL129920 FUP129831:FUP129920 FKT129831:FKT129920 FAX129831:FAX129920 ERB129831:ERB129920 EHF129831:EHF129920 DXJ129831:DXJ129920 DNN129831:DNN129920 DDR129831:DDR129920 CTV129831:CTV129920 CJZ129831:CJZ129920 CAD129831:CAD129920 BQH129831:BQH129920 BGL129831:BGL129920 AWP129831:AWP129920 AMT129831:AMT129920 ACX129831:ACX129920 TB129831:TB129920 JF129831:JF129920 J129840:J129929 WVR64295:WVR64384 WLV64295:WLV64384 WBZ64295:WBZ64384 VSD64295:VSD64384 VIH64295:VIH64384 UYL64295:UYL64384 UOP64295:UOP64384 UET64295:UET64384 TUX64295:TUX64384 TLB64295:TLB64384 TBF64295:TBF64384 SRJ64295:SRJ64384 SHN64295:SHN64384 RXR64295:RXR64384 RNV64295:RNV64384 RDZ64295:RDZ64384 QUD64295:QUD64384 QKH64295:QKH64384 QAL64295:QAL64384 PQP64295:PQP64384 PGT64295:PGT64384 OWX64295:OWX64384 ONB64295:ONB64384 ODF64295:ODF64384 NTJ64295:NTJ64384 NJN64295:NJN64384 MZR64295:MZR64384 MPV64295:MPV64384 MFZ64295:MFZ64384 LWD64295:LWD64384 LMH64295:LMH64384 LCL64295:LCL64384 KSP64295:KSP64384 KIT64295:KIT64384 JYX64295:JYX64384 JPB64295:JPB64384 JFF64295:JFF64384 IVJ64295:IVJ64384 ILN64295:ILN64384 IBR64295:IBR64384 HRV64295:HRV64384 HHZ64295:HHZ64384 GYD64295:GYD64384 GOH64295:GOH64384 GEL64295:GEL64384 FUP64295:FUP64384 FKT64295:FKT64384 FAX64295:FAX64384 ERB64295:ERB64384 EHF64295:EHF64384 DXJ64295:DXJ64384 DNN64295:DNN64384 DDR64295:DDR64384 CTV64295:CTV64384 CJZ64295:CJZ64384 CAD64295:CAD64384 BQH64295:BQH64384 BGL64295:BGL64384 AWP64295:AWP64384 AMT64295:AMT64384 ACX64295:ACX64384 TB64295:TB64384 JF64295:JF64384 J64304:J64393 JF2:JF67 TB2:TB67 ACX2:ACX67 AMT2:AMT67 AWP2:AWP67 BGL2:BGL67 BQH2:BQH67 CAD2:CAD67 CJZ2:CJZ67 CTV2:CTV67 DDR2:DDR67 DNN2:DNN67 DXJ2:DXJ67 EHF2:EHF67 ERB2:ERB67 FAX2:FAX67 FKT2:FKT67 FUP2:FUP67 GEL2:GEL67 GOH2:GOH67 GYD2:GYD67 HHZ2:HHZ67 HRV2:HRV67 IBR2:IBR67 ILN2:ILN67 IVJ2:IVJ67 JFF2:JFF67 JPB2:JPB67 JYX2:JYX67 KIT2:KIT67 KSP2:KSP67 LCL2:LCL67 LMH2:LMH67 LWD2:LWD67 MFZ2:MFZ67 MPV2:MPV67 MZR2:MZR67 NJN2:NJN67 NTJ2:NTJ67 ODF2:ODF67 ONB2:ONB67 OWX2:OWX67 PGT2:PGT67 PQP2:PQP67 QAL2:QAL67 QKH2:QKH67 QUD2:QUD67 RDZ2:RDZ67 RNV2:RNV67 RXR2:RXR67 SHN2:SHN67 SRJ2:SRJ67 TBF2:TBF67 TLB2:TLB67 TUX2:TUX67 UET2:UET67 UOP2:UOP67 UYL2:UYL67 VIH2:VIH67 VSD2:VSD67 WBZ2:WBZ67 WLV2:WLV67 WVR2:WVR67">
      <formula1>$AP$2:$AP$15</formula1>
    </dataValidation>
    <dataValidation type="list" allowBlank="1" showInputMessage="1" showErrorMessage="1" sqref="WVN981799:WVN981888 WLR981799:WLR981888 WBV981799:WBV981888 VRZ981799:VRZ981888 VID981799:VID981888 UYH981799:UYH981888 UOL981799:UOL981888 UEP981799:UEP981888 TUT981799:TUT981888 TKX981799:TKX981888 TBB981799:TBB981888 SRF981799:SRF981888 SHJ981799:SHJ981888 RXN981799:RXN981888 RNR981799:RNR981888 RDV981799:RDV981888 QTZ981799:QTZ981888 QKD981799:QKD981888 QAH981799:QAH981888 PQL981799:PQL981888 PGP981799:PGP981888 OWT981799:OWT981888 OMX981799:OMX981888 ODB981799:ODB981888 NTF981799:NTF981888 NJJ981799:NJJ981888 MZN981799:MZN981888 MPR981799:MPR981888 MFV981799:MFV981888 LVZ981799:LVZ981888 LMD981799:LMD981888 LCH981799:LCH981888 KSL981799:KSL981888 KIP981799:KIP981888 JYT981799:JYT981888 JOX981799:JOX981888 JFB981799:JFB981888 IVF981799:IVF981888 ILJ981799:ILJ981888 IBN981799:IBN981888 HRR981799:HRR981888 HHV981799:HHV981888 GXZ981799:GXZ981888 GOD981799:GOD981888 GEH981799:GEH981888 FUL981799:FUL981888 FKP981799:FKP981888 FAT981799:FAT981888 EQX981799:EQX981888 EHB981799:EHB981888 DXF981799:DXF981888 DNJ981799:DNJ981888 DDN981799:DDN981888 CTR981799:CTR981888 CJV981799:CJV981888 BZZ981799:BZZ981888 BQD981799:BQD981888 BGH981799:BGH981888 AWL981799:AWL981888 AMP981799:AMP981888 ACT981799:ACT981888 SX981799:SX981888 JB981799:JB981888 F981808:F981897 WVN916263:WVN916352 WLR916263:WLR916352 WBV916263:WBV916352 VRZ916263:VRZ916352 VID916263:VID916352 UYH916263:UYH916352 UOL916263:UOL916352 UEP916263:UEP916352 TUT916263:TUT916352 TKX916263:TKX916352 TBB916263:TBB916352 SRF916263:SRF916352 SHJ916263:SHJ916352 RXN916263:RXN916352 RNR916263:RNR916352 RDV916263:RDV916352 QTZ916263:QTZ916352 QKD916263:QKD916352 QAH916263:QAH916352 PQL916263:PQL916352 PGP916263:PGP916352 OWT916263:OWT916352 OMX916263:OMX916352 ODB916263:ODB916352 NTF916263:NTF916352 NJJ916263:NJJ916352 MZN916263:MZN916352 MPR916263:MPR916352 MFV916263:MFV916352 LVZ916263:LVZ916352 LMD916263:LMD916352 LCH916263:LCH916352 KSL916263:KSL916352 KIP916263:KIP916352 JYT916263:JYT916352 JOX916263:JOX916352 JFB916263:JFB916352 IVF916263:IVF916352 ILJ916263:ILJ916352 IBN916263:IBN916352 HRR916263:HRR916352 HHV916263:HHV916352 GXZ916263:GXZ916352 GOD916263:GOD916352 GEH916263:GEH916352 FUL916263:FUL916352 FKP916263:FKP916352 FAT916263:FAT916352 EQX916263:EQX916352 EHB916263:EHB916352 DXF916263:DXF916352 DNJ916263:DNJ916352 DDN916263:DDN916352 CTR916263:CTR916352 CJV916263:CJV916352 BZZ916263:BZZ916352 BQD916263:BQD916352 BGH916263:BGH916352 AWL916263:AWL916352 AMP916263:AMP916352 ACT916263:ACT916352 SX916263:SX916352 JB916263:JB916352 F916272:F916361 WVN850727:WVN850816 WLR850727:WLR850816 WBV850727:WBV850816 VRZ850727:VRZ850816 VID850727:VID850816 UYH850727:UYH850816 UOL850727:UOL850816 UEP850727:UEP850816 TUT850727:TUT850816 TKX850727:TKX850816 TBB850727:TBB850816 SRF850727:SRF850816 SHJ850727:SHJ850816 RXN850727:RXN850816 RNR850727:RNR850816 RDV850727:RDV850816 QTZ850727:QTZ850816 QKD850727:QKD850816 QAH850727:QAH850816 PQL850727:PQL850816 PGP850727:PGP850816 OWT850727:OWT850816 OMX850727:OMX850816 ODB850727:ODB850816 NTF850727:NTF850816 NJJ850727:NJJ850816 MZN850727:MZN850816 MPR850727:MPR850816 MFV850727:MFV850816 LVZ850727:LVZ850816 LMD850727:LMD850816 LCH850727:LCH850816 KSL850727:KSL850816 KIP850727:KIP850816 JYT850727:JYT850816 JOX850727:JOX850816 JFB850727:JFB850816 IVF850727:IVF850816 ILJ850727:ILJ850816 IBN850727:IBN850816 HRR850727:HRR850816 HHV850727:HHV850816 GXZ850727:GXZ850816 GOD850727:GOD850816 GEH850727:GEH850816 FUL850727:FUL850816 FKP850727:FKP850816 FAT850727:FAT850816 EQX850727:EQX850816 EHB850727:EHB850816 DXF850727:DXF850816 DNJ850727:DNJ850816 DDN850727:DDN850816 CTR850727:CTR850816 CJV850727:CJV850816 BZZ850727:BZZ850816 BQD850727:BQD850816 BGH850727:BGH850816 AWL850727:AWL850816 AMP850727:AMP850816 ACT850727:ACT850816 SX850727:SX850816 JB850727:JB850816 F850736:F850825 WVN785191:WVN785280 WLR785191:WLR785280 WBV785191:WBV785280 VRZ785191:VRZ785280 VID785191:VID785280 UYH785191:UYH785280 UOL785191:UOL785280 UEP785191:UEP785280 TUT785191:TUT785280 TKX785191:TKX785280 TBB785191:TBB785280 SRF785191:SRF785280 SHJ785191:SHJ785280 RXN785191:RXN785280 RNR785191:RNR785280 RDV785191:RDV785280 QTZ785191:QTZ785280 QKD785191:QKD785280 QAH785191:QAH785280 PQL785191:PQL785280 PGP785191:PGP785280 OWT785191:OWT785280 OMX785191:OMX785280 ODB785191:ODB785280 NTF785191:NTF785280 NJJ785191:NJJ785280 MZN785191:MZN785280 MPR785191:MPR785280 MFV785191:MFV785280 LVZ785191:LVZ785280 LMD785191:LMD785280 LCH785191:LCH785280 KSL785191:KSL785280 KIP785191:KIP785280 JYT785191:JYT785280 JOX785191:JOX785280 JFB785191:JFB785280 IVF785191:IVF785280 ILJ785191:ILJ785280 IBN785191:IBN785280 HRR785191:HRR785280 HHV785191:HHV785280 GXZ785191:GXZ785280 GOD785191:GOD785280 GEH785191:GEH785280 FUL785191:FUL785280 FKP785191:FKP785280 FAT785191:FAT785280 EQX785191:EQX785280 EHB785191:EHB785280 DXF785191:DXF785280 DNJ785191:DNJ785280 DDN785191:DDN785280 CTR785191:CTR785280 CJV785191:CJV785280 BZZ785191:BZZ785280 BQD785191:BQD785280 BGH785191:BGH785280 AWL785191:AWL785280 AMP785191:AMP785280 ACT785191:ACT785280 SX785191:SX785280 JB785191:JB785280 F785200:F785289 WVN719655:WVN719744 WLR719655:WLR719744 WBV719655:WBV719744 VRZ719655:VRZ719744 VID719655:VID719744 UYH719655:UYH719744 UOL719655:UOL719744 UEP719655:UEP719744 TUT719655:TUT719744 TKX719655:TKX719744 TBB719655:TBB719744 SRF719655:SRF719744 SHJ719655:SHJ719744 RXN719655:RXN719744 RNR719655:RNR719744 RDV719655:RDV719744 QTZ719655:QTZ719744 QKD719655:QKD719744 QAH719655:QAH719744 PQL719655:PQL719744 PGP719655:PGP719744 OWT719655:OWT719744 OMX719655:OMX719744 ODB719655:ODB719744 NTF719655:NTF719744 NJJ719655:NJJ719744 MZN719655:MZN719744 MPR719655:MPR719744 MFV719655:MFV719744 LVZ719655:LVZ719744 LMD719655:LMD719744 LCH719655:LCH719744 KSL719655:KSL719744 KIP719655:KIP719744 JYT719655:JYT719744 JOX719655:JOX719744 JFB719655:JFB719744 IVF719655:IVF719744 ILJ719655:ILJ719744 IBN719655:IBN719744 HRR719655:HRR719744 HHV719655:HHV719744 GXZ719655:GXZ719744 GOD719655:GOD719744 GEH719655:GEH719744 FUL719655:FUL719744 FKP719655:FKP719744 FAT719655:FAT719744 EQX719655:EQX719744 EHB719655:EHB719744 DXF719655:DXF719744 DNJ719655:DNJ719744 DDN719655:DDN719744 CTR719655:CTR719744 CJV719655:CJV719744 BZZ719655:BZZ719744 BQD719655:BQD719744 BGH719655:BGH719744 AWL719655:AWL719744 AMP719655:AMP719744 ACT719655:ACT719744 SX719655:SX719744 JB719655:JB719744 F719664:F719753 WVN654119:WVN654208 WLR654119:WLR654208 WBV654119:WBV654208 VRZ654119:VRZ654208 VID654119:VID654208 UYH654119:UYH654208 UOL654119:UOL654208 UEP654119:UEP654208 TUT654119:TUT654208 TKX654119:TKX654208 TBB654119:TBB654208 SRF654119:SRF654208 SHJ654119:SHJ654208 RXN654119:RXN654208 RNR654119:RNR654208 RDV654119:RDV654208 QTZ654119:QTZ654208 QKD654119:QKD654208 QAH654119:QAH654208 PQL654119:PQL654208 PGP654119:PGP654208 OWT654119:OWT654208 OMX654119:OMX654208 ODB654119:ODB654208 NTF654119:NTF654208 NJJ654119:NJJ654208 MZN654119:MZN654208 MPR654119:MPR654208 MFV654119:MFV654208 LVZ654119:LVZ654208 LMD654119:LMD654208 LCH654119:LCH654208 KSL654119:KSL654208 KIP654119:KIP654208 JYT654119:JYT654208 JOX654119:JOX654208 JFB654119:JFB654208 IVF654119:IVF654208 ILJ654119:ILJ654208 IBN654119:IBN654208 HRR654119:HRR654208 HHV654119:HHV654208 GXZ654119:GXZ654208 GOD654119:GOD654208 GEH654119:GEH654208 FUL654119:FUL654208 FKP654119:FKP654208 FAT654119:FAT654208 EQX654119:EQX654208 EHB654119:EHB654208 DXF654119:DXF654208 DNJ654119:DNJ654208 DDN654119:DDN654208 CTR654119:CTR654208 CJV654119:CJV654208 BZZ654119:BZZ654208 BQD654119:BQD654208 BGH654119:BGH654208 AWL654119:AWL654208 AMP654119:AMP654208 ACT654119:ACT654208 SX654119:SX654208 JB654119:JB654208 F654128:F654217 WVN588583:WVN588672 WLR588583:WLR588672 WBV588583:WBV588672 VRZ588583:VRZ588672 VID588583:VID588672 UYH588583:UYH588672 UOL588583:UOL588672 UEP588583:UEP588672 TUT588583:TUT588672 TKX588583:TKX588672 TBB588583:TBB588672 SRF588583:SRF588672 SHJ588583:SHJ588672 RXN588583:RXN588672 RNR588583:RNR588672 RDV588583:RDV588672 QTZ588583:QTZ588672 QKD588583:QKD588672 QAH588583:QAH588672 PQL588583:PQL588672 PGP588583:PGP588672 OWT588583:OWT588672 OMX588583:OMX588672 ODB588583:ODB588672 NTF588583:NTF588672 NJJ588583:NJJ588672 MZN588583:MZN588672 MPR588583:MPR588672 MFV588583:MFV588672 LVZ588583:LVZ588672 LMD588583:LMD588672 LCH588583:LCH588672 KSL588583:KSL588672 KIP588583:KIP588672 JYT588583:JYT588672 JOX588583:JOX588672 JFB588583:JFB588672 IVF588583:IVF588672 ILJ588583:ILJ588672 IBN588583:IBN588672 HRR588583:HRR588672 HHV588583:HHV588672 GXZ588583:GXZ588672 GOD588583:GOD588672 GEH588583:GEH588672 FUL588583:FUL588672 FKP588583:FKP588672 FAT588583:FAT588672 EQX588583:EQX588672 EHB588583:EHB588672 DXF588583:DXF588672 DNJ588583:DNJ588672 DDN588583:DDN588672 CTR588583:CTR588672 CJV588583:CJV588672 BZZ588583:BZZ588672 BQD588583:BQD588672 BGH588583:BGH588672 AWL588583:AWL588672 AMP588583:AMP588672 ACT588583:ACT588672 SX588583:SX588672 JB588583:JB588672 F588592:F588681 WVN523047:WVN523136 WLR523047:WLR523136 WBV523047:WBV523136 VRZ523047:VRZ523136 VID523047:VID523136 UYH523047:UYH523136 UOL523047:UOL523136 UEP523047:UEP523136 TUT523047:TUT523136 TKX523047:TKX523136 TBB523047:TBB523136 SRF523047:SRF523136 SHJ523047:SHJ523136 RXN523047:RXN523136 RNR523047:RNR523136 RDV523047:RDV523136 QTZ523047:QTZ523136 QKD523047:QKD523136 QAH523047:QAH523136 PQL523047:PQL523136 PGP523047:PGP523136 OWT523047:OWT523136 OMX523047:OMX523136 ODB523047:ODB523136 NTF523047:NTF523136 NJJ523047:NJJ523136 MZN523047:MZN523136 MPR523047:MPR523136 MFV523047:MFV523136 LVZ523047:LVZ523136 LMD523047:LMD523136 LCH523047:LCH523136 KSL523047:KSL523136 KIP523047:KIP523136 JYT523047:JYT523136 JOX523047:JOX523136 JFB523047:JFB523136 IVF523047:IVF523136 ILJ523047:ILJ523136 IBN523047:IBN523136 HRR523047:HRR523136 HHV523047:HHV523136 GXZ523047:GXZ523136 GOD523047:GOD523136 GEH523047:GEH523136 FUL523047:FUL523136 FKP523047:FKP523136 FAT523047:FAT523136 EQX523047:EQX523136 EHB523047:EHB523136 DXF523047:DXF523136 DNJ523047:DNJ523136 DDN523047:DDN523136 CTR523047:CTR523136 CJV523047:CJV523136 BZZ523047:BZZ523136 BQD523047:BQD523136 BGH523047:BGH523136 AWL523047:AWL523136 AMP523047:AMP523136 ACT523047:ACT523136 SX523047:SX523136 JB523047:JB523136 F523056:F523145 WVN457511:WVN457600 WLR457511:WLR457600 WBV457511:WBV457600 VRZ457511:VRZ457600 VID457511:VID457600 UYH457511:UYH457600 UOL457511:UOL457600 UEP457511:UEP457600 TUT457511:TUT457600 TKX457511:TKX457600 TBB457511:TBB457600 SRF457511:SRF457600 SHJ457511:SHJ457600 RXN457511:RXN457600 RNR457511:RNR457600 RDV457511:RDV457600 QTZ457511:QTZ457600 QKD457511:QKD457600 QAH457511:QAH457600 PQL457511:PQL457600 PGP457511:PGP457600 OWT457511:OWT457600 OMX457511:OMX457600 ODB457511:ODB457600 NTF457511:NTF457600 NJJ457511:NJJ457600 MZN457511:MZN457600 MPR457511:MPR457600 MFV457511:MFV457600 LVZ457511:LVZ457600 LMD457511:LMD457600 LCH457511:LCH457600 KSL457511:KSL457600 KIP457511:KIP457600 JYT457511:JYT457600 JOX457511:JOX457600 JFB457511:JFB457600 IVF457511:IVF457600 ILJ457511:ILJ457600 IBN457511:IBN457600 HRR457511:HRR457600 HHV457511:HHV457600 GXZ457511:GXZ457600 GOD457511:GOD457600 GEH457511:GEH457600 FUL457511:FUL457600 FKP457511:FKP457600 FAT457511:FAT457600 EQX457511:EQX457600 EHB457511:EHB457600 DXF457511:DXF457600 DNJ457511:DNJ457600 DDN457511:DDN457600 CTR457511:CTR457600 CJV457511:CJV457600 BZZ457511:BZZ457600 BQD457511:BQD457600 BGH457511:BGH457600 AWL457511:AWL457600 AMP457511:AMP457600 ACT457511:ACT457600 SX457511:SX457600 JB457511:JB457600 F457520:F457609 WVN391975:WVN392064 WLR391975:WLR392064 WBV391975:WBV392064 VRZ391975:VRZ392064 VID391975:VID392064 UYH391975:UYH392064 UOL391975:UOL392064 UEP391975:UEP392064 TUT391975:TUT392064 TKX391975:TKX392064 TBB391975:TBB392064 SRF391975:SRF392064 SHJ391975:SHJ392064 RXN391975:RXN392064 RNR391975:RNR392064 RDV391975:RDV392064 QTZ391975:QTZ392064 QKD391975:QKD392064 QAH391975:QAH392064 PQL391975:PQL392064 PGP391975:PGP392064 OWT391975:OWT392064 OMX391975:OMX392064 ODB391975:ODB392064 NTF391975:NTF392064 NJJ391975:NJJ392064 MZN391975:MZN392064 MPR391975:MPR392064 MFV391975:MFV392064 LVZ391975:LVZ392064 LMD391975:LMD392064 LCH391975:LCH392064 KSL391975:KSL392064 KIP391975:KIP392064 JYT391975:JYT392064 JOX391975:JOX392064 JFB391975:JFB392064 IVF391975:IVF392064 ILJ391975:ILJ392064 IBN391975:IBN392064 HRR391975:HRR392064 HHV391975:HHV392064 GXZ391975:GXZ392064 GOD391975:GOD392064 GEH391975:GEH392064 FUL391975:FUL392064 FKP391975:FKP392064 FAT391975:FAT392064 EQX391975:EQX392064 EHB391975:EHB392064 DXF391975:DXF392064 DNJ391975:DNJ392064 DDN391975:DDN392064 CTR391975:CTR392064 CJV391975:CJV392064 BZZ391975:BZZ392064 BQD391975:BQD392064 BGH391975:BGH392064 AWL391975:AWL392064 AMP391975:AMP392064 ACT391975:ACT392064 SX391975:SX392064 JB391975:JB392064 F391984:F392073 WVN326439:WVN326528 WLR326439:WLR326528 WBV326439:WBV326528 VRZ326439:VRZ326528 VID326439:VID326528 UYH326439:UYH326528 UOL326439:UOL326528 UEP326439:UEP326528 TUT326439:TUT326528 TKX326439:TKX326528 TBB326439:TBB326528 SRF326439:SRF326528 SHJ326439:SHJ326528 RXN326439:RXN326528 RNR326439:RNR326528 RDV326439:RDV326528 QTZ326439:QTZ326528 QKD326439:QKD326528 QAH326439:QAH326528 PQL326439:PQL326528 PGP326439:PGP326528 OWT326439:OWT326528 OMX326439:OMX326528 ODB326439:ODB326528 NTF326439:NTF326528 NJJ326439:NJJ326528 MZN326439:MZN326528 MPR326439:MPR326528 MFV326439:MFV326528 LVZ326439:LVZ326528 LMD326439:LMD326528 LCH326439:LCH326528 KSL326439:KSL326528 KIP326439:KIP326528 JYT326439:JYT326528 JOX326439:JOX326528 JFB326439:JFB326528 IVF326439:IVF326528 ILJ326439:ILJ326528 IBN326439:IBN326528 HRR326439:HRR326528 HHV326439:HHV326528 GXZ326439:GXZ326528 GOD326439:GOD326528 GEH326439:GEH326528 FUL326439:FUL326528 FKP326439:FKP326528 FAT326439:FAT326528 EQX326439:EQX326528 EHB326439:EHB326528 DXF326439:DXF326528 DNJ326439:DNJ326528 DDN326439:DDN326528 CTR326439:CTR326528 CJV326439:CJV326528 BZZ326439:BZZ326528 BQD326439:BQD326528 BGH326439:BGH326528 AWL326439:AWL326528 AMP326439:AMP326528 ACT326439:ACT326528 SX326439:SX326528 JB326439:JB326528 F326448:F326537 WVN260903:WVN260992 WLR260903:WLR260992 WBV260903:WBV260992 VRZ260903:VRZ260992 VID260903:VID260992 UYH260903:UYH260992 UOL260903:UOL260992 UEP260903:UEP260992 TUT260903:TUT260992 TKX260903:TKX260992 TBB260903:TBB260992 SRF260903:SRF260992 SHJ260903:SHJ260992 RXN260903:RXN260992 RNR260903:RNR260992 RDV260903:RDV260992 QTZ260903:QTZ260992 QKD260903:QKD260992 QAH260903:QAH260992 PQL260903:PQL260992 PGP260903:PGP260992 OWT260903:OWT260992 OMX260903:OMX260992 ODB260903:ODB260992 NTF260903:NTF260992 NJJ260903:NJJ260992 MZN260903:MZN260992 MPR260903:MPR260992 MFV260903:MFV260992 LVZ260903:LVZ260992 LMD260903:LMD260992 LCH260903:LCH260992 KSL260903:KSL260992 KIP260903:KIP260992 JYT260903:JYT260992 JOX260903:JOX260992 JFB260903:JFB260992 IVF260903:IVF260992 ILJ260903:ILJ260992 IBN260903:IBN260992 HRR260903:HRR260992 HHV260903:HHV260992 GXZ260903:GXZ260992 GOD260903:GOD260992 GEH260903:GEH260992 FUL260903:FUL260992 FKP260903:FKP260992 FAT260903:FAT260992 EQX260903:EQX260992 EHB260903:EHB260992 DXF260903:DXF260992 DNJ260903:DNJ260992 DDN260903:DDN260992 CTR260903:CTR260992 CJV260903:CJV260992 BZZ260903:BZZ260992 BQD260903:BQD260992 BGH260903:BGH260992 AWL260903:AWL260992 AMP260903:AMP260992 ACT260903:ACT260992 SX260903:SX260992 JB260903:JB260992 F260912:F261001 WVN195367:WVN195456 WLR195367:WLR195456 WBV195367:WBV195456 VRZ195367:VRZ195456 VID195367:VID195456 UYH195367:UYH195456 UOL195367:UOL195456 UEP195367:UEP195456 TUT195367:TUT195456 TKX195367:TKX195456 TBB195367:TBB195456 SRF195367:SRF195456 SHJ195367:SHJ195456 RXN195367:RXN195456 RNR195367:RNR195456 RDV195367:RDV195456 QTZ195367:QTZ195456 QKD195367:QKD195456 QAH195367:QAH195456 PQL195367:PQL195456 PGP195367:PGP195456 OWT195367:OWT195456 OMX195367:OMX195456 ODB195367:ODB195456 NTF195367:NTF195456 NJJ195367:NJJ195456 MZN195367:MZN195456 MPR195367:MPR195456 MFV195367:MFV195456 LVZ195367:LVZ195456 LMD195367:LMD195456 LCH195367:LCH195456 KSL195367:KSL195456 KIP195367:KIP195456 JYT195367:JYT195456 JOX195367:JOX195456 JFB195367:JFB195456 IVF195367:IVF195456 ILJ195367:ILJ195456 IBN195367:IBN195456 HRR195367:HRR195456 HHV195367:HHV195456 GXZ195367:GXZ195456 GOD195367:GOD195456 GEH195367:GEH195456 FUL195367:FUL195456 FKP195367:FKP195456 FAT195367:FAT195456 EQX195367:EQX195456 EHB195367:EHB195456 DXF195367:DXF195456 DNJ195367:DNJ195456 DDN195367:DDN195456 CTR195367:CTR195456 CJV195367:CJV195456 BZZ195367:BZZ195456 BQD195367:BQD195456 BGH195367:BGH195456 AWL195367:AWL195456 AMP195367:AMP195456 ACT195367:ACT195456 SX195367:SX195456 JB195367:JB195456 F195376:F195465 WVN129831:WVN129920 WLR129831:WLR129920 WBV129831:WBV129920 VRZ129831:VRZ129920 VID129831:VID129920 UYH129831:UYH129920 UOL129831:UOL129920 UEP129831:UEP129920 TUT129831:TUT129920 TKX129831:TKX129920 TBB129831:TBB129920 SRF129831:SRF129920 SHJ129831:SHJ129920 RXN129831:RXN129920 RNR129831:RNR129920 RDV129831:RDV129920 QTZ129831:QTZ129920 QKD129831:QKD129920 QAH129831:QAH129920 PQL129831:PQL129920 PGP129831:PGP129920 OWT129831:OWT129920 OMX129831:OMX129920 ODB129831:ODB129920 NTF129831:NTF129920 NJJ129831:NJJ129920 MZN129831:MZN129920 MPR129831:MPR129920 MFV129831:MFV129920 LVZ129831:LVZ129920 LMD129831:LMD129920 LCH129831:LCH129920 KSL129831:KSL129920 KIP129831:KIP129920 JYT129831:JYT129920 JOX129831:JOX129920 JFB129831:JFB129920 IVF129831:IVF129920 ILJ129831:ILJ129920 IBN129831:IBN129920 HRR129831:HRR129920 HHV129831:HHV129920 GXZ129831:GXZ129920 GOD129831:GOD129920 GEH129831:GEH129920 FUL129831:FUL129920 FKP129831:FKP129920 FAT129831:FAT129920 EQX129831:EQX129920 EHB129831:EHB129920 DXF129831:DXF129920 DNJ129831:DNJ129920 DDN129831:DDN129920 CTR129831:CTR129920 CJV129831:CJV129920 BZZ129831:BZZ129920 BQD129831:BQD129920 BGH129831:BGH129920 AWL129831:AWL129920 AMP129831:AMP129920 ACT129831:ACT129920 SX129831:SX129920 JB129831:JB129920 F129840:F129929 WVN64295:WVN64384 WLR64295:WLR64384 WBV64295:WBV64384 VRZ64295:VRZ64384 VID64295:VID64384 UYH64295:UYH64384 UOL64295:UOL64384 UEP64295:UEP64384 TUT64295:TUT64384 TKX64295:TKX64384 TBB64295:TBB64384 SRF64295:SRF64384 SHJ64295:SHJ64384 RXN64295:RXN64384 RNR64295:RNR64384 RDV64295:RDV64384 QTZ64295:QTZ64384 QKD64295:QKD64384 QAH64295:QAH64384 PQL64295:PQL64384 PGP64295:PGP64384 OWT64295:OWT64384 OMX64295:OMX64384 ODB64295:ODB64384 NTF64295:NTF64384 NJJ64295:NJJ64384 MZN64295:MZN64384 MPR64295:MPR64384 MFV64295:MFV64384 LVZ64295:LVZ64384 LMD64295:LMD64384 LCH64295:LCH64384 KSL64295:KSL64384 KIP64295:KIP64384 JYT64295:JYT64384 JOX64295:JOX64384 JFB64295:JFB64384 IVF64295:IVF64384 ILJ64295:ILJ64384 IBN64295:IBN64384 HRR64295:HRR64384 HHV64295:HHV64384 GXZ64295:GXZ64384 GOD64295:GOD64384 GEH64295:GEH64384 FUL64295:FUL64384 FKP64295:FKP64384 FAT64295:FAT64384 EQX64295:EQX64384 EHB64295:EHB64384 DXF64295:DXF64384 DNJ64295:DNJ64384 DDN64295:DDN64384 CTR64295:CTR64384 CJV64295:CJV64384 BZZ64295:BZZ64384 BQD64295:BQD64384 BGH64295:BGH64384 AWL64295:AWL64384 AMP64295:AMP64384 ACT64295:ACT64384 SX64295:SX64384 JB64295:JB64384 F64304:F64393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formula1>$AH$2:$AH$13</formula1>
    </dataValidation>
    <dataValidation type="list" allowBlank="1" showInputMessage="1" showErrorMessage="1" sqref="WVM981799:WVM981888 WLQ981799:WLQ981888 WBU981799:WBU981888 VRY981799:VRY981888 VIC981799:VIC981888 UYG981799:UYG981888 UOK981799:UOK981888 UEO981799:UEO981888 TUS981799:TUS981888 TKW981799:TKW981888 TBA981799:TBA981888 SRE981799:SRE981888 SHI981799:SHI981888 RXM981799:RXM981888 RNQ981799:RNQ981888 RDU981799:RDU981888 QTY981799:QTY981888 QKC981799:QKC981888 QAG981799:QAG981888 PQK981799:PQK981888 PGO981799:PGO981888 OWS981799:OWS981888 OMW981799:OMW981888 ODA981799:ODA981888 NTE981799:NTE981888 NJI981799:NJI981888 MZM981799:MZM981888 MPQ981799:MPQ981888 MFU981799:MFU981888 LVY981799:LVY981888 LMC981799:LMC981888 LCG981799:LCG981888 KSK981799:KSK981888 KIO981799:KIO981888 JYS981799:JYS981888 JOW981799:JOW981888 JFA981799:JFA981888 IVE981799:IVE981888 ILI981799:ILI981888 IBM981799:IBM981888 HRQ981799:HRQ981888 HHU981799:HHU981888 GXY981799:GXY981888 GOC981799:GOC981888 GEG981799:GEG981888 FUK981799:FUK981888 FKO981799:FKO981888 FAS981799:FAS981888 EQW981799:EQW981888 EHA981799:EHA981888 DXE981799:DXE981888 DNI981799:DNI981888 DDM981799:DDM981888 CTQ981799:CTQ981888 CJU981799:CJU981888 BZY981799:BZY981888 BQC981799:BQC981888 BGG981799:BGG981888 AWK981799:AWK981888 AMO981799:AMO981888 ACS981799:ACS981888 SW981799:SW981888 JA981799:JA981888 E981808:E981897 WVM916263:WVM916352 WLQ916263:WLQ916352 WBU916263:WBU916352 VRY916263:VRY916352 VIC916263:VIC916352 UYG916263:UYG916352 UOK916263:UOK916352 UEO916263:UEO916352 TUS916263:TUS916352 TKW916263:TKW916352 TBA916263:TBA916352 SRE916263:SRE916352 SHI916263:SHI916352 RXM916263:RXM916352 RNQ916263:RNQ916352 RDU916263:RDU916352 QTY916263:QTY916352 QKC916263:QKC916352 QAG916263:QAG916352 PQK916263:PQK916352 PGO916263:PGO916352 OWS916263:OWS916352 OMW916263:OMW916352 ODA916263:ODA916352 NTE916263:NTE916352 NJI916263:NJI916352 MZM916263:MZM916352 MPQ916263:MPQ916352 MFU916263:MFU916352 LVY916263:LVY916352 LMC916263:LMC916352 LCG916263:LCG916352 KSK916263:KSK916352 KIO916263:KIO916352 JYS916263:JYS916352 JOW916263:JOW916352 JFA916263:JFA916352 IVE916263:IVE916352 ILI916263:ILI916352 IBM916263:IBM916352 HRQ916263:HRQ916352 HHU916263:HHU916352 GXY916263:GXY916352 GOC916263:GOC916352 GEG916263:GEG916352 FUK916263:FUK916352 FKO916263:FKO916352 FAS916263:FAS916352 EQW916263:EQW916352 EHA916263:EHA916352 DXE916263:DXE916352 DNI916263:DNI916352 DDM916263:DDM916352 CTQ916263:CTQ916352 CJU916263:CJU916352 BZY916263:BZY916352 BQC916263:BQC916352 BGG916263:BGG916352 AWK916263:AWK916352 AMO916263:AMO916352 ACS916263:ACS916352 SW916263:SW916352 JA916263:JA916352 E916272:E916361 WVM850727:WVM850816 WLQ850727:WLQ850816 WBU850727:WBU850816 VRY850727:VRY850816 VIC850727:VIC850816 UYG850727:UYG850816 UOK850727:UOK850816 UEO850727:UEO850816 TUS850727:TUS850816 TKW850727:TKW850816 TBA850727:TBA850816 SRE850727:SRE850816 SHI850727:SHI850816 RXM850727:RXM850816 RNQ850727:RNQ850816 RDU850727:RDU850816 QTY850727:QTY850816 QKC850727:QKC850816 QAG850727:QAG850816 PQK850727:PQK850816 PGO850727:PGO850816 OWS850727:OWS850816 OMW850727:OMW850816 ODA850727:ODA850816 NTE850727:NTE850816 NJI850727:NJI850816 MZM850727:MZM850816 MPQ850727:MPQ850816 MFU850727:MFU850816 LVY850727:LVY850816 LMC850727:LMC850816 LCG850727:LCG850816 KSK850727:KSK850816 KIO850727:KIO850816 JYS850727:JYS850816 JOW850727:JOW850816 JFA850727:JFA850816 IVE850727:IVE850816 ILI850727:ILI850816 IBM850727:IBM850816 HRQ850727:HRQ850816 HHU850727:HHU850816 GXY850727:GXY850816 GOC850727:GOC850816 GEG850727:GEG850816 FUK850727:FUK850816 FKO850727:FKO850816 FAS850727:FAS850816 EQW850727:EQW850816 EHA850727:EHA850816 DXE850727:DXE850816 DNI850727:DNI850816 DDM850727:DDM850816 CTQ850727:CTQ850816 CJU850727:CJU850816 BZY850727:BZY850816 BQC850727:BQC850816 BGG850727:BGG850816 AWK850727:AWK850816 AMO850727:AMO850816 ACS850727:ACS850816 SW850727:SW850816 JA850727:JA850816 E850736:E850825 WVM785191:WVM785280 WLQ785191:WLQ785280 WBU785191:WBU785280 VRY785191:VRY785280 VIC785191:VIC785280 UYG785191:UYG785280 UOK785191:UOK785280 UEO785191:UEO785280 TUS785191:TUS785280 TKW785191:TKW785280 TBA785191:TBA785280 SRE785191:SRE785280 SHI785191:SHI785280 RXM785191:RXM785280 RNQ785191:RNQ785280 RDU785191:RDU785280 QTY785191:QTY785280 QKC785191:QKC785280 QAG785191:QAG785280 PQK785191:PQK785280 PGO785191:PGO785280 OWS785191:OWS785280 OMW785191:OMW785280 ODA785191:ODA785280 NTE785191:NTE785280 NJI785191:NJI785280 MZM785191:MZM785280 MPQ785191:MPQ785280 MFU785191:MFU785280 LVY785191:LVY785280 LMC785191:LMC785280 LCG785191:LCG785280 KSK785191:KSK785280 KIO785191:KIO785280 JYS785191:JYS785280 JOW785191:JOW785280 JFA785191:JFA785280 IVE785191:IVE785280 ILI785191:ILI785280 IBM785191:IBM785280 HRQ785191:HRQ785280 HHU785191:HHU785280 GXY785191:GXY785280 GOC785191:GOC785280 GEG785191:GEG785280 FUK785191:FUK785280 FKO785191:FKO785280 FAS785191:FAS785280 EQW785191:EQW785280 EHA785191:EHA785280 DXE785191:DXE785280 DNI785191:DNI785280 DDM785191:DDM785280 CTQ785191:CTQ785280 CJU785191:CJU785280 BZY785191:BZY785280 BQC785191:BQC785280 BGG785191:BGG785280 AWK785191:AWK785280 AMO785191:AMO785280 ACS785191:ACS785280 SW785191:SW785280 JA785191:JA785280 E785200:E785289 WVM719655:WVM719744 WLQ719655:WLQ719744 WBU719655:WBU719744 VRY719655:VRY719744 VIC719655:VIC719744 UYG719655:UYG719744 UOK719655:UOK719744 UEO719655:UEO719744 TUS719655:TUS719744 TKW719655:TKW719744 TBA719655:TBA719744 SRE719655:SRE719744 SHI719655:SHI719744 RXM719655:RXM719744 RNQ719655:RNQ719744 RDU719655:RDU719744 QTY719655:QTY719744 QKC719655:QKC719744 QAG719655:QAG719744 PQK719655:PQK719744 PGO719655:PGO719744 OWS719655:OWS719744 OMW719655:OMW719744 ODA719655:ODA719744 NTE719655:NTE719744 NJI719655:NJI719744 MZM719655:MZM719744 MPQ719655:MPQ719744 MFU719655:MFU719744 LVY719655:LVY719744 LMC719655:LMC719744 LCG719655:LCG719744 KSK719655:KSK719744 KIO719655:KIO719744 JYS719655:JYS719744 JOW719655:JOW719744 JFA719655:JFA719744 IVE719655:IVE719744 ILI719655:ILI719744 IBM719655:IBM719744 HRQ719655:HRQ719744 HHU719655:HHU719744 GXY719655:GXY719744 GOC719655:GOC719744 GEG719655:GEG719744 FUK719655:FUK719744 FKO719655:FKO719744 FAS719655:FAS719744 EQW719655:EQW719744 EHA719655:EHA719744 DXE719655:DXE719744 DNI719655:DNI719744 DDM719655:DDM719744 CTQ719655:CTQ719744 CJU719655:CJU719744 BZY719655:BZY719744 BQC719655:BQC719744 BGG719655:BGG719744 AWK719655:AWK719744 AMO719655:AMO719744 ACS719655:ACS719744 SW719655:SW719744 JA719655:JA719744 E719664:E719753 WVM654119:WVM654208 WLQ654119:WLQ654208 WBU654119:WBU654208 VRY654119:VRY654208 VIC654119:VIC654208 UYG654119:UYG654208 UOK654119:UOK654208 UEO654119:UEO654208 TUS654119:TUS654208 TKW654119:TKW654208 TBA654119:TBA654208 SRE654119:SRE654208 SHI654119:SHI654208 RXM654119:RXM654208 RNQ654119:RNQ654208 RDU654119:RDU654208 QTY654119:QTY654208 QKC654119:QKC654208 QAG654119:QAG654208 PQK654119:PQK654208 PGO654119:PGO654208 OWS654119:OWS654208 OMW654119:OMW654208 ODA654119:ODA654208 NTE654119:NTE654208 NJI654119:NJI654208 MZM654119:MZM654208 MPQ654119:MPQ654208 MFU654119:MFU654208 LVY654119:LVY654208 LMC654119:LMC654208 LCG654119:LCG654208 KSK654119:KSK654208 KIO654119:KIO654208 JYS654119:JYS654208 JOW654119:JOW654208 JFA654119:JFA654208 IVE654119:IVE654208 ILI654119:ILI654208 IBM654119:IBM654208 HRQ654119:HRQ654208 HHU654119:HHU654208 GXY654119:GXY654208 GOC654119:GOC654208 GEG654119:GEG654208 FUK654119:FUK654208 FKO654119:FKO654208 FAS654119:FAS654208 EQW654119:EQW654208 EHA654119:EHA654208 DXE654119:DXE654208 DNI654119:DNI654208 DDM654119:DDM654208 CTQ654119:CTQ654208 CJU654119:CJU654208 BZY654119:BZY654208 BQC654119:BQC654208 BGG654119:BGG654208 AWK654119:AWK654208 AMO654119:AMO654208 ACS654119:ACS654208 SW654119:SW654208 JA654119:JA654208 E654128:E654217 WVM588583:WVM588672 WLQ588583:WLQ588672 WBU588583:WBU588672 VRY588583:VRY588672 VIC588583:VIC588672 UYG588583:UYG588672 UOK588583:UOK588672 UEO588583:UEO588672 TUS588583:TUS588672 TKW588583:TKW588672 TBA588583:TBA588672 SRE588583:SRE588672 SHI588583:SHI588672 RXM588583:RXM588672 RNQ588583:RNQ588672 RDU588583:RDU588672 QTY588583:QTY588672 QKC588583:QKC588672 QAG588583:QAG588672 PQK588583:PQK588672 PGO588583:PGO588672 OWS588583:OWS588672 OMW588583:OMW588672 ODA588583:ODA588672 NTE588583:NTE588672 NJI588583:NJI588672 MZM588583:MZM588672 MPQ588583:MPQ588672 MFU588583:MFU588672 LVY588583:LVY588672 LMC588583:LMC588672 LCG588583:LCG588672 KSK588583:KSK588672 KIO588583:KIO588672 JYS588583:JYS588672 JOW588583:JOW588672 JFA588583:JFA588672 IVE588583:IVE588672 ILI588583:ILI588672 IBM588583:IBM588672 HRQ588583:HRQ588672 HHU588583:HHU588672 GXY588583:GXY588672 GOC588583:GOC588672 GEG588583:GEG588672 FUK588583:FUK588672 FKO588583:FKO588672 FAS588583:FAS588672 EQW588583:EQW588672 EHA588583:EHA588672 DXE588583:DXE588672 DNI588583:DNI588672 DDM588583:DDM588672 CTQ588583:CTQ588672 CJU588583:CJU588672 BZY588583:BZY588672 BQC588583:BQC588672 BGG588583:BGG588672 AWK588583:AWK588672 AMO588583:AMO588672 ACS588583:ACS588672 SW588583:SW588672 JA588583:JA588672 E588592:E588681 WVM523047:WVM523136 WLQ523047:WLQ523136 WBU523047:WBU523136 VRY523047:VRY523136 VIC523047:VIC523136 UYG523047:UYG523136 UOK523047:UOK523136 UEO523047:UEO523136 TUS523047:TUS523136 TKW523047:TKW523136 TBA523047:TBA523136 SRE523047:SRE523136 SHI523047:SHI523136 RXM523047:RXM523136 RNQ523047:RNQ523136 RDU523047:RDU523136 QTY523047:QTY523136 QKC523047:QKC523136 QAG523047:QAG523136 PQK523047:PQK523136 PGO523047:PGO523136 OWS523047:OWS523136 OMW523047:OMW523136 ODA523047:ODA523136 NTE523047:NTE523136 NJI523047:NJI523136 MZM523047:MZM523136 MPQ523047:MPQ523136 MFU523047:MFU523136 LVY523047:LVY523136 LMC523047:LMC523136 LCG523047:LCG523136 KSK523047:KSK523136 KIO523047:KIO523136 JYS523047:JYS523136 JOW523047:JOW523136 JFA523047:JFA523136 IVE523047:IVE523136 ILI523047:ILI523136 IBM523047:IBM523136 HRQ523047:HRQ523136 HHU523047:HHU523136 GXY523047:GXY523136 GOC523047:GOC523136 GEG523047:GEG523136 FUK523047:FUK523136 FKO523047:FKO523136 FAS523047:FAS523136 EQW523047:EQW523136 EHA523047:EHA523136 DXE523047:DXE523136 DNI523047:DNI523136 DDM523047:DDM523136 CTQ523047:CTQ523136 CJU523047:CJU523136 BZY523047:BZY523136 BQC523047:BQC523136 BGG523047:BGG523136 AWK523047:AWK523136 AMO523047:AMO523136 ACS523047:ACS523136 SW523047:SW523136 JA523047:JA523136 E523056:E523145 WVM457511:WVM457600 WLQ457511:WLQ457600 WBU457511:WBU457600 VRY457511:VRY457600 VIC457511:VIC457600 UYG457511:UYG457600 UOK457511:UOK457600 UEO457511:UEO457600 TUS457511:TUS457600 TKW457511:TKW457600 TBA457511:TBA457600 SRE457511:SRE457600 SHI457511:SHI457600 RXM457511:RXM457600 RNQ457511:RNQ457600 RDU457511:RDU457600 QTY457511:QTY457600 QKC457511:QKC457600 QAG457511:QAG457600 PQK457511:PQK457600 PGO457511:PGO457600 OWS457511:OWS457600 OMW457511:OMW457600 ODA457511:ODA457600 NTE457511:NTE457600 NJI457511:NJI457600 MZM457511:MZM457600 MPQ457511:MPQ457600 MFU457511:MFU457600 LVY457511:LVY457600 LMC457511:LMC457600 LCG457511:LCG457600 KSK457511:KSK457600 KIO457511:KIO457600 JYS457511:JYS457600 JOW457511:JOW457600 JFA457511:JFA457600 IVE457511:IVE457600 ILI457511:ILI457600 IBM457511:IBM457600 HRQ457511:HRQ457600 HHU457511:HHU457600 GXY457511:GXY457600 GOC457511:GOC457600 GEG457511:GEG457600 FUK457511:FUK457600 FKO457511:FKO457600 FAS457511:FAS457600 EQW457511:EQW457600 EHA457511:EHA457600 DXE457511:DXE457600 DNI457511:DNI457600 DDM457511:DDM457600 CTQ457511:CTQ457600 CJU457511:CJU457600 BZY457511:BZY457600 BQC457511:BQC457600 BGG457511:BGG457600 AWK457511:AWK457600 AMO457511:AMO457600 ACS457511:ACS457600 SW457511:SW457600 JA457511:JA457600 E457520:E457609 WVM391975:WVM392064 WLQ391975:WLQ392064 WBU391975:WBU392064 VRY391975:VRY392064 VIC391975:VIC392064 UYG391975:UYG392064 UOK391975:UOK392064 UEO391975:UEO392064 TUS391975:TUS392064 TKW391975:TKW392064 TBA391975:TBA392064 SRE391975:SRE392064 SHI391975:SHI392064 RXM391975:RXM392064 RNQ391975:RNQ392064 RDU391975:RDU392064 QTY391975:QTY392064 QKC391975:QKC392064 QAG391975:QAG392064 PQK391975:PQK392064 PGO391975:PGO392064 OWS391975:OWS392064 OMW391975:OMW392064 ODA391975:ODA392064 NTE391975:NTE392064 NJI391975:NJI392064 MZM391975:MZM392064 MPQ391975:MPQ392064 MFU391975:MFU392064 LVY391975:LVY392064 LMC391975:LMC392064 LCG391975:LCG392064 KSK391975:KSK392064 KIO391975:KIO392064 JYS391975:JYS392064 JOW391975:JOW392064 JFA391975:JFA392064 IVE391975:IVE392064 ILI391975:ILI392064 IBM391975:IBM392064 HRQ391975:HRQ392064 HHU391975:HHU392064 GXY391975:GXY392064 GOC391975:GOC392064 GEG391975:GEG392064 FUK391975:FUK392064 FKO391975:FKO392064 FAS391975:FAS392064 EQW391975:EQW392064 EHA391975:EHA392064 DXE391975:DXE392064 DNI391975:DNI392064 DDM391975:DDM392064 CTQ391975:CTQ392064 CJU391975:CJU392064 BZY391975:BZY392064 BQC391975:BQC392064 BGG391975:BGG392064 AWK391975:AWK392064 AMO391975:AMO392064 ACS391975:ACS392064 SW391975:SW392064 JA391975:JA392064 E391984:E392073 WVM326439:WVM326528 WLQ326439:WLQ326528 WBU326439:WBU326528 VRY326439:VRY326528 VIC326439:VIC326528 UYG326439:UYG326528 UOK326439:UOK326528 UEO326439:UEO326528 TUS326439:TUS326528 TKW326439:TKW326528 TBA326439:TBA326528 SRE326439:SRE326528 SHI326439:SHI326528 RXM326439:RXM326528 RNQ326439:RNQ326528 RDU326439:RDU326528 QTY326439:QTY326528 QKC326439:QKC326528 QAG326439:QAG326528 PQK326439:PQK326528 PGO326439:PGO326528 OWS326439:OWS326528 OMW326439:OMW326528 ODA326439:ODA326528 NTE326439:NTE326528 NJI326439:NJI326528 MZM326439:MZM326528 MPQ326439:MPQ326528 MFU326439:MFU326528 LVY326439:LVY326528 LMC326439:LMC326528 LCG326439:LCG326528 KSK326439:KSK326528 KIO326439:KIO326528 JYS326439:JYS326528 JOW326439:JOW326528 JFA326439:JFA326528 IVE326439:IVE326528 ILI326439:ILI326528 IBM326439:IBM326528 HRQ326439:HRQ326528 HHU326439:HHU326528 GXY326439:GXY326528 GOC326439:GOC326528 GEG326439:GEG326528 FUK326439:FUK326528 FKO326439:FKO326528 FAS326439:FAS326528 EQW326439:EQW326528 EHA326439:EHA326528 DXE326439:DXE326528 DNI326439:DNI326528 DDM326439:DDM326528 CTQ326439:CTQ326528 CJU326439:CJU326528 BZY326439:BZY326528 BQC326439:BQC326528 BGG326439:BGG326528 AWK326439:AWK326528 AMO326439:AMO326528 ACS326439:ACS326528 SW326439:SW326528 JA326439:JA326528 E326448:E326537 WVM260903:WVM260992 WLQ260903:WLQ260992 WBU260903:WBU260992 VRY260903:VRY260992 VIC260903:VIC260992 UYG260903:UYG260992 UOK260903:UOK260992 UEO260903:UEO260992 TUS260903:TUS260992 TKW260903:TKW260992 TBA260903:TBA260992 SRE260903:SRE260992 SHI260903:SHI260992 RXM260903:RXM260992 RNQ260903:RNQ260992 RDU260903:RDU260992 QTY260903:QTY260992 QKC260903:QKC260992 QAG260903:QAG260992 PQK260903:PQK260992 PGO260903:PGO260992 OWS260903:OWS260992 OMW260903:OMW260992 ODA260903:ODA260992 NTE260903:NTE260992 NJI260903:NJI260992 MZM260903:MZM260992 MPQ260903:MPQ260992 MFU260903:MFU260992 LVY260903:LVY260992 LMC260903:LMC260992 LCG260903:LCG260992 KSK260903:KSK260992 KIO260903:KIO260992 JYS260903:JYS260992 JOW260903:JOW260992 JFA260903:JFA260992 IVE260903:IVE260992 ILI260903:ILI260992 IBM260903:IBM260992 HRQ260903:HRQ260992 HHU260903:HHU260992 GXY260903:GXY260992 GOC260903:GOC260992 GEG260903:GEG260992 FUK260903:FUK260992 FKO260903:FKO260992 FAS260903:FAS260992 EQW260903:EQW260992 EHA260903:EHA260992 DXE260903:DXE260992 DNI260903:DNI260992 DDM260903:DDM260992 CTQ260903:CTQ260992 CJU260903:CJU260992 BZY260903:BZY260992 BQC260903:BQC260992 BGG260903:BGG260992 AWK260903:AWK260992 AMO260903:AMO260992 ACS260903:ACS260992 SW260903:SW260992 JA260903:JA260992 E260912:E261001 WVM195367:WVM195456 WLQ195367:WLQ195456 WBU195367:WBU195456 VRY195367:VRY195456 VIC195367:VIC195456 UYG195367:UYG195456 UOK195367:UOK195456 UEO195367:UEO195456 TUS195367:TUS195456 TKW195367:TKW195456 TBA195367:TBA195456 SRE195367:SRE195456 SHI195367:SHI195456 RXM195367:RXM195456 RNQ195367:RNQ195456 RDU195367:RDU195456 QTY195367:QTY195456 QKC195367:QKC195456 QAG195367:QAG195456 PQK195367:PQK195456 PGO195367:PGO195456 OWS195367:OWS195456 OMW195367:OMW195456 ODA195367:ODA195456 NTE195367:NTE195456 NJI195367:NJI195456 MZM195367:MZM195456 MPQ195367:MPQ195456 MFU195367:MFU195456 LVY195367:LVY195456 LMC195367:LMC195456 LCG195367:LCG195456 KSK195367:KSK195456 KIO195367:KIO195456 JYS195367:JYS195456 JOW195367:JOW195456 JFA195367:JFA195456 IVE195367:IVE195456 ILI195367:ILI195456 IBM195367:IBM195456 HRQ195367:HRQ195456 HHU195367:HHU195456 GXY195367:GXY195456 GOC195367:GOC195456 GEG195367:GEG195456 FUK195367:FUK195456 FKO195367:FKO195456 FAS195367:FAS195456 EQW195367:EQW195456 EHA195367:EHA195456 DXE195367:DXE195456 DNI195367:DNI195456 DDM195367:DDM195456 CTQ195367:CTQ195456 CJU195367:CJU195456 BZY195367:BZY195456 BQC195367:BQC195456 BGG195367:BGG195456 AWK195367:AWK195456 AMO195367:AMO195456 ACS195367:ACS195456 SW195367:SW195456 JA195367:JA195456 E195376:E195465 WVM129831:WVM129920 WLQ129831:WLQ129920 WBU129831:WBU129920 VRY129831:VRY129920 VIC129831:VIC129920 UYG129831:UYG129920 UOK129831:UOK129920 UEO129831:UEO129920 TUS129831:TUS129920 TKW129831:TKW129920 TBA129831:TBA129920 SRE129831:SRE129920 SHI129831:SHI129920 RXM129831:RXM129920 RNQ129831:RNQ129920 RDU129831:RDU129920 QTY129831:QTY129920 QKC129831:QKC129920 QAG129831:QAG129920 PQK129831:PQK129920 PGO129831:PGO129920 OWS129831:OWS129920 OMW129831:OMW129920 ODA129831:ODA129920 NTE129831:NTE129920 NJI129831:NJI129920 MZM129831:MZM129920 MPQ129831:MPQ129920 MFU129831:MFU129920 LVY129831:LVY129920 LMC129831:LMC129920 LCG129831:LCG129920 KSK129831:KSK129920 KIO129831:KIO129920 JYS129831:JYS129920 JOW129831:JOW129920 JFA129831:JFA129920 IVE129831:IVE129920 ILI129831:ILI129920 IBM129831:IBM129920 HRQ129831:HRQ129920 HHU129831:HHU129920 GXY129831:GXY129920 GOC129831:GOC129920 GEG129831:GEG129920 FUK129831:FUK129920 FKO129831:FKO129920 FAS129831:FAS129920 EQW129831:EQW129920 EHA129831:EHA129920 DXE129831:DXE129920 DNI129831:DNI129920 DDM129831:DDM129920 CTQ129831:CTQ129920 CJU129831:CJU129920 BZY129831:BZY129920 BQC129831:BQC129920 BGG129831:BGG129920 AWK129831:AWK129920 AMO129831:AMO129920 ACS129831:ACS129920 SW129831:SW129920 JA129831:JA129920 E129840:E129929 WVM64295:WVM64384 WLQ64295:WLQ64384 WBU64295:WBU64384 VRY64295:VRY64384 VIC64295:VIC64384 UYG64295:UYG64384 UOK64295:UOK64384 UEO64295:UEO64384 TUS64295:TUS64384 TKW64295:TKW64384 TBA64295:TBA64384 SRE64295:SRE64384 SHI64295:SHI64384 RXM64295:RXM64384 RNQ64295:RNQ64384 RDU64295:RDU64384 QTY64295:QTY64384 QKC64295:QKC64384 QAG64295:QAG64384 PQK64295:PQK64384 PGO64295:PGO64384 OWS64295:OWS64384 OMW64295:OMW64384 ODA64295:ODA64384 NTE64295:NTE64384 NJI64295:NJI64384 MZM64295:MZM64384 MPQ64295:MPQ64384 MFU64295:MFU64384 LVY64295:LVY64384 LMC64295:LMC64384 LCG64295:LCG64384 KSK64295:KSK64384 KIO64295:KIO64384 JYS64295:JYS64384 JOW64295:JOW64384 JFA64295:JFA64384 IVE64295:IVE64384 ILI64295:ILI64384 IBM64295:IBM64384 HRQ64295:HRQ64384 HHU64295:HHU64384 GXY64295:GXY64384 GOC64295:GOC64384 GEG64295:GEG64384 FUK64295:FUK64384 FKO64295:FKO64384 FAS64295:FAS64384 EQW64295:EQW64384 EHA64295:EHA64384 DXE64295:DXE64384 DNI64295:DNI64384 DDM64295:DDM64384 CTQ64295:CTQ64384 CJU64295:CJU64384 BZY64295:BZY64384 BQC64295:BQC64384 BGG64295:BGG64384 AWK64295:AWK64384 AMO64295:AMO64384 ACS64295:ACS64384 SW64295:SW64384 JA64295:JA64384 E64304:E64393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formula1>$AG$2:$AG$13</formula1>
    </dataValidation>
    <dataValidation type="list" allowBlank="1" showInputMessage="1" showErrorMessage="1" sqref="WWF981799:WWF981882 WMJ981799:WMJ981882 WCN981799:WCN981882 VSR981799:VSR981882 VIV981799:VIV981882 UYZ981799:UYZ981882 UPD981799:UPD981882 UFH981799:UFH981882 TVL981799:TVL981882 TLP981799:TLP981882 TBT981799:TBT981882 SRX981799:SRX981882 SIB981799:SIB981882 RYF981799:RYF981882 ROJ981799:ROJ981882 REN981799:REN981882 QUR981799:QUR981882 QKV981799:QKV981882 QAZ981799:QAZ981882 PRD981799:PRD981882 PHH981799:PHH981882 OXL981799:OXL981882 ONP981799:ONP981882 ODT981799:ODT981882 NTX981799:NTX981882 NKB981799:NKB981882 NAF981799:NAF981882 MQJ981799:MQJ981882 MGN981799:MGN981882 LWR981799:LWR981882 LMV981799:LMV981882 LCZ981799:LCZ981882 KTD981799:KTD981882 KJH981799:KJH981882 JZL981799:JZL981882 JPP981799:JPP981882 JFT981799:JFT981882 IVX981799:IVX981882 IMB981799:IMB981882 ICF981799:ICF981882 HSJ981799:HSJ981882 HIN981799:HIN981882 GYR981799:GYR981882 GOV981799:GOV981882 GEZ981799:GEZ981882 FVD981799:FVD981882 FLH981799:FLH981882 FBL981799:FBL981882 ERP981799:ERP981882 EHT981799:EHT981882 DXX981799:DXX981882 DOB981799:DOB981882 DEF981799:DEF981882 CUJ981799:CUJ981882 CKN981799:CKN981882 CAR981799:CAR981882 BQV981799:BQV981882 BGZ981799:BGZ981882 AXD981799:AXD981882 ANH981799:ANH981882 ADL981799:ADL981882 TP981799:TP981882 JT981799:JT981882 X981799:X981882 WWF916263:WWF916346 WMJ916263:WMJ916346 WCN916263:WCN916346 VSR916263:VSR916346 VIV916263:VIV916346 UYZ916263:UYZ916346 UPD916263:UPD916346 UFH916263:UFH916346 TVL916263:TVL916346 TLP916263:TLP916346 TBT916263:TBT916346 SRX916263:SRX916346 SIB916263:SIB916346 RYF916263:RYF916346 ROJ916263:ROJ916346 REN916263:REN916346 QUR916263:QUR916346 QKV916263:QKV916346 QAZ916263:QAZ916346 PRD916263:PRD916346 PHH916263:PHH916346 OXL916263:OXL916346 ONP916263:ONP916346 ODT916263:ODT916346 NTX916263:NTX916346 NKB916263:NKB916346 NAF916263:NAF916346 MQJ916263:MQJ916346 MGN916263:MGN916346 LWR916263:LWR916346 LMV916263:LMV916346 LCZ916263:LCZ916346 KTD916263:KTD916346 KJH916263:KJH916346 JZL916263:JZL916346 JPP916263:JPP916346 JFT916263:JFT916346 IVX916263:IVX916346 IMB916263:IMB916346 ICF916263:ICF916346 HSJ916263:HSJ916346 HIN916263:HIN916346 GYR916263:GYR916346 GOV916263:GOV916346 GEZ916263:GEZ916346 FVD916263:FVD916346 FLH916263:FLH916346 FBL916263:FBL916346 ERP916263:ERP916346 EHT916263:EHT916346 DXX916263:DXX916346 DOB916263:DOB916346 DEF916263:DEF916346 CUJ916263:CUJ916346 CKN916263:CKN916346 CAR916263:CAR916346 BQV916263:BQV916346 BGZ916263:BGZ916346 AXD916263:AXD916346 ANH916263:ANH916346 ADL916263:ADL916346 TP916263:TP916346 JT916263:JT916346 X916263:X916346 WWF850727:WWF850810 WMJ850727:WMJ850810 WCN850727:WCN850810 VSR850727:VSR850810 VIV850727:VIV850810 UYZ850727:UYZ850810 UPD850727:UPD850810 UFH850727:UFH850810 TVL850727:TVL850810 TLP850727:TLP850810 TBT850727:TBT850810 SRX850727:SRX850810 SIB850727:SIB850810 RYF850727:RYF850810 ROJ850727:ROJ850810 REN850727:REN850810 QUR850727:QUR850810 QKV850727:QKV850810 QAZ850727:QAZ850810 PRD850727:PRD850810 PHH850727:PHH850810 OXL850727:OXL850810 ONP850727:ONP850810 ODT850727:ODT850810 NTX850727:NTX850810 NKB850727:NKB850810 NAF850727:NAF850810 MQJ850727:MQJ850810 MGN850727:MGN850810 LWR850727:LWR850810 LMV850727:LMV850810 LCZ850727:LCZ850810 KTD850727:KTD850810 KJH850727:KJH850810 JZL850727:JZL850810 JPP850727:JPP850810 JFT850727:JFT850810 IVX850727:IVX850810 IMB850727:IMB850810 ICF850727:ICF850810 HSJ850727:HSJ850810 HIN850727:HIN850810 GYR850727:GYR850810 GOV850727:GOV850810 GEZ850727:GEZ850810 FVD850727:FVD850810 FLH850727:FLH850810 FBL850727:FBL850810 ERP850727:ERP850810 EHT850727:EHT850810 DXX850727:DXX850810 DOB850727:DOB850810 DEF850727:DEF850810 CUJ850727:CUJ850810 CKN850727:CKN850810 CAR850727:CAR850810 BQV850727:BQV850810 BGZ850727:BGZ850810 AXD850727:AXD850810 ANH850727:ANH850810 ADL850727:ADL850810 TP850727:TP850810 JT850727:JT850810 X850727:X850810 WWF785191:WWF785274 WMJ785191:WMJ785274 WCN785191:WCN785274 VSR785191:VSR785274 VIV785191:VIV785274 UYZ785191:UYZ785274 UPD785191:UPD785274 UFH785191:UFH785274 TVL785191:TVL785274 TLP785191:TLP785274 TBT785191:TBT785274 SRX785191:SRX785274 SIB785191:SIB785274 RYF785191:RYF785274 ROJ785191:ROJ785274 REN785191:REN785274 QUR785191:QUR785274 QKV785191:QKV785274 QAZ785191:QAZ785274 PRD785191:PRD785274 PHH785191:PHH785274 OXL785191:OXL785274 ONP785191:ONP785274 ODT785191:ODT785274 NTX785191:NTX785274 NKB785191:NKB785274 NAF785191:NAF785274 MQJ785191:MQJ785274 MGN785191:MGN785274 LWR785191:LWR785274 LMV785191:LMV785274 LCZ785191:LCZ785274 KTD785191:KTD785274 KJH785191:KJH785274 JZL785191:JZL785274 JPP785191:JPP785274 JFT785191:JFT785274 IVX785191:IVX785274 IMB785191:IMB785274 ICF785191:ICF785274 HSJ785191:HSJ785274 HIN785191:HIN785274 GYR785191:GYR785274 GOV785191:GOV785274 GEZ785191:GEZ785274 FVD785191:FVD785274 FLH785191:FLH785274 FBL785191:FBL785274 ERP785191:ERP785274 EHT785191:EHT785274 DXX785191:DXX785274 DOB785191:DOB785274 DEF785191:DEF785274 CUJ785191:CUJ785274 CKN785191:CKN785274 CAR785191:CAR785274 BQV785191:BQV785274 BGZ785191:BGZ785274 AXD785191:AXD785274 ANH785191:ANH785274 ADL785191:ADL785274 TP785191:TP785274 JT785191:JT785274 X785191:X785274 WWF719655:WWF719738 WMJ719655:WMJ719738 WCN719655:WCN719738 VSR719655:VSR719738 VIV719655:VIV719738 UYZ719655:UYZ719738 UPD719655:UPD719738 UFH719655:UFH719738 TVL719655:TVL719738 TLP719655:TLP719738 TBT719655:TBT719738 SRX719655:SRX719738 SIB719655:SIB719738 RYF719655:RYF719738 ROJ719655:ROJ719738 REN719655:REN719738 QUR719655:QUR719738 QKV719655:QKV719738 QAZ719655:QAZ719738 PRD719655:PRD719738 PHH719655:PHH719738 OXL719655:OXL719738 ONP719655:ONP719738 ODT719655:ODT719738 NTX719655:NTX719738 NKB719655:NKB719738 NAF719655:NAF719738 MQJ719655:MQJ719738 MGN719655:MGN719738 LWR719655:LWR719738 LMV719655:LMV719738 LCZ719655:LCZ719738 KTD719655:KTD719738 KJH719655:KJH719738 JZL719655:JZL719738 JPP719655:JPP719738 JFT719655:JFT719738 IVX719655:IVX719738 IMB719655:IMB719738 ICF719655:ICF719738 HSJ719655:HSJ719738 HIN719655:HIN719738 GYR719655:GYR719738 GOV719655:GOV719738 GEZ719655:GEZ719738 FVD719655:FVD719738 FLH719655:FLH719738 FBL719655:FBL719738 ERP719655:ERP719738 EHT719655:EHT719738 DXX719655:DXX719738 DOB719655:DOB719738 DEF719655:DEF719738 CUJ719655:CUJ719738 CKN719655:CKN719738 CAR719655:CAR719738 BQV719655:BQV719738 BGZ719655:BGZ719738 AXD719655:AXD719738 ANH719655:ANH719738 ADL719655:ADL719738 TP719655:TP719738 JT719655:JT719738 X719655:X719738 WWF654119:WWF654202 WMJ654119:WMJ654202 WCN654119:WCN654202 VSR654119:VSR654202 VIV654119:VIV654202 UYZ654119:UYZ654202 UPD654119:UPD654202 UFH654119:UFH654202 TVL654119:TVL654202 TLP654119:TLP654202 TBT654119:TBT654202 SRX654119:SRX654202 SIB654119:SIB654202 RYF654119:RYF654202 ROJ654119:ROJ654202 REN654119:REN654202 QUR654119:QUR654202 QKV654119:QKV654202 QAZ654119:QAZ654202 PRD654119:PRD654202 PHH654119:PHH654202 OXL654119:OXL654202 ONP654119:ONP654202 ODT654119:ODT654202 NTX654119:NTX654202 NKB654119:NKB654202 NAF654119:NAF654202 MQJ654119:MQJ654202 MGN654119:MGN654202 LWR654119:LWR654202 LMV654119:LMV654202 LCZ654119:LCZ654202 KTD654119:KTD654202 KJH654119:KJH654202 JZL654119:JZL654202 JPP654119:JPP654202 JFT654119:JFT654202 IVX654119:IVX654202 IMB654119:IMB654202 ICF654119:ICF654202 HSJ654119:HSJ654202 HIN654119:HIN654202 GYR654119:GYR654202 GOV654119:GOV654202 GEZ654119:GEZ654202 FVD654119:FVD654202 FLH654119:FLH654202 FBL654119:FBL654202 ERP654119:ERP654202 EHT654119:EHT654202 DXX654119:DXX654202 DOB654119:DOB654202 DEF654119:DEF654202 CUJ654119:CUJ654202 CKN654119:CKN654202 CAR654119:CAR654202 BQV654119:BQV654202 BGZ654119:BGZ654202 AXD654119:AXD654202 ANH654119:ANH654202 ADL654119:ADL654202 TP654119:TP654202 JT654119:JT654202 X654119:X654202 WWF588583:WWF588666 WMJ588583:WMJ588666 WCN588583:WCN588666 VSR588583:VSR588666 VIV588583:VIV588666 UYZ588583:UYZ588666 UPD588583:UPD588666 UFH588583:UFH588666 TVL588583:TVL588666 TLP588583:TLP588666 TBT588583:TBT588666 SRX588583:SRX588666 SIB588583:SIB588666 RYF588583:RYF588666 ROJ588583:ROJ588666 REN588583:REN588666 QUR588583:QUR588666 QKV588583:QKV588666 QAZ588583:QAZ588666 PRD588583:PRD588666 PHH588583:PHH588666 OXL588583:OXL588666 ONP588583:ONP588666 ODT588583:ODT588666 NTX588583:NTX588666 NKB588583:NKB588666 NAF588583:NAF588666 MQJ588583:MQJ588666 MGN588583:MGN588666 LWR588583:LWR588666 LMV588583:LMV588666 LCZ588583:LCZ588666 KTD588583:KTD588666 KJH588583:KJH588666 JZL588583:JZL588666 JPP588583:JPP588666 JFT588583:JFT588666 IVX588583:IVX588666 IMB588583:IMB588666 ICF588583:ICF588666 HSJ588583:HSJ588666 HIN588583:HIN588666 GYR588583:GYR588666 GOV588583:GOV588666 GEZ588583:GEZ588666 FVD588583:FVD588666 FLH588583:FLH588666 FBL588583:FBL588666 ERP588583:ERP588666 EHT588583:EHT588666 DXX588583:DXX588666 DOB588583:DOB588666 DEF588583:DEF588666 CUJ588583:CUJ588666 CKN588583:CKN588666 CAR588583:CAR588666 BQV588583:BQV588666 BGZ588583:BGZ588666 AXD588583:AXD588666 ANH588583:ANH588666 ADL588583:ADL588666 TP588583:TP588666 JT588583:JT588666 X588583:X588666 WWF523047:WWF523130 WMJ523047:WMJ523130 WCN523047:WCN523130 VSR523047:VSR523130 VIV523047:VIV523130 UYZ523047:UYZ523130 UPD523047:UPD523130 UFH523047:UFH523130 TVL523047:TVL523130 TLP523047:TLP523130 TBT523047:TBT523130 SRX523047:SRX523130 SIB523047:SIB523130 RYF523047:RYF523130 ROJ523047:ROJ523130 REN523047:REN523130 QUR523047:QUR523130 QKV523047:QKV523130 QAZ523047:QAZ523130 PRD523047:PRD523130 PHH523047:PHH523130 OXL523047:OXL523130 ONP523047:ONP523130 ODT523047:ODT523130 NTX523047:NTX523130 NKB523047:NKB523130 NAF523047:NAF523130 MQJ523047:MQJ523130 MGN523047:MGN523130 LWR523047:LWR523130 LMV523047:LMV523130 LCZ523047:LCZ523130 KTD523047:KTD523130 KJH523047:KJH523130 JZL523047:JZL523130 JPP523047:JPP523130 JFT523047:JFT523130 IVX523047:IVX523130 IMB523047:IMB523130 ICF523047:ICF523130 HSJ523047:HSJ523130 HIN523047:HIN523130 GYR523047:GYR523130 GOV523047:GOV523130 GEZ523047:GEZ523130 FVD523047:FVD523130 FLH523047:FLH523130 FBL523047:FBL523130 ERP523047:ERP523130 EHT523047:EHT523130 DXX523047:DXX523130 DOB523047:DOB523130 DEF523047:DEF523130 CUJ523047:CUJ523130 CKN523047:CKN523130 CAR523047:CAR523130 BQV523047:BQV523130 BGZ523047:BGZ523130 AXD523047:AXD523130 ANH523047:ANH523130 ADL523047:ADL523130 TP523047:TP523130 JT523047:JT523130 X523047:X523130 WWF457511:WWF457594 WMJ457511:WMJ457594 WCN457511:WCN457594 VSR457511:VSR457594 VIV457511:VIV457594 UYZ457511:UYZ457594 UPD457511:UPD457594 UFH457511:UFH457594 TVL457511:TVL457594 TLP457511:TLP457594 TBT457511:TBT457594 SRX457511:SRX457594 SIB457511:SIB457594 RYF457511:RYF457594 ROJ457511:ROJ457594 REN457511:REN457594 QUR457511:QUR457594 QKV457511:QKV457594 QAZ457511:QAZ457594 PRD457511:PRD457594 PHH457511:PHH457594 OXL457511:OXL457594 ONP457511:ONP457594 ODT457511:ODT457594 NTX457511:NTX457594 NKB457511:NKB457594 NAF457511:NAF457594 MQJ457511:MQJ457594 MGN457511:MGN457594 LWR457511:LWR457594 LMV457511:LMV457594 LCZ457511:LCZ457594 KTD457511:KTD457594 KJH457511:KJH457594 JZL457511:JZL457594 JPP457511:JPP457594 JFT457511:JFT457594 IVX457511:IVX457594 IMB457511:IMB457594 ICF457511:ICF457594 HSJ457511:HSJ457594 HIN457511:HIN457594 GYR457511:GYR457594 GOV457511:GOV457594 GEZ457511:GEZ457594 FVD457511:FVD457594 FLH457511:FLH457594 FBL457511:FBL457594 ERP457511:ERP457594 EHT457511:EHT457594 DXX457511:DXX457594 DOB457511:DOB457594 DEF457511:DEF457594 CUJ457511:CUJ457594 CKN457511:CKN457594 CAR457511:CAR457594 BQV457511:BQV457594 BGZ457511:BGZ457594 AXD457511:AXD457594 ANH457511:ANH457594 ADL457511:ADL457594 TP457511:TP457594 JT457511:JT457594 X457511:X457594 WWF391975:WWF392058 WMJ391975:WMJ392058 WCN391975:WCN392058 VSR391975:VSR392058 VIV391975:VIV392058 UYZ391975:UYZ392058 UPD391975:UPD392058 UFH391975:UFH392058 TVL391975:TVL392058 TLP391975:TLP392058 TBT391975:TBT392058 SRX391975:SRX392058 SIB391975:SIB392058 RYF391975:RYF392058 ROJ391975:ROJ392058 REN391975:REN392058 QUR391975:QUR392058 QKV391975:QKV392058 QAZ391975:QAZ392058 PRD391975:PRD392058 PHH391975:PHH392058 OXL391975:OXL392058 ONP391975:ONP392058 ODT391975:ODT392058 NTX391975:NTX392058 NKB391975:NKB392058 NAF391975:NAF392058 MQJ391975:MQJ392058 MGN391975:MGN392058 LWR391975:LWR392058 LMV391975:LMV392058 LCZ391975:LCZ392058 KTD391975:KTD392058 KJH391975:KJH392058 JZL391975:JZL392058 JPP391975:JPP392058 JFT391975:JFT392058 IVX391975:IVX392058 IMB391975:IMB392058 ICF391975:ICF392058 HSJ391975:HSJ392058 HIN391975:HIN392058 GYR391975:GYR392058 GOV391975:GOV392058 GEZ391975:GEZ392058 FVD391975:FVD392058 FLH391975:FLH392058 FBL391975:FBL392058 ERP391975:ERP392058 EHT391975:EHT392058 DXX391975:DXX392058 DOB391975:DOB392058 DEF391975:DEF392058 CUJ391975:CUJ392058 CKN391975:CKN392058 CAR391975:CAR392058 BQV391975:BQV392058 BGZ391975:BGZ392058 AXD391975:AXD392058 ANH391975:ANH392058 ADL391975:ADL392058 TP391975:TP392058 JT391975:JT392058 X391975:X392058 WWF326439:WWF326522 WMJ326439:WMJ326522 WCN326439:WCN326522 VSR326439:VSR326522 VIV326439:VIV326522 UYZ326439:UYZ326522 UPD326439:UPD326522 UFH326439:UFH326522 TVL326439:TVL326522 TLP326439:TLP326522 TBT326439:TBT326522 SRX326439:SRX326522 SIB326439:SIB326522 RYF326439:RYF326522 ROJ326439:ROJ326522 REN326439:REN326522 QUR326439:QUR326522 QKV326439:QKV326522 QAZ326439:QAZ326522 PRD326439:PRD326522 PHH326439:PHH326522 OXL326439:OXL326522 ONP326439:ONP326522 ODT326439:ODT326522 NTX326439:NTX326522 NKB326439:NKB326522 NAF326439:NAF326522 MQJ326439:MQJ326522 MGN326439:MGN326522 LWR326439:LWR326522 LMV326439:LMV326522 LCZ326439:LCZ326522 KTD326439:KTD326522 KJH326439:KJH326522 JZL326439:JZL326522 JPP326439:JPP326522 JFT326439:JFT326522 IVX326439:IVX326522 IMB326439:IMB326522 ICF326439:ICF326522 HSJ326439:HSJ326522 HIN326439:HIN326522 GYR326439:GYR326522 GOV326439:GOV326522 GEZ326439:GEZ326522 FVD326439:FVD326522 FLH326439:FLH326522 FBL326439:FBL326522 ERP326439:ERP326522 EHT326439:EHT326522 DXX326439:DXX326522 DOB326439:DOB326522 DEF326439:DEF326522 CUJ326439:CUJ326522 CKN326439:CKN326522 CAR326439:CAR326522 BQV326439:BQV326522 BGZ326439:BGZ326522 AXD326439:AXD326522 ANH326439:ANH326522 ADL326439:ADL326522 TP326439:TP326522 JT326439:JT326522 X326439:X326522 WWF260903:WWF260986 WMJ260903:WMJ260986 WCN260903:WCN260986 VSR260903:VSR260986 VIV260903:VIV260986 UYZ260903:UYZ260986 UPD260903:UPD260986 UFH260903:UFH260986 TVL260903:TVL260986 TLP260903:TLP260986 TBT260903:TBT260986 SRX260903:SRX260986 SIB260903:SIB260986 RYF260903:RYF260986 ROJ260903:ROJ260986 REN260903:REN260986 QUR260903:QUR260986 QKV260903:QKV260986 QAZ260903:QAZ260986 PRD260903:PRD260986 PHH260903:PHH260986 OXL260903:OXL260986 ONP260903:ONP260986 ODT260903:ODT260986 NTX260903:NTX260986 NKB260903:NKB260986 NAF260903:NAF260986 MQJ260903:MQJ260986 MGN260903:MGN260986 LWR260903:LWR260986 LMV260903:LMV260986 LCZ260903:LCZ260986 KTD260903:KTD260986 KJH260903:KJH260986 JZL260903:JZL260986 JPP260903:JPP260986 JFT260903:JFT260986 IVX260903:IVX260986 IMB260903:IMB260986 ICF260903:ICF260986 HSJ260903:HSJ260986 HIN260903:HIN260986 GYR260903:GYR260986 GOV260903:GOV260986 GEZ260903:GEZ260986 FVD260903:FVD260986 FLH260903:FLH260986 FBL260903:FBL260986 ERP260903:ERP260986 EHT260903:EHT260986 DXX260903:DXX260986 DOB260903:DOB260986 DEF260903:DEF260986 CUJ260903:CUJ260986 CKN260903:CKN260986 CAR260903:CAR260986 BQV260903:BQV260986 BGZ260903:BGZ260986 AXD260903:AXD260986 ANH260903:ANH260986 ADL260903:ADL260986 TP260903:TP260986 JT260903:JT260986 X260903:X260986 WWF195367:WWF195450 WMJ195367:WMJ195450 WCN195367:WCN195450 VSR195367:VSR195450 VIV195367:VIV195450 UYZ195367:UYZ195450 UPD195367:UPD195450 UFH195367:UFH195450 TVL195367:TVL195450 TLP195367:TLP195450 TBT195367:TBT195450 SRX195367:SRX195450 SIB195367:SIB195450 RYF195367:RYF195450 ROJ195367:ROJ195450 REN195367:REN195450 QUR195367:QUR195450 QKV195367:QKV195450 QAZ195367:QAZ195450 PRD195367:PRD195450 PHH195367:PHH195450 OXL195367:OXL195450 ONP195367:ONP195450 ODT195367:ODT195450 NTX195367:NTX195450 NKB195367:NKB195450 NAF195367:NAF195450 MQJ195367:MQJ195450 MGN195367:MGN195450 LWR195367:LWR195450 LMV195367:LMV195450 LCZ195367:LCZ195450 KTD195367:KTD195450 KJH195367:KJH195450 JZL195367:JZL195450 JPP195367:JPP195450 JFT195367:JFT195450 IVX195367:IVX195450 IMB195367:IMB195450 ICF195367:ICF195450 HSJ195367:HSJ195450 HIN195367:HIN195450 GYR195367:GYR195450 GOV195367:GOV195450 GEZ195367:GEZ195450 FVD195367:FVD195450 FLH195367:FLH195450 FBL195367:FBL195450 ERP195367:ERP195450 EHT195367:EHT195450 DXX195367:DXX195450 DOB195367:DOB195450 DEF195367:DEF195450 CUJ195367:CUJ195450 CKN195367:CKN195450 CAR195367:CAR195450 BQV195367:BQV195450 BGZ195367:BGZ195450 AXD195367:AXD195450 ANH195367:ANH195450 ADL195367:ADL195450 TP195367:TP195450 JT195367:JT195450 X195367:X195450 WWF129831:WWF129914 WMJ129831:WMJ129914 WCN129831:WCN129914 VSR129831:VSR129914 VIV129831:VIV129914 UYZ129831:UYZ129914 UPD129831:UPD129914 UFH129831:UFH129914 TVL129831:TVL129914 TLP129831:TLP129914 TBT129831:TBT129914 SRX129831:SRX129914 SIB129831:SIB129914 RYF129831:RYF129914 ROJ129831:ROJ129914 REN129831:REN129914 QUR129831:QUR129914 QKV129831:QKV129914 QAZ129831:QAZ129914 PRD129831:PRD129914 PHH129831:PHH129914 OXL129831:OXL129914 ONP129831:ONP129914 ODT129831:ODT129914 NTX129831:NTX129914 NKB129831:NKB129914 NAF129831:NAF129914 MQJ129831:MQJ129914 MGN129831:MGN129914 LWR129831:LWR129914 LMV129831:LMV129914 LCZ129831:LCZ129914 KTD129831:KTD129914 KJH129831:KJH129914 JZL129831:JZL129914 JPP129831:JPP129914 JFT129831:JFT129914 IVX129831:IVX129914 IMB129831:IMB129914 ICF129831:ICF129914 HSJ129831:HSJ129914 HIN129831:HIN129914 GYR129831:GYR129914 GOV129831:GOV129914 GEZ129831:GEZ129914 FVD129831:FVD129914 FLH129831:FLH129914 FBL129831:FBL129914 ERP129831:ERP129914 EHT129831:EHT129914 DXX129831:DXX129914 DOB129831:DOB129914 DEF129831:DEF129914 CUJ129831:CUJ129914 CKN129831:CKN129914 CAR129831:CAR129914 BQV129831:BQV129914 BGZ129831:BGZ129914 AXD129831:AXD129914 ANH129831:ANH129914 ADL129831:ADL129914 TP129831:TP129914 JT129831:JT129914 X129831:X129914 WWF64295:WWF64378 WMJ64295:WMJ64378 WCN64295:WCN64378 VSR64295:VSR64378 VIV64295:VIV64378 UYZ64295:UYZ64378 UPD64295:UPD64378 UFH64295:UFH64378 TVL64295:TVL64378 TLP64295:TLP64378 TBT64295:TBT64378 SRX64295:SRX64378 SIB64295:SIB64378 RYF64295:RYF64378 ROJ64295:ROJ64378 REN64295:REN64378 QUR64295:QUR64378 QKV64295:QKV64378 QAZ64295:QAZ64378 PRD64295:PRD64378 PHH64295:PHH64378 OXL64295:OXL64378 ONP64295:ONP64378 ODT64295:ODT64378 NTX64295:NTX64378 NKB64295:NKB64378 NAF64295:NAF64378 MQJ64295:MQJ64378 MGN64295:MGN64378 LWR64295:LWR64378 LMV64295:LMV64378 LCZ64295:LCZ64378 KTD64295:KTD64378 KJH64295:KJH64378 JZL64295:JZL64378 JPP64295:JPP64378 JFT64295:JFT64378 IVX64295:IVX64378 IMB64295:IMB64378 ICF64295:ICF64378 HSJ64295:HSJ64378 HIN64295:HIN64378 GYR64295:GYR64378 GOV64295:GOV64378 GEZ64295:GEZ64378 FVD64295:FVD64378 FLH64295:FLH64378 FBL64295:FBL64378 ERP64295:ERP64378 EHT64295:EHT64378 DXX64295:DXX64378 DOB64295:DOB64378 DEF64295:DEF64378 CUJ64295:CUJ64378 CKN64295:CKN64378 CAR64295:CAR64378 BQV64295:BQV64378 BGZ64295:BGZ64378 AXD64295:AXD64378 ANH64295:ANH64378 ADL64295:ADL64378 TP64295:TP64378 JT64295:JT64378 X64295:X64378 X90:X494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88">
      <formula1>$AT$2:$AT$3</formula1>
    </dataValidation>
    <dataValidation operator="equal" allowBlank="1" showInputMessage="1" showErrorMessage="1" sqref="WVJ981799:WVJ981888 WLN981799:WLN981888 WBR981799:WBR981888 VRV981799:VRV981888 VHZ981799:VHZ981888 UYD981799:UYD981888 UOH981799:UOH981888 UEL981799:UEL981888 TUP981799:TUP981888 TKT981799:TKT981888 TAX981799:TAX981888 SRB981799:SRB981888 SHF981799:SHF981888 RXJ981799:RXJ981888 RNN981799:RNN981888 RDR981799:RDR981888 QTV981799:QTV981888 QJZ981799:QJZ981888 QAD981799:QAD981888 PQH981799:PQH981888 PGL981799:PGL981888 OWP981799:OWP981888 OMT981799:OMT981888 OCX981799:OCX981888 NTB981799:NTB981888 NJF981799:NJF981888 MZJ981799:MZJ981888 MPN981799:MPN981888 MFR981799:MFR981888 LVV981799:LVV981888 LLZ981799:LLZ981888 LCD981799:LCD981888 KSH981799:KSH981888 KIL981799:KIL981888 JYP981799:JYP981888 JOT981799:JOT981888 JEX981799:JEX981888 IVB981799:IVB981888 ILF981799:ILF981888 IBJ981799:IBJ981888 HRN981799:HRN981888 HHR981799:HHR981888 GXV981799:GXV981888 GNZ981799:GNZ981888 GED981799:GED981888 FUH981799:FUH981888 FKL981799:FKL981888 FAP981799:FAP981888 EQT981799:EQT981888 EGX981799:EGX981888 DXB981799:DXB981888 DNF981799:DNF981888 DDJ981799:DDJ981888 CTN981799:CTN981888 CJR981799:CJR981888 BZV981799:BZV981888 BPZ981799:BPZ981888 BGD981799:BGD981888 AWH981799:AWH981888 AML981799:AML981888 ACP981799:ACP981888 ST981799:ST981888 IX981799:IX981888 B981805:B981894 WVJ916263:WVJ916352 WLN916263:WLN916352 WBR916263:WBR916352 VRV916263:VRV916352 VHZ916263:VHZ916352 UYD916263:UYD916352 UOH916263:UOH916352 UEL916263:UEL916352 TUP916263:TUP916352 TKT916263:TKT916352 TAX916263:TAX916352 SRB916263:SRB916352 SHF916263:SHF916352 RXJ916263:RXJ916352 RNN916263:RNN916352 RDR916263:RDR916352 QTV916263:QTV916352 QJZ916263:QJZ916352 QAD916263:QAD916352 PQH916263:PQH916352 PGL916263:PGL916352 OWP916263:OWP916352 OMT916263:OMT916352 OCX916263:OCX916352 NTB916263:NTB916352 NJF916263:NJF916352 MZJ916263:MZJ916352 MPN916263:MPN916352 MFR916263:MFR916352 LVV916263:LVV916352 LLZ916263:LLZ916352 LCD916263:LCD916352 KSH916263:KSH916352 KIL916263:KIL916352 JYP916263:JYP916352 JOT916263:JOT916352 JEX916263:JEX916352 IVB916263:IVB916352 ILF916263:ILF916352 IBJ916263:IBJ916352 HRN916263:HRN916352 HHR916263:HHR916352 GXV916263:GXV916352 GNZ916263:GNZ916352 GED916263:GED916352 FUH916263:FUH916352 FKL916263:FKL916352 FAP916263:FAP916352 EQT916263:EQT916352 EGX916263:EGX916352 DXB916263:DXB916352 DNF916263:DNF916352 DDJ916263:DDJ916352 CTN916263:CTN916352 CJR916263:CJR916352 BZV916263:BZV916352 BPZ916263:BPZ916352 BGD916263:BGD916352 AWH916263:AWH916352 AML916263:AML916352 ACP916263:ACP916352 ST916263:ST916352 IX916263:IX916352 B916269:B916358 WVJ850727:WVJ850816 WLN850727:WLN850816 WBR850727:WBR850816 VRV850727:VRV850816 VHZ850727:VHZ850816 UYD850727:UYD850816 UOH850727:UOH850816 UEL850727:UEL850816 TUP850727:TUP850816 TKT850727:TKT850816 TAX850727:TAX850816 SRB850727:SRB850816 SHF850727:SHF850816 RXJ850727:RXJ850816 RNN850727:RNN850816 RDR850727:RDR850816 QTV850727:QTV850816 QJZ850727:QJZ850816 QAD850727:QAD850816 PQH850727:PQH850816 PGL850727:PGL850816 OWP850727:OWP850816 OMT850727:OMT850816 OCX850727:OCX850816 NTB850727:NTB850816 NJF850727:NJF850816 MZJ850727:MZJ850816 MPN850727:MPN850816 MFR850727:MFR850816 LVV850727:LVV850816 LLZ850727:LLZ850816 LCD850727:LCD850816 KSH850727:KSH850816 KIL850727:KIL850816 JYP850727:JYP850816 JOT850727:JOT850816 JEX850727:JEX850816 IVB850727:IVB850816 ILF850727:ILF850816 IBJ850727:IBJ850816 HRN850727:HRN850816 HHR850727:HHR850816 GXV850727:GXV850816 GNZ850727:GNZ850816 GED850727:GED850816 FUH850727:FUH850816 FKL850727:FKL850816 FAP850727:FAP850816 EQT850727:EQT850816 EGX850727:EGX850816 DXB850727:DXB850816 DNF850727:DNF850816 DDJ850727:DDJ850816 CTN850727:CTN850816 CJR850727:CJR850816 BZV850727:BZV850816 BPZ850727:BPZ850816 BGD850727:BGD850816 AWH850727:AWH850816 AML850727:AML850816 ACP850727:ACP850816 ST850727:ST850816 IX850727:IX850816 B850733:B850822 WVJ785191:WVJ785280 WLN785191:WLN785280 WBR785191:WBR785280 VRV785191:VRV785280 VHZ785191:VHZ785280 UYD785191:UYD785280 UOH785191:UOH785280 UEL785191:UEL785280 TUP785191:TUP785280 TKT785191:TKT785280 TAX785191:TAX785280 SRB785191:SRB785280 SHF785191:SHF785280 RXJ785191:RXJ785280 RNN785191:RNN785280 RDR785191:RDR785280 QTV785191:QTV785280 QJZ785191:QJZ785280 QAD785191:QAD785280 PQH785191:PQH785280 PGL785191:PGL785280 OWP785191:OWP785280 OMT785191:OMT785280 OCX785191:OCX785280 NTB785191:NTB785280 NJF785191:NJF785280 MZJ785191:MZJ785280 MPN785191:MPN785280 MFR785191:MFR785280 LVV785191:LVV785280 LLZ785191:LLZ785280 LCD785191:LCD785280 KSH785191:KSH785280 KIL785191:KIL785280 JYP785191:JYP785280 JOT785191:JOT785280 JEX785191:JEX785280 IVB785191:IVB785280 ILF785191:ILF785280 IBJ785191:IBJ785280 HRN785191:HRN785280 HHR785191:HHR785280 GXV785191:GXV785280 GNZ785191:GNZ785280 GED785191:GED785280 FUH785191:FUH785280 FKL785191:FKL785280 FAP785191:FAP785280 EQT785191:EQT785280 EGX785191:EGX785280 DXB785191:DXB785280 DNF785191:DNF785280 DDJ785191:DDJ785280 CTN785191:CTN785280 CJR785191:CJR785280 BZV785191:BZV785280 BPZ785191:BPZ785280 BGD785191:BGD785280 AWH785191:AWH785280 AML785191:AML785280 ACP785191:ACP785280 ST785191:ST785280 IX785191:IX785280 B785197:B785286 WVJ719655:WVJ719744 WLN719655:WLN719744 WBR719655:WBR719744 VRV719655:VRV719744 VHZ719655:VHZ719744 UYD719655:UYD719744 UOH719655:UOH719744 UEL719655:UEL719744 TUP719655:TUP719744 TKT719655:TKT719744 TAX719655:TAX719744 SRB719655:SRB719744 SHF719655:SHF719744 RXJ719655:RXJ719744 RNN719655:RNN719744 RDR719655:RDR719744 QTV719655:QTV719744 QJZ719655:QJZ719744 QAD719655:QAD719744 PQH719655:PQH719744 PGL719655:PGL719744 OWP719655:OWP719744 OMT719655:OMT719744 OCX719655:OCX719744 NTB719655:NTB719744 NJF719655:NJF719744 MZJ719655:MZJ719744 MPN719655:MPN719744 MFR719655:MFR719744 LVV719655:LVV719744 LLZ719655:LLZ719744 LCD719655:LCD719744 KSH719655:KSH719744 KIL719655:KIL719744 JYP719655:JYP719744 JOT719655:JOT719744 JEX719655:JEX719744 IVB719655:IVB719744 ILF719655:ILF719744 IBJ719655:IBJ719744 HRN719655:HRN719744 HHR719655:HHR719744 GXV719655:GXV719744 GNZ719655:GNZ719744 GED719655:GED719744 FUH719655:FUH719744 FKL719655:FKL719744 FAP719655:FAP719744 EQT719655:EQT719744 EGX719655:EGX719744 DXB719655:DXB719744 DNF719655:DNF719744 DDJ719655:DDJ719744 CTN719655:CTN719744 CJR719655:CJR719744 BZV719655:BZV719744 BPZ719655:BPZ719744 BGD719655:BGD719744 AWH719655:AWH719744 AML719655:AML719744 ACP719655:ACP719744 ST719655:ST719744 IX719655:IX719744 B719661:B719750 WVJ654119:WVJ654208 WLN654119:WLN654208 WBR654119:WBR654208 VRV654119:VRV654208 VHZ654119:VHZ654208 UYD654119:UYD654208 UOH654119:UOH654208 UEL654119:UEL654208 TUP654119:TUP654208 TKT654119:TKT654208 TAX654119:TAX654208 SRB654119:SRB654208 SHF654119:SHF654208 RXJ654119:RXJ654208 RNN654119:RNN654208 RDR654119:RDR654208 QTV654119:QTV654208 QJZ654119:QJZ654208 QAD654119:QAD654208 PQH654119:PQH654208 PGL654119:PGL654208 OWP654119:OWP654208 OMT654119:OMT654208 OCX654119:OCX654208 NTB654119:NTB654208 NJF654119:NJF654208 MZJ654119:MZJ654208 MPN654119:MPN654208 MFR654119:MFR654208 LVV654119:LVV654208 LLZ654119:LLZ654208 LCD654119:LCD654208 KSH654119:KSH654208 KIL654119:KIL654208 JYP654119:JYP654208 JOT654119:JOT654208 JEX654119:JEX654208 IVB654119:IVB654208 ILF654119:ILF654208 IBJ654119:IBJ654208 HRN654119:HRN654208 HHR654119:HHR654208 GXV654119:GXV654208 GNZ654119:GNZ654208 GED654119:GED654208 FUH654119:FUH654208 FKL654119:FKL654208 FAP654119:FAP654208 EQT654119:EQT654208 EGX654119:EGX654208 DXB654119:DXB654208 DNF654119:DNF654208 DDJ654119:DDJ654208 CTN654119:CTN654208 CJR654119:CJR654208 BZV654119:BZV654208 BPZ654119:BPZ654208 BGD654119:BGD654208 AWH654119:AWH654208 AML654119:AML654208 ACP654119:ACP654208 ST654119:ST654208 IX654119:IX654208 B654125:B654214 WVJ588583:WVJ588672 WLN588583:WLN588672 WBR588583:WBR588672 VRV588583:VRV588672 VHZ588583:VHZ588672 UYD588583:UYD588672 UOH588583:UOH588672 UEL588583:UEL588672 TUP588583:TUP588672 TKT588583:TKT588672 TAX588583:TAX588672 SRB588583:SRB588672 SHF588583:SHF588672 RXJ588583:RXJ588672 RNN588583:RNN588672 RDR588583:RDR588672 QTV588583:QTV588672 QJZ588583:QJZ588672 QAD588583:QAD588672 PQH588583:PQH588672 PGL588583:PGL588672 OWP588583:OWP588672 OMT588583:OMT588672 OCX588583:OCX588672 NTB588583:NTB588672 NJF588583:NJF588672 MZJ588583:MZJ588672 MPN588583:MPN588672 MFR588583:MFR588672 LVV588583:LVV588672 LLZ588583:LLZ588672 LCD588583:LCD588672 KSH588583:KSH588672 KIL588583:KIL588672 JYP588583:JYP588672 JOT588583:JOT588672 JEX588583:JEX588672 IVB588583:IVB588672 ILF588583:ILF588672 IBJ588583:IBJ588672 HRN588583:HRN588672 HHR588583:HHR588672 GXV588583:GXV588672 GNZ588583:GNZ588672 GED588583:GED588672 FUH588583:FUH588672 FKL588583:FKL588672 FAP588583:FAP588672 EQT588583:EQT588672 EGX588583:EGX588672 DXB588583:DXB588672 DNF588583:DNF588672 DDJ588583:DDJ588672 CTN588583:CTN588672 CJR588583:CJR588672 BZV588583:BZV588672 BPZ588583:BPZ588672 BGD588583:BGD588672 AWH588583:AWH588672 AML588583:AML588672 ACP588583:ACP588672 ST588583:ST588672 IX588583:IX588672 B588589:B588678 WVJ523047:WVJ523136 WLN523047:WLN523136 WBR523047:WBR523136 VRV523047:VRV523136 VHZ523047:VHZ523136 UYD523047:UYD523136 UOH523047:UOH523136 UEL523047:UEL523136 TUP523047:TUP523136 TKT523047:TKT523136 TAX523047:TAX523136 SRB523047:SRB523136 SHF523047:SHF523136 RXJ523047:RXJ523136 RNN523047:RNN523136 RDR523047:RDR523136 QTV523047:QTV523136 QJZ523047:QJZ523136 QAD523047:QAD523136 PQH523047:PQH523136 PGL523047:PGL523136 OWP523047:OWP523136 OMT523047:OMT523136 OCX523047:OCX523136 NTB523047:NTB523136 NJF523047:NJF523136 MZJ523047:MZJ523136 MPN523047:MPN523136 MFR523047:MFR523136 LVV523047:LVV523136 LLZ523047:LLZ523136 LCD523047:LCD523136 KSH523047:KSH523136 KIL523047:KIL523136 JYP523047:JYP523136 JOT523047:JOT523136 JEX523047:JEX523136 IVB523047:IVB523136 ILF523047:ILF523136 IBJ523047:IBJ523136 HRN523047:HRN523136 HHR523047:HHR523136 GXV523047:GXV523136 GNZ523047:GNZ523136 GED523047:GED523136 FUH523047:FUH523136 FKL523047:FKL523136 FAP523047:FAP523136 EQT523047:EQT523136 EGX523047:EGX523136 DXB523047:DXB523136 DNF523047:DNF523136 DDJ523047:DDJ523136 CTN523047:CTN523136 CJR523047:CJR523136 BZV523047:BZV523136 BPZ523047:BPZ523136 BGD523047:BGD523136 AWH523047:AWH523136 AML523047:AML523136 ACP523047:ACP523136 ST523047:ST523136 IX523047:IX523136 B523053:B523142 WVJ457511:WVJ457600 WLN457511:WLN457600 WBR457511:WBR457600 VRV457511:VRV457600 VHZ457511:VHZ457600 UYD457511:UYD457600 UOH457511:UOH457600 UEL457511:UEL457600 TUP457511:TUP457600 TKT457511:TKT457600 TAX457511:TAX457600 SRB457511:SRB457600 SHF457511:SHF457600 RXJ457511:RXJ457600 RNN457511:RNN457600 RDR457511:RDR457600 QTV457511:QTV457600 QJZ457511:QJZ457600 QAD457511:QAD457600 PQH457511:PQH457600 PGL457511:PGL457600 OWP457511:OWP457600 OMT457511:OMT457600 OCX457511:OCX457600 NTB457511:NTB457600 NJF457511:NJF457600 MZJ457511:MZJ457600 MPN457511:MPN457600 MFR457511:MFR457600 LVV457511:LVV457600 LLZ457511:LLZ457600 LCD457511:LCD457600 KSH457511:KSH457600 KIL457511:KIL457600 JYP457511:JYP457600 JOT457511:JOT457600 JEX457511:JEX457600 IVB457511:IVB457600 ILF457511:ILF457600 IBJ457511:IBJ457600 HRN457511:HRN457600 HHR457511:HHR457600 GXV457511:GXV457600 GNZ457511:GNZ457600 GED457511:GED457600 FUH457511:FUH457600 FKL457511:FKL457600 FAP457511:FAP457600 EQT457511:EQT457600 EGX457511:EGX457600 DXB457511:DXB457600 DNF457511:DNF457600 DDJ457511:DDJ457600 CTN457511:CTN457600 CJR457511:CJR457600 BZV457511:BZV457600 BPZ457511:BPZ457600 BGD457511:BGD457600 AWH457511:AWH457600 AML457511:AML457600 ACP457511:ACP457600 ST457511:ST457600 IX457511:IX457600 B457517:B457606 WVJ391975:WVJ392064 WLN391975:WLN392064 WBR391975:WBR392064 VRV391975:VRV392064 VHZ391975:VHZ392064 UYD391975:UYD392064 UOH391975:UOH392064 UEL391975:UEL392064 TUP391975:TUP392064 TKT391975:TKT392064 TAX391975:TAX392064 SRB391975:SRB392064 SHF391975:SHF392064 RXJ391975:RXJ392064 RNN391975:RNN392064 RDR391975:RDR392064 QTV391975:QTV392064 QJZ391975:QJZ392064 QAD391975:QAD392064 PQH391975:PQH392064 PGL391975:PGL392064 OWP391975:OWP392064 OMT391975:OMT392064 OCX391975:OCX392064 NTB391975:NTB392064 NJF391975:NJF392064 MZJ391975:MZJ392064 MPN391975:MPN392064 MFR391975:MFR392064 LVV391975:LVV392064 LLZ391975:LLZ392064 LCD391975:LCD392064 KSH391975:KSH392064 KIL391975:KIL392064 JYP391975:JYP392064 JOT391975:JOT392064 JEX391975:JEX392064 IVB391975:IVB392064 ILF391975:ILF392064 IBJ391975:IBJ392064 HRN391975:HRN392064 HHR391975:HHR392064 GXV391975:GXV392064 GNZ391975:GNZ392064 GED391975:GED392064 FUH391975:FUH392064 FKL391975:FKL392064 FAP391975:FAP392064 EQT391975:EQT392064 EGX391975:EGX392064 DXB391975:DXB392064 DNF391975:DNF392064 DDJ391975:DDJ392064 CTN391975:CTN392064 CJR391975:CJR392064 BZV391975:BZV392064 BPZ391975:BPZ392064 BGD391975:BGD392064 AWH391975:AWH392064 AML391975:AML392064 ACP391975:ACP392064 ST391975:ST392064 IX391975:IX392064 B391981:B392070 WVJ326439:WVJ326528 WLN326439:WLN326528 WBR326439:WBR326528 VRV326439:VRV326528 VHZ326439:VHZ326528 UYD326439:UYD326528 UOH326439:UOH326528 UEL326439:UEL326528 TUP326439:TUP326528 TKT326439:TKT326528 TAX326439:TAX326528 SRB326439:SRB326528 SHF326439:SHF326528 RXJ326439:RXJ326528 RNN326439:RNN326528 RDR326439:RDR326528 QTV326439:QTV326528 QJZ326439:QJZ326528 QAD326439:QAD326528 PQH326439:PQH326528 PGL326439:PGL326528 OWP326439:OWP326528 OMT326439:OMT326528 OCX326439:OCX326528 NTB326439:NTB326528 NJF326439:NJF326528 MZJ326439:MZJ326528 MPN326439:MPN326528 MFR326439:MFR326528 LVV326439:LVV326528 LLZ326439:LLZ326528 LCD326439:LCD326528 KSH326439:KSH326528 KIL326439:KIL326528 JYP326439:JYP326528 JOT326439:JOT326528 JEX326439:JEX326528 IVB326439:IVB326528 ILF326439:ILF326528 IBJ326439:IBJ326528 HRN326439:HRN326528 HHR326439:HHR326528 GXV326439:GXV326528 GNZ326439:GNZ326528 GED326439:GED326528 FUH326439:FUH326528 FKL326439:FKL326528 FAP326439:FAP326528 EQT326439:EQT326528 EGX326439:EGX326528 DXB326439:DXB326528 DNF326439:DNF326528 DDJ326439:DDJ326528 CTN326439:CTN326528 CJR326439:CJR326528 BZV326439:BZV326528 BPZ326439:BPZ326528 BGD326439:BGD326528 AWH326439:AWH326528 AML326439:AML326528 ACP326439:ACP326528 ST326439:ST326528 IX326439:IX326528 B326445:B326534 WVJ260903:WVJ260992 WLN260903:WLN260992 WBR260903:WBR260992 VRV260903:VRV260992 VHZ260903:VHZ260992 UYD260903:UYD260992 UOH260903:UOH260992 UEL260903:UEL260992 TUP260903:TUP260992 TKT260903:TKT260992 TAX260903:TAX260992 SRB260903:SRB260992 SHF260903:SHF260992 RXJ260903:RXJ260992 RNN260903:RNN260992 RDR260903:RDR260992 QTV260903:QTV260992 QJZ260903:QJZ260992 QAD260903:QAD260992 PQH260903:PQH260992 PGL260903:PGL260992 OWP260903:OWP260992 OMT260903:OMT260992 OCX260903:OCX260992 NTB260903:NTB260992 NJF260903:NJF260992 MZJ260903:MZJ260992 MPN260903:MPN260992 MFR260903:MFR260992 LVV260903:LVV260992 LLZ260903:LLZ260992 LCD260903:LCD260992 KSH260903:KSH260992 KIL260903:KIL260992 JYP260903:JYP260992 JOT260903:JOT260992 JEX260903:JEX260992 IVB260903:IVB260992 ILF260903:ILF260992 IBJ260903:IBJ260992 HRN260903:HRN260992 HHR260903:HHR260992 GXV260903:GXV260992 GNZ260903:GNZ260992 GED260903:GED260992 FUH260903:FUH260992 FKL260903:FKL260992 FAP260903:FAP260992 EQT260903:EQT260992 EGX260903:EGX260992 DXB260903:DXB260992 DNF260903:DNF260992 DDJ260903:DDJ260992 CTN260903:CTN260992 CJR260903:CJR260992 BZV260903:BZV260992 BPZ260903:BPZ260992 BGD260903:BGD260992 AWH260903:AWH260992 AML260903:AML260992 ACP260903:ACP260992 ST260903:ST260992 IX260903:IX260992 B260909:B260998 WVJ195367:WVJ195456 WLN195367:WLN195456 WBR195367:WBR195456 VRV195367:VRV195456 VHZ195367:VHZ195456 UYD195367:UYD195456 UOH195367:UOH195456 UEL195367:UEL195456 TUP195367:TUP195456 TKT195367:TKT195456 TAX195367:TAX195456 SRB195367:SRB195456 SHF195367:SHF195456 RXJ195367:RXJ195456 RNN195367:RNN195456 RDR195367:RDR195456 QTV195367:QTV195456 QJZ195367:QJZ195456 QAD195367:QAD195456 PQH195367:PQH195456 PGL195367:PGL195456 OWP195367:OWP195456 OMT195367:OMT195456 OCX195367:OCX195456 NTB195367:NTB195456 NJF195367:NJF195456 MZJ195367:MZJ195456 MPN195367:MPN195456 MFR195367:MFR195456 LVV195367:LVV195456 LLZ195367:LLZ195456 LCD195367:LCD195456 KSH195367:KSH195456 KIL195367:KIL195456 JYP195367:JYP195456 JOT195367:JOT195456 JEX195367:JEX195456 IVB195367:IVB195456 ILF195367:ILF195456 IBJ195367:IBJ195456 HRN195367:HRN195456 HHR195367:HHR195456 GXV195367:GXV195456 GNZ195367:GNZ195456 GED195367:GED195456 FUH195367:FUH195456 FKL195367:FKL195456 FAP195367:FAP195456 EQT195367:EQT195456 EGX195367:EGX195456 DXB195367:DXB195456 DNF195367:DNF195456 DDJ195367:DDJ195456 CTN195367:CTN195456 CJR195367:CJR195456 BZV195367:BZV195456 BPZ195367:BPZ195456 BGD195367:BGD195456 AWH195367:AWH195456 AML195367:AML195456 ACP195367:ACP195456 ST195367:ST195456 IX195367:IX195456 B195373:B195462 WVJ129831:WVJ129920 WLN129831:WLN129920 WBR129831:WBR129920 VRV129831:VRV129920 VHZ129831:VHZ129920 UYD129831:UYD129920 UOH129831:UOH129920 UEL129831:UEL129920 TUP129831:TUP129920 TKT129831:TKT129920 TAX129831:TAX129920 SRB129831:SRB129920 SHF129831:SHF129920 RXJ129831:RXJ129920 RNN129831:RNN129920 RDR129831:RDR129920 QTV129831:QTV129920 QJZ129831:QJZ129920 QAD129831:QAD129920 PQH129831:PQH129920 PGL129831:PGL129920 OWP129831:OWP129920 OMT129831:OMT129920 OCX129831:OCX129920 NTB129831:NTB129920 NJF129831:NJF129920 MZJ129831:MZJ129920 MPN129831:MPN129920 MFR129831:MFR129920 LVV129831:LVV129920 LLZ129831:LLZ129920 LCD129831:LCD129920 KSH129831:KSH129920 KIL129831:KIL129920 JYP129831:JYP129920 JOT129831:JOT129920 JEX129831:JEX129920 IVB129831:IVB129920 ILF129831:ILF129920 IBJ129831:IBJ129920 HRN129831:HRN129920 HHR129831:HHR129920 GXV129831:GXV129920 GNZ129831:GNZ129920 GED129831:GED129920 FUH129831:FUH129920 FKL129831:FKL129920 FAP129831:FAP129920 EQT129831:EQT129920 EGX129831:EGX129920 DXB129831:DXB129920 DNF129831:DNF129920 DDJ129831:DDJ129920 CTN129831:CTN129920 CJR129831:CJR129920 BZV129831:BZV129920 BPZ129831:BPZ129920 BGD129831:BGD129920 AWH129831:AWH129920 AML129831:AML129920 ACP129831:ACP129920 ST129831:ST129920 IX129831:IX129920 B129837:B129926 WVJ64295:WVJ64384 WLN64295:WLN64384 WBR64295:WBR64384 VRV64295:VRV64384 VHZ64295:VHZ64384 UYD64295:UYD64384 UOH64295:UOH64384 UEL64295:UEL64384 TUP64295:TUP64384 TKT64295:TKT64384 TAX64295:TAX64384 SRB64295:SRB64384 SHF64295:SHF64384 RXJ64295:RXJ64384 RNN64295:RNN64384 RDR64295:RDR64384 QTV64295:QTV64384 QJZ64295:QJZ64384 QAD64295:QAD64384 PQH64295:PQH64384 PGL64295:PGL64384 OWP64295:OWP64384 OMT64295:OMT64384 OCX64295:OCX64384 NTB64295:NTB64384 NJF64295:NJF64384 MZJ64295:MZJ64384 MPN64295:MPN64384 MFR64295:MFR64384 LVV64295:LVV64384 LLZ64295:LLZ64384 LCD64295:LCD64384 KSH64295:KSH64384 KIL64295:KIL64384 JYP64295:JYP64384 JOT64295:JOT64384 JEX64295:JEX64384 IVB64295:IVB64384 ILF64295:ILF64384 IBJ64295:IBJ64384 HRN64295:HRN64384 HHR64295:HHR64384 GXV64295:GXV64384 GNZ64295:GNZ64384 GED64295:GED64384 FUH64295:FUH64384 FKL64295:FKL64384 FAP64295:FAP64384 EQT64295:EQT64384 EGX64295:EGX64384 DXB64295:DXB64384 DNF64295:DNF64384 DDJ64295:DDJ64384 CTN64295:CTN64384 CJR64295:CJR64384 BZV64295:BZV64384 BPZ64295:BPZ64384 BGD64295:BGD64384 AWH64295:AWH64384 AML64295:AML64384 ACP64295:ACP64384 ST64295:ST64384 IX64295:IX64384 B64301:B64390 B90:B106 IX2:IX67 ST2:ST67 ACP2:ACP67 AML2:AML67 AWH2:AWH67 BGD2:BGD67 BPZ2:BPZ67 BZV2:BZV67 CJR2:CJR67 CTN2:CTN67 DDJ2:DDJ67 DNF2:DNF67 DXB2:DXB67 EGX2:EGX67 EQT2:EQT67 FAP2:FAP67 FKL2:FKL67 FUH2:FUH67 GED2:GED67 GNZ2:GNZ67 GXV2:GXV67 HHR2:HHR67 HRN2:HRN67 IBJ2:IBJ67 ILF2:ILF67 IVB2:IVB67 JEX2:JEX67 JOT2:JOT67 JYP2:JYP67 KIL2:KIL67 KSH2:KSH67 LCD2:LCD67 LLZ2:LLZ67 LVV2:LVV67 MFR2:MFR67 MPN2:MPN67 MZJ2:MZJ67 NJF2:NJF67 NTB2:NTB67 OCX2:OCX67 OMT2:OMT67 OWP2:OWP67 PGL2:PGL67 PQH2:PQH67 QAD2:QAD67 QJZ2:QJZ67 QTV2:QTV67 RDR2:RDR67 RNN2:RNN67 RXJ2:RXJ67 SHF2:SHF67 SRB2:SRB67 TAX2:TAX67 TKT2:TKT67 TUP2:TUP67 UEL2:UEL67 UOH2:UOH67 UYD2:UYD67 VHZ2:VHZ67 VRV2:VRV67 WBR2:WBR67 WLN2:WLN67 WVJ2:WVJ67 B2:B88"/>
    <dataValidation type="list" allowBlank="1" showInputMessage="1" showErrorMessage="1" sqref="WVI981799:WVI981888 WLM981799:WLM981888 WBQ981799:WBQ981888 VRU981799:VRU981888 VHY981799:VHY981888 UYC981799:UYC981888 UOG981799:UOG981888 UEK981799:UEK981888 TUO981799:TUO981888 TKS981799:TKS981888 TAW981799:TAW981888 SRA981799:SRA981888 SHE981799:SHE981888 RXI981799:RXI981888 RNM981799:RNM981888 RDQ981799:RDQ981888 QTU981799:QTU981888 QJY981799:QJY981888 QAC981799:QAC981888 PQG981799:PQG981888 PGK981799:PGK981888 OWO981799:OWO981888 OMS981799:OMS981888 OCW981799:OCW981888 NTA981799:NTA981888 NJE981799:NJE981888 MZI981799:MZI981888 MPM981799:MPM981888 MFQ981799:MFQ981888 LVU981799:LVU981888 LLY981799:LLY981888 LCC981799:LCC981888 KSG981799:KSG981888 KIK981799:KIK981888 JYO981799:JYO981888 JOS981799:JOS981888 JEW981799:JEW981888 IVA981799:IVA981888 ILE981799:ILE981888 IBI981799:IBI981888 HRM981799:HRM981888 HHQ981799:HHQ981888 GXU981799:GXU981888 GNY981799:GNY981888 GEC981799:GEC981888 FUG981799:FUG981888 FKK981799:FKK981888 FAO981799:FAO981888 EQS981799:EQS981888 EGW981799:EGW981888 DXA981799:DXA981888 DNE981799:DNE981888 DDI981799:DDI981888 CTM981799:CTM981888 CJQ981799:CJQ981888 BZU981799:BZU981888 BPY981799:BPY981888 BGC981799:BGC981888 AWG981799:AWG981888 AMK981799:AMK981888 ACO981799:ACO981888 SS981799:SS981888 IW981799:IW981888 A981805:A981894 WVI916263:WVI916352 WLM916263:WLM916352 WBQ916263:WBQ916352 VRU916263:VRU916352 VHY916263:VHY916352 UYC916263:UYC916352 UOG916263:UOG916352 UEK916263:UEK916352 TUO916263:TUO916352 TKS916263:TKS916352 TAW916263:TAW916352 SRA916263:SRA916352 SHE916263:SHE916352 RXI916263:RXI916352 RNM916263:RNM916352 RDQ916263:RDQ916352 QTU916263:QTU916352 QJY916263:QJY916352 QAC916263:QAC916352 PQG916263:PQG916352 PGK916263:PGK916352 OWO916263:OWO916352 OMS916263:OMS916352 OCW916263:OCW916352 NTA916263:NTA916352 NJE916263:NJE916352 MZI916263:MZI916352 MPM916263:MPM916352 MFQ916263:MFQ916352 LVU916263:LVU916352 LLY916263:LLY916352 LCC916263:LCC916352 KSG916263:KSG916352 KIK916263:KIK916352 JYO916263:JYO916352 JOS916263:JOS916352 JEW916263:JEW916352 IVA916263:IVA916352 ILE916263:ILE916352 IBI916263:IBI916352 HRM916263:HRM916352 HHQ916263:HHQ916352 GXU916263:GXU916352 GNY916263:GNY916352 GEC916263:GEC916352 FUG916263:FUG916352 FKK916263:FKK916352 FAO916263:FAO916352 EQS916263:EQS916352 EGW916263:EGW916352 DXA916263:DXA916352 DNE916263:DNE916352 DDI916263:DDI916352 CTM916263:CTM916352 CJQ916263:CJQ916352 BZU916263:BZU916352 BPY916263:BPY916352 BGC916263:BGC916352 AWG916263:AWG916352 AMK916263:AMK916352 ACO916263:ACO916352 SS916263:SS916352 IW916263:IW916352 A916269:A916358 WVI850727:WVI850816 WLM850727:WLM850816 WBQ850727:WBQ850816 VRU850727:VRU850816 VHY850727:VHY850816 UYC850727:UYC850816 UOG850727:UOG850816 UEK850727:UEK850816 TUO850727:TUO850816 TKS850727:TKS850816 TAW850727:TAW850816 SRA850727:SRA850816 SHE850727:SHE850816 RXI850727:RXI850816 RNM850727:RNM850816 RDQ850727:RDQ850816 QTU850727:QTU850816 QJY850727:QJY850816 QAC850727:QAC850816 PQG850727:PQG850816 PGK850727:PGK850816 OWO850727:OWO850816 OMS850727:OMS850816 OCW850727:OCW850816 NTA850727:NTA850816 NJE850727:NJE850816 MZI850727:MZI850816 MPM850727:MPM850816 MFQ850727:MFQ850816 LVU850727:LVU850816 LLY850727:LLY850816 LCC850727:LCC850816 KSG850727:KSG850816 KIK850727:KIK850816 JYO850727:JYO850816 JOS850727:JOS850816 JEW850727:JEW850816 IVA850727:IVA850816 ILE850727:ILE850816 IBI850727:IBI850816 HRM850727:HRM850816 HHQ850727:HHQ850816 GXU850727:GXU850816 GNY850727:GNY850816 GEC850727:GEC850816 FUG850727:FUG850816 FKK850727:FKK850816 FAO850727:FAO850816 EQS850727:EQS850816 EGW850727:EGW850816 DXA850727:DXA850816 DNE850727:DNE850816 DDI850727:DDI850816 CTM850727:CTM850816 CJQ850727:CJQ850816 BZU850727:BZU850816 BPY850727:BPY850816 BGC850727:BGC850816 AWG850727:AWG850816 AMK850727:AMK850816 ACO850727:ACO850816 SS850727:SS850816 IW850727:IW850816 A850733:A850822 WVI785191:WVI785280 WLM785191:WLM785280 WBQ785191:WBQ785280 VRU785191:VRU785280 VHY785191:VHY785280 UYC785191:UYC785280 UOG785191:UOG785280 UEK785191:UEK785280 TUO785191:TUO785280 TKS785191:TKS785280 TAW785191:TAW785280 SRA785191:SRA785280 SHE785191:SHE785280 RXI785191:RXI785280 RNM785191:RNM785280 RDQ785191:RDQ785280 QTU785191:QTU785280 QJY785191:QJY785280 QAC785191:QAC785280 PQG785191:PQG785280 PGK785191:PGK785280 OWO785191:OWO785280 OMS785191:OMS785280 OCW785191:OCW785280 NTA785191:NTA785280 NJE785191:NJE785280 MZI785191:MZI785280 MPM785191:MPM785280 MFQ785191:MFQ785280 LVU785191:LVU785280 LLY785191:LLY785280 LCC785191:LCC785280 KSG785191:KSG785280 KIK785191:KIK785280 JYO785191:JYO785280 JOS785191:JOS785280 JEW785191:JEW785280 IVA785191:IVA785280 ILE785191:ILE785280 IBI785191:IBI785280 HRM785191:HRM785280 HHQ785191:HHQ785280 GXU785191:GXU785280 GNY785191:GNY785280 GEC785191:GEC785280 FUG785191:FUG785280 FKK785191:FKK785280 FAO785191:FAO785280 EQS785191:EQS785280 EGW785191:EGW785280 DXA785191:DXA785280 DNE785191:DNE785280 DDI785191:DDI785280 CTM785191:CTM785280 CJQ785191:CJQ785280 BZU785191:BZU785280 BPY785191:BPY785280 BGC785191:BGC785280 AWG785191:AWG785280 AMK785191:AMK785280 ACO785191:ACO785280 SS785191:SS785280 IW785191:IW785280 A785197:A785286 WVI719655:WVI719744 WLM719655:WLM719744 WBQ719655:WBQ719744 VRU719655:VRU719744 VHY719655:VHY719744 UYC719655:UYC719744 UOG719655:UOG719744 UEK719655:UEK719744 TUO719655:TUO719744 TKS719655:TKS719744 TAW719655:TAW719744 SRA719655:SRA719744 SHE719655:SHE719744 RXI719655:RXI719744 RNM719655:RNM719744 RDQ719655:RDQ719744 QTU719655:QTU719744 QJY719655:QJY719744 QAC719655:QAC719744 PQG719655:PQG719744 PGK719655:PGK719744 OWO719655:OWO719744 OMS719655:OMS719744 OCW719655:OCW719744 NTA719655:NTA719744 NJE719655:NJE719744 MZI719655:MZI719744 MPM719655:MPM719744 MFQ719655:MFQ719744 LVU719655:LVU719744 LLY719655:LLY719744 LCC719655:LCC719744 KSG719655:KSG719744 KIK719655:KIK719744 JYO719655:JYO719744 JOS719655:JOS719744 JEW719655:JEW719744 IVA719655:IVA719744 ILE719655:ILE719744 IBI719655:IBI719744 HRM719655:HRM719744 HHQ719655:HHQ719744 GXU719655:GXU719744 GNY719655:GNY719744 GEC719655:GEC719744 FUG719655:FUG719744 FKK719655:FKK719744 FAO719655:FAO719744 EQS719655:EQS719744 EGW719655:EGW719744 DXA719655:DXA719744 DNE719655:DNE719744 DDI719655:DDI719744 CTM719655:CTM719744 CJQ719655:CJQ719744 BZU719655:BZU719744 BPY719655:BPY719744 BGC719655:BGC719744 AWG719655:AWG719744 AMK719655:AMK719744 ACO719655:ACO719744 SS719655:SS719744 IW719655:IW719744 A719661:A719750 WVI654119:WVI654208 WLM654119:WLM654208 WBQ654119:WBQ654208 VRU654119:VRU654208 VHY654119:VHY654208 UYC654119:UYC654208 UOG654119:UOG654208 UEK654119:UEK654208 TUO654119:TUO654208 TKS654119:TKS654208 TAW654119:TAW654208 SRA654119:SRA654208 SHE654119:SHE654208 RXI654119:RXI654208 RNM654119:RNM654208 RDQ654119:RDQ654208 QTU654119:QTU654208 QJY654119:QJY654208 QAC654119:QAC654208 PQG654119:PQG654208 PGK654119:PGK654208 OWO654119:OWO654208 OMS654119:OMS654208 OCW654119:OCW654208 NTA654119:NTA654208 NJE654119:NJE654208 MZI654119:MZI654208 MPM654119:MPM654208 MFQ654119:MFQ654208 LVU654119:LVU654208 LLY654119:LLY654208 LCC654119:LCC654208 KSG654119:KSG654208 KIK654119:KIK654208 JYO654119:JYO654208 JOS654119:JOS654208 JEW654119:JEW654208 IVA654119:IVA654208 ILE654119:ILE654208 IBI654119:IBI654208 HRM654119:HRM654208 HHQ654119:HHQ654208 GXU654119:GXU654208 GNY654119:GNY654208 GEC654119:GEC654208 FUG654119:FUG654208 FKK654119:FKK654208 FAO654119:FAO654208 EQS654119:EQS654208 EGW654119:EGW654208 DXA654119:DXA654208 DNE654119:DNE654208 DDI654119:DDI654208 CTM654119:CTM654208 CJQ654119:CJQ654208 BZU654119:BZU654208 BPY654119:BPY654208 BGC654119:BGC654208 AWG654119:AWG654208 AMK654119:AMK654208 ACO654119:ACO654208 SS654119:SS654208 IW654119:IW654208 A654125:A654214 WVI588583:WVI588672 WLM588583:WLM588672 WBQ588583:WBQ588672 VRU588583:VRU588672 VHY588583:VHY588672 UYC588583:UYC588672 UOG588583:UOG588672 UEK588583:UEK588672 TUO588583:TUO588672 TKS588583:TKS588672 TAW588583:TAW588672 SRA588583:SRA588672 SHE588583:SHE588672 RXI588583:RXI588672 RNM588583:RNM588672 RDQ588583:RDQ588672 QTU588583:QTU588672 QJY588583:QJY588672 QAC588583:QAC588672 PQG588583:PQG588672 PGK588583:PGK588672 OWO588583:OWO588672 OMS588583:OMS588672 OCW588583:OCW588672 NTA588583:NTA588672 NJE588583:NJE588672 MZI588583:MZI588672 MPM588583:MPM588672 MFQ588583:MFQ588672 LVU588583:LVU588672 LLY588583:LLY588672 LCC588583:LCC588672 KSG588583:KSG588672 KIK588583:KIK588672 JYO588583:JYO588672 JOS588583:JOS588672 JEW588583:JEW588672 IVA588583:IVA588672 ILE588583:ILE588672 IBI588583:IBI588672 HRM588583:HRM588672 HHQ588583:HHQ588672 GXU588583:GXU588672 GNY588583:GNY588672 GEC588583:GEC588672 FUG588583:FUG588672 FKK588583:FKK588672 FAO588583:FAO588672 EQS588583:EQS588672 EGW588583:EGW588672 DXA588583:DXA588672 DNE588583:DNE588672 DDI588583:DDI588672 CTM588583:CTM588672 CJQ588583:CJQ588672 BZU588583:BZU588672 BPY588583:BPY588672 BGC588583:BGC588672 AWG588583:AWG588672 AMK588583:AMK588672 ACO588583:ACO588672 SS588583:SS588672 IW588583:IW588672 A588589:A588678 WVI523047:WVI523136 WLM523047:WLM523136 WBQ523047:WBQ523136 VRU523047:VRU523136 VHY523047:VHY523136 UYC523047:UYC523136 UOG523047:UOG523136 UEK523047:UEK523136 TUO523047:TUO523136 TKS523047:TKS523136 TAW523047:TAW523136 SRA523047:SRA523136 SHE523047:SHE523136 RXI523047:RXI523136 RNM523047:RNM523136 RDQ523047:RDQ523136 QTU523047:QTU523136 QJY523047:QJY523136 QAC523047:QAC523136 PQG523047:PQG523136 PGK523047:PGK523136 OWO523047:OWO523136 OMS523047:OMS523136 OCW523047:OCW523136 NTA523047:NTA523136 NJE523047:NJE523136 MZI523047:MZI523136 MPM523047:MPM523136 MFQ523047:MFQ523136 LVU523047:LVU523136 LLY523047:LLY523136 LCC523047:LCC523136 KSG523047:KSG523136 KIK523047:KIK523136 JYO523047:JYO523136 JOS523047:JOS523136 JEW523047:JEW523136 IVA523047:IVA523136 ILE523047:ILE523136 IBI523047:IBI523136 HRM523047:HRM523136 HHQ523047:HHQ523136 GXU523047:GXU523136 GNY523047:GNY523136 GEC523047:GEC523136 FUG523047:FUG523136 FKK523047:FKK523136 FAO523047:FAO523136 EQS523047:EQS523136 EGW523047:EGW523136 DXA523047:DXA523136 DNE523047:DNE523136 DDI523047:DDI523136 CTM523047:CTM523136 CJQ523047:CJQ523136 BZU523047:BZU523136 BPY523047:BPY523136 BGC523047:BGC523136 AWG523047:AWG523136 AMK523047:AMK523136 ACO523047:ACO523136 SS523047:SS523136 IW523047:IW523136 A523053:A523142 WVI457511:WVI457600 WLM457511:WLM457600 WBQ457511:WBQ457600 VRU457511:VRU457600 VHY457511:VHY457600 UYC457511:UYC457600 UOG457511:UOG457600 UEK457511:UEK457600 TUO457511:TUO457600 TKS457511:TKS457600 TAW457511:TAW457600 SRA457511:SRA457600 SHE457511:SHE457600 RXI457511:RXI457600 RNM457511:RNM457600 RDQ457511:RDQ457600 QTU457511:QTU457600 QJY457511:QJY457600 QAC457511:QAC457600 PQG457511:PQG457600 PGK457511:PGK457600 OWO457511:OWO457600 OMS457511:OMS457600 OCW457511:OCW457600 NTA457511:NTA457600 NJE457511:NJE457600 MZI457511:MZI457600 MPM457511:MPM457600 MFQ457511:MFQ457600 LVU457511:LVU457600 LLY457511:LLY457600 LCC457511:LCC457600 KSG457511:KSG457600 KIK457511:KIK457600 JYO457511:JYO457600 JOS457511:JOS457600 JEW457511:JEW457600 IVA457511:IVA457600 ILE457511:ILE457600 IBI457511:IBI457600 HRM457511:HRM457600 HHQ457511:HHQ457600 GXU457511:GXU457600 GNY457511:GNY457600 GEC457511:GEC457600 FUG457511:FUG457600 FKK457511:FKK457600 FAO457511:FAO457600 EQS457511:EQS457600 EGW457511:EGW457600 DXA457511:DXA457600 DNE457511:DNE457600 DDI457511:DDI457600 CTM457511:CTM457600 CJQ457511:CJQ457600 BZU457511:BZU457600 BPY457511:BPY457600 BGC457511:BGC457600 AWG457511:AWG457600 AMK457511:AMK457600 ACO457511:ACO457600 SS457511:SS457600 IW457511:IW457600 A457517:A457606 WVI391975:WVI392064 WLM391975:WLM392064 WBQ391975:WBQ392064 VRU391975:VRU392064 VHY391975:VHY392064 UYC391975:UYC392064 UOG391975:UOG392064 UEK391975:UEK392064 TUO391975:TUO392064 TKS391975:TKS392064 TAW391975:TAW392064 SRA391975:SRA392064 SHE391975:SHE392064 RXI391975:RXI392064 RNM391975:RNM392064 RDQ391975:RDQ392064 QTU391975:QTU392064 QJY391975:QJY392064 QAC391975:QAC392064 PQG391975:PQG392064 PGK391975:PGK392064 OWO391975:OWO392064 OMS391975:OMS392064 OCW391975:OCW392064 NTA391975:NTA392064 NJE391975:NJE392064 MZI391975:MZI392064 MPM391975:MPM392064 MFQ391975:MFQ392064 LVU391975:LVU392064 LLY391975:LLY392064 LCC391975:LCC392064 KSG391975:KSG392064 KIK391975:KIK392064 JYO391975:JYO392064 JOS391975:JOS392064 JEW391975:JEW392064 IVA391975:IVA392064 ILE391975:ILE392064 IBI391975:IBI392064 HRM391975:HRM392064 HHQ391975:HHQ392064 GXU391975:GXU392064 GNY391975:GNY392064 GEC391975:GEC392064 FUG391975:FUG392064 FKK391975:FKK392064 FAO391975:FAO392064 EQS391975:EQS392064 EGW391975:EGW392064 DXA391975:DXA392064 DNE391975:DNE392064 DDI391975:DDI392064 CTM391975:CTM392064 CJQ391975:CJQ392064 BZU391975:BZU392064 BPY391975:BPY392064 BGC391975:BGC392064 AWG391975:AWG392064 AMK391975:AMK392064 ACO391975:ACO392064 SS391975:SS392064 IW391975:IW392064 A391981:A392070 WVI326439:WVI326528 WLM326439:WLM326528 WBQ326439:WBQ326528 VRU326439:VRU326528 VHY326439:VHY326528 UYC326439:UYC326528 UOG326439:UOG326528 UEK326439:UEK326528 TUO326439:TUO326528 TKS326439:TKS326528 TAW326439:TAW326528 SRA326439:SRA326528 SHE326439:SHE326528 RXI326439:RXI326528 RNM326439:RNM326528 RDQ326439:RDQ326528 QTU326439:QTU326528 QJY326439:QJY326528 QAC326439:QAC326528 PQG326439:PQG326528 PGK326439:PGK326528 OWO326439:OWO326528 OMS326439:OMS326528 OCW326439:OCW326528 NTA326439:NTA326528 NJE326439:NJE326528 MZI326439:MZI326528 MPM326439:MPM326528 MFQ326439:MFQ326528 LVU326439:LVU326528 LLY326439:LLY326528 LCC326439:LCC326528 KSG326439:KSG326528 KIK326439:KIK326528 JYO326439:JYO326528 JOS326439:JOS326528 JEW326439:JEW326528 IVA326439:IVA326528 ILE326439:ILE326528 IBI326439:IBI326528 HRM326439:HRM326528 HHQ326439:HHQ326528 GXU326439:GXU326528 GNY326439:GNY326528 GEC326439:GEC326528 FUG326439:FUG326528 FKK326439:FKK326528 FAO326439:FAO326528 EQS326439:EQS326528 EGW326439:EGW326528 DXA326439:DXA326528 DNE326439:DNE326528 DDI326439:DDI326528 CTM326439:CTM326528 CJQ326439:CJQ326528 BZU326439:BZU326528 BPY326439:BPY326528 BGC326439:BGC326528 AWG326439:AWG326528 AMK326439:AMK326528 ACO326439:ACO326528 SS326439:SS326528 IW326439:IW326528 A326445:A326534 WVI260903:WVI260992 WLM260903:WLM260992 WBQ260903:WBQ260992 VRU260903:VRU260992 VHY260903:VHY260992 UYC260903:UYC260992 UOG260903:UOG260992 UEK260903:UEK260992 TUO260903:TUO260992 TKS260903:TKS260992 TAW260903:TAW260992 SRA260903:SRA260992 SHE260903:SHE260992 RXI260903:RXI260992 RNM260903:RNM260992 RDQ260903:RDQ260992 QTU260903:QTU260992 QJY260903:QJY260992 QAC260903:QAC260992 PQG260903:PQG260992 PGK260903:PGK260992 OWO260903:OWO260992 OMS260903:OMS260992 OCW260903:OCW260992 NTA260903:NTA260992 NJE260903:NJE260992 MZI260903:MZI260992 MPM260903:MPM260992 MFQ260903:MFQ260992 LVU260903:LVU260992 LLY260903:LLY260992 LCC260903:LCC260992 KSG260903:KSG260992 KIK260903:KIK260992 JYO260903:JYO260992 JOS260903:JOS260992 JEW260903:JEW260992 IVA260903:IVA260992 ILE260903:ILE260992 IBI260903:IBI260992 HRM260903:HRM260992 HHQ260903:HHQ260992 GXU260903:GXU260992 GNY260903:GNY260992 GEC260903:GEC260992 FUG260903:FUG260992 FKK260903:FKK260992 FAO260903:FAO260992 EQS260903:EQS260992 EGW260903:EGW260992 DXA260903:DXA260992 DNE260903:DNE260992 DDI260903:DDI260992 CTM260903:CTM260992 CJQ260903:CJQ260992 BZU260903:BZU260992 BPY260903:BPY260992 BGC260903:BGC260992 AWG260903:AWG260992 AMK260903:AMK260992 ACO260903:ACO260992 SS260903:SS260992 IW260903:IW260992 A260909:A260998 WVI195367:WVI195456 WLM195367:WLM195456 WBQ195367:WBQ195456 VRU195367:VRU195456 VHY195367:VHY195456 UYC195367:UYC195456 UOG195367:UOG195456 UEK195367:UEK195456 TUO195367:TUO195456 TKS195367:TKS195456 TAW195367:TAW195456 SRA195367:SRA195456 SHE195367:SHE195456 RXI195367:RXI195456 RNM195367:RNM195456 RDQ195367:RDQ195456 QTU195367:QTU195456 QJY195367:QJY195456 QAC195367:QAC195456 PQG195367:PQG195456 PGK195367:PGK195456 OWO195367:OWO195456 OMS195367:OMS195456 OCW195367:OCW195456 NTA195367:NTA195456 NJE195367:NJE195456 MZI195367:MZI195456 MPM195367:MPM195456 MFQ195367:MFQ195456 LVU195367:LVU195456 LLY195367:LLY195456 LCC195367:LCC195456 KSG195367:KSG195456 KIK195367:KIK195456 JYO195367:JYO195456 JOS195367:JOS195456 JEW195367:JEW195456 IVA195367:IVA195456 ILE195367:ILE195456 IBI195367:IBI195456 HRM195367:HRM195456 HHQ195367:HHQ195456 GXU195367:GXU195456 GNY195367:GNY195456 GEC195367:GEC195456 FUG195367:FUG195456 FKK195367:FKK195456 FAO195367:FAO195456 EQS195367:EQS195456 EGW195367:EGW195456 DXA195367:DXA195456 DNE195367:DNE195456 DDI195367:DDI195456 CTM195367:CTM195456 CJQ195367:CJQ195456 BZU195367:BZU195456 BPY195367:BPY195456 BGC195367:BGC195456 AWG195367:AWG195456 AMK195367:AMK195456 ACO195367:ACO195456 SS195367:SS195456 IW195367:IW195456 A195373:A195462 WVI129831:WVI129920 WLM129831:WLM129920 WBQ129831:WBQ129920 VRU129831:VRU129920 VHY129831:VHY129920 UYC129831:UYC129920 UOG129831:UOG129920 UEK129831:UEK129920 TUO129831:TUO129920 TKS129831:TKS129920 TAW129831:TAW129920 SRA129831:SRA129920 SHE129831:SHE129920 RXI129831:RXI129920 RNM129831:RNM129920 RDQ129831:RDQ129920 QTU129831:QTU129920 QJY129831:QJY129920 QAC129831:QAC129920 PQG129831:PQG129920 PGK129831:PGK129920 OWO129831:OWO129920 OMS129831:OMS129920 OCW129831:OCW129920 NTA129831:NTA129920 NJE129831:NJE129920 MZI129831:MZI129920 MPM129831:MPM129920 MFQ129831:MFQ129920 LVU129831:LVU129920 LLY129831:LLY129920 LCC129831:LCC129920 KSG129831:KSG129920 KIK129831:KIK129920 JYO129831:JYO129920 JOS129831:JOS129920 JEW129831:JEW129920 IVA129831:IVA129920 ILE129831:ILE129920 IBI129831:IBI129920 HRM129831:HRM129920 HHQ129831:HHQ129920 GXU129831:GXU129920 GNY129831:GNY129920 GEC129831:GEC129920 FUG129831:FUG129920 FKK129831:FKK129920 FAO129831:FAO129920 EQS129831:EQS129920 EGW129831:EGW129920 DXA129831:DXA129920 DNE129831:DNE129920 DDI129831:DDI129920 CTM129831:CTM129920 CJQ129831:CJQ129920 BZU129831:BZU129920 BPY129831:BPY129920 BGC129831:BGC129920 AWG129831:AWG129920 AMK129831:AMK129920 ACO129831:ACO129920 SS129831:SS129920 IW129831:IW129920 A129837:A129926 WVI64295:WVI64384 WLM64295:WLM64384 WBQ64295:WBQ64384 VRU64295:VRU64384 VHY64295:VHY64384 UYC64295:UYC64384 UOG64295:UOG64384 UEK64295:UEK64384 TUO64295:TUO64384 TKS64295:TKS64384 TAW64295:TAW64384 SRA64295:SRA64384 SHE64295:SHE64384 RXI64295:RXI64384 RNM64295:RNM64384 RDQ64295:RDQ64384 QTU64295:QTU64384 QJY64295:QJY64384 QAC64295:QAC64384 PQG64295:PQG64384 PGK64295:PGK64384 OWO64295:OWO64384 OMS64295:OMS64384 OCW64295:OCW64384 NTA64295:NTA64384 NJE64295:NJE64384 MZI64295:MZI64384 MPM64295:MPM64384 MFQ64295:MFQ64384 LVU64295:LVU64384 LLY64295:LLY64384 LCC64295:LCC64384 KSG64295:KSG64384 KIK64295:KIK64384 JYO64295:JYO64384 JOS64295:JOS64384 JEW64295:JEW64384 IVA64295:IVA64384 ILE64295:ILE64384 IBI64295:IBI64384 HRM64295:HRM64384 HHQ64295:HHQ64384 GXU64295:GXU64384 GNY64295:GNY64384 GEC64295:GEC64384 FUG64295:FUG64384 FKK64295:FKK64384 FAO64295:FAO64384 EQS64295:EQS64384 EGW64295:EGW64384 DXA64295:DXA64384 DNE64295:DNE64384 DDI64295:DDI64384 CTM64295:CTM64384 CJQ64295:CJQ64384 BZU64295:BZU64384 BPY64295:BPY64384 BGC64295:BGC64384 AWG64295:AWG64384 AMK64295:AMK64384 ACO64295:ACO64384 SS64295:SS64384 IW64295:IW64384 A64301:A64390 IW2:IW67 SS2:SS67 ACO2:ACO67 AMK2:AMK67 AWG2:AWG67 BGC2:BGC67 BPY2:BPY67 BZU2:BZU67 CJQ2:CJQ67 CTM2:CTM67 DDI2:DDI67 DNE2:DNE67 DXA2:DXA67 EGW2:EGW67 EQS2:EQS67 FAO2:FAO67 FKK2:FKK67 FUG2:FUG67 GEC2:GEC67 GNY2:GNY67 GXU2:GXU67 HHQ2:HHQ67 HRM2:HRM67 IBI2:IBI67 ILE2:ILE67 IVA2:IVA67 JEW2:JEW67 JOS2:JOS67 JYO2:JYO67 KIK2:KIK67 KSG2:KSG67 LCC2:LCC67 LLY2:LLY67 LVU2:LVU67 MFQ2:MFQ67 MPM2:MPM67 MZI2:MZI67 NJE2:NJE67 NTA2:NTA67 OCW2:OCW67 OMS2:OMS67 OWO2:OWO67 PGK2:PGK67 PQG2:PQG67 QAC2:QAC67 QJY2:QJY67 QTU2:QTU67 RDQ2:RDQ67 RNM2:RNM67 RXI2:RXI67 SHE2:SHE67 SRA2:SRA67 TAW2:TAW67 TKS2:TKS67 TUO2:TUO67 UEK2:UEK67 UOG2:UOG67 UYC2:UYC67 VHY2:VHY67 VRU2:VRU67 WBQ2:WBQ67 WLM2:WLM67 WVI2:WVI67">
      <formula1>$AE$2:$AE$22</formula1>
    </dataValidation>
    <dataValidation type="list" allowBlank="1" showInputMessage="1" showErrorMessage="1" sqref="WVO981799:WVO981888 WLS981799:WLS981888 WBW981799:WBW981888 VSA981799:VSA981888 VIE981799:VIE981888 UYI981799:UYI981888 UOM981799:UOM981888 UEQ981799:UEQ981888 TUU981799:TUU981888 TKY981799:TKY981888 TBC981799:TBC981888 SRG981799:SRG981888 SHK981799:SHK981888 RXO981799:RXO981888 RNS981799:RNS981888 RDW981799:RDW981888 QUA981799:QUA981888 QKE981799:QKE981888 QAI981799:QAI981888 PQM981799:PQM981888 PGQ981799:PGQ981888 OWU981799:OWU981888 OMY981799:OMY981888 ODC981799:ODC981888 NTG981799:NTG981888 NJK981799:NJK981888 MZO981799:MZO981888 MPS981799:MPS981888 MFW981799:MFW981888 LWA981799:LWA981888 LME981799:LME981888 LCI981799:LCI981888 KSM981799:KSM981888 KIQ981799:KIQ981888 JYU981799:JYU981888 JOY981799:JOY981888 JFC981799:JFC981888 IVG981799:IVG981888 ILK981799:ILK981888 IBO981799:IBO981888 HRS981799:HRS981888 HHW981799:HHW981888 GYA981799:GYA981888 GOE981799:GOE981888 GEI981799:GEI981888 FUM981799:FUM981888 FKQ981799:FKQ981888 FAU981799:FAU981888 EQY981799:EQY981888 EHC981799:EHC981888 DXG981799:DXG981888 DNK981799:DNK981888 DDO981799:DDO981888 CTS981799:CTS981888 CJW981799:CJW981888 CAA981799:CAA981888 BQE981799:BQE981888 BGI981799:BGI981888 AWM981799:AWM981888 AMQ981799:AMQ981888 ACU981799:ACU981888 SY981799:SY981888 JC981799:JC981888 G981808:G981897 WVO916263:WVO916352 WLS916263:WLS916352 WBW916263:WBW916352 VSA916263:VSA916352 VIE916263:VIE916352 UYI916263:UYI916352 UOM916263:UOM916352 UEQ916263:UEQ916352 TUU916263:TUU916352 TKY916263:TKY916352 TBC916263:TBC916352 SRG916263:SRG916352 SHK916263:SHK916352 RXO916263:RXO916352 RNS916263:RNS916352 RDW916263:RDW916352 QUA916263:QUA916352 QKE916263:QKE916352 QAI916263:QAI916352 PQM916263:PQM916352 PGQ916263:PGQ916352 OWU916263:OWU916352 OMY916263:OMY916352 ODC916263:ODC916352 NTG916263:NTG916352 NJK916263:NJK916352 MZO916263:MZO916352 MPS916263:MPS916352 MFW916263:MFW916352 LWA916263:LWA916352 LME916263:LME916352 LCI916263:LCI916352 KSM916263:KSM916352 KIQ916263:KIQ916352 JYU916263:JYU916352 JOY916263:JOY916352 JFC916263:JFC916352 IVG916263:IVG916352 ILK916263:ILK916352 IBO916263:IBO916352 HRS916263:HRS916352 HHW916263:HHW916352 GYA916263:GYA916352 GOE916263:GOE916352 GEI916263:GEI916352 FUM916263:FUM916352 FKQ916263:FKQ916352 FAU916263:FAU916352 EQY916263:EQY916352 EHC916263:EHC916352 DXG916263:DXG916352 DNK916263:DNK916352 DDO916263:DDO916352 CTS916263:CTS916352 CJW916263:CJW916352 CAA916263:CAA916352 BQE916263:BQE916352 BGI916263:BGI916352 AWM916263:AWM916352 AMQ916263:AMQ916352 ACU916263:ACU916352 SY916263:SY916352 JC916263:JC916352 G916272:G916361 WVO850727:WVO850816 WLS850727:WLS850816 WBW850727:WBW850816 VSA850727:VSA850816 VIE850727:VIE850816 UYI850727:UYI850816 UOM850727:UOM850816 UEQ850727:UEQ850816 TUU850727:TUU850816 TKY850727:TKY850816 TBC850727:TBC850816 SRG850727:SRG850816 SHK850727:SHK850816 RXO850727:RXO850816 RNS850727:RNS850816 RDW850727:RDW850816 QUA850727:QUA850816 QKE850727:QKE850816 QAI850727:QAI850816 PQM850727:PQM850816 PGQ850727:PGQ850816 OWU850727:OWU850816 OMY850727:OMY850816 ODC850727:ODC850816 NTG850727:NTG850816 NJK850727:NJK850816 MZO850727:MZO850816 MPS850727:MPS850816 MFW850727:MFW850816 LWA850727:LWA850816 LME850727:LME850816 LCI850727:LCI850816 KSM850727:KSM850816 KIQ850727:KIQ850816 JYU850727:JYU850816 JOY850727:JOY850816 JFC850727:JFC850816 IVG850727:IVG850816 ILK850727:ILK850816 IBO850727:IBO850816 HRS850727:HRS850816 HHW850727:HHW850816 GYA850727:GYA850816 GOE850727:GOE850816 GEI850727:GEI850816 FUM850727:FUM850816 FKQ850727:FKQ850816 FAU850727:FAU850816 EQY850727:EQY850816 EHC850727:EHC850816 DXG850727:DXG850816 DNK850727:DNK850816 DDO850727:DDO850816 CTS850727:CTS850816 CJW850727:CJW850816 CAA850727:CAA850816 BQE850727:BQE850816 BGI850727:BGI850816 AWM850727:AWM850816 AMQ850727:AMQ850816 ACU850727:ACU850816 SY850727:SY850816 JC850727:JC850816 G850736:G850825 WVO785191:WVO785280 WLS785191:WLS785280 WBW785191:WBW785280 VSA785191:VSA785280 VIE785191:VIE785280 UYI785191:UYI785280 UOM785191:UOM785280 UEQ785191:UEQ785280 TUU785191:TUU785280 TKY785191:TKY785280 TBC785191:TBC785280 SRG785191:SRG785280 SHK785191:SHK785280 RXO785191:RXO785280 RNS785191:RNS785280 RDW785191:RDW785280 QUA785191:QUA785280 QKE785191:QKE785280 QAI785191:QAI785280 PQM785191:PQM785280 PGQ785191:PGQ785280 OWU785191:OWU785280 OMY785191:OMY785280 ODC785191:ODC785280 NTG785191:NTG785280 NJK785191:NJK785280 MZO785191:MZO785280 MPS785191:MPS785280 MFW785191:MFW785280 LWA785191:LWA785280 LME785191:LME785280 LCI785191:LCI785280 KSM785191:KSM785280 KIQ785191:KIQ785280 JYU785191:JYU785280 JOY785191:JOY785280 JFC785191:JFC785280 IVG785191:IVG785280 ILK785191:ILK785280 IBO785191:IBO785280 HRS785191:HRS785280 HHW785191:HHW785280 GYA785191:GYA785280 GOE785191:GOE785280 GEI785191:GEI785280 FUM785191:FUM785280 FKQ785191:FKQ785280 FAU785191:FAU785280 EQY785191:EQY785280 EHC785191:EHC785280 DXG785191:DXG785280 DNK785191:DNK785280 DDO785191:DDO785280 CTS785191:CTS785280 CJW785191:CJW785280 CAA785191:CAA785280 BQE785191:BQE785280 BGI785191:BGI785280 AWM785191:AWM785280 AMQ785191:AMQ785280 ACU785191:ACU785280 SY785191:SY785280 JC785191:JC785280 G785200:G785289 WVO719655:WVO719744 WLS719655:WLS719744 WBW719655:WBW719744 VSA719655:VSA719744 VIE719655:VIE719744 UYI719655:UYI719744 UOM719655:UOM719744 UEQ719655:UEQ719744 TUU719655:TUU719744 TKY719655:TKY719744 TBC719655:TBC719744 SRG719655:SRG719744 SHK719655:SHK719744 RXO719655:RXO719744 RNS719655:RNS719744 RDW719655:RDW719744 QUA719655:QUA719744 QKE719655:QKE719744 QAI719655:QAI719744 PQM719655:PQM719744 PGQ719655:PGQ719744 OWU719655:OWU719744 OMY719655:OMY719744 ODC719655:ODC719744 NTG719655:NTG719744 NJK719655:NJK719744 MZO719655:MZO719744 MPS719655:MPS719744 MFW719655:MFW719744 LWA719655:LWA719744 LME719655:LME719744 LCI719655:LCI719744 KSM719655:KSM719744 KIQ719655:KIQ719744 JYU719655:JYU719744 JOY719655:JOY719744 JFC719655:JFC719744 IVG719655:IVG719744 ILK719655:ILK719744 IBO719655:IBO719744 HRS719655:HRS719744 HHW719655:HHW719744 GYA719655:GYA719744 GOE719655:GOE719744 GEI719655:GEI719744 FUM719655:FUM719744 FKQ719655:FKQ719744 FAU719655:FAU719744 EQY719655:EQY719744 EHC719655:EHC719744 DXG719655:DXG719744 DNK719655:DNK719744 DDO719655:DDO719744 CTS719655:CTS719744 CJW719655:CJW719744 CAA719655:CAA719744 BQE719655:BQE719744 BGI719655:BGI719744 AWM719655:AWM719744 AMQ719655:AMQ719744 ACU719655:ACU719744 SY719655:SY719744 JC719655:JC719744 G719664:G719753 WVO654119:WVO654208 WLS654119:WLS654208 WBW654119:WBW654208 VSA654119:VSA654208 VIE654119:VIE654208 UYI654119:UYI654208 UOM654119:UOM654208 UEQ654119:UEQ654208 TUU654119:TUU654208 TKY654119:TKY654208 TBC654119:TBC654208 SRG654119:SRG654208 SHK654119:SHK654208 RXO654119:RXO654208 RNS654119:RNS654208 RDW654119:RDW654208 QUA654119:QUA654208 QKE654119:QKE654208 QAI654119:QAI654208 PQM654119:PQM654208 PGQ654119:PGQ654208 OWU654119:OWU654208 OMY654119:OMY654208 ODC654119:ODC654208 NTG654119:NTG654208 NJK654119:NJK654208 MZO654119:MZO654208 MPS654119:MPS654208 MFW654119:MFW654208 LWA654119:LWA654208 LME654119:LME654208 LCI654119:LCI654208 KSM654119:KSM654208 KIQ654119:KIQ654208 JYU654119:JYU654208 JOY654119:JOY654208 JFC654119:JFC654208 IVG654119:IVG654208 ILK654119:ILK654208 IBO654119:IBO654208 HRS654119:HRS654208 HHW654119:HHW654208 GYA654119:GYA654208 GOE654119:GOE654208 GEI654119:GEI654208 FUM654119:FUM654208 FKQ654119:FKQ654208 FAU654119:FAU654208 EQY654119:EQY654208 EHC654119:EHC654208 DXG654119:DXG654208 DNK654119:DNK654208 DDO654119:DDO654208 CTS654119:CTS654208 CJW654119:CJW654208 CAA654119:CAA654208 BQE654119:BQE654208 BGI654119:BGI654208 AWM654119:AWM654208 AMQ654119:AMQ654208 ACU654119:ACU654208 SY654119:SY654208 JC654119:JC654208 G654128:G654217 WVO588583:WVO588672 WLS588583:WLS588672 WBW588583:WBW588672 VSA588583:VSA588672 VIE588583:VIE588672 UYI588583:UYI588672 UOM588583:UOM588672 UEQ588583:UEQ588672 TUU588583:TUU588672 TKY588583:TKY588672 TBC588583:TBC588672 SRG588583:SRG588672 SHK588583:SHK588672 RXO588583:RXO588672 RNS588583:RNS588672 RDW588583:RDW588672 QUA588583:QUA588672 QKE588583:QKE588672 QAI588583:QAI588672 PQM588583:PQM588672 PGQ588583:PGQ588672 OWU588583:OWU588672 OMY588583:OMY588672 ODC588583:ODC588672 NTG588583:NTG588672 NJK588583:NJK588672 MZO588583:MZO588672 MPS588583:MPS588672 MFW588583:MFW588672 LWA588583:LWA588672 LME588583:LME588672 LCI588583:LCI588672 KSM588583:KSM588672 KIQ588583:KIQ588672 JYU588583:JYU588672 JOY588583:JOY588672 JFC588583:JFC588672 IVG588583:IVG588672 ILK588583:ILK588672 IBO588583:IBO588672 HRS588583:HRS588672 HHW588583:HHW588672 GYA588583:GYA588672 GOE588583:GOE588672 GEI588583:GEI588672 FUM588583:FUM588672 FKQ588583:FKQ588672 FAU588583:FAU588672 EQY588583:EQY588672 EHC588583:EHC588672 DXG588583:DXG588672 DNK588583:DNK588672 DDO588583:DDO588672 CTS588583:CTS588672 CJW588583:CJW588672 CAA588583:CAA588672 BQE588583:BQE588672 BGI588583:BGI588672 AWM588583:AWM588672 AMQ588583:AMQ588672 ACU588583:ACU588672 SY588583:SY588672 JC588583:JC588672 G588592:G588681 WVO523047:WVO523136 WLS523047:WLS523136 WBW523047:WBW523136 VSA523047:VSA523136 VIE523047:VIE523136 UYI523047:UYI523136 UOM523047:UOM523136 UEQ523047:UEQ523136 TUU523047:TUU523136 TKY523047:TKY523136 TBC523047:TBC523136 SRG523047:SRG523136 SHK523047:SHK523136 RXO523047:RXO523136 RNS523047:RNS523136 RDW523047:RDW523136 QUA523047:QUA523136 QKE523047:QKE523136 QAI523047:QAI523136 PQM523047:PQM523136 PGQ523047:PGQ523136 OWU523047:OWU523136 OMY523047:OMY523136 ODC523047:ODC523136 NTG523047:NTG523136 NJK523047:NJK523136 MZO523047:MZO523136 MPS523047:MPS523136 MFW523047:MFW523136 LWA523047:LWA523136 LME523047:LME523136 LCI523047:LCI523136 KSM523047:KSM523136 KIQ523047:KIQ523136 JYU523047:JYU523136 JOY523047:JOY523136 JFC523047:JFC523136 IVG523047:IVG523136 ILK523047:ILK523136 IBO523047:IBO523136 HRS523047:HRS523136 HHW523047:HHW523136 GYA523047:GYA523136 GOE523047:GOE523136 GEI523047:GEI523136 FUM523047:FUM523136 FKQ523047:FKQ523136 FAU523047:FAU523136 EQY523047:EQY523136 EHC523047:EHC523136 DXG523047:DXG523136 DNK523047:DNK523136 DDO523047:DDO523136 CTS523047:CTS523136 CJW523047:CJW523136 CAA523047:CAA523136 BQE523047:BQE523136 BGI523047:BGI523136 AWM523047:AWM523136 AMQ523047:AMQ523136 ACU523047:ACU523136 SY523047:SY523136 JC523047:JC523136 G523056:G523145 WVO457511:WVO457600 WLS457511:WLS457600 WBW457511:WBW457600 VSA457511:VSA457600 VIE457511:VIE457600 UYI457511:UYI457600 UOM457511:UOM457600 UEQ457511:UEQ457600 TUU457511:TUU457600 TKY457511:TKY457600 TBC457511:TBC457600 SRG457511:SRG457600 SHK457511:SHK457600 RXO457511:RXO457600 RNS457511:RNS457600 RDW457511:RDW457600 QUA457511:QUA457600 QKE457511:QKE457600 QAI457511:QAI457600 PQM457511:PQM457600 PGQ457511:PGQ457600 OWU457511:OWU457600 OMY457511:OMY457600 ODC457511:ODC457600 NTG457511:NTG457600 NJK457511:NJK457600 MZO457511:MZO457600 MPS457511:MPS457600 MFW457511:MFW457600 LWA457511:LWA457600 LME457511:LME457600 LCI457511:LCI457600 KSM457511:KSM457600 KIQ457511:KIQ457600 JYU457511:JYU457600 JOY457511:JOY457600 JFC457511:JFC457600 IVG457511:IVG457600 ILK457511:ILK457600 IBO457511:IBO457600 HRS457511:HRS457600 HHW457511:HHW457600 GYA457511:GYA457600 GOE457511:GOE457600 GEI457511:GEI457600 FUM457511:FUM457600 FKQ457511:FKQ457600 FAU457511:FAU457600 EQY457511:EQY457600 EHC457511:EHC457600 DXG457511:DXG457600 DNK457511:DNK457600 DDO457511:DDO457600 CTS457511:CTS457600 CJW457511:CJW457600 CAA457511:CAA457600 BQE457511:BQE457600 BGI457511:BGI457600 AWM457511:AWM457600 AMQ457511:AMQ457600 ACU457511:ACU457600 SY457511:SY457600 JC457511:JC457600 G457520:G457609 WVO391975:WVO392064 WLS391975:WLS392064 WBW391975:WBW392064 VSA391975:VSA392064 VIE391975:VIE392064 UYI391975:UYI392064 UOM391975:UOM392064 UEQ391975:UEQ392064 TUU391975:TUU392064 TKY391975:TKY392064 TBC391975:TBC392064 SRG391975:SRG392064 SHK391975:SHK392064 RXO391975:RXO392064 RNS391975:RNS392064 RDW391975:RDW392064 QUA391975:QUA392064 QKE391975:QKE392064 QAI391975:QAI392064 PQM391975:PQM392064 PGQ391975:PGQ392064 OWU391975:OWU392064 OMY391975:OMY392064 ODC391975:ODC392064 NTG391975:NTG392064 NJK391975:NJK392064 MZO391975:MZO392064 MPS391975:MPS392064 MFW391975:MFW392064 LWA391975:LWA392064 LME391975:LME392064 LCI391975:LCI392064 KSM391975:KSM392064 KIQ391975:KIQ392064 JYU391975:JYU392064 JOY391975:JOY392064 JFC391975:JFC392064 IVG391975:IVG392064 ILK391975:ILK392064 IBO391975:IBO392064 HRS391975:HRS392064 HHW391975:HHW392064 GYA391975:GYA392064 GOE391975:GOE392064 GEI391975:GEI392064 FUM391975:FUM392064 FKQ391975:FKQ392064 FAU391975:FAU392064 EQY391975:EQY392064 EHC391975:EHC392064 DXG391975:DXG392064 DNK391975:DNK392064 DDO391975:DDO392064 CTS391975:CTS392064 CJW391975:CJW392064 CAA391975:CAA392064 BQE391975:BQE392064 BGI391975:BGI392064 AWM391975:AWM392064 AMQ391975:AMQ392064 ACU391975:ACU392064 SY391975:SY392064 JC391975:JC392064 G391984:G392073 WVO326439:WVO326528 WLS326439:WLS326528 WBW326439:WBW326528 VSA326439:VSA326528 VIE326439:VIE326528 UYI326439:UYI326528 UOM326439:UOM326528 UEQ326439:UEQ326528 TUU326439:TUU326528 TKY326439:TKY326528 TBC326439:TBC326528 SRG326439:SRG326528 SHK326439:SHK326528 RXO326439:RXO326528 RNS326439:RNS326528 RDW326439:RDW326528 QUA326439:QUA326528 QKE326439:QKE326528 QAI326439:QAI326528 PQM326439:PQM326528 PGQ326439:PGQ326528 OWU326439:OWU326528 OMY326439:OMY326528 ODC326439:ODC326528 NTG326439:NTG326528 NJK326439:NJK326528 MZO326439:MZO326528 MPS326439:MPS326528 MFW326439:MFW326528 LWA326439:LWA326528 LME326439:LME326528 LCI326439:LCI326528 KSM326439:KSM326528 KIQ326439:KIQ326528 JYU326439:JYU326528 JOY326439:JOY326528 JFC326439:JFC326528 IVG326439:IVG326528 ILK326439:ILK326528 IBO326439:IBO326528 HRS326439:HRS326528 HHW326439:HHW326528 GYA326439:GYA326528 GOE326439:GOE326528 GEI326439:GEI326528 FUM326439:FUM326528 FKQ326439:FKQ326528 FAU326439:FAU326528 EQY326439:EQY326528 EHC326439:EHC326528 DXG326439:DXG326528 DNK326439:DNK326528 DDO326439:DDO326528 CTS326439:CTS326528 CJW326439:CJW326528 CAA326439:CAA326528 BQE326439:BQE326528 BGI326439:BGI326528 AWM326439:AWM326528 AMQ326439:AMQ326528 ACU326439:ACU326528 SY326439:SY326528 JC326439:JC326528 G326448:G326537 WVO260903:WVO260992 WLS260903:WLS260992 WBW260903:WBW260992 VSA260903:VSA260992 VIE260903:VIE260992 UYI260903:UYI260992 UOM260903:UOM260992 UEQ260903:UEQ260992 TUU260903:TUU260992 TKY260903:TKY260992 TBC260903:TBC260992 SRG260903:SRG260992 SHK260903:SHK260992 RXO260903:RXO260992 RNS260903:RNS260992 RDW260903:RDW260992 QUA260903:QUA260992 QKE260903:QKE260992 QAI260903:QAI260992 PQM260903:PQM260992 PGQ260903:PGQ260992 OWU260903:OWU260992 OMY260903:OMY260992 ODC260903:ODC260992 NTG260903:NTG260992 NJK260903:NJK260992 MZO260903:MZO260992 MPS260903:MPS260992 MFW260903:MFW260992 LWA260903:LWA260992 LME260903:LME260992 LCI260903:LCI260992 KSM260903:KSM260992 KIQ260903:KIQ260992 JYU260903:JYU260992 JOY260903:JOY260992 JFC260903:JFC260992 IVG260903:IVG260992 ILK260903:ILK260992 IBO260903:IBO260992 HRS260903:HRS260992 HHW260903:HHW260992 GYA260903:GYA260992 GOE260903:GOE260992 GEI260903:GEI260992 FUM260903:FUM260992 FKQ260903:FKQ260992 FAU260903:FAU260992 EQY260903:EQY260992 EHC260903:EHC260992 DXG260903:DXG260992 DNK260903:DNK260992 DDO260903:DDO260992 CTS260903:CTS260992 CJW260903:CJW260992 CAA260903:CAA260992 BQE260903:BQE260992 BGI260903:BGI260992 AWM260903:AWM260992 AMQ260903:AMQ260992 ACU260903:ACU260992 SY260903:SY260992 JC260903:JC260992 G260912:G261001 WVO195367:WVO195456 WLS195367:WLS195456 WBW195367:WBW195456 VSA195367:VSA195456 VIE195367:VIE195456 UYI195367:UYI195456 UOM195367:UOM195456 UEQ195367:UEQ195456 TUU195367:TUU195456 TKY195367:TKY195456 TBC195367:TBC195456 SRG195367:SRG195456 SHK195367:SHK195456 RXO195367:RXO195456 RNS195367:RNS195456 RDW195367:RDW195456 QUA195367:QUA195456 QKE195367:QKE195456 QAI195367:QAI195456 PQM195367:PQM195456 PGQ195367:PGQ195456 OWU195367:OWU195456 OMY195367:OMY195456 ODC195367:ODC195456 NTG195367:NTG195456 NJK195367:NJK195456 MZO195367:MZO195456 MPS195367:MPS195456 MFW195367:MFW195456 LWA195367:LWA195456 LME195367:LME195456 LCI195367:LCI195456 KSM195367:KSM195456 KIQ195367:KIQ195456 JYU195367:JYU195456 JOY195367:JOY195456 JFC195367:JFC195456 IVG195367:IVG195456 ILK195367:ILK195456 IBO195367:IBO195456 HRS195367:HRS195456 HHW195367:HHW195456 GYA195367:GYA195456 GOE195367:GOE195456 GEI195367:GEI195456 FUM195367:FUM195456 FKQ195367:FKQ195456 FAU195367:FAU195456 EQY195367:EQY195456 EHC195367:EHC195456 DXG195367:DXG195456 DNK195367:DNK195456 DDO195367:DDO195456 CTS195367:CTS195456 CJW195367:CJW195456 CAA195367:CAA195456 BQE195367:BQE195456 BGI195367:BGI195456 AWM195367:AWM195456 AMQ195367:AMQ195456 ACU195367:ACU195456 SY195367:SY195456 JC195367:JC195456 G195376:G195465 WVO129831:WVO129920 WLS129831:WLS129920 WBW129831:WBW129920 VSA129831:VSA129920 VIE129831:VIE129920 UYI129831:UYI129920 UOM129831:UOM129920 UEQ129831:UEQ129920 TUU129831:TUU129920 TKY129831:TKY129920 TBC129831:TBC129920 SRG129831:SRG129920 SHK129831:SHK129920 RXO129831:RXO129920 RNS129831:RNS129920 RDW129831:RDW129920 QUA129831:QUA129920 QKE129831:QKE129920 QAI129831:QAI129920 PQM129831:PQM129920 PGQ129831:PGQ129920 OWU129831:OWU129920 OMY129831:OMY129920 ODC129831:ODC129920 NTG129831:NTG129920 NJK129831:NJK129920 MZO129831:MZO129920 MPS129831:MPS129920 MFW129831:MFW129920 LWA129831:LWA129920 LME129831:LME129920 LCI129831:LCI129920 KSM129831:KSM129920 KIQ129831:KIQ129920 JYU129831:JYU129920 JOY129831:JOY129920 JFC129831:JFC129920 IVG129831:IVG129920 ILK129831:ILK129920 IBO129831:IBO129920 HRS129831:HRS129920 HHW129831:HHW129920 GYA129831:GYA129920 GOE129831:GOE129920 GEI129831:GEI129920 FUM129831:FUM129920 FKQ129831:FKQ129920 FAU129831:FAU129920 EQY129831:EQY129920 EHC129831:EHC129920 DXG129831:DXG129920 DNK129831:DNK129920 DDO129831:DDO129920 CTS129831:CTS129920 CJW129831:CJW129920 CAA129831:CAA129920 BQE129831:BQE129920 BGI129831:BGI129920 AWM129831:AWM129920 AMQ129831:AMQ129920 ACU129831:ACU129920 SY129831:SY129920 JC129831:JC129920 G129840:G129929 WVO64295:WVO64384 WLS64295:WLS64384 WBW64295:WBW64384 VSA64295:VSA64384 VIE64295:VIE64384 UYI64295:UYI64384 UOM64295:UOM64384 UEQ64295:UEQ64384 TUU64295:TUU64384 TKY64295:TKY64384 TBC64295:TBC64384 SRG64295:SRG64384 SHK64295:SHK64384 RXO64295:RXO64384 RNS64295:RNS64384 RDW64295:RDW64384 QUA64295:QUA64384 QKE64295:QKE64384 QAI64295:QAI64384 PQM64295:PQM64384 PGQ64295:PGQ64384 OWU64295:OWU64384 OMY64295:OMY64384 ODC64295:ODC64384 NTG64295:NTG64384 NJK64295:NJK64384 MZO64295:MZO64384 MPS64295:MPS64384 MFW64295:MFW64384 LWA64295:LWA64384 LME64295:LME64384 LCI64295:LCI64384 KSM64295:KSM64384 KIQ64295:KIQ64384 JYU64295:JYU64384 JOY64295:JOY64384 JFC64295:JFC64384 IVG64295:IVG64384 ILK64295:ILK64384 IBO64295:IBO64384 HRS64295:HRS64384 HHW64295:HHW64384 GYA64295:GYA64384 GOE64295:GOE64384 GEI64295:GEI64384 FUM64295:FUM64384 FKQ64295:FKQ64384 FAU64295:FAU64384 EQY64295:EQY64384 EHC64295:EHC64384 DXG64295:DXG64384 DNK64295:DNK64384 DDO64295:DDO64384 CTS64295:CTS64384 CJW64295:CJW64384 CAA64295:CAA64384 BQE64295:BQE64384 BGI64295:BGI64384 AWM64295:AWM64384 AMQ64295:AMQ64384 ACU64295:ACU64384 SY64295:SY64384 JC64295:JC64384 G64304:G64393 G90:G494 JC2:JC67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G2:G88">
      <formula1>$AJ$2:$AJ$4</formula1>
    </dataValidation>
    <dataValidation type="list" allowBlank="1" showInputMessage="1" showErrorMessage="1" sqref="WVP981799:WVP981888 WLT981799:WLT981888 WBX981799:WBX981888 VSB981799:VSB981888 VIF981799:VIF981888 UYJ981799:UYJ981888 UON981799:UON981888 UER981799:UER981888 TUV981799:TUV981888 TKZ981799:TKZ981888 TBD981799:TBD981888 SRH981799:SRH981888 SHL981799:SHL981888 RXP981799:RXP981888 RNT981799:RNT981888 RDX981799:RDX981888 QUB981799:QUB981888 QKF981799:QKF981888 QAJ981799:QAJ981888 PQN981799:PQN981888 PGR981799:PGR981888 OWV981799:OWV981888 OMZ981799:OMZ981888 ODD981799:ODD981888 NTH981799:NTH981888 NJL981799:NJL981888 MZP981799:MZP981888 MPT981799:MPT981888 MFX981799:MFX981888 LWB981799:LWB981888 LMF981799:LMF981888 LCJ981799:LCJ981888 KSN981799:KSN981888 KIR981799:KIR981888 JYV981799:JYV981888 JOZ981799:JOZ981888 JFD981799:JFD981888 IVH981799:IVH981888 ILL981799:ILL981888 IBP981799:IBP981888 HRT981799:HRT981888 HHX981799:HHX981888 GYB981799:GYB981888 GOF981799:GOF981888 GEJ981799:GEJ981888 FUN981799:FUN981888 FKR981799:FKR981888 FAV981799:FAV981888 EQZ981799:EQZ981888 EHD981799:EHD981888 DXH981799:DXH981888 DNL981799:DNL981888 DDP981799:DDP981888 CTT981799:CTT981888 CJX981799:CJX981888 CAB981799:CAB981888 BQF981799:BQF981888 BGJ981799:BGJ981888 AWN981799:AWN981888 AMR981799:AMR981888 ACV981799:ACV981888 SZ981799:SZ981888 JD981799:JD981888 H981820:H981909 WVP916263:WVP916352 WLT916263:WLT916352 WBX916263:WBX916352 VSB916263:VSB916352 VIF916263:VIF916352 UYJ916263:UYJ916352 UON916263:UON916352 UER916263:UER916352 TUV916263:TUV916352 TKZ916263:TKZ916352 TBD916263:TBD916352 SRH916263:SRH916352 SHL916263:SHL916352 RXP916263:RXP916352 RNT916263:RNT916352 RDX916263:RDX916352 QUB916263:QUB916352 QKF916263:QKF916352 QAJ916263:QAJ916352 PQN916263:PQN916352 PGR916263:PGR916352 OWV916263:OWV916352 OMZ916263:OMZ916352 ODD916263:ODD916352 NTH916263:NTH916352 NJL916263:NJL916352 MZP916263:MZP916352 MPT916263:MPT916352 MFX916263:MFX916352 LWB916263:LWB916352 LMF916263:LMF916352 LCJ916263:LCJ916352 KSN916263:KSN916352 KIR916263:KIR916352 JYV916263:JYV916352 JOZ916263:JOZ916352 JFD916263:JFD916352 IVH916263:IVH916352 ILL916263:ILL916352 IBP916263:IBP916352 HRT916263:HRT916352 HHX916263:HHX916352 GYB916263:GYB916352 GOF916263:GOF916352 GEJ916263:GEJ916352 FUN916263:FUN916352 FKR916263:FKR916352 FAV916263:FAV916352 EQZ916263:EQZ916352 EHD916263:EHD916352 DXH916263:DXH916352 DNL916263:DNL916352 DDP916263:DDP916352 CTT916263:CTT916352 CJX916263:CJX916352 CAB916263:CAB916352 BQF916263:BQF916352 BGJ916263:BGJ916352 AWN916263:AWN916352 AMR916263:AMR916352 ACV916263:ACV916352 SZ916263:SZ916352 JD916263:JD916352 H916284:H916373 WVP850727:WVP850816 WLT850727:WLT850816 WBX850727:WBX850816 VSB850727:VSB850816 VIF850727:VIF850816 UYJ850727:UYJ850816 UON850727:UON850816 UER850727:UER850816 TUV850727:TUV850816 TKZ850727:TKZ850816 TBD850727:TBD850816 SRH850727:SRH850816 SHL850727:SHL850816 RXP850727:RXP850816 RNT850727:RNT850816 RDX850727:RDX850816 QUB850727:QUB850816 QKF850727:QKF850816 QAJ850727:QAJ850816 PQN850727:PQN850816 PGR850727:PGR850816 OWV850727:OWV850816 OMZ850727:OMZ850816 ODD850727:ODD850816 NTH850727:NTH850816 NJL850727:NJL850816 MZP850727:MZP850816 MPT850727:MPT850816 MFX850727:MFX850816 LWB850727:LWB850816 LMF850727:LMF850816 LCJ850727:LCJ850816 KSN850727:KSN850816 KIR850727:KIR850816 JYV850727:JYV850816 JOZ850727:JOZ850816 JFD850727:JFD850816 IVH850727:IVH850816 ILL850727:ILL850816 IBP850727:IBP850816 HRT850727:HRT850816 HHX850727:HHX850816 GYB850727:GYB850816 GOF850727:GOF850816 GEJ850727:GEJ850816 FUN850727:FUN850816 FKR850727:FKR850816 FAV850727:FAV850816 EQZ850727:EQZ850816 EHD850727:EHD850816 DXH850727:DXH850816 DNL850727:DNL850816 DDP850727:DDP850816 CTT850727:CTT850816 CJX850727:CJX850816 CAB850727:CAB850816 BQF850727:BQF850816 BGJ850727:BGJ850816 AWN850727:AWN850816 AMR850727:AMR850816 ACV850727:ACV850816 SZ850727:SZ850816 JD850727:JD850816 H850748:H850837 WVP785191:WVP785280 WLT785191:WLT785280 WBX785191:WBX785280 VSB785191:VSB785280 VIF785191:VIF785280 UYJ785191:UYJ785280 UON785191:UON785280 UER785191:UER785280 TUV785191:TUV785280 TKZ785191:TKZ785280 TBD785191:TBD785280 SRH785191:SRH785280 SHL785191:SHL785280 RXP785191:RXP785280 RNT785191:RNT785280 RDX785191:RDX785280 QUB785191:QUB785280 QKF785191:QKF785280 QAJ785191:QAJ785280 PQN785191:PQN785280 PGR785191:PGR785280 OWV785191:OWV785280 OMZ785191:OMZ785280 ODD785191:ODD785280 NTH785191:NTH785280 NJL785191:NJL785280 MZP785191:MZP785280 MPT785191:MPT785280 MFX785191:MFX785280 LWB785191:LWB785280 LMF785191:LMF785280 LCJ785191:LCJ785280 KSN785191:KSN785280 KIR785191:KIR785280 JYV785191:JYV785280 JOZ785191:JOZ785280 JFD785191:JFD785280 IVH785191:IVH785280 ILL785191:ILL785280 IBP785191:IBP785280 HRT785191:HRT785280 HHX785191:HHX785280 GYB785191:GYB785280 GOF785191:GOF785280 GEJ785191:GEJ785280 FUN785191:FUN785280 FKR785191:FKR785280 FAV785191:FAV785280 EQZ785191:EQZ785280 EHD785191:EHD785280 DXH785191:DXH785280 DNL785191:DNL785280 DDP785191:DDP785280 CTT785191:CTT785280 CJX785191:CJX785280 CAB785191:CAB785280 BQF785191:BQF785280 BGJ785191:BGJ785280 AWN785191:AWN785280 AMR785191:AMR785280 ACV785191:ACV785280 SZ785191:SZ785280 JD785191:JD785280 H785212:H785301 WVP719655:WVP719744 WLT719655:WLT719744 WBX719655:WBX719744 VSB719655:VSB719744 VIF719655:VIF719744 UYJ719655:UYJ719744 UON719655:UON719744 UER719655:UER719744 TUV719655:TUV719744 TKZ719655:TKZ719744 TBD719655:TBD719744 SRH719655:SRH719744 SHL719655:SHL719744 RXP719655:RXP719744 RNT719655:RNT719744 RDX719655:RDX719744 QUB719655:QUB719744 QKF719655:QKF719744 QAJ719655:QAJ719744 PQN719655:PQN719744 PGR719655:PGR719744 OWV719655:OWV719744 OMZ719655:OMZ719744 ODD719655:ODD719744 NTH719655:NTH719744 NJL719655:NJL719744 MZP719655:MZP719744 MPT719655:MPT719744 MFX719655:MFX719744 LWB719655:LWB719744 LMF719655:LMF719744 LCJ719655:LCJ719744 KSN719655:KSN719744 KIR719655:KIR719744 JYV719655:JYV719744 JOZ719655:JOZ719744 JFD719655:JFD719744 IVH719655:IVH719744 ILL719655:ILL719744 IBP719655:IBP719744 HRT719655:HRT719744 HHX719655:HHX719744 GYB719655:GYB719744 GOF719655:GOF719744 GEJ719655:GEJ719744 FUN719655:FUN719744 FKR719655:FKR719744 FAV719655:FAV719744 EQZ719655:EQZ719744 EHD719655:EHD719744 DXH719655:DXH719744 DNL719655:DNL719744 DDP719655:DDP719744 CTT719655:CTT719744 CJX719655:CJX719744 CAB719655:CAB719744 BQF719655:BQF719744 BGJ719655:BGJ719744 AWN719655:AWN719744 AMR719655:AMR719744 ACV719655:ACV719744 SZ719655:SZ719744 JD719655:JD719744 H719676:H719765 WVP654119:WVP654208 WLT654119:WLT654208 WBX654119:WBX654208 VSB654119:VSB654208 VIF654119:VIF654208 UYJ654119:UYJ654208 UON654119:UON654208 UER654119:UER654208 TUV654119:TUV654208 TKZ654119:TKZ654208 TBD654119:TBD654208 SRH654119:SRH654208 SHL654119:SHL654208 RXP654119:RXP654208 RNT654119:RNT654208 RDX654119:RDX654208 QUB654119:QUB654208 QKF654119:QKF654208 QAJ654119:QAJ654208 PQN654119:PQN654208 PGR654119:PGR654208 OWV654119:OWV654208 OMZ654119:OMZ654208 ODD654119:ODD654208 NTH654119:NTH654208 NJL654119:NJL654208 MZP654119:MZP654208 MPT654119:MPT654208 MFX654119:MFX654208 LWB654119:LWB654208 LMF654119:LMF654208 LCJ654119:LCJ654208 KSN654119:KSN654208 KIR654119:KIR654208 JYV654119:JYV654208 JOZ654119:JOZ654208 JFD654119:JFD654208 IVH654119:IVH654208 ILL654119:ILL654208 IBP654119:IBP654208 HRT654119:HRT654208 HHX654119:HHX654208 GYB654119:GYB654208 GOF654119:GOF654208 GEJ654119:GEJ654208 FUN654119:FUN654208 FKR654119:FKR654208 FAV654119:FAV654208 EQZ654119:EQZ654208 EHD654119:EHD654208 DXH654119:DXH654208 DNL654119:DNL654208 DDP654119:DDP654208 CTT654119:CTT654208 CJX654119:CJX654208 CAB654119:CAB654208 BQF654119:BQF654208 BGJ654119:BGJ654208 AWN654119:AWN654208 AMR654119:AMR654208 ACV654119:ACV654208 SZ654119:SZ654208 JD654119:JD654208 H654140:H654229 WVP588583:WVP588672 WLT588583:WLT588672 WBX588583:WBX588672 VSB588583:VSB588672 VIF588583:VIF588672 UYJ588583:UYJ588672 UON588583:UON588672 UER588583:UER588672 TUV588583:TUV588672 TKZ588583:TKZ588672 TBD588583:TBD588672 SRH588583:SRH588672 SHL588583:SHL588672 RXP588583:RXP588672 RNT588583:RNT588672 RDX588583:RDX588672 QUB588583:QUB588672 QKF588583:QKF588672 QAJ588583:QAJ588672 PQN588583:PQN588672 PGR588583:PGR588672 OWV588583:OWV588672 OMZ588583:OMZ588672 ODD588583:ODD588672 NTH588583:NTH588672 NJL588583:NJL588672 MZP588583:MZP588672 MPT588583:MPT588672 MFX588583:MFX588672 LWB588583:LWB588672 LMF588583:LMF588672 LCJ588583:LCJ588672 KSN588583:KSN588672 KIR588583:KIR588672 JYV588583:JYV588672 JOZ588583:JOZ588672 JFD588583:JFD588672 IVH588583:IVH588672 ILL588583:ILL588672 IBP588583:IBP588672 HRT588583:HRT588672 HHX588583:HHX588672 GYB588583:GYB588672 GOF588583:GOF588672 GEJ588583:GEJ588672 FUN588583:FUN588672 FKR588583:FKR588672 FAV588583:FAV588672 EQZ588583:EQZ588672 EHD588583:EHD588672 DXH588583:DXH588672 DNL588583:DNL588672 DDP588583:DDP588672 CTT588583:CTT588672 CJX588583:CJX588672 CAB588583:CAB588672 BQF588583:BQF588672 BGJ588583:BGJ588672 AWN588583:AWN588672 AMR588583:AMR588672 ACV588583:ACV588672 SZ588583:SZ588672 JD588583:JD588672 H588604:H588693 WVP523047:WVP523136 WLT523047:WLT523136 WBX523047:WBX523136 VSB523047:VSB523136 VIF523047:VIF523136 UYJ523047:UYJ523136 UON523047:UON523136 UER523047:UER523136 TUV523047:TUV523136 TKZ523047:TKZ523136 TBD523047:TBD523136 SRH523047:SRH523136 SHL523047:SHL523136 RXP523047:RXP523136 RNT523047:RNT523136 RDX523047:RDX523136 QUB523047:QUB523136 QKF523047:QKF523136 QAJ523047:QAJ523136 PQN523047:PQN523136 PGR523047:PGR523136 OWV523047:OWV523136 OMZ523047:OMZ523136 ODD523047:ODD523136 NTH523047:NTH523136 NJL523047:NJL523136 MZP523047:MZP523136 MPT523047:MPT523136 MFX523047:MFX523136 LWB523047:LWB523136 LMF523047:LMF523136 LCJ523047:LCJ523136 KSN523047:KSN523136 KIR523047:KIR523136 JYV523047:JYV523136 JOZ523047:JOZ523136 JFD523047:JFD523136 IVH523047:IVH523136 ILL523047:ILL523136 IBP523047:IBP523136 HRT523047:HRT523136 HHX523047:HHX523136 GYB523047:GYB523136 GOF523047:GOF523136 GEJ523047:GEJ523136 FUN523047:FUN523136 FKR523047:FKR523136 FAV523047:FAV523136 EQZ523047:EQZ523136 EHD523047:EHD523136 DXH523047:DXH523136 DNL523047:DNL523136 DDP523047:DDP523136 CTT523047:CTT523136 CJX523047:CJX523136 CAB523047:CAB523136 BQF523047:BQF523136 BGJ523047:BGJ523136 AWN523047:AWN523136 AMR523047:AMR523136 ACV523047:ACV523136 SZ523047:SZ523136 JD523047:JD523136 H523068:H523157 WVP457511:WVP457600 WLT457511:WLT457600 WBX457511:WBX457600 VSB457511:VSB457600 VIF457511:VIF457600 UYJ457511:UYJ457600 UON457511:UON457600 UER457511:UER457600 TUV457511:TUV457600 TKZ457511:TKZ457600 TBD457511:TBD457600 SRH457511:SRH457600 SHL457511:SHL457600 RXP457511:RXP457600 RNT457511:RNT457600 RDX457511:RDX457600 QUB457511:QUB457600 QKF457511:QKF457600 QAJ457511:QAJ457600 PQN457511:PQN457600 PGR457511:PGR457600 OWV457511:OWV457600 OMZ457511:OMZ457600 ODD457511:ODD457600 NTH457511:NTH457600 NJL457511:NJL457600 MZP457511:MZP457600 MPT457511:MPT457600 MFX457511:MFX457600 LWB457511:LWB457600 LMF457511:LMF457600 LCJ457511:LCJ457600 KSN457511:KSN457600 KIR457511:KIR457600 JYV457511:JYV457600 JOZ457511:JOZ457600 JFD457511:JFD457600 IVH457511:IVH457600 ILL457511:ILL457600 IBP457511:IBP457600 HRT457511:HRT457600 HHX457511:HHX457600 GYB457511:GYB457600 GOF457511:GOF457600 GEJ457511:GEJ457600 FUN457511:FUN457600 FKR457511:FKR457600 FAV457511:FAV457600 EQZ457511:EQZ457600 EHD457511:EHD457600 DXH457511:DXH457600 DNL457511:DNL457600 DDP457511:DDP457600 CTT457511:CTT457600 CJX457511:CJX457600 CAB457511:CAB457600 BQF457511:BQF457600 BGJ457511:BGJ457600 AWN457511:AWN457600 AMR457511:AMR457600 ACV457511:ACV457600 SZ457511:SZ457600 JD457511:JD457600 H457532:H457621 WVP391975:WVP392064 WLT391975:WLT392064 WBX391975:WBX392064 VSB391975:VSB392064 VIF391975:VIF392064 UYJ391975:UYJ392064 UON391975:UON392064 UER391975:UER392064 TUV391975:TUV392064 TKZ391975:TKZ392064 TBD391975:TBD392064 SRH391975:SRH392064 SHL391975:SHL392064 RXP391975:RXP392064 RNT391975:RNT392064 RDX391975:RDX392064 QUB391975:QUB392064 QKF391975:QKF392064 QAJ391975:QAJ392064 PQN391975:PQN392064 PGR391975:PGR392064 OWV391975:OWV392064 OMZ391975:OMZ392064 ODD391975:ODD392064 NTH391975:NTH392064 NJL391975:NJL392064 MZP391975:MZP392064 MPT391975:MPT392064 MFX391975:MFX392064 LWB391975:LWB392064 LMF391975:LMF392064 LCJ391975:LCJ392064 KSN391975:KSN392064 KIR391975:KIR392064 JYV391975:JYV392064 JOZ391975:JOZ392064 JFD391975:JFD392064 IVH391975:IVH392064 ILL391975:ILL392064 IBP391975:IBP392064 HRT391975:HRT392064 HHX391975:HHX392064 GYB391975:GYB392064 GOF391975:GOF392064 GEJ391975:GEJ392064 FUN391975:FUN392064 FKR391975:FKR392064 FAV391975:FAV392064 EQZ391975:EQZ392064 EHD391975:EHD392064 DXH391975:DXH392064 DNL391975:DNL392064 DDP391975:DDP392064 CTT391975:CTT392064 CJX391975:CJX392064 CAB391975:CAB392064 BQF391975:BQF392064 BGJ391975:BGJ392064 AWN391975:AWN392064 AMR391975:AMR392064 ACV391975:ACV392064 SZ391975:SZ392064 JD391975:JD392064 H391996:H392085 WVP326439:WVP326528 WLT326439:WLT326528 WBX326439:WBX326528 VSB326439:VSB326528 VIF326439:VIF326528 UYJ326439:UYJ326528 UON326439:UON326528 UER326439:UER326528 TUV326439:TUV326528 TKZ326439:TKZ326528 TBD326439:TBD326528 SRH326439:SRH326528 SHL326439:SHL326528 RXP326439:RXP326528 RNT326439:RNT326528 RDX326439:RDX326528 QUB326439:QUB326528 QKF326439:QKF326528 QAJ326439:QAJ326528 PQN326439:PQN326528 PGR326439:PGR326528 OWV326439:OWV326528 OMZ326439:OMZ326528 ODD326439:ODD326528 NTH326439:NTH326528 NJL326439:NJL326528 MZP326439:MZP326528 MPT326439:MPT326528 MFX326439:MFX326528 LWB326439:LWB326528 LMF326439:LMF326528 LCJ326439:LCJ326528 KSN326439:KSN326528 KIR326439:KIR326528 JYV326439:JYV326528 JOZ326439:JOZ326528 JFD326439:JFD326528 IVH326439:IVH326528 ILL326439:ILL326528 IBP326439:IBP326528 HRT326439:HRT326528 HHX326439:HHX326528 GYB326439:GYB326528 GOF326439:GOF326528 GEJ326439:GEJ326528 FUN326439:FUN326528 FKR326439:FKR326528 FAV326439:FAV326528 EQZ326439:EQZ326528 EHD326439:EHD326528 DXH326439:DXH326528 DNL326439:DNL326528 DDP326439:DDP326528 CTT326439:CTT326528 CJX326439:CJX326528 CAB326439:CAB326528 BQF326439:BQF326528 BGJ326439:BGJ326528 AWN326439:AWN326528 AMR326439:AMR326528 ACV326439:ACV326528 SZ326439:SZ326528 JD326439:JD326528 H326460:H326549 WVP260903:WVP260992 WLT260903:WLT260992 WBX260903:WBX260992 VSB260903:VSB260992 VIF260903:VIF260992 UYJ260903:UYJ260992 UON260903:UON260992 UER260903:UER260992 TUV260903:TUV260992 TKZ260903:TKZ260992 TBD260903:TBD260992 SRH260903:SRH260992 SHL260903:SHL260992 RXP260903:RXP260992 RNT260903:RNT260992 RDX260903:RDX260992 QUB260903:QUB260992 QKF260903:QKF260992 QAJ260903:QAJ260992 PQN260903:PQN260992 PGR260903:PGR260992 OWV260903:OWV260992 OMZ260903:OMZ260992 ODD260903:ODD260992 NTH260903:NTH260992 NJL260903:NJL260992 MZP260903:MZP260992 MPT260903:MPT260992 MFX260903:MFX260992 LWB260903:LWB260992 LMF260903:LMF260992 LCJ260903:LCJ260992 KSN260903:KSN260992 KIR260903:KIR260992 JYV260903:JYV260992 JOZ260903:JOZ260992 JFD260903:JFD260992 IVH260903:IVH260992 ILL260903:ILL260992 IBP260903:IBP260992 HRT260903:HRT260992 HHX260903:HHX260992 GYB260903:GYB260992 GOF260903:GOF260992 GEJ260903:GEJ260992 FUN260903:FUN260992 FKR260903:FKR260992 FAV260903:FAV260992 EQZ260903:EQZ260992 EHD260903:EHD260992 DXH260903:DXH260992 DNL260903:DNL260992 DDP260903:DDP260992 CTT260903:CTT260992 CJX260903:CJX260992 CAB260903:CAB260992 BQF260903:BQF260992 BGJ260903:BGJ260992 AWN260903:AWN260992 AMR260903:AMR260992 ACV260903:ACV260992 SZ260903:SZ260992 JD260903:JD260992 H260924:H261013 WVP195367:WVP195456 WLT195367:WLT195456 WBX195367:WBX195456 VSB195367:VSB195456 VIF195367:VIF195456 UYJ195367:UYJ195456 UON195367:UON195456 UER195367:UER195456 TUV195367:TUV195456 TKZ195367:TKZ195456 TBD195367:TBD195456 SRH195367:SRH195456 SHL195367:SHL195456 RXP195367:RXP195456 RNT195367:RNT195456 RDX195367:RDX195456 QUB195367:QUB195456 QKF195367:QKF195456 QAJ195367:QAJ195456 PQN195367:PQN195456 PGR195367:PGR195456 OWV195367:OWV195456 OMZ195367:OMZ195456 ODD195367:ODD195456 NTH195367:NTH195456 NJL195367:NJL195456 MZP195367:MZP195456 MPT195367:MPT195456 MFX195367:MFX195456 LWB195367:LWB195456 LMF195367:LMF195456 LCJ195367:LCJ195456 KSN195367:KSN195456 KIR195367:KIR195456 JYV195367:JYV195456 JOZ195367:JOZ195456 JFD195367:JFD195456 IVH195367:IVH195456 ILL195367:ILL195456 IBP195367:IBP195456 HRT195367:HRT195456 HHX195367:HHX195456 GYB195367:GYB195456 GOF195367:GOF195456 GEJ195367:GEJ195456 FUN195367:FUN195456 FKR195367:FKR195456 FAV195367:FAV195456 EQZ195367:EQZ195456 EHD195367:EHD195456 DXH195367:DXH195456 DNL195367:DNL195456 DDP195367:DDP195456 CTT195367:CTT195456 CJX195367:CJX195456 CAB195367:CAB195456 BQF195367:BQF195456 BGJ195367:BGJ195456 AWN195367:AWN195456 AMR195367:AMR195456 ACV195367:ACV195456 SZ195367:SZ195456 JD195367:JD195456 H195388:H195477 WVP129831:WVP129920 WLT129831:WLT129920 WBX129831:WBX129920 VSB129831:VSB129920 VIF129831:VIF129920 UYJ129831:UYJ129920 UON129831:UON129920 UER129831:UER129920 TUV129831:TUV129920 TKZ129831:TKZ129920 TBD129831:TBD129920 SRH129831:SRH129920 SHL129831:SHL129920 RXP129831:RXP129920 RNT129831:RNT129920 RDX129831:RDX129920 QUB129831:QUB129920 QKF129831:QKF129920 QAJ129831:QAJ129920 PQN129831:PQN129920 PGR129831:PGR129920 OWV129831:OWV129920 OMZ129831:OMZ129920 ODD129831:ODD129920 NTH129831:NTH129920 NJL129831:NJL129920 MZP129831:MZP129920 MPT129831:MPT129920 MFX129831:MFX129920 LWB129831:LWB129920 LMF129831:LMF129920 LCJ129831:LCJ129920 KSN129831:KSN129920 KIR129831:KIR129920 JYV129831:JYV129920 JOZ129831:JOZ129920 JFD129831:JFD129920 IVH129831:IVH129920 ILL129831:ILL129920 IBP129831:IBP129920 HRT129831:HRT129920 HHX129831:HHX129920 GYB129831:GYB129920 GOF129831:GOF129920 GEJ129831:GEJ129920 FUN129831:FUN129920 FKR129831:FKR129920 FAV129831:FAV129920 EQZ129831:EQZ129920 EHD129831:EHD129920 DXH129831:DXH129920 DNL129831:DNL129920 DDP129831:DDP129920 CTT129831:CTT129920 CJX129831:CJX129920 CAB129831:CAB129920 BQF129831:BQF129920 BGJ129831:BGJ129920 AWN129831:AWN129920 AMR129831:AMR129920 ACV129831:ACV129920 SZ129831:SZ129920 JD129831:JD129920 H129852:H129941 WVP64295:WVP64384 WLT64295:WLT64384 WBX64295:WBX64384 VSB64295:VSB64384 VIF64295:VIF64384 UYJ64295:UYJ64384 UON64295:UON64384 UER64295:UER64384 TUV64295:TUV64384 TKZ64295:TKZ64384 TBD64295:TBD64384 SRH64295:SRH64384 SHL64295:SHL64384 RXP64295:RXP64384 RNT64295:RNT64384 RDX64295:RDX64384 QUB64295:QUB64384 QKF64295:QKF64384 QAJ64295:QAJ64384 PQN64295:PQN64384 PGR64295:PGR64384 OWV64295:OWV64384 OMZ64295:OMZ64384 ODD64295:ODD64384 NTH64295:NTH64384 NJL64295:NJL64384 MZP64295:MZP64384 MPT64295:MPT64384 MFX64295:MFX64384 LWB64295:LWB64384 LMF64295:LMF64384 LCJ64295:LCJ64384 KSN64295:KSN64384 KIR64295:KIR64384 JYV64295:JYV64384 JOZ64295:JOZ64384 JFD64295:JFD64384 IVH64295:IVH64384 ILL64295:ILL64384 IBP64295:IBP64384 HRT64295:HRT64384 HHX64295:HHX64384 GYB64295:GYB64384 GOF64295:GOF64384 GEJ64295:GEJ64384 FUN64295:FUN64384 FKR64295:FKR64384 FAV64295:FAV64384 EQZ64295:EQZ64384 EHD64295:EHD64384 DXH64295:DXH64384 DNL64295:DNL64384 DDP64295:DDP64384 CTT64295:CTT64384 CJX64295:CJX64384 CAB64295:CAB64384 BQF64295:BQF64384 BGJ64295:BGJ64384 AWN64295:AWN64384 AMR64295:AMR64384 ACV64295:ACV64384 SZ64295:SZ64384 JD64295:JD64384 H64316:H64405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formula1>$AL$8:$AL$13</formula1>
    </dataValidation>
    <dataValidation type="list" allowBlank="1" showInputMessage="1" showErrorMessage="1" sqref="WVQ981799:WVQ981882 WLU981799:WLU981882 WBY981799:WBY981882 VSC981799:VSC981882 VIG981799:VIG981882 UYK981799:UYK981882 UOO981799:UOO981882 UES981799:UES981882 TUW981799:TUW981882 TLA981799:TLA981882 TBE981799:TBE981882 SRI981799:SRI981882 SHM981799:SHM981882 RXQ981799:RXQ981882 RNU981799:RNU981882 RDY981799:RDY981882 QUC981799:QUC981882 QKG981799:QKG981882 QAK981799:QAK981882 PQO981799:PQO981882 PGS981799:PGS981882 OWW981799:OWW981882 ONA981799:ONA981882 ODE981799:ODE981882 NTI981799:NTI981882 NJM981799:NJM981882 MZQ981799:MZQ981882 MPU981799:MPU981882 MFY981799:MFY981882 LWC981799:LWC981882 LMG981799:LMG981882 LCK981799:LCK981882 KSO981799:KSO981882 KIS981799:KIS981882 JYW981799:JYW981882 JPA981799:JPA981882 JFE981799:JFE981882 IVI981799:IVI981882 ILM981799:ILM981882 IBQ981799:IBQ981882 HRU981799:HRU981882 HHY981799:HHY981882 GYC981799:GYC981882 GOG981799:GOG981882 GEK981799:GEK981882 FUO981799:FUO981882 FKS981799:FKS981882 FAW981799:FAW981882 ERA981799:ERA981882 EHE981799:EHE981882 DXI981799:DXI981882 DNM981799:DNM981882 DDQ981799:DDQ981882 CTU981799:CTU981882 CJY981799:CJY981882 CAC981799:CAC981882 BQG981799:BQG981882 BGK981799:BGK981882 AWO981799:AWO981882 AMS981799:AMS981882 ACW981799:ACW981882 TA981799:TA981882 JE981799:JE981882 I981820:I981903 WVQ916263:WVQ916346 WLU916263:WLU916346 WBY916263:WBY916346 VSC916263:VSC916346 VIG916263:VIG916346 UYK916263:UYK916346 UOO916263:UOO916346 UES916263:UES916346 TUW916263:TUW916346 TLA916263:TLA916346 TBE916263:TBE916346 SRI916263:SRI916346 SHM916263:SHM916346 RXQ916263:RXQ916346 RNU916263:RNU916346 RDY916263:RDY916346 QUC916263:QUC916346 QKG916263:QKG916346 QAK916263:QAK916346 PQO916263:PQO916346 PGS916263:PGS916346 OWW916263:OWW916346 ONA916263:ONA916346 ODE916263:ODE916346 NTI916263:NTI916346 NJM916263:NJM916346 MZQ916263:MZQ916346 MPU916263:MPU916346 MFY916263:MFY916346 LWC916263:LWC916346 LMG916263:LMG916346 LCK916263:LCK916346 KSO916263:KSO916346 KIS916263:KIS916346 JYW916263:JYW916346 JPA916263:JPA916346 JFE916263:JFE916346 IVI916263:IVI916346 ILM916263:ILM916346 IBQ916263:IBQ916346 HRU916263:HRU916346 HHY916263:HHY916346 GYC916263:GYC916346 GOG916263:GOG916346 GEK916263:GEK916346 FUO916263:FUO916346 FKS916263:FKS916346 FAW916263:FAW916346 ERA916263:ERA916346 EHE916263:EHE916346 DXI916263:DXI916346 DNM916263:DNM916346 DDQ916263:DDQ916346 CTU916263:CTU916346 CJY916263:CJY916346 CAC916263:CAC916346 BQG916263:BQG916346 BGK916263:BGK916346 AWO916263:AWO916346 AMS916263:AMS916346 ACW916263:ACW916346 TA916263:TA916346 JE916263:JE916346 I916284:I916367 WVQ850727:WVQ850810 WLU850727:WLU850810 WBY850727:WBY850810 VSC850727:VSC850810 VIG850727:VIG850810 UYK850727:UYK850810 UOO850727:UOO850810 UES850727:UES850810 TUW850727:TUW850810 TLA850727:TLA850810 TBE850727:TBE850810 SRI850727:SRI850810 SHM850727:SHM850810 RXQ850727:RXQ850810 RNU850727:RNU850810 RDY850727:RDY850810 QUC850727:QUC850810 QKG850727:QKG850810 QAK850727:QAK850810 PQO850727:PQO850810 PGS850727:PGS850810 OWW850727:OWW850810 ONA850727:ONA850810 ODE850727:ODE850810 NTI850727:NTI850810 NJM850727:NJM850810 MZQ850727:MZQ850810 MPU850727:MPU850810 MFY850727:MFY850810 LWC850727:LWC850810 LMG850727:LMG850810 LCK850727:LCK850810 KSO850727:KSO850810 KIS850727:KIS850810 JYW850727:JYW850810 JPA850727:JPA850810 JFE850727:JFE850810 IVI850727:IVI850810 ILM850727:ILM850810 IBQ850727:IBQ850810 HRU850727:HRU850810 HHY850727:HHY850810 GYC850727:GYC850810 GOG850727:GOG850810 GEK850727:GEK850810 FUO850727:FUO850810 FKS850727:FKS850810 FAW850727:FAW850810 ERA850727:ERA850810 EHE850727:EHE850810 DXI850727:DXI850810 DNM850727:DNM850810 DDQ850727:DDQ850810 CTU850727:CTU850810 CJY850727:CJY850810 CAC850727:CAC850810 BQG850727:BQG850810 BGK850727:BGK850810 AWO850727:AWO850810 AMS850727:AMS850810 ACW850727:ACW850810 TA850727:TA850810 JE850727:JE850810 I850748:I850831 WVQ785191:WVQ785274 WLU785191:WLU785274 WBY785191:WBY785274 VSC785191:VSC785274 VIG785191:VIG785274 UYK785191:UYK785274 UOO785191:UOO785274 UES785191:UES785274 TUW785191:TUW785274 TLA785191:TLA785274 TBE785191:TBE785274 SRI785191:SRI785274 SHM785191:SHM785274 RXQ785191:RXQ785274 RNU785191:RNU785274 RDY785191:RDY785274 QUC785191:QUC785274 QKG785191:QKG785274 QAK785191:QAK785274 PQO785191:PQO785274 PGS785191:PGS785274 OWW785191:OWW785274 ONA785191:ONA785274 ODE785191:ODE785274 NTI785191:NTI785274 NJM785191:NJM785274 MZQ785191:MZQ785274 MPU785191:MPU785274 MFY785191:MFY785274 LWC785191:LWC785274 LMG785191:LMG785274 LCK785191:LCK785274 KSO785191:KSO785274 KIS785191:KIS785274 JYW785191:JYW785274 JPA785191:JPA785274 JFE785191:JFE785274 IVI785191:IVI785274 ILM785191:ILM785274 IBQ785191:IBQ785274 HRU785191:HRU785274 HHY785191:HHY785274 GYC785191:GYC785274 GOG785191:GOG785274 GEK785191:GEK785274 FUO785191:FUO785274 FKS785191:FKS785274 FAW785191:FAW785274 ERA785191:ERA785274 EHE785191:EHE785274 DXI785191:DXI785274 DNM785191:DNM785274 DDQ785191:DDQ785274 CTU785191:CTU785274 CJY785191:CJY785274 CAC785191:CAC785274 BQG785191:BQG785274 BGK785191:BGK785274 AWO785191:AWO785274 AMS785191:AMS785274 ACW785191:ACW785274 TA785191:TA785274 JE785191:JE785274 I785212:I785295 WVQ719655:WVQ719738 WLU719655:WLU719738 WBY719655:WBY719738 VSC719655:VSC719738 VIG719655:VIG719738 UYK719655:UYK719738 UOO719655:UOO719738 UES719655:UES719738 TUW719655:TUW719738 TLA719655:TLA719738 TBE719655:TBE719738 SRI719655:SRI719738 SHM719655:SHM719738 RXQ719655:RXQ719738 RNU719655:RNU719738 RDY719655:RDY719738 QUC719655:QUC719738 QKG719655:QKG719738 QAK719655:QAK719738 PQO719655:PQO719738 PGS719655:PGS719738 OWW719655:OWW719738 ONA719655:ONA719738 ODE719655:ODE719738 NTI719655:NTI719738 NJM719655:NJM719738 MZQ719655:MZQ719738 MPU719655:MPU719738 MFY719655:MFY719738 LWC719655:LWC719738 LMG719655:LMG719738 LCK719655:LCK719738 KSO719655:KSO719738 KIS719655:KIS719738 JYW719655:JYW719738 JPA719655:JPA719738 JFE719655:JFE719738 IVI719655:IVI719738 ILM719655:ILM719738 IBQ719655:IBQ719738 HRU719655:HRU719738 HHY719655:HHY719738 GYC719655:GYC719738 GOG719655:GOG719738 GEK719655:GEK719738 FUO719655:FUO719738 FKS719655:FKS719738 FAW719655:FAW719738 ERA719655:ERA719738 EHE719655:EHE719738 DXI719655:DXI719738 DNM719655:DNM719738 DDQ719655:DDQ719738 CTU719655:CTU719738 CJY719655:CJY719738 CAC719655:CAC719738 BQG719655:BQG719738 BGK719655:BGK719738 AWO719655:AWO719738 AMS719655:AMS719738 ACW719655:ACW719738 TA719655:TA719738 JE719655:JE719738 I719676:I719759 WVQ654119:WVQ654202 WLU654119:WLU654202 WBY654119:WBY654202 VSC654119:VSC654202 VIG654119:VIG654202 UYK654119:UYK654202 UOO654119:UOO654202 UES654119:UES654202 TUW654119:TUW654202 TLA654119:TLA654202 TBE654119:TBE654202 SRI654119:SRI654202 SHM654119:SHM654202 RXQ654119:RXQ654202 RNU654119:RNU654202 RDY654119:RDY654202 QUC654119:QUC654202 QKG654119:QKG654202 QAK654119:QAK654202 PQO654119:PQO654202 PGS654119:PGS654202 OWW654119:OWW654202 ONA654119:ONA654202 ODE654119:ODE654202 NTI654119:NTI654202 NJM654119:NJM654202 MZQ654119:MZQ654202 MPU654119:MPU654202 MFY654119:MFY654202 LWC654119:LWC654202 LMG654119:LMG654202 LCK654119:LCK654202 KSO654119:KSO654202 KIS654119:KIS654202 JYW654119:JYW654202 JPA654119:JPA654202 JFE654119:JFE654202 IVI654119:IVI654202 ILM654119:ILM654202 IBQ654119:IBQ654202 HRU654119:HRU654202 HHY654119:HHY654202 GYC654119:GYC654202 GOG654119:GOG654202 GEK654119:GEK654202 FUO654119:FUO654202 FKS654119:FKS654202 FAW654119:FAW654202 ERA654119:ERA654202 EHE654119:EHE654202 DXI654119:DXI654202 DNM654119:DNM654202 DDQ654119:DDQ654202 CTU654119:CTU654202 CJY654119:CJY654202 CAC654119:CAC654202 BQG654119:BQG654202 BGK654119:BGK654202 AWO654119:AWO654202 AMS654119:AMS654202 ACW654119:ACW654202 TA654119:TA654202 JE654119:JE654202 I654140:I654223 WVQ588583:WVQ588666 WLU588583:WLU588666 WBY588583:WBY588666 VSC588583:VSC588666 VIG588583:VIG588666 UYK588583:UYK588666 UOO588583:UOO588666 UES588583:UES588666 TUW588583:TUW588666 TLA588583:TLA588666 TBE588583:TBE588666 SRI588583:SRI588666 SHM588583:SHM588666 RXQ588583:RXQ588666 RNU588583:RNU588666 RDY588583:RDY588666 QUC588583:QUC588666 QKG588583:QKG588666 QAK588583:QAK588666 PQO588583:PQO588666 PGS588583:PGS588666 OWW588583:OWW588666 ONA588583:ONA588666 ODE588583:ODE588666 NTI588583:NTI588666 NJM588583:NJM588666 MZQ588583:MZQ588666 MPU588583:MPU588666 MFY588583:MFY588666 LWC588583:LWC588666 LMG588583:LMG588666 LCK588583:LCK588666 KSO588583:KSO588666 KIS588583:KIS588666 JYW588583:JYW588666 JPA588583:JPA588666 JFE588583:JFE588666 IVI588583:IVI588666 ILM588583:ILM588666 IBQ588583:IBQ588666 HRU588583:HRU588666 HHY588583:HHY588666 GYC588583:GYC588666 GOG588583:GOG588666 GEK588583:GEK588666 FUO588583:FUO588666 FKS588583:FKS588666 FAW588583:FAW588666 ERA588583:ERA588666 EHE588583:EHE588666 DXI588583:DXI588666 DNM588583:DNM588666 DDQ588583:DDQ588666 CTU588583:CTU588666 CJY588583:CJY588666 CAC588583:CAC588666 BQG588583:BQG588666 BGK588583:BGK588666 AWO588583:AWO588666 AMS588583:AMS588666 ACW588583:ACW588666 TA588583:TA588666 JE588583:JE588666 I588604:I588687 WVQ523047:WVQ523130 WLU523047:WLU523130 WBY523047:WBY523130 VSC523047:VSC523130 VIG523047:VIG523130 UYK523047:UYK523130 UOO523047:UOO523130 UES523047:UES523130 TUW523047:TUW523130 TLA523047:TLA523130 TBE523047:TBE523130 SRI523047:SRI523130 SHM523047:SHM523130 RXQ523047:RXQ523130 RNU523047:RNU523130 RDY523047:RDY523130 QUC523047:QUC523130 QKG523047:QKG523130 QAK523047:QAK523130 PQO523047:PQO523130 PGS523047:PGS523130 OWW523047:OWW523130 ONA523047:ONA523130 ODE523047:ODE523130 NTI523047:NTI523130 NJM523047:NJM523130 MZQ523047:MZQ523130 MPU523047:MPU523130 MFY523047:MFY523130 LWC523047:LWC523130 LMG523047:LMG523130 LCK523047:LCK523130 KSO523047:KSO523130 KIS523047:KIS523130 JYW523047:JYW523130 JPA523047:JPA523130 JFE523047:JFE523130 IVI523047:IVI523130 ILM523047:ILM523130 IBQ523047:IBQ523130 HRU523047:HRU523130 HHY523047:HHY523130 GYC523047:GYC523130 GOG523047:GOG523130 GEK523047:GEK523130 FUO523047:FUO523130 FKS523047:FKS523130 FAW523047:FAW523130 ERA523047:ERA523130 EHE523047:EHE523130 DXI523047:DXI523130 DNM523047:DNM523130 DDQ523047:DDQ523130 CTU523047:CTU523130 CJY523047:CJY523130 CAC523047:CAC523130 BQG523047:BQG523130 BGK523047:BGK523130 AWO523047:AWO523130 AMS523047:AMS523130 ACW523047:ACW523130 TA523047:TA523130 JE523047:JE523130 I523068:I523151 WVQ457511:WVQ457594 WLU457511:WLU457594 WBY457511:WBY457594 VSC457511:VSC457594 VIG457511:VIG457594 UYK457511:UYK457594 UOO457511:UOO457594 UES457511:UES457594 TUW457511:TUW457594 TLA457511:TLA457594 TBE457511:TBE457594 SRI457511:SRI457594 SHM457511:SHM457594 RXQ457511:RXQ457594 RNU457511:RNU457594 RDY457511:RDY457594 QUC457511:QUC457594 QKG457511:QKG457594 QAK457511:QAK457594 PQO457511:PQO457594 PGS457511:PGS457594 OWW457511:OWW457594 ONA457511:ONA457594 ODE457511:ODE457594 NTI457511:NTI457594 NJM457511:NJM457594 MZQ457511:MZQ457594 MPU457511:MPU457594 MFY457511:MFY457594 LWC457511:LWC457594 LMG457511:LMG457594 LCK457511:LCK457594 KSO457511:KSO457594 KIS457511:KIS457594 JYW457511:JYW457594 JPA457511:JPA457594 JFE457511:JFE457594 IVI457511:IVI457594 ILM457511:ILM457594 IBQ457511:IBQ457594 HRU457511:HRU457594 HHY457511:HHY457594 GYC457511:GYC457594 GOG457511:GOG457594 GEK457511:GEK457594 FUO457511:FUO457594 FKS457511:FKS457594 FAW457511:FAW457594 ERA457511:ERA457594 EHE457511:EHE457594 DXI457511:DXI457594 DNM457511:DNM457594 DDQ457511:DDQ457594 CTU457511:CTU457594 CJY457511:CJY457594 CAC457511:CAC457594 BQG457511:BQG457594 BGK457511:BGK457594 AWO457511:AWO457594 AMS457511:AMS457594 ACW457511:ACW457594 TA457511:TA457594 JE457511:JE457594 I457532:I457615 WVQ391975:WVQ392058 WLU391975:WLU392058 WBY391975:WBY392058 VSC391975:VSC392058 VIG391975:VIG392058 UYK391975:UYK392058 UOO391975:UOO392058 UES391975:UES392058 TUW391975:TUW392058 TLA391975:TLA392058 TBE391975:TBE392058 SRI391975:SRI392058 SHM391975:SHM392058 RXQ391975:RXQ392058 RNU391975:RNU392058 RDY391975:RDY392058 QUC391975:QUC392058 QKG391975:QKG392058 QAK391975:QAK392058 PQO391975:PQO392058 PGS391975:PGS392058 OWW391975:OWW392058 ONA391975:ONA392058 ODE391975:ODE392058 NTI391975:NTI392058 NJM391975:NJM392058 MZQ391975:MZQ392058 MPU391975:MPU392058 MFY391975:MFY392058 LWC391975:LWC392058 LMG391975:LMG392058 LCK391975:LCK392058 KSO391975:KSO392058 KIS391975:KIS392058 JYW391975:JYW392058 JPA391975:JPA392058 JFE391975:JFE392058 IVI391975:IVI392058 ILM391975:ILM392058 IBQ391975:IBQ392058 HRU391975:HRU392058 HHY391975:HHY392058 GYC391975:GYC392058 GOG391975:GOG392058 GEK391975:GEK392058 FUO391975:FUO392058 FKS391975:FKS392058 FAW391975:FAW392058 ERA391975:ERA392058 EHE391975:EHE392058 DXI391975:DXI392058 DNM391975:DNM392058 DDQ391975:DDQ392058 CTU391975:CTU392058 CJY391975:CJY392058 CAC391975:CAC392058 BQG391975:BQG392058 BGK391975:BGK392058 AWO391975:AWO392058 AMS391975:AMS392058 ACW391975:ACW392058 TA391975:TA392058 JE391975:JE392058 I391996:I392079 WVQ326439:WVQ326522 WLU326439:WLU326522 WBY326439:WBY326522 VSC326439:VSC326522 VIG326439:VIG326522 UYK326439:UYK326522 UOO326439:UOO326522 UES326439:UES326522 TUW326439:TUW326522 TLA326439:TLA326522 TBE326439:TBE326522 SRI326439:SRI326522 SHM326439:SHM326522 RXQ326439:RXQ326522 RNU326439:RNU326522 RDY326439:RDY326522 QUC326439:QUC326522 QKG326439:QKG326522 QAK326439:QAK326522 PQO326439:PQO326522 PGS326439:PGS326522 OWW326439:OWW326522 ONA326439:ONA326522 ODE326439:ODE326522 NTI326439:NTI326522 NJM326439:NJM326522 MZQ326439:MZQ326522 MPU326439:MPU326522 MFY326439:MFY326522 LWC326439:LWC326522 LMG326439:LMG326522 LCK326439:LCK326522 KSO326439:KSO326522 KIS326439:KIS326522 JYW326439:JYW326522 JPA326439:JPA326522 JFE326439:JFE326522 IVI326439:IVI326522 ILM326439:ILM326522 IBQ326439:IBQ326522 HRU326439:HRU326522 HHY326439:HHY326522 GYC326439:GYC326522 GOG326439:GOG326522 GEK326439:GEK326522 FUO326439:FUO326522 FKS326439:FKS326522 FAW326439:FAW326522 ERA326439:ERA326522 EHE326439:EHE326522 DXI326439:DXI326522 DNM326439:DNM326522 DDQ326439:DDQ326522 CTU326439:CTU326522 CJY326439:CJY326522 CAC326439:CAC326522 BQG326439:BQG326522 BGK326439:BGK326522 AWO326439:AWO326522 AMS326439:AMS326522 ACW326439:ACW326522 TA326439:TA326522 JE326439:JE326522 I326460:I326543 WVQ260903:WVQ260986 WLU260903:WLU260986 WBY260903:WBY260986 VSC260903:VSC260986 VIG260903:VIG260986 UYK260903:UYK260986 UOO260903:UOO260986 UES260903:UES260986 TUW260903:TUW260986 TLA260903:TLA260986 TBE260903:TBE260986 SRI260903:SRI260986 SHM260903:SHM260986 RXQ260903:RXQ260986 RNU260903:RNU260986 RDY260903:RDY260986 QUC260903:QUC260986 QKG260903:QKG260986 QAK260903:QAK260986 PQO260903:PQO260986 PGS260903:PGS260986 OWW260903:OWW260986 ONA260903:ONA260986 ODE260903:ODE260986 NTI260903:NTI260986 NJM260903:NJM260986 MZQ260903:MZQ260986 MPU260903:MPU260986 MFY260903:MFY260986 LWC260903:LWC260986 LMG260903:LMG260986 LCK260903:LCK260986 KSO260903:KSO260986 KIS260903:KIS260986 JYW260903:JYW260986 JPA260903:JPA260986 JFE260903:JFE260986 IVI260903:IVI260986 ILM260903:ILM260986 IBQ260903:IBQ260986 HRU260903:HRU260986 HHY260903:HHY260986 GYC260903:GYC260986 GOG260903:GOG260986 GEK260903:GEK260986 FUO260903:FUO260986 FKS260903:FKS260986 FAW260903:FAW260986 ERA260903:ERA260986 EHE260903:EHE260986 DXI260903:DXI260986 DNM260903:DNM260986 DDQ260903:DDQ260986 CTU260903:CTU260986 CJY260903:CJY260986 CAC260903:CAC260986 BQG260903:BQG260986 BGK260903:BGK260986 AWO260903:AWO260986 AMS260903:AMS260986 ACW260903:ACW260986 TA260903:TA260986 JE260903:JE260986 I260924:I261007 WVQ195367:WVQ195450 WLU195367:WLU195450 WBY195367:WBY195450 VSC195367:VSC195450 VIG195367:VIG195450 UYK195367:UYK195450 UOO195367:UOO195450 UES195367:UES195450 TUW195367:TUW195450 TLA195367:TLA195450 TBE195367:TBE195450 SRI195367:SRI195450 SHM195367:SHM195450 RXQ195367:RXQ195450 RNU195367:RNU195450 RDY195367:RDY195450 QUC195367:QUC195450 QKG195367:QKG195450 QAK195367:QAK195450 PQO195367:PQO195450 PGS195367:PGS195450 OWW195367:OWW195450 ONA195367:ONA195450 ODE195367:ODE195450 NTI195367:NTI195450 NJM195367:NJM195450 MZQ195367:MZQ195450 MPU195367:MPU195450 MFY195367:MFY195450 LWC195367:LWC195450 LMG195367:LMG195450 LCK195367:LCK195450 KSO195367:KSO195450 KIS195367:KIS195450 JYW195367:JYW195450 JPA195367:JPA195450 JFE195367:JFE195450 IVI195367:IVI195450 ILM195367:ILM195450 IBQ195367:IBQ195450 HRU195367:HRU195450 HHY195367:HHY195450 GYC195367:GYC195450 GOG195367:GOG195450 GEK195367:GEK195450 FUO195367:FUO195450 FKS195367:FKS195450 FAW195367:FAW195450 ERA195367:ERA195450 EHE195367:EHE195450 DXI195367:DXI195450 DNM195367:DNM195450 DDQ195367:DDQ195450 CTU195367:CTU195450 CJY195367:CJY195450 CAC195367:CAC195450 BQG195367:BQG195450 BGK195367:BGK195450 AWO195367:AWO195450 AMS195367:AMS195450 ACW195367:ACW195450 TA195367:TA195450 JE195367:JE195450 I195388:I195471 WVQ129831:WVQ129914 WLU129831:WLU129914 WBY129831:WBY129914 VSC129831:VSC129914 VIG129831:VIG129914 UYK129831:UYK129914 UOO129831:UOO129914 UES129831:UES129914 TUW129831:TUW129914 TLA129831:TLA129914 TBE129831:TBE129914 SRI129831:SRI129914 SHM129831:SHM129914 RXQ129831:RXQ129914 RNU129831:RNU129914 RDY129831:RDY129914 QUC129831:QUC129914 QKG129831:QKG129914 QAK129831:QAK129914 PQO129831:PQO129914 PGS129831:PGS129914 OWW129831:OWW129914 ONA129831:ONA129914 ODE129831:ODE129914 NTI129831:NTI129914 NJM129831:NJM129914 MZQ129831:MZQ129914 MPU129831:MPU129914 MFY129831:MFY129914 LWC129831:LWC129914 LMG129831:LMG129914 LCK129831:LCK129914 KSO129831:KSO129914 KIS129831:KIS129914 JYW129831:JYW129914 JPA129831:JPA129914 JFE129831:JFE129914 IVI129831:IVI129914 ILM129831:ILM129914 IBQ129831:IBQ129914 HRU129831:HRU129914 HHY129831:HHY129914 GYC129831:GYC129914 GOG129831:GOG129914 GEK129831:GEK129914 FUO129831:FUO129914 FKS129831:FKS129914 FAW129831:FAW129914 ERA129831:ERA129914 EHE129831:EHE129914 DXI129831:DXI129914 DNM129831:DNM129914 DDQ129831:DDQ129914 CTU129831:CTU129914 CJY129831:CJY129914 CAC129831:CAC129914 BQG129831:BQG129914 BGK129831:BGK129914 AWO129831:AWO129914 AMS129831:AMS129914 ACW129831:ACW129914 TA129831:TA129914 JE129831:JE129914 I129852:I129935 WVQ64295:WVQ64378 WLU64295:WLU64378 WBY64295:WBY64378 VSC64295:VSC64378 VIG64295:VIG64378 UYK64295:UYK64378 UOO64295:UOO64378 UES64295:UES64378 TUW64295:TUW64378 TLA64295:TLA64378 TBE64295:TBE64378 SRI64295:SRI64378 SHM64295:SHM64378 RXQ64295:RXQ64378 RNU64295:RNU64378 RDY64295:RDY64378 QUC64295:QUC64378 QKG64295:QKG64378 QAK64295:QAK64378 PQO64295:PQO64378 PGS64295:PGS64378 OWW64295:OWW64378 ONA64295:ONA64378 ODE64295:ODE64378 NTI64295:NTI64378 NJM64295:NJM64378 MZQ64295:MZQ64378 MPU64295:MPU64378 MFY64295:MFY64378 LWC64295:LWC64378 LMG64295:LMG64378 LCK64295:LCK64378 KSO64295:KSO64378 KIS64295:KIS64378 JYW64295:JYW64378 JPA64295:JPA64378 JFE64295:JFE64378 IVI64295:IVI64378 ILM64295:ILM64378 IBQ64295:IBQ64378 HRU64295:HRU64378 HHY64295:HHY64378 GYC64295:GYC64378 GOG64295:GOG64378 GEK64295:GEK64378 FUO64295:FUO64378 FKS64295:FKS64378 FAW64295:FAW64378 ERA64295:ERA64378 EHE64295:EHE64378 DXI64295:DXI64378 DNM64295:DNM64378 DDQ64295:DDQ64378 CTU64295:CTU64378 CJY64295:CJY64378 CAC64295:CAC64378 BQG64295:BQG64378 BGK64295:BGK64378 AWO64295:AWO64378 AMS64295:AMS64378 ACW64295:ACW64378 TA64295:TA64378 JE64295:JE64378 I64316:I64399 I90:I494 JE2:JE67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I2:I88">
      <formula1>$AN$5:$AN$6</formula1>
    </dataValidation>
    <dataValidation type="list" allowBlank="1" showInputMessage="1" showErrorMessage="1" sqref="WWG981799:WWI981882 WMK981799:WMM981882 Y64295:AA64378 JU64295:JW64378 TQ64295:TS64378 ADM64295:ADO64378 ANI64295:ANK64378 AXE64295:AXG64378 BHA64295:BHC64378 BQW64295:BQY64378 CAS64295:CAU64378 CKO64295:CKQ64378 CUK64295:CUM64378 DEG64295:DEI64378 DOC64295:DOE64378 DXY64295:DYA64378 EHU64295:EHW64378 ERQ64295:ERS64378 FBM64295:FBO64378 FLI64295:FLK64378 FVE64295:FVG64378 GFA64295:GFC64378 GOW64295:GOY64378 GYS64295:GYU64378 HIO64295:HIQ64378 HSK64295:HSM64378 ICG64295:ICI64378 IMC64295:IME64378 IVY64295:IWA64378 JFU64295:JFW64378 JPQ64295:JPS64378 JZM64295:JZO64378 KJI64295:KJK64378 KTE64295:KTG64378 LDA64295:LDC64378 LMW64295:LMY64378 LWS64295:LWU64378 MGO64295:MGQ64378 MQK64295:MQM64378 NAG64295:NAI64378 NKC64295:NKE64378 NTY64295:NUA64378 ODU64295:ODW64378 ONQ64295:ONS64378 OXM64295:OXO64378 PHI64295:PHK64378 PRE64295:PRG64378 QBA64295:QBC64378 QKW64295:QKY64378 QUS64295:QUU64378 REO64295:REQ64378 ROK64295:ROM64378 RYG64295:RYI64378 SIC64295:SIE64378 SRY64295:SSA64378 TBU64295:TBW64378 TLQ64295:TLS64378 TVM64295:TVO64378 UFI64295:UFK64378 UPE64295:UPG64378 UZA64295:UZC64378 VIW64295:VIY64378 VSS64295:VSU64378 WCO64295:WCQ64378 WMK64295:WMM64378 WWG64295:WWI64378 Y129831:AA129914 JU129831:JW129914 TQ129831:TS129914 ADM129831:ADO129914 ANI129831:ANK129914 AXE129831:AXG129914 BHA129831:BHC129914 BQW129831:BQY129914 CAS129831:CAU129914 CKO129831:CKQ129914 CUK129831:CUM129914 DEG129831:DEI129914 DOC129831:DOE129914 DXY129831:DYA129914 EHU129831:EHW129914 ERQ129831:ERS129914 FBM129831:FBO129914 FLI129831:FLK129914 FVE129831:FVG129914 GFA129831:GFC129914 GOW129831:GOY129914 GYS129831:GYU129914 HIO129831:HIQ129914 HSK129831:HSM129914 ICG129831:ICI129914 IMC129831:IME129914 IVY129831:IWA129914 JFU129831:JFW129914 JPQ129831:JPS129914 JZM129831:JZO129914 KJI129831:KJK129914 KTE129831:KTG129914 LDA129831:LDC129914 LMW129831:LMY129914 LWS129831:LWU129914 MGO129831:MGQ129914 MQK129831:MQM129914 NAG129831:NAI129914 NKC129831:NKE129914 NTY129831:NUA129914 ODU129831:ODW129914 ONQ129831:ONS129914 OXM129831:OXO129914 PHI129831:PHK129914 PRE129831:PRG129914 QBA129831:QBC129914 QKW129831:QKY129914 QUS129831:QUU129914 REO129831:REQ129914 ROK129831:ROM129914 RYG129831:RYI129914 SIC129831:SIE129914 SRY129831:SSA129914 TBU129831:TBW129914 TLQ129831:TLS129914 TVM129831:TVO129914 UFI129831:UFK129914 UPE129831:UPG129914 UZA129831:UZC129914 VIW129831:VIY129914 VSS129831:VSU129914 WCO129831:WCQ129914 WMK129831:WMM129914 WWG129831:WWI129914 Y195367:AA195450 JU195367:JW195450 TQ195367:TS195450 ADM195367:ADO195450 ANI195367:ANK195450 AXE195367:AXG195450 BHA195367:BHC195450 BQW195367:BQY195450 CAS195367:CAU195450 CKO195367:CKQ195450 CUK195367:CUM195450 DEG195367:DEI195450 DOC195367:DOE195450 DXY195367:DYA195450 EHU195367:EHW195450 ERQ195367:ERS195450 FBM195367:FBO195450 FLI195367:FLK195450 FVE195367:FVG195450 GFA195367:GFC195450 GOW195367:GOY195450 GYS195367:GYU195450 HIO195367:HIQ195450 HSK195367:HSM195450 ICG195367:ICI195450 IMC195367:IME195450 IVY195367:IWA195450 JFU195367:JFW195450 JPQ195367:JPS195450 JZM195367:JZO195450 KJI195367:KJK195450 KTE195367:KTG195450 LDA195367:LDC195450 LMW195367:LMY195450 LWS195367:LWU195450 MGO195367:MGQ195450 MQK195367:MQM195450 NAG195367:NAI195450 NKC195367:NKE195450 NTY195367:NUA195450 ODU195367:ODW195450 ONQ195367:ONS195450 OXM195367:OXO195450 PHI195367:PHK195450 PRE195367:PRG195450 QBA195367:QBC195450 QKW195367:QKY195450 QUS195367:QUU195450 REO195367:REQ195450 ROK195367:ROM195450 RYG195367:RYI195450 SIC195367:SIE195450 SRY195367:SSA195450 TBU195367:TBW195450 TLQ195367:TLS195450 TVM195367:TVO195450 UFI195367:UFK195450 UPE195367:UPG195450 UZA195367:UZC195450 VIW195367:VIY195450 VSS195367:VSU195450 WCO195367:WCQ195450 WMK195367:WMM195450 WWG195367:WWI195450 Y260903:AA260986 JU260903:JW260986 TQ260903:TS260986 ADM260903:ADO260986 ANI260903:ANK260986 AXE260903:AXG260986 BHA260903:BHC260986 BQW260903:BQY260986 CAS260903:CAU260986 CKO260903:CKQ260986 CUK260903:CUM260986 DEG260903:DEI260986 DOC260903:DOE260986 DXY260903:DYA260986 EHU260903:EHW260986 ERQ260903:ERS260986 FBM260903:FBO260986 FLI260903:FLK260986 FVE260903:FVG260986 GFA260903:GFC260986 GOW260903:GOY260986 GYS260903:GYU260986 HIO260903:HIQ260986 HSK260903:HSM260986 ICG260903:ICI260986 IMC260903:IME260986 IVY260903:IWA260986 JFU260903:JFW260986 JPQ260903:JPS260986 JZM260903:JZO260986 KJI260903:KJK260986 KTE260903:KTG260986 LDA260903:LDC260986 LMW260903:LMY260986 LWS260903:LWU260986 MGO260903:MGQ260986 MQK260903:MQM260986 NAG260903:NAI260986 NKC260903:NKE260986 NTY260903:NUA260986 ODU260903:ODW260986 ONQ260903:ONS260986 OXM260903:OXO260986 PHI260903:PHK260986 PRE260903:PRG260986 QBA260903:QBC260986 QKW260903:QKY260986 QUS260903:QUU260986 REO260903:REQ260986 ROK260903:ROM260986 RYG260903:RYI260986 SIC260903:SIE260986 SRY260903:SSA260986 TBU260903:TBW260986 TLQ260903:TLS260986 TVM260903:TVO260986 UFI260903:UFK260986 UPE260903:UPG260986 UZA260903:UZC260986 VIW260903:VIY260986 VSS260903:VSU260986 WCO260903:WCQ260986 WMK260903:WMM260986 WWG260903:WWI260986 Y326439:AA326522 JU326439:JW326522 TQ326439:TS326522 ADM326439:ADO326522 ANI326439:ANK326522 AXE326439:AXG326522 BHA326439:BHC326522 BQW326439:BQY326522 CAS326439:CAU326522 CKO326439:CKQ326522 CUK326439:CUM326522 DEG326439:DEI326522 DOC326439:DOE326522 DXY326439:DYA326522 EHU326439:EHW326522 ERQ326439:ERS326522 FBM326439:FBO326522 FLI326439:FLK326522 FVE326439:FVG326522 GFA326439:GFC326522 GOW326439:GOY326522 GYS326439:GYU326522 HIO326439:HIQ326522 HSK326439:HSM326522 ICG326439:ICI326522 IMC326439:IME326522 IVY326439:IWA326522 JFU326439:JFW326522 JPQ326439:JPS326522 JZM326439:JZO326522 KJI326439:KJK326522 KTE326439:KTG326522 LDA326439:LDC326522 LMW326439:LMY326522 LWS326439:LWU326522 MGO326439:MGQ326522 MQK326439:MQM326522 NAG326439:NAI326522 NKC326439:NKE326522 NTY326439:NUA326522 ODU326439:ODW326522 ONQ326439:ONS326522 OXM326439:OXO326522 PHI326439:PHK326522 PRE326439:PRG326522 QBA326439:QBC326522 QKW326439:QKY326522 QUS326439:QUU326522 REO326439:REQ326522 ROK326439:ROM326522 RYG326439:RYI326522 SIC326439:SIE326522 SRY326439:SSA326522 TBU326439:TBW326522 TLQ326439:TLS326522 TVM326439:TVO326522 UFI326439:UFK326522 UPE326439:UPG326522 UZA326439:UZC326522 VIW326439:VIY326522 VSS326439:VSU326522 WCO326439:WCQ326522 WMK326439:WMM326522 WWG326439:WWI326522 Y391975:AA392058 JU391975:JW392058 TQ391975:TS392058 ADM391975:ADO392058 ANI391975:ANK392058 AXE391975:AXG392058 BHA391975:BHC392058 BQW391975:BQY392058 CAS391975:CAU392058 CKO391975:CKQ392058 CUK391975:CUM392058 DEG391975:DEI392058 DOC391975:DOE392058 DXY391975:DYA392058 EHU391975:EHW392058 ERQ391975:ERS392058 FBM391975:FBO392058 FLI391975:FLK392058 FVE391975:FVG392058 GFA391975:GFC392058 GOW391975:GOY392058 GYS391975:GYU392058 HIO391975:HIQ392058 HSK391975:HSM392058 ICG391975:ICI392058 IMC391975:IME392058 IVY391975:IWA392058 JFU391975:JFW392058 JPQ391975:JPS392058 JZM391975:JZO392058 KJI391975:KJK392058 KTE391975:KTG392058 LDA391975:LDC392058 LMW391975:LMY392058 LWS391975:LWU392058 MGO391975:MGQ392058 MQK391975:MQM392058 NAG391975:NAI392058 NKC391975:NKE392058 NTY391975:NUA392058 ODU391975:ODW392058 ONQ391975:ONS392058 OXM391975:OXO392058 PHI391975:PHK392058 PRE391975:PRG392058 QBA391975:QBC392058 QKW391975:QKY392058 QUS391975:QUU392058 REO391975:REQ392058 ROK391975:ROM392058 RYG391975:RYI392058 SIC391975:SIE392058 SRY391975:SSA392058 TBU391975:TBW392058 TLQ391975:TLS392058 TVM391975:TVO392058 UFI391975:UFK392058 UPE391975:UPG392058 UZA391975:UZC392058 VIW391975:VIY392058 VSS391975:VSU392058 WCO391975:WCQ392058 WMK391975:WMM392058 WWG391975:WWI392058 Y457511:AA457594 JU457511:JW457594 TQ457511:TS457594 ADM457511:ADO457594 ANI457511:ANK457594 AXE457511:AXG457594 BHA457511:BHC457594 BQW457511:BQY457594 CAS457511:CAU457594 CKO457511:CKQ457594 CUK457511:CUM457594 DEG457511:DEI457594 DOC457511:DOE457594 DXY457511:DYA457594 EHU457511:EHW457594 ERQ457511:ERS457594 FBM457511:FBO457594 FLI457511:FLK457594 FVE457511:FVG457594 GFA457511:GFC457594 GOW457511:GOY457594 GYS457511:GYU457594 HIO457511:HIQ457594 HSK457511:HSM457594 ICG457511:ICI457594 IMC457511:IME457594 IVY457511:IWA457594 JFU457511:JFW457594 JPQ457511:JPS457594 JZM457511:JZO457594 KJI457511:KJK457594 KTE457511:KTG457594 LDA457511:LDC457594 LMW457511:LMY457594 LWS457511:LWU457594 MGO457511:MGQ457594 MQK457511:MQM457594 NAG457511:NAI457594 NKC457511:NKE457594 NTY457511:NUA457594 ODU457511:ODW457594 ONQ457511:ONS457594 OXM457511:OXO457594 PHI457511:PHK457594 PRE457511:PRG457594 QBA457511:QBC457594 QKW457511:QKY457594 QUS457511:QUU457594 REO457511:REQ457594 ROK457511:ROM457594 RYG457511:RYI457594 SIC457511:SIE457594 SRY457511:SSA457594 TBU457511:TBW457594 TLQ457511:TLS457594 TVM457511:TVO457594 UFI457511:UFK457594 UPE457511:UPG457594 UZA457511:UZC457594 VIW457511:VIY457594 VSS457511:VSU457594 WCO457511:WCQ457594 WMK457511:WMM457594 WWG457511:WWI457594 Y523047:AA523130 JU523047:JW523130 TQ523047:TS523130 ADM523047:ADO523130 ANI523047:ANK523130 AXE523047:AXG523130 BHA523047:BHC523130 BQW523047:BQY523130 CAS523047:CAU523130 CKO523047:CKQ523130 CUK523047:CUM523130 DEG523047:DEI523130 DOC523047:DOE523130 DXY523047:DYA523130 EHU523047:EHW523130 ERQ523047:ERS523130 FBM523047:FBO523130 FLI523047:FLK523130 FVE523047:FVG523130 GFA523047:GFC523130 GOW523047:GOY523130 GYS523047:GYU523130 HIO523047:HIQ523130 HSK523047:HSM523130 ICG523047:ICI523130 IMC523047:IME523130 IVY523047:IWA523130 JFU523047:JFW523130 JPQ523047:JPS523130 JZM523047:JZO523130 KJI523047:KJK523130 KTE523047:KTG523130 LDA523047:LDC523130 LMW523047:LMY523130 LWS523047:LWU523130 MGO523047:MGQ523130 MQK523047:MQM523130 NAG523047:NAI523130 NKC523047:NKE523130 NTY523047:NUA523130 ODU523047:ODW523130 ONQ523047:ONS523130 OXM523047:OXO523130 PHI523047:PHK523130 PRE523047:PRG523130 QBA523047:QBC523130 QKW523047:QKY523130 QUS523047:QUU523130 REO523047:REQ523130 ROK523047:ROM523130 RYG523047:RYI523130 SIC523047:SIE523130 SRY523047:SSA523130 TBU523047:TBW523130 TLQ523047:TLS523130 TVM523047:TVO523130 UFI523047:UFK523130 UPE523047:UPG523130 UZA523047:UZC523130 VIW523047:VIY523130 VSS523047:VSU523130 WCO523047:WCQ523130 WMK523047:WMM523130 WWG523047:WWI523130 Y588583:AA588666 JU588583:JW588666 TQ588583:TS588666 ADM588583:ADO588666 ANI588583:ANK588666 AXE588583:AXG588666 BHA588583:BHC588666 BQW588583:BQY588666 CAS588583:CAU588666 CKO588583:CKQ588666 CUK588583:CUM588666 DEG588583:DEI588666 DOC588583:DOE588666 DXY588583:DYA588666 EHU588583:EHW588666 ERQ588583:ERS588666 FBM588583:FBO588666 FLI588583:FLK588666 FVE588583:FVG588666 GFA588583:GFC588666 GOW588583:GOY588666 GYS588583:GYU588666 HIO588583:HIQ588666 HSK588583:HSM588666 ICG588583:ICI588666 IMC588583:IME588666 IVY588583:IWA588666 JFU588583:JFW588666 JPQ588583:JPS588666 JZM588583:JZO588666 KJI588583:KJK588666 KTE588583:KTG588666 LDA588583:LDC588666 LMW588583:LMY588666 LWS588583:LWU588666 MGO588583:MGQ588666 MQK588583:MQM588666 NAG588583:NAI588666 NKC588583:NKE588666 NTY588583:NUA588666 ODU588583:ODW588666 ONQ588583:ONS588666 OXM588583:OXO588666 PHI588583:PHK588666 PRE588583:PRG588666 QBA588583:QBC588666 QKW588583:QKY588666 QUS588583:QUU588666 REO588583:REQ588666 ROK588583:ROM588666 RYG588583:RYI588666 SIC588583:SIE588666 SRY588583:SSA588666 TBU588583:TBW588666 TLQ588583:TLS588666 TVM588583:TVO588666 UFI588583:UFK588666 UPE588583:UPG588666 UZA588583:UZC588666 VIW588583:VIY588666 VSS588583:VSU588666 WCO588583:WCQ588666 WMK588583:WMM588666 WWG588583:WWI588666 Y654119:AA654202 JU654119:JW654202 TQ654119:TS654202 ADM654119:ADO654202 ANI654119:ANK654202 AXE654119:AXG654202 BHA654119:BHC654202 BQW654119:BQY654202 CAS654119:CAU654202 CKO654119:CKQ654202 CUK654119:CUM654202 DEG654119:DEI654202 DOC654119:DOE654202 DXY654119:DYA654202 EHU654119:EHW654202 ERQ654119:ERS654202 FBM654119:FBO654202 FLI654119:FLK654202 FVE654119:FVG654202 GFA654119:GFC654202 GOW654119:GOY654202 GYS654119:GYU654202 HIO654119:HIQ654202 HSK654119:HSM654202 ICG654119:ICI654202 IMC654119:IME654202 IVY654119:IWA654202 JFU654119:JFW654202 JPQ654119:JPS654202 JZM654119:JZO654202 KJI654119:KJK654202 KTE654119:KTG654202 LDA654119:LDC654202 LMW654119:LMY654202 LWS654119:LWU654202 MGO654119:MGQ654202 MQK654119:MQM654202 NAG654119:NAI654202 NKC654119:NKE654202 NTY654119:NUA654202 ODU654119:ODW654202 ONQ654119:ONS654202 OXM654119:OXO654202 PHI654119:PHK654202 PRE654119:PRG654202 QBA654119:QBC654202 QKW654119:QKY654202 QUS654119:QUU654202 REO654119:REQ654202 ROK654119:ROM654202 RYG654119:RYI654202 SIC654119:SIE654202 SRY654119:SSA654202 TBU654119:TBW654202 TLQ654119:TLS654202 TVM654119:TVO654202 UFI654119:UFK654202 UPE654119:UPG654202 UZA654119:UZC654202 VIW654119:VIY654202 VSS654119:VSU654202 WCO654119:WCQ654202 WMK654119:WMM654202 WWG654119:WWI654202 Y719655:AA719738 JU719655:JW719738 TQ719655:TS719738 ADM719655:ADO719738 ANI719655:ANK719738 AXE719655:AXG719738 BHA719655:BHC719738 BQW719655:BQY719738 CAS719655:CAU719738 CKO719655:CKQ719738 CUK719655:CUM719738 DEG719655:DEI719738 DOC719655:DOE719738 DXY719655:DYA719738 EHU719655:EHW719738 ERQ719655:ERS719738 FBM719655:FBO719738 FLI719655:FLK719738 FVE719655:FVG719738 GFA719655:GFC719738 GOW719655:GOY719738 GYS719655:GYU719738 HIO719655:HIQ719738 HSK719655:HSM719738 ICG719655:ICI719738 IMC719655:IME719738 IVY719655:IWA719738 JFU719655:JFW719738 JPQ719655:JPS719738 JZM719655:JZO719738 KJI719655:KJK719738 KTE719655:KTG719738 LDA719655:LDC719738 LMW719655:LMY719738 LWS719655:LWU719738 MGO719655:MGQ719738 MQK719655:MQM719738 NAG719655:NAI719738 NKC719655:NKE719738 NTY719655:NUA719738 ODU719655:ODW719738 ONQ719655:ONS719738 OXM719655:OXO719738 PHI719655:PHK719738 PRE719655:PRG719738 QBA719655:QBC719738 QKW719655:QKY719738 QUS719655:QUU719738 REO719655:REQ719738 ROK719655:ROM719738 RYG719655:RYI719738 SIC719655:SIE719738 SRY719655:SSA719738 TBU719655:TBW719738 TLQ719655:TLS719738 TVM719655:TVO719738 UFI719655:UFK719738 UPE719655:UPG719738 UZA719655:UZC719738 VIW719655:VIY719738 VSS719655:VSU719738 WCO719655:WCQ719738 WMK719655:WMM719738 WWG719655:WWI719738 Y785191:AA785274 JU785191:JW785274 TQ785191:TS785274 ADM785191:ADO785274 ANI785191:ANK785274 AXE785191:AXG785274 BHA785191:BHC785274 BQW785191:BQY785274 CAS785191:CAU785274 CKO785191:CKQ785274 CUK785191:CUM785274 DEG785191:DEI785274 DOC785191:DOE785274 DXY785191:DYA785274 EHU785191:EHW785274 ERQ785191:ERS785274 FBM785191:FBO785274 FLI785191:FLK785274 FVE785191:FVG785274 GFA785191:GFC785274 GOW785191:GOY785274 GYS785191:GYU785274 HIO785191:HIQ785274 HSK785191:HSM785274 ICG785191:ICI785274 IMC785191:IME785274 IVY785191:IWA785274 JFU785191:JFW785274 JPQ785191:JPS785274 JZM785191:JZO785274 KJI785191:KJK785274 KTE785191:KTG785274 LDA785191:LDC785274 LMW785191:LMY785274 LWS785191:LWU785274 MGO785191:MGQ785274 MQK785191:MQM785274 NAG785191:NAI785274 NKC785191:NKE785274 NTY785191:NUA785274 ODU785191:ODW785274 ONQ785191:ONS785274 OXM785191:OXO785274 PHI785191:PHK785274 PRE785191:PRG785274 QBA785191:QBC785274 QKW785191:QKY785274 QUS785191:QUU785274 REO785191:REQ785274 ROK785191:ROM785274 RYG785191:RYI785274 SIC785191:SIE785274 SRY785191:SSA785274 TBU785191:TBW785274 TLQ785191:TLS785274 TVM785191:TVO785274 UFI785191:UFK785274 UPE785191:UPG785274 UZA785191:UZC785274 VIW785191:VIY785274 VSS785191:VSU785274 WCO785191:WCQ785274 WMK785191:WMM785274 WWG785191:WWI785274 Y850727:AA850810 JU850727:JW850810 TQ850727:TS850810 ADM850727:ADO850810 ANI850727:ANK850810 AXE850727:AXG850810 BHA850727:BHC850810 BQW850727:BQY850810 CAS850727:CAU850810 CKO850727:CKQ850810 CUK850727:CUM850810 DEG850727:DEI850810 DOC850727:DOE850810 DXY850727:DYA850810 EHU850727:EHW850810 ERQ850727:ERS850810 FBM850727:FBO850810 FLI850727:FLK850810 FVE850727:FVG850810 GFA850727:GFC850810 GOW850727:GOY850810 GYS850727:GYU850810 HIO850727:HIQ850810 HSK850727:HSM850810 ICG850727:ICI850810 IMC850727:IME850810 IVY850727:IWA850810 JFU850727:JFW850810 JPQ850727:JPS850810 JZM850727:JZO850810 KJI850727:KJK850810 KTE850727:KTG850810 LDA850727:LDC850810 LMW850727:LMY850810 LWS850727:LWU850810 MGO850727:MGQ850810 MQK850727:MQM850810 NAG850727:NAI850810 NKC850727:NKE850810 NTY850727:NUA850810 ODU850727:ODW850810 ONQ850727:ONS850810 OXM850727:OXO850810 PHI850727:PHK850810 PRE850727:PRG850810 QBA850727:QBC850810 QKW850727:QKY850810 QUS850727:QUU850810 REO850727:REQ850810 ROK850727:ROM850810 RYG850727:RYI850810 SIC850727:SIE850810 SRY850727:SSA850810 TBU850727:TBW850810 TLQ850727:TLS850810 TVM850727:TVO850810 UFI850727:UFK850810 UPE850727:UPG850810 UZA850727:UZC850810 VIW850727:VIY850810 VSS850727:VSU850810 WCO850727:WCQ850810 WMK850727:WMM850810 WWG850727:WWI850810 Y916263:AA916346 JU916263:JW916346 TQ916263:TS916346 ADM916263:ADO916346 ANI916263:ANK916346 AXE916263:AXG916346 BHA916263:BHC916346 BQW916263:BQY916346 CAS916263:CAU916346 CKO916263:CKQ916346 CUK916263:CUM916346 DEG916263:DEI916346 DOC916263:DOE916346 DXY916263:DYA916346 EHU916263:EHW916346 ERQ916263:ERS916346 FBM916263:FBO916346 FLI916263:FLK916346 FVE916263:FVG916346 GFA916263:GFC916346 GOW916263:GOY916346 GYS916263:GYU916346 HIO916263:HIQ916346 HSK916263:HSM916346 ICG916263:ICI916346 IMC916263:IME916346 IVY916263:IWA916346 JFU916263:JFW916346 JPQ916263:JPS916346 JZM916263:JZO916346 KJI916263:KJK916346 KTE916263:KTG916346 LDA916263:LDC916346 LMW916263:LMY916346 LWS916263:LWU916346 MGO916263:MGQ916346 MQK916263:MQM916346 NAG916263:NAI916346 NKC916263:NKE916346 NTY916263:NUA916346 ODU916263:ODW916346 ONQ916263:ONS916346 OXM916263:OXO916346 PHI916263:PHK916346 PRE916263:PRG916346 QBA916263:QBC916346 QKW916263:QKY916346 QUS916263:QUU916346 REO916263:REQ916346 ROK916263:ROM916346 RYG916263:RYI916346 SIC916263:SIE916346 SRY916263:SSA916346 TBU916263:TBW916346 TLQ916263:TLS916346 TVM916263:TVO916346 UFI916263:UFK916346 UPE916263:UPG916346 UZA916263:UZC916346 VIW916263:VIY916346 VSS916263:VSU916346 WCO916263:WCQ916346 WMK916263:WMM916346 WWG916263:WWI916346 Y981799:AA981882 JU981799:JW981882 TQ981799:TS981882 ADM981799:ADO981882 ANI981799:ANK981882 AXE981799:AXG981882 BHA981799:BHC981882 BQW981799:BQY981882 CAS981799:CAU981882 CKO981799:CKQ981882 CUK981799:CUM981882 DEG981799:DEI981882 DOC981799:DOE981882 DXY981799:DYA981882 EHU981799:EHW981882 ERQ981799:ERS981882 FBM981799:FBO981882 FLI981799:FLK981882 FVE981799:FVG981882 GFA981799:GFC981882 GOW981799:GOY981882 GYS981799:GYU981882 HIO981799:HIQ981882 HSK981799:HSM981882 ICG981799:ICI981882 IMC981799:IME981882 IVY981799:IWA981882 JFU981799:JFW981882 JPQ981799:JPS981882 JZM981799:JZO981882 KJI981799:KJK981882 KTE981799:KTG981882 LDA981799:LDC981882 LMW981799:LMY981882 LWS981799:LWU981882 MGO981799:MGQ981882 MQK981799:MQM981882 NAG981799:NAI981882 NKC981799:NKE981882 NTY981799:NUA981882 ODU981799:ODW981882 ONQ981799:ONS981882 OXM981799:OXO981882 PHI981799:PHK981882 PRE981799:PRG981882 QBA981799:QBC981882 QKW981799:QKY981882 QUS981799:QUU981882 REO981799:REQ981882 ROK981799:ROM981882 RYG981799:RYI981882 SIC981799:SIE981882 SRY981799:SSA981882 TBU981799:TBW981882 TLQ981799:TLS981882 TVM981799:TVO981882 UFI981799:UFK981882 UPE981799:UPG981882 UZA981799:UZC981882 VIW981799:VIY981882 VSS981799:VSU981882 WCO981799:WCQ981882 WWG2:WWI67 WMK2:WMM67 WCO2:WCQ67 VSS2:VSU67 VIW2:VIY67 UZA2:UZC67 UPE2:UPG67 UFI2:UFK67 TVM2:TVO67 TLQ2:TLS67 TBU2:TBW67 SRY2:SSA67 SIC2:SIE67 RYG2:RYI67 ROK2:ROM67 REO2:REQ67 QUS2:QUU67 QKW2:QKY67 QBA2:QBC67 PRE2:PRG67 PHI2:PHK67 OXM2:OXO67 ONQ2:ONS67 ODU2:ODW67 NTY2:NUA67 NKC2:NKE67 NAG2:NAI67 MQK2:MQM67 MGO2:MGQ67 LWS2:LWU67 LMW2:LMY67 LDA2:LDC67 KTE2:KTG67 KJI2:KJK67 JZM2:JZO67 JPQ2:JPS67 JFU2:JFW67 IVY2:IWA67 IMC2:IME67 ICG2:ICI67 HSK2:HSM67 HIO2:HIQ67 GYS2:GYU67 GOW2:GOY67 GFA2:GFC67 FVE2:FVG67 FLI2:FLK67 FBM2:FBO67 ERQ2:ERS67 EHU2:EHW67 DXY2:DYA67 DOC2:DOE67 DEG2:DEI67 CUK2:CUM67 CKO2:CKQ67 CAS2:CAU67 BQW2:BQY67 BHA2:BHC67 AXE2:AXG67 ANI2:ANK67 ADM2:ADO67 TQ2:TS67 JU2:JW67">
      <formula1>$AV$2:$AV$22</formula1>
    </dataValidation>
    <dataValidation type="list" allowBlank="1" showInputMessage="1" showErrorMessage="1" sqref="K115:K494">
      <formula1>$AR$2:$AR$25</formula1>
    </dataValidation>
    <dataValidation type="list" allowBlank="1" showInputMessage="1" showErrorMessage="1" sqref="J90:J494 J2:J88">
      <formula1>$AP$2:$AP$27</formula1>
    </dataValidation>
    <dataValidation type="list" allowBlank="1" showInputMessage="1" showErrorMessage="1" sqref="F90:F494 F2:F88">
      <formula1>$AH$2:$AH$10</formula1>
    </dataValidation>
    <dataValidation type="list" allowBlank="1" showInputMessage="1" showErrorMessage="1" sqref="E90:E494 E2:E88">
      <formula1>$AG$2:$AG$11</formula1>
    </dataValidation>
    <dataValidation type="list" allowBlank="1" showInputMessage="1" showErrorMessage="1" sqref="A90:A494 A2:A88">
      <formula1>$AE$2:$AE$19</formula1>
    </dataValidation>
    <dataValidation type="list" allowBlank="1" showInputMessage="1" showErrorMessage="1" sqref="H90:H494 H2:H88">
      <formula1>$AL$2:$AL$8</formula1>
    </dataValidation>
    <dataValidation type="list" allowBlank="1" showInputMessage="1" showErrorMessage="1" sqref="Y90:AA494 Y2:AA88">
      <formula1>$AV$2:$AV$21</formula1>
    </dataValidation>
    <dataValidation type="decimal" allowBlank="1" showInputMessage="1" showErrorMessage="1" error="硬度を正しく入力して下さい。" sqref="O90:P494 N38:N66 N5:O7 O14:O22 N68:N72 N11:N13 N17:N22 P5:P37 O38:P88">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6"/>
  <sheetViews>
    <sheetView topLeftCell="C1" zoomScale="85" zoomScaleNormal="85" workbookViewId="0">
      <selection activeCell="N41" sqref="N41"/>
    </sheetView>
  </sheetViews>
  <sheetFormatPr defaultColWidth="8.875" defaultRowHeight="13.5" x14ac:dyDescent="0.15"/>
  <cols>
    <col min="1" max="3" width="8.875" style="208"/>
    <col min="4" max="4" width="13.5" style="208" bestFit="1" customWidth="1"/>
    <col min="5" max="5" width="9.625" style="208" bestFit="1" customWidth="1"/>
    <col min="6" max="16" width="8.875" style="208"/>
    <col min="17" max="17" width="8.875" style="217"/>
    <col min="18" max="19" width="8.875" style="208"/>
    <col min="20" max="20" width="8.875" style="217"/>
    <col min="21" max="21" width="8.875" style="208"/>
    <col min="22" max="22" width="8.875" style="217"/>
    <col min="23" max="32" width="8.875" style="208"/>
    <col min="33" max="33" width="19.625" style="208" bestFit="1" customWidth="1"/>
    <col min="34" max="259" width="8.875" style="208"/>
    <col min="260" max="260" width="10.5" style="208" bestFit="1" customWidth="1"/>
    <col min="261" max="261" width="9.625" style="208" bestFit="1" customWidth="1"/>
    <col min="262" max="515" width="8.875" style="208"/>
    <col min="516" max="516" width="10.5" style="208" bestFit="1" customWidth="1"/>
    <col min="517" max="517" width="9.625" style="208" bestFit="1" customWidth="1"/>
    <col min="518" max="771" width="8.875" style="208"/>
    <col min="772" max="772" width="10.5" style="208" bestFit="1" customWidth="1"/>
    <col min="773" max="773" width="9.625" style="208" bestFit="1" customWidth="1"/>
    <col min="774" max="1027" width="8.875" style="208"/>
    <col min="1028" max="1028" width="10.5" style="208" bestFit="1" customWidth="1"/>
    <col min="1029" max="1029" width="9.625" style="208" bestFit="1" customWidth="1"/>
    <col min="1030" max="1283" width="8.875" style="208"/>
    <col min="1284" max="1284" width="10.5" style="208" bestFit="1" customWidth="1"/>
    <col min="1285" max="1285" width="9.625" style="208" bestFit="1" customWidth="1"/>
    <col min="1286" max="1539" width="8.875" style="208"/>
    <col min="1540" max="1540" width="10.5" style="208" bestFit="1" customWidth="1"/>
    <col min="1541" max="1541" width="9.625" style="208" bestFit="1" customWidth="1"/>
    <col min="1542" max="1795" width="8.875" style="208"/>
    <col min="1796" max="1796" width="10.5" style="208" bestFit="1" customWidth="1"/>
    <col min="1797" max="1797" width="9.625" style="208" bestFit="1" customWidth="1"/>
    <col min="1798" max="2051" width="8.875" style="208"/>
    <col min="2052" max="2052" width="10.5" style="208" bestFit="1" customWidth="1"/>
    <col min="2053" max="2053" width="9.625" style="208" bestFit="1" customWidth="1"/>
    <col min="2054" max="2307" width="8.875" style="208"/>
    <col min="2308" max="2308" width="10.5" style="208" bestFit="1" customWidth="1"/>
    <col min="2309" max="2309" width="9.625" style="208" bestFit="1" customWidth="1"/>
    <col min="2310" max="2563" width="8.875" style="208"/>
    <col min="2564" max="2564" width="10.5" style="208" bestFit="1" customWidth="1"/>
    <col min="2565" max="2565" width="9.625" style="208" bestFit="1" customWidth="1"/>
    <col min="2566" max="2819" width="8.875" style="208"/>
    <col min="2820" max="2820" width="10.5" style="208" bestFit="1" customWidth="1"/>
    <col min="2821" max="2821" width="9.625" style="208" bestFit="1" customWidth="1"/>
    <col min="2822" max="3075" width="8.875" style="208"/>
    <col min="3076" max="3076" width="10.5" style="208" bestFit="1" customWidth="1"/>
    <col min="3077" max="3077" width="9.625" style="208" bestFit="1" customWidth="1"/>
    <col min="3078" max="3331" width="8.875" style="208"/>
    <col min="3332" max="3332" width="10.5" style="208" bestFit="1" customWidth="1"/>
    <col min="3333" max="3333" width="9.625" style="208" bestFit="1" customWidth="1"/>
    <col min="3334" max="3587" width="8.875" style="208"/>
    <col min="3588" max="3588" width="10.5" style="208" bestFit="1" customWidth="1"/>
    <col min="3589" max="3589" width="9.625" style="208" bestFit="1" customWidth="1"/>
    <col min="3590" max="3843" width="8.875" style="208"/>
    <col min="3844" max="3844" width="10.5" style="208" bestFit="1" customWidth="1"/>
    <col min="3845" max="3845" width="9.625" style="208" bestFit="1" customWidth="1"/>
    <col min="3846" max="4099" width="8.875" style="208"/>
    <col min="4100" max="4100" width="10.5" style="208" bestFit="1" customWidth="1"/>
    <col min="4101" max="4101" width="9.625" style="208" bestFit="1" customWidth="1"/>
    <col min="4102" max="4355" width="8.875" style="208"/>
    <col min="4356" max="4356" width="10.5" style="208" bestFit="1" customWidth="1"/>
    <col min="4357" max="4357" width="9.625" style="208" bestFit="1" customWidth="1"/>
    <col min="4358" max="4611" width="8.875" style="208"/>
    <col min="4612" max="4612" width="10.5" style="208" bestFit="1" customWidth="1"/>
    <col min="4613" max="4613" width="9.625" style="208" bestFit="1" customWidth="1"/>
    <col min="4614" max="4867" width="8.875" style="208"/>
    <col min="4868" max="4868" width="10.5" style="208" bestFit="1" customWidth="1"/>
    <col min="4869" max="4869" width="9.625" style="208" bestFit="1" customWidth="1"/>
    <col min="4870" max="5123" width="8.875" style="208"/>
    <col min="5124" max="5124" width="10.5" style="208" bestFit="1" customWidth="1"/>
    <col min="5125" max="5125" width="9.625" style="208" bestFit="1" customWidth="1"/>
    <col min="5126" max="5379" width="8.875" style="208"/>
    <col min="5380" max="5380" width="10.5" style="208" bestFit="1" customWidth="1"/>
    <col min="5381" max="5381" width="9.625" style="208" bestFit="1" customWidth="1"/>
    <col min="5382" max="5635" width="8.875" style="208"/>
    <col min="5636" max="5636" width="10.5" style="208" bestFit="1" customWidth="1"/>
    <col min="5637" max="5637" width="9.625" style="208" bestFit="1" customWidth="1"/>
    <col min="5638" max="5891" width="8.875" style="208"/>
    <col min="5892" max="5892" width="10.5" style="208" bestFit="1" customWidth="1"/>
    <col min="5893" max="5893" width="9.625" style="208" bestFit="1" customWidth="1"/>
    <col min="5894" max="6147" width="8.875" style="208"/>
    <col min="6148" max="6148" width="10.5" style="208" bestFit="1" customWidth="1"/>
    <col min="6149" max="6149" width="9.625" style="208" bestFit="1" customWidth="1"/>
    <col min="6150" max="6403" width="8.875" style="208"/>
    <col min="6404" max="6404" width="10.5" style="208" bestFit="1" customWidth="1"/>
    <col min="6405" max="6405" width="9.625" style="208" bestFit="1" customWidth="1"/>
    <col min="6406" max="6659" width="8.875" style="208"/>
    <col min="6660" max="6660" width="10.5" style="208" bestFit="1" customWidth="1"/>
    <col min="6661" max="6661" width="9.625" style="208" bestFit="1" customWidth="1"/>
    <col min="6662" max="6915" width="8.875" style="208"/>
    <col min="6916" max="6916" width="10.5" style="208" bestFit="1" customWidth="1"/>
    <col min="6917" max="6917" width="9.625" style="208" bestFit="1" customWidth="1"/>
    <col min="6918" max="7171" width="8.875" style="208"/>
    <col min="7172" max="7172" width="10.5" style="208" bestFit="1" customWidth="1"/>
    <col min="7173" max="7173" width="9.625" style="208" bestFit="1" customWidth="1"/>
    <col min="7174" max="7427" width="8.875" style="208"/>
    <col min="7428" max="7428" width="10.5" style="208" bestFit="1" customWidth="1"/>
    <col min="7429" max="7429" width="9.625" style="208" bestFit="1" customWidth="1"/>
    <col min="7430" max="7683" width="8.875" style="208"/>
    <col min="7684" max="7684" width="10.5" style="208" bestFit="1" customWidth="1"/>
    <col min="7685" max="7685" width="9.625" style="208" bestFit="1" customWidth="1"/>
    <col min="7686" max="7939" width="8.875" style="208"/>
    <col min="7940" max="7940" width="10.5" style="208" bestFit="1" customWidth="1"/>
    <col min="7941" max="7941" width="9.625" style="208" bestFit="1" customWidth="1"/>
    <col min="7942" max="8195" width="8.875" style="208"/>
    <col min="8196" max="8196" width="10.5" style="208" bestFit="1" customWidth="1"/>
    <col min="8197" max="8197" width="9.625" style="208" bestFit="1" customWidth="1"/>
    <col min="8198" max="8451" width="8.875" style="208"/>
    <col min="8452" max="8452" width="10.5" style="208" bestFit="1" customWidth="1"/>
    <col min="8453" max="8453" width="9.625" style="208" bestFit="1" customWidth="1"/>
    <col min="8454" max="8707" width="8.875" style="208"/>
    <col min="8708" max="8708" width="10.5" style="208" bestFit="1" customWidth="1"/>
    <col min="8709" max="8709" width="9.625" style="208" bestFit="1" customWidth="1"/>
    <col min="8710" max="8963" width="8.875" style="208"/>
    <col min="8964" max="8964" width="10.5" style="208" bestFit="1" customWidth="1"/>
    <col min="8965" max="8965" width="9.625" style="208" bestFit="1" customWidth="1"/>
    <col min="8966" max="9219" width="8.875" style="208"/>
    <col min="9220" max="9220" width="10.5" style="208" bestFit="1" customWidth="1"/>
    <col min="9221" max="9221" width="9.625" style="208" bestFit="1" customWidth="1"/>
    <col min="9222" max="9475" width="8.875" style="208"/>
    <col min="9476" max="9476" width="10.5" style="208" bestFit="1" customWidth="1"/>
    <col min="9477" max="9477" width="9.625" style="208" bestFit="1" customWidth="1"/>
    <col min="9478" max="9731" width="8.875" style="208"/>
    <col min="9732" max="9732" width="10.5" style="208" bestFit="1" customWidth="1"/>
    <col min="9733" max="9733" width="9.625" style="208" bestFit="1" customWidth="1"/>
    <col min="9734" max="9987" width="8.875" style="208"/>
    <col min="9988" max="9988" width="10.5" style="208" bestFit="1" customWidth="1"/>
    <col min="9989" max="9989" width="9.625" style="208" bestFit="1" customWidth="1"/>
    <col min="9990" max="10243" width="8.875" style="208"/>
    <col min="10244" max="10244" width="10.5" style="208" bestFit="1" customWidth="1"/>
    <col min="10245" max="10245" width="9.625" style="208" bestFit="1" customWidth="1"/>
    <col min="10246" max="10499" width="8.875" style="208"/>
    <col min="10500" max="10500" width="10.5" style="208" bestFit="1" customWidth="1"/>
    <col min="10501" max="10501" width="9.625" style="208" bestFit="1" customWidth="1"/>
    <col min="10502" max="10755" width="8.875" style="208"/>
    <col min="10756" max="10756" width="10.5" style="208" bestFit="1" customWidth="1"/>
    <col min="10757" max="10757" width="9.625" style="208" bestFit="1" customWidth="1"/>
    <col min="10758" max="11011" width="8.875" style="208"/>
    <col min="11012" max="11012" width="10.5" style="208" bestFit="1" customWidth="1"/>
    <col min="11013" max="11013" width="9.625" style="208" bestFit="1" customWidth="1"/>
    <col min="11014" max="11267" width="8.875" style="208"/>
    <col min="11268" max="11268" width="10.5" style="208" bestFit="1" customWidth="1"/>
    <col min="11269" max="11269" width="9.625" style="208" bestFit="1" customWidth="1"/>
    <col min="11270" max="11523" width="8.875" style="208"/>
    <col min="11524" max="11524" width="10.5" style="208" bestFit="1" customWidth="1"/>
    <col min="11525" max="11525" width="9.625" style="208" bestFit="1" customWidth="1"/>
    <col min="11526" max="11779" width="8.875" style="208"/>
    <col min="11780" max="11780" width="10.5" style="208" bestFit="1" customWidth="1"/>
    <col min="11781" max="11781" width="9.625" style="208" bestFit="1" customWidth="1"/>
    <col min="11782" max="12035" width="8.875" style="208"/>
    <col min="12036" max="12036" width="10.5" style="208" bestFit="1" customWidth="1"/>
    <col min="12037" max="12037" width="9.625" style="208" bestFit="1" customWidth="1"/>
    <col min="12038" max="12291" width="8.875" style="208"/>
    <col min="12292" max="12292" width="10.5" style="208" bestFit="1" customWidth="1"/>
    <col min="12293" max="12293" width="9.625" style="208" bestFit="1" customWidth="1"/>
    <col min="12294" max="12547" width="8.875" style="208"/>
    <col min="12548" max="12548" width="10.5" style="208" bestFit="1" customWidth="1"/>
    <col min="12549" max="12549" width="9.625" style="208" bestFit="1" customWidth="1"/>
    <col min="12550" max="12803" width="8.875" style="208"/>
    <col min="12804" max="12804" width="10.5" style="208" bestFit="1" customWidth="1"/>
    <col min="12805" max="12805" width="9.625" style="208" bestFit="1" customWidth="1"/>
    <col min="12806" max="13059" width="8.875" style="208"/>
    <col min="13060" max="13060" width="10.5" style="208" bestFit="1" customWidth="1"/>
    <col min="13061" max="13061" width="9.625" style="208" bestFit="1" customWidth="1"/>
    <col min="13062" max="13315" width="8.875" style="208"/>
    <col min="13316" max="13316" width="10.5" style="208" bestFit="1" customWidth="1"/>
    <col min="13317" max="13317" width="9.625" style="208" bestFit="1" customWidth="1"/>
    <col min="13318" max="13571" width="8.875" style="208"/>
    <col min="13572" max="13572" width="10.5" style="208" bestFit="1" customWidth="1"/>
    <col min="13573" max="13573" width="9.625" style="208" bestFit="1" customWidth="1"/>
    <col min="13574" max="13827" width="8.875" style="208"/>
    <col min="13828" max="13828" width="10.5" style="208" bestFit="1" customWidth="1"/>
    <col min="13829" max="13829" width="9.625" style="208" bestFit="1" customWidth="1"/>
    <col min="13830" max="14083" width="8.875" style="208"/>
    <col min="14084" max="14084" width="10.5" style="208" bestFit="1" customWidth="1"/>
    <col min="14085" max="14085" width="9.625" style="208" bestFit="1" customWidth="1"/>
    <col min="14086" max="14339" width="8.875" style="208"/>
    <col min="14340" max="14340" width="10.5" style="208" bestFit="1" customWidth="1"/>
    <col min="14341" max="14341" width="9.625" style="208" bestFit="1" customWidth="1"/>
    <col min="14342" max="14595" width="8.875" style="208"/>
    <col min="14596" max="14596" width="10.5" style="208" bestFit="1" customWidth="1"/>
    <col min="14597" max="14597" width="9.625" style="208" bestFit="1" customWidth="1"/>
    <col min="14598" max="14851" width="8.875" style="208"/>
    <col min="14852" max="14852" width="10.5" style="208" bestFit="1" customWidth="1"/>
    <col min="14853" max="14853" width="9.625" style="208" bestFit="1" customWidth="1"/>
    <col min="14854" max="15107" width="8.875" style="208"/>
    <col min="15108" max="15108" width="10.5" style="208" bestFit="1" customWidth="1"/>
    <col min="15109" max="15109" width="9.625" style="208" bestFit="1" customWidth="1"/>
    <col min="15110" max="15363" width="8.875" style="208"/>
    <col min="15364" max="15364" width="10.5" style="208" bestFit="1" customWidth="1"/>
    <col min="15365" max="15365" width="9.625" style="208" bestFit="1" customWidth="1"/>
    <col min="15366" max="15619" width="8.875" style="208"/>
    <col min="15620" max="15620" width="10.5" style="208" bestFit="1" customWidth="1"/>
    <col min="15621" max="15621" width="9.625" style="208" bestFit="1" customWidth="1"/>
    <col min="15622" max="15875" width="8.875" style="208"/>
    <col min="15876" max="15876" width="10.5" style="208" bestFit="1" customWidth="1"/>
    <col min="15877" max="15877" width="9.625" style="208" bestFit="1" customWidth="1"/>
    <col min="15878" max="16131" width="8.875" style="208"/>
    <col min="16132" max="16132" width="10.5" style="208" bestFit="1" customWidth="1"/>
    <col min="16133" max="16133" width="9.625" style="208" bestFit="1" customWidth="1"/>
    <col min="16134" max="16384" width="8.875" style="208"/>
  </cols>
  <sheetData>
    <row r="1" spans="1:53" ht="45" x14ac:dyDescent="0.15">
      <c r="A1" s="240" t="s">
        <v>0</v>
      </c>
      <c r="B1" s="202" t="s">
        <v>1</v>
      </c>
      <c r="C1" s="202" t="s">
        <v>2</v>
      </c>
      <c r="D1" s="203" t="s">
        <v>3</v>
      </c>
      <c r="E1" s="241" t="s">
        <v>4</v>
      </c>
      <c r="F1" s="241" t="s">
        <v>5</v>
      </c>
      <c r="G1" s="241" t="s">
        <v>6</v>
      </c>
      <c r="H1" s="241" t="s">
        <v>7</v>
      </c>
      <c r="I1" s="241" t="s">
        <v>8</v>
      </c>
      <c r="J1" s="241" t="s">
        <v>9</v>
      </c>
      <c r="K1" s="241" t="s">
        <v>10</v>
      </c>
      <c r="L1" s="203" t="s">
        <v>303</v>
      </c>
      <c r="M1" s="203" t="s">
        <v>12</v>
      </c>
      <c r="N1" s="203" t="s">
        <v>413</v>
      </c>
      <c r="O1" s="203" t="s">
        <v>343</v>
      </c>
      <c r="P1" s="203" t="s">
        <v>15</v>
      </c>
      <c r="Q1" s="204" t="s">
        <v>16</v>
      </c>
      <c r="R1" s="203" t="s">
        <v>245</v>
      </c>
      <c r="S1" s="203" t="s">
        <v>344</v>
      </c>
      <c r="T1" s="204" t="s">
        <v>19</v>
      </c>
      <c r="U1" s="205" t="s">
        <v>246</v>
      </c>
      <c r="V1" s="206" t="s">
        <v>20</v>
      </c>
      <c r="W1" s="203" t="s">
        <v>21</v>
      </c>
      <c r="X1" s="241" t="s">
        <v>22</v>
      </c>
      <c r="Y1" s="241" t="s">
        <v>23</v>
      </c>
      <c r="Z1" s="241" t="s">
        <v>24</v>
      </c>
      <c r="AA1" s="242" t="s">
        <v>25</v>
      </c>
      <c r="AB1" s="207" t="s">
        <v>26</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30</v>
      </c>
      <c r="AY1" s="214" t="s">
        <v>31</v>
      </c>
      <c r="AZ1" s="214" t="s">
        <v>32</v>
      </c>
      <c r="BA1" s="215" t="s">
        <v>325</v>
      </c>
    </row>
    <row r="2" spans="1:53" x14ac:dyDescent="0.15">
      <c r="A2" s="208" t="s">
        <v>59</v>
      </c>
      <c r="B2" s="237" t="s">
        <v>345</v>
      </c>
      <c r="C2" s="152">
        <v>2018</v>
      </c>
      <c r="D2" s="153" t="s">
        <v>414</v>
      </c>
      <c r="E2" s="208" t="s">
        <v>415</v>
      </c>
      <c r="F2" s="208" t="s">
        <v>287</v>
      </c>
      <c r="G2" s="208" t="s">
        <v>36</v>
      </c>
      <c r="H2" s="208" t="s">
        <v>157</v>
      </c>
      <c r="I2" s="208" t="s">
        <v>153</v>
      </c>
      <c r="J2" s="208" t="s">
        <v>38</v>
      </c>
      <c r="K2" s="208" t="s">
        <v>154</v>
      </c>
      <c r="L2" s="208">
        <v>1</v>
      </c>
      <c r="N2" s="208">
        <v>4</v>
      </c>
      <c r="O2" s="208">
        <v>0.44</v>
      </c>
      <c r="P2" s="208">
        <v>0.42</v>
      </c>
      <c r="Q2" s="245">
        <f>IF(OR(O2="",P2=""),"",AVERAGE(O2,P2))</f>
        <v>0.43</v>
      </c>
      <c r="R2" s="208">
        <v>14.8</v>
      </c>
      <c r="S2" s="208">
        <v>130</v>
      </c>
      <c r="T2" s="217">
        <f t="shared" ref="T2:T67" si="0">IF(H2="","",IF(OR(H2="GREEN",H2="GK"),IF(S2&gt;=$AX$2,VLOOKUP(S2,$AX$2:$AY$12,2,1),""),IF(S2&gt;=$AZ$2,VLOOKUP(S2,$AZ$2:$BA$12,2,1),"")))</f>
        <v>25</v>
      </c>
      <c r="U2" s="208">
        <v>480</v>
      </c>
      <c r="V2" s="217">
        <f t="shared" ref="V2:V64" si="1">IF(J2="","",IF(OR(J2="GREEN",J2="GK"),IF(U2&gt;=$AX$2,VLOOKUP(U2,$AX$2:$AY$12,2,1),""),IF(U2&gt;=$AZ$2,VLOOKUP(U2,$AZ$2:$BA$12,2,1),"")))</f>
        <v>16</v>
      </c>
      <c r="W2" s="208">
        <v>1</v>
      </c>
      <c r="X2" s="208" t="s">
        <v>39</v>
      </c>
      <c r="Y2" s="208" t="s">
        <v>258</v>
      </c>
      <c r="Z2" s="208" t="s">
        <v>84</v>
      </c>
      <c r="AA2" s="208" t="s">
        <v>90</v>
      </c>
      <c r="AB2" s="237" t="s">
        <v>416</v>
      </c>
      <c r="AE2" s="218" t="s">
        <v>35</v>
      </c>
      <c r="AG2" s="154" t="s">
        <v>294</v>
      </c>
      <c r="AH2" s="155" t="s">
        <v>286</v>
      </c>
      <c r="AJ2" s="248" t="s">
        <v>36</v>
      </c>
      <c r="AL2" s="219" t="s">
        <v>127</v>
      </c>
      <c r="AN2" s="156" t="s">
        <v>417</v>
      </c>
      <c r="AP2" s="219" t="s">
        <v>38</v>
      </c>
      <c r="AR2" s="219" t="s">
        <v>418</v>
      </c>
      <c r="AT2" s="248" t="s">
        <v>39</v>
      </c>
      <c r="AV2" s="224" t="s">
        <v>55</v>
      </c>
      <c r="AX2" s="157">
        <v>1</v>
      </c>
      <c r="AY2" s="158">
        <v>50</v>
      </c>
      <c r="AZ2" s="158">
        <v>1</v>
      </c>
      <c r="BA2" s="159">
        <v>50</v>
      </c>
    </row>
    <row r="3" spans="1:53" x14ac:dyDescent="0.15">
      <c r="A3" s="208" t="s">
        <v>59</v>
      </c>
      <c r="B3" s="237" t="s">
        <v>419</v>
      </c>
      <c r="C3" s="152">
        <v>2018</v>
      </c>
      <c r="D3" s="153" t="s">
        <v>420</v>
      </c>
      <c r="E3" s="208" t="s">
        <v>421</v>
      </c>
      <c r="F3" s="208" t="s">
        <v>287</v>
      </c>
      <c r="G3" s="208" t="s">
        <v>36</v>
      </c>
      <c r="H3" s="208" t="s">
        <v>157</v>
      </c>
      <c r="I3" s="208" t="s">
        <v>153</v>
      </c>
      <c r="J3" s="208" t="s">
        <v>38</v>
      </c>
      <c r="K3" s="208" t="s">
        <v>154</v>
      </c>
      <c r="L3" s="208">
        <v>2</v>
      </c>
      <c r="N3" s="208">
        <v>4</v>
      </c>
      <c r="O3" s="208">
        <v>0.4</v>
      </c>
      <c r="P3" s="208">
        <v>0.42</v>
      </c>
      <c r="Q3" s="245">
        <f t="shared" ref="Q3:Q67" si="2">IF(OR(O3="",P3=""),"",AVERAGE(O3,P3))</f>
        <v>0.41000000000000003</v>
      </c>
      <c r="R3" s="208">
        <v>15.5</v>
      </c>
      <c r="S3" s="208">
        <v>136</v>
      </c>
      <c r="T3" s="217">
        <f t="shared" si="0"/>
        <v>25</v>
      </c>
      <c r="U3" s="208">
        <v>480</v>
      </c>
      <c r="V3" s="217">
        <f t="shared" si="1"/>
        <v>16</v>
      </c>
      <c r="W3" s="208">
        <v>1</v>
      </c>
      <c r="X3" s="208" t="s">
        <v>39</v>
      </c>
      <c r="Y3" s="208" t="s">
        <v>258</v>
      </c>
      <c r="Z3" s="208" t="s">
        <v>84</v>
      </c>
      <c r="AA3" s="208" t="s">
        <v>90</v>
      </c>
      <c r="AB3" s="237" t="s">
        <v>416</v>
      </c>
      <c r="AE3" s="223" t="s">
        <v>41</v>
      </c>
      <c r="AG3" s="154" t="s">
        <v>295</v>
      </c>
      <c r="AH3" s="155" t="s">
        <v>287</v>
      </c>
      <c r="AJ3" s="224" t="s">
        <v>42</v>
      </c>
      <c r="AL3" s="224" t="s">
        <v>128</v>
      </c>
      <c r="AN3" s="224" t="s">
        <v>43</v>
      </c>
      <c r="AP3" s="224" t="s">
        <v>44</v>
      </c>
      <c r="AR3" s="238" t="s">
        <v>45</v>
      </c>
      <c r="AT3" s="224" t="s">
        <v>46</v>
      </c>
      <c r="AV3" s="224" t="s">
        <v>422</v>
      </c>
      <c r="AX3" s="225">
        <v>72</v>
      </c>
      <c r="AY3" s="226">
        <v>46</v>
      </c>
      <c r="AZ3" s="226">
        <v>71</v>
      </c>
      <c r="BA3" s="227">
        <v>42</v>
      </c>
    </row>
    <row r="4" spans="1:53" x14ac:dyDescent="0.15">
      <c r="A4" s="208" t="s">
        <v>59</v>
      </c>
      <c r="B4" s="237" t="s">
        <v>423</v>
      </c>
      <c r="C4" s="152">
        <v>2018</v>
      </c>
      <c r="D4" s="153" t="s">
        <v>424</v>
      </c>
      <c r="E4" s="208" t="s">
        <v>425</v>
      </c>
      <c r="F4" s="208" t="s">
        <v>287</v>
      </c>
      <c r="G4" s="208" t="s">
        <v>36</v>
      </c>
      <c r="H4" s="208" t="s">
        <v>157</v>
      </c>
      <c r="I4" s="208" t="s">
        <v>426</v>
      </c>
      <c r="J4" s="208" t="s">
        <v>38</v>
      </c>
      <c r="K4" s="208" t="s">
        <v>154</v>
      </c>
      <c r="L4" s="208">
        <v>3</v>
      </c>
      <c r="N4" s="208">
        <v>4</v>
      </c>
      <c r="O4" s="208">
        <v>0.43</v>
      </c>
      <c r="P4" s="208">
        <v>0.45</v>
      </c>
      <c r="Q4" s="245">
        <f t="shared" si="2"/>
        <v>0.44</v>
      </c>
      <c r="R4" s="208">
        <v>15.4</v>
      </c>
      <c r="S4" s="208">
        <v>136</v>
      </c>
      <c r="T4" s="217">
        <f t="shared" si="0"/>
        <v>25</v>
      </c>
      <c r="U4" s="208">
        <v>480</v>
      </c>
      <c r="V4" s="217">
        <f t="shared" si="1"/>
        <v>16</v>
      </c>
      <c r="W4" s="208">
        <v>1</v>
      </c>
      <c r="X4" s="208" t="s">
        <v>39</v>
      </c>
      <c r="Y4" s="208" t="s">
        <v>258</v>
      </c>
      <c r="Z4" s="208" t="s">
        <v>84</v>
      </c>
      <c r="AA4" s="208" t="s">
        <v>90</v>
      </c>
      <c r="AB4" s="237" t="s">
        <v>416</v>
      </c>
      <c r="AE4" s="223" t="s">
        <v>34</v>
      </c>
      <c r="AG4" s="154" t="s">
        <v>296</v>
      </c>
      <c r="AH4" s="155" t="s">
        <v>288</v>
      </c>
      <c r="AJ4" s="228" t="s">
        <v>48</v>
      </c>
      <c r="AL4" s="228" t="s">
        <v>129</v>
      </c>
      <c r="AN4" s="229" t="s">
        <v>49</v>
      </c>
      <c r="AP4" s="224" t="s">
        <v>427</v>
      </c>
      <c r="AR4" s="238" t="s">
        <v>247</v>
      </c>
      <c r="AT4" s="229"/>
      <c r="AV4" s="224" t="s">
        <v>428</v>
      </c>
      <c r="AX4" s="225">
        <v>75</v>
      </c>
      <c r="AY4" s="226">
        <v>42</v>
      </c>
      <c r="AZ4" s="226">
        <v>76</v>
      </c>
      <c r="BA4" s="227">
        <v>39</v>
      </c>
    </row>
    <row r="5" spans="1:53" x14ac:dyDescent="0.15">
      <c r="A5" s="208" t="s">
        <v>59</v>
      </c>
      <c r="B5" s="237" t="s">
        <v>423</v>
      </c>
      <c r="C5" s="152">
        <v>2018</v>
      </c>
      <c r="D5" s="153" t="s">
        <v>424</v>
      </c>
      <c r="E5" s="208" t="s">
        <v>425</v>
      </c>
      <c r="F5" s="208" t="s">
        <v>287</v>
      </c>
      <c r="G5" s="208" t="s">
        <v>36</v>
      </c>
      <c r="H5" s="208" t="s">
        <v>155</v>
      </c>
      <c r="I5" s="208" t="s">
        <v>153</v>
      </c>
      <c r="J5" s="208" t="s">
        <v>38</v>
      </c>
      <c r="K5" s="208" t="s">
        <v>154</v>
      </c>
      <c r="L5" s="208">
        <v>1</v>
      </c>
      <c r="N5" s="208">
        <v>1</v>
      </c>
      <c r="O5" s="208">
        <v>0.36</v>
      </c>
      <c r="P5" s="208">
        <v>0.44</v>
      </c>
      <c r="Q5" s="245">
        <f t="shared" si="2"/>
        <v>0.4</v>
      </c>
      <c r="R5" s="208">
        <v>13.5</v>
      </c>
      <c r="S5" s="208">
        <v>145</v>
      </c>
      <c r="T5" s="217">
        <f t="shared" si="0"/>
        <v>22</v>
      </c>
      <c r="U5" s="208">
        <v>128</v>
      </c>
      <c r="V5" s="217">
        <f t="shared" si="1"/>
        <v>27</v>
      </c>
      <c r="W5" s="208">
        <v>2</v>
      </c>
      <c r="X5" s="208" t="s">
        <v>39</v>
      </c>
      <c r="Y5" s="208" t="s">
        <v>258</v>
      </c>
      <c r="Z5" s="208" t="s">
        <v>84</v>
      </c>
      <c r="AA5" s="208" t="s">
        <v>90</v>
      </c>
      <c r="AB5" s="237" t="s">
        <v>416</v>
      </c>
      <c r="AE5" s="223" t="s">
        <v>51</v>
      </c>
      <c r="AG5" s="154" t="s">
        <v>248</v>
      </c>
      <c r="AH5" s="155" t="s">
        <v>289</v>
      </c>
      <c r="AJ5" s="229"/>
      <c r="AL5" s="230" t="s">
        <v>429</v>
      </c>
      <c r="AN5" s="72" t="s">
        <v>430</v>
      </c>
      <c r="AP5" s="224" t="s">
        <v>431</v>
      </c>
      <c r="AR5" s="238" t="s">
        <v>54</v>
      </c>
      <c r="AV5" s="224" t="s">
        <v>432</v>
      </c>
      <c r="AX5" s="225">
        <v>84</v>
      </c>
      <c r="AY5" s="226">
        <v>39</v>
      </c>
      <c r="AZ5" s="226">
        <v>84</v>
      </c>
      <c r="BA5" s="227">
        <v>36</v>
      </c>
    </row>
    <row r="6" spans="1:53" x14ac:dyDescent="0.15">
      <c r="A6" s="208" t="s">
        <v>59</v>
      </c>
      <c r="B6" s="237" t="s">
        <v>423</v>
      </c>
      <c r="C6" s="152">
        <v>2018</v>
      </c>
      <c r="D6" s="153" t="s">
        <v>424</v>
      </c>
      <c r="E6" s="208" t="s">
        <v>425</v>
      </c>
      <c r="F6" s="208" t="s">
        <v>287</v>
      </c>
      <c r="G6" s="208" t="s">
        <v>36</v>
      </c>
      <c r="H6" s="208" t="s">
        <v>155</v>
      </c>
      <c r="I6" s="208" t="s">
        <v>153</v>
      </c>
      <c r="J6" s="208" t="s">
        <v>38</v>
      </c>
      <c r="K6" s="208" t="s">
        <v>154</v>
      </c>
      <c r="L6" s="208">
        <v>2</v>
      </c>
      <c r="N6" s="208">
        <v>1</v>
      </c>
      <c r="O6" s="208">
        <v>0.62</v>
      </c>
      <c r="P6" s="208">
        <v>0.65</v>
      </c>
      <c r="Q6" s="245">
        <f t="shared" si="2"/>
        <v>0.63500000000000001</v>
      </c>
      <c r="R6" s="208">
        <v>15.1</v>
      </c>
      <c r="S6" s="208">
        <v>150</v>
      </c>
      <c r="T6" s="217">
        <f t="shared" si="0"/>
        <v>22</v>
      </c>
      <c r="U6" s="208">
        <v>128</v>
      </c>
      <c r="V6" s="217">
        <f t="shared" si="1"/>
        <v>27</v>
      </c>
      <c r="W6" s="208">
        <v>2</v>
      </c>
      <c r="X6" s="208" t="s">
        <v>39</v>
      </c>
      <c r="Y6" s="208" t="s">
        <v>258</v>
      </c>
      <c r="Z6" s="208" t="s">
        <v>84</v>
      </c>
      <c r="AA6" s="208" t="s">
        <v>90</v>
      </c>
      <c r="AB6" s="237" t="s">
        <v>416</v>
      </c>
      <c r="AE6" s="223" t="s">
        <v>56</v>
      </c>
      <c r="AG6" s="154" t="s">
        <v>297</v>
      </c>
      <c r="AH6" s="155" t="s">
        <v>290</v>
      </c>
      <c r="AL6" s="230" t="s">
        <v>433</v>
      </c>
      <c r="AN6" s="230" t="s">
        <v>434</v>
      </c>
      <c r="AP6" s="224" t="s">
        <v>53</v>
      </c>
      <c r="AR6" s="238" t="s">
        <v>158</v>
      </c>
      <c r="AV6" s="224" t="s">
        <v>60</v>
      </c>
      <c r="AX6" s="225">
        <v>97</v>
      </c>
      <c r="AY6" s="226">
        <v>36</v>
      </c>
      <c r="AZ6" s="226">
        <v>99</v>
      </c>
      <c r="BA6" s="227">
        <v>33</v>
      </c>
    </row>
    <row r="7" spans="1:53" x14ac:dyDescent="0.15">
      <c r="A7" s="208" t="s">
        <v>59</v>
      </c>
      <c r="B7" s="237" t="s">
        <v>366</v>
      </c>
      <c r="C7" s="152">
        <v>2018</v>
      </c>
      <c r="D7" s="153" t="s">
        <v>435</v>
      </c>
      <c r="E7" s="208" t="s">
        <v>436</v>
      </c>
      <c r="F7" s="208" t="s">
        <v>287</v>
      </c>
      <c r="G7" s="208" t="s">
        <v>36</v>
      </c>
      <c r="H7" s="208" t="s">
        <v>437</v>
      </c>
      <c r="I7" s="208" t="s">
        <v>153</v>
      </c>
      <c r="J7" s="208" t="s">
        <v>38</v>
      </c>
      <c r="K7" s="208" t="s">
        <v>154</v>
      </c>
      <c r="L7" s="208">
        <v>3</v>
      </c>
      <c r="N7" s="208">
        <v>1</v>
      </c>
      <c r="O7" s="208">
        <v>0.45</v>
      </c>
      <c r="P7" s="208">
        <v>0.51</v>
      </c>
      <c r="Q7" s="245">
        <f t="shared" si="2"/>
        <v>0.48</v>
      </c>
      <c r="R7" s="208">
        <v>13.9</v>
      </c>
      <c r="S7" s="208">
        <v>140</v>
      </c>
      <c r="T7" s="217">
        <f t="shared" si="0"/>
        <v>22</v>
      </c>
      <c r="U7" s="208">
        <v>128</v>
      </c>
      <c r="V7" s="217">
        <f t="shared" si="1"/>
        <v>27</v>
      </c>
      <c r="W7" s="208">
        <v>2</v>
      </c>
      <c r="X7" s="208" t="s">
        <v>39</v>
      </c>
      <c r="Y7" s="208" t="s">
        <v>258</v>
      </c>
      <c r="Z7" s="208" t="s">
        <v>84</v>
      </c>
      <c r="AA7" s="208" t="s">
        <v>90</v>
      </c>
      <c r="AB7" s="237" t="s">
        <v>416</v>
      </c>
      <c r="AE7" s="223" t="s">
        <v>61</v>
      </c>
      <c r="AG7" s="154" t="s">
        <v>298</v>
      </c>
      <c r="AH7" s="155" t="s">
        <v>291</v>
      </c>
      <c r="AL7" s="235" t="s">
        <v>438</v>
      </c>
      <c r="AP7" s="224" t="s">
        <v>58</v>
      </c>
      <c r="AR7" s="231" t="s">
        <v>250</v>
      </c>
      <c r="AV7" s="224" t="s">
        <v>64</v>
      </c>
      <c r="AX7" s="225">
        <v>109</v>
      </c>
      <c r="AY7" s="226">
        <v>33</v>
      </c>
      <c r="AZ7" s="226">
        <v>113</v>
      </c>
      <c r="BA7" s="227">
        <v>30</v>
      </c>
    </row>
    <row r="8" spans="1:53" x14ac:dyDescent="0.15">
      <c r="A8" s="208" t="s">
        <v>59</v>
      </c>
      <c r="B8" s="237" t="s">
        <v>439</v>
      </c>
      <c r="C8" s="152">
        <v>2018</v>
      </c>
      <c r="D8" s="153" t="s">
        <v>440</v>
      </c>
      <c r="E8" s="208" t="s">
        <v>294</v>
      </c>
      <c r="F8" s="208" t="s">
        <v>286</v>
      </c>
      <c r="G8" s="208" t="s">
        <v>36</v>
      </c>
      <c r="H8" s="208" t="s">
        <v>157</v>
      </c>
      <c r="I8" s="208" t="s">
        <v>153</v>
      </c>
      <c r="J8" s="208" t="s">
        <v>38</v>
      </c>
      <c r="K8" s="208" t="s">
        <v>154</v>
      </c>
      <c r="L8" s="208">
        <v>1</v>
      </c>
      <c r="N8" s="208">
        <v>4</v>
      </c>
      <c r="O8" s="208">
        <v>0.42</v>
      </c>
      <c r="P8" s="208">
        <v>0.5</v>
      </c>
      <c r="Q8" s="245">
        <f t="shared" si="2"/>
        <v>0.45999999999999996</v>
      </c>
      <c r="R8" s="208">
        <v>16.8</v>
      </c>
      <c r="S8" s="208">
        <v>100</v>
      </c>
      <c r="T8" s="217">
        <f t="shared" si="0"/>
        <v>33</v>
      </c>
      <c r="U8" s="208">
        <v>297</v>
      </c>
      <c r="V8" s="217">
        <f t="shared" si="1"/>
        <v>16</v>
      </c>
      <c r="W8" s="208">
        <v>7</v>
      </c>
      <c r="X8" s="208" t="s">
        <v>39</v>
      </c>
      <c r="Y8" s="208" t="s">
        <v>84</v>
      </c>
      <c r="Z8" s="208" t="s">
        <v>90</v>
      </c>
      <c r="AA8" s="208" t="s">
        <v>258</v>
      </c>
      <c r="AB8" s="237" t="s">
        <v>416</v>
      </c>
      <c r="AE8" s="223" t="s">
        <v>59</v>
      </c>
      <c r="AG8" s="160" t="s">
        <v>299</v>
      </c>
      <c r="AH8" s="155" t="s">
        <v>292</v>
      </c>
      <c r="AL8" s="235" t="s">
        <v>441</v>
      </c>
      <c r="AP8" s="224" t="s">
        <v>62</v>
      </c>
      <c r="AR8" s="238" t="s">
        <v>81</v>
      </c>
      <c r="AV8" s="224" t="s">
        <v>97</v>
      </c>
      <c r="AX8" s="225">
        <v>119</v>
      </c>
      <c r="AY8" s="226">
        <v>30</v>
      </c>
      <c r="AZ8" s="226">
        <v>121</v>
      </c>
      <c r="BA8" s="227">
        <v>27</v>
      </c>
    </row>
    <row r="9" spans="1:53" x14ac:dyDescent="0.15">
      <c r="A9" s="208" t="s">
        <v>59</v>
      </c>
      <c r="B9" s="237" t="s">
        <v>423</v>
      </c>
      <c r="C9" s="152">
        <v>2018</v>
      </c>
      <c r="D9" s="153" t="s">
        <v>424</v>
      </c>
      <c r="E9" s="208" t="s">
        <v>294</v>
      </c>
      <c r="F9" s="208" t="s">
        <v>286</v>
      </c>
      <c r="G9" s="208" t="s">
        <v>36</v>
      </c>
      <c r="H9" s="208" t="s">
        <v>157</v>
      </c>
      <c r="I9" s="208" t="s">
        <v>153</v>
      </c>
      <c r="J9" s="208" t="s">
        <v>38</v>
      </c>
      <c r="K9" s="208" t="s">
        <v>154</v>
      </c>
      <c r="L9" s="208">
        <v>2</v>
      </c>
      <c r="N9" s="208">
        <v>4</v>
      </c>
      <c r="O9" s="208">
        <v>0.48</v>
      </c>
      <c r="P9" s="208">
        <v>0.53</v>
      </c>
      <c r="Q9" s="245">
        <f t="shared" si="2"/>
        <v>0.505</v>
      </c>
      <c r="R9" s="208">
        <v>14.5</v>
      </c>
      <c r="S9" s="208">
        <v>100</v>
      </c>
      <c r="T9" s="217">
        <f t="shared" si="0"/>
        <v>33</v>
      </c>
      <c r="U9" s="208">
        <v>297</v>
      </c>
      <c r="V9" s="217">
        <f t="shared" si="1"/>
        <v>16</v>
      </c>
      <c r="W9" s="208">
        <v>7</v>
      </c>
      <c r="X9" s="208" t="s">
        <v>39</v>
      </c>
      <c r="Y9" s="208" t="s">
        <v>84</v>
      </c>
      <c r="Z9" s="208" t="s">
        <v>90</v>
      </c>
      <c r="AA9" s="208" t="s">
        <v>258</v>
      </c>
      <c r="AB9" s="237" t="s">
        <v>416</v>
      </c>
      <c r="AE9" s="223" t="s">
        <v>98</v>
      </c>
      <c r="AG9" s="160" t="s">
        <v>300</v>
      </c>
      <c r="AH9" s="155" t="s">
        <v>292</v>
      </c>
      <c r="AL9" s="230"/>
      <c r="AP9" s="224" t="s">
        <v>252</v>
      </c>
      <c r="AR9" s="231" t="s">
        <v>89</v>
      </c>
      <c r="AV9" s="224" t="s">
        <v>102</v>
      </c>
      <c r="AX9" s="225">
        <v>128</v>
      </c>
      <c r="AY9" s="226">
        <v>27</v>
      </c>
      <c r="AZ9" s="226">
        <v>129</v>
      </c>
      <c r="BA9" s="227">
        <v>25</v>
      </c>
    </row>
    <row r="10" spans="1:53" x14ac:dyDescent="0.15">
      <c r="A10" s="208" t="s">
        <v>59</v>
      </c>
      <c r="B10" s="237" t="s">
        <v>359</v>
      </c>
      <c r="C10" s="152">
        <v>2018</v>
      </c>
      <c r="D10" s="153" t="s">
        <v>442</v>
      </c>
      <c r="E10" s="208" t="s">
        <v>294</v>
      </c>
      <c r="F10" s="208" t="s">
        <v>286</v>
      </c>
      <c r="G10" s="208" t="s">
        <v>36</v>
      </c>
      <c r="H10" s="208" t="s">
        <v>157</v>
      </c>
      <c r="I10" s="208" t="s">
        <v>153</v>
      </c>
      <c r="J10" s="208" t="s">
        <v>38</v>
      </c>
      <c r="K10" s="208" t="s">
        <v>154</v>
      </c>
      <c r="L10" s="208">
        <v>3</v>
      </c>
      <c r="N10" s="208">
        <v>4</v>
      </c>
      <c r="O10" s="208">
        <v>0.4</v>
      </c>
      <c r="P10" s="208">
        <v>0.47</v>
      </c>
      <c r="Q10" s="245">
        <f t="shared" si="2"/>
        <v>0.435</v>
      </c>
      <c r="R10" s="208">
        <v>16.5</v>
      </c>
      <c r="S10" s="208">
        <v>100</v>
      </c>
      <c r="T10" s="217">
        <f t="shared" si="0"/>
        <v>33</v>
      </c>
      <c r="U10" s="208">
        <v>297</v>
      </c>
      <c r="V10" s="217">
        <f t="shared" si="1"/>
        <v>16</v>
      </c>
      <c r="W10" s="208">
        <v>7</v>
      </c>
      <c r="X10" s="208" t="s">
        <v>39</v>
      </c>
      <c r="Y10" s="208" t="s">
        <v>84</v>
      </c>
      <c r="Z10" s="208" t="s">
        <v>90</v>
      </c>
      <c r="AA10" s="208" t="s">
        <v>258</v>
      </c>
      <c r="AB10" s="237" t="s">
        <v>416</v>
      </c>
      <c r="AE10" s="223" t="s">
        <v>103</v>
      </c>
      <c r="AG10" s="154" t="s">
        <v>301</v>
      </c>
      <c r="AH10" s="155" t="s">
        <v>289</v>
      </c>
      <c r="AL10" s="88"/>
      <c r="AP10" s="224" t="s">
        <v>100</v>
      </c>
      <c r="AR10" s="231" t="s">
        <v>123</v>
      </c>
      <c r="AV10" s="224" t="s">
        <v>106</v>
      </c>
      <c r="AX10" s="225">
        <v>138</v>
      </c>
      <c r="AY10" s="226">
        <v>25</v>
      </c>
      <c r="AZ10" s="226">
        <v>138</v>
      </c>
      <c r="BA10" s="227">
        <v>22</v>
      </c>
    </row>
    <row r="11" spans="1:53" x14ac:dyDescent="0.15">
      <c r="A11" s="208" t="s">
        <v>59</v>
      </c>
      <c r="B11" s="237" t="s">
        <v>423</v>
      </c>
      <c r="C11" s="152">
        <v>2018</v>
      </c>
      <c r="D11" s="153" t="s">
        <v>424</v>
      </c>
      <c r="E11" s="208" t="s">
        <v>294</v>
      </c>
      <c r="F11" s="208" t="s">
        <v>286</v>
      </c>
      <c r="G11" s="208" t="s">
        <v>36</v>
      </c>
      <c r="H11" s="208" t="s">
        <v>155</v>
      </c>
      <c r="I11" s="208" t="s">
        <v>153</v>
      </c>
      <c r="J11" s="208" t="s">
        <v>38</v>
      </c>
      <c r="K11" s="208" t="s">
        <v>154</v>
      </c>
      <c r="L11" s="208">
        <v>1</v>
      </c>
      <c r="N11" s="208">
        <v>4</v>
      </c>
      <c r="O11" s="208">
        <v>0.52</v>
      </c>
      <c r="P11" s="208">
        <v>0.44</v>
      </c>
      <c r="Q11" s="245">
        <f t="shared" si="2"/>
        <v>0.48</v>
      </c>
      <c r="R11" s="208">
        <v>14.5</v>
      </c>
      <c r="S11" s="208">
        <v>104</v>
      </c>
      <c r="T11" s="217">
        <f t="shared" si="0"/>
        <v>33</v>
      </c>
      <c r="U11" s="208">
        <v>297</v>
      </c>
      <c r="V11" s="217">
        <f t="shared" si="1"/>
        <v>16</v>
      </c>
      <c r="W11" s="208">
        <v>7</v>
      </c>
      <c r="X11" s="208" t="s">
        <v>39</v>
      </c>
      <c r="Y11" s="208" t="s">
        <v>84</v>
      </c>
      <c r="Z11" s="208" t="s">
        <v>90</v>
      </c>
      <c r="AA11" s="208" t="s">
        <v>258</v>
      </c>
      <c r="AB11" s="237" t="s">
        <v>416</v>
      </c>
      <c r="AE11" s="223" t="s">
        <v>65</v>
      </c>
      <c r="AG11" s="160" t="s">
        <v>302</v>
      </c>
      <c r="AH11" s="155" t="s">
        <v>293</v>
      </c>
      <c r="AL11" s="88"/>
      <c r="AP11" s="224" t="s">
        <v>251</v>
      </c>
      <c r="AR11" s="231" t="s">
        <v>253</v>
      </c>
      <c r="AV11" s="224" t="s">
        <v>443</v>
      </c>
      <c r="AX11" s="225">
        <v>151</v>
      </c>
      <c r="AY11" s="226">
        <v>22</v>
      </c>
      <c r="AZ11" s="226">
        <v>152</v>
      </c>
      <c r="BA11" s="227">
        <v>18</v>
      </c>
    </row>
    <row r="12" spans="1:53" x14ac:dyDescent="0.15">
      <c r="A12" s="208" t="s">
        <v>59</v>
      </c>
      <c r="B12" s="237" t="s">
        <v>444</v>
      </c>
      <c r="C12" s="152">
        <v>2018</v>
      </c>
      <c r="D12" s="153" t="s">
        <v>445</v>
      </c>
      <c r="E12" s="208" t="s">
        <v>294</v>
      </c>
      <c r="F12" s="208" t="s">
        <v>286</v>
      </c>
      <c r="G12" s="208" t="s">
        <v>36</v>
      </c>
      <c r="H12" s="208" t="s">
        <v>155</v>
      </c>
      <c r="I12" s="208" t="s">
        <v>153</v>
      </c>
      <c r="J12" s="208" t="s">
        <v>38</v>
      </c>
      <c r="K12" s="208" t="s">
        <v>154</v>
      </c>
      <c r="L12" s="208">
        <v>2</v>
      </c>
      <c r="N12" s="208">
        <v>4</v>
      </c>
      <c r="O12" s="208">
        <v>0.62</v>
      </c>
      <c r="P12" s="208">
        <v>0.69</v>
      </c>
      <c r="Q12" s="245">
        <f t="shared" si="2"/>
        <v>0.65500000000000003</v>
      </c>
      <c r="R12" s="208">
        <v>14.2</v>
      </c>
      <c r="S12" s="208">
        <v>101</v>
      </c>
      <c r="T12" s="217">
        <f t="shared" si="0"/>
        <v>33</v>
      </c>
      <c r="U12" s="208">
        <v>297</v>
      </c>
      <c r="V12" s="217">
        <f t="shared" si="1"/>
        <v>16</v>
      </c>
      <c r="W12" s="208">
        <v>7</v>
      </c>
      <c r="X12" s="208" t="s">
        <v>39</v>
      </c>
      <c r="Y12" s="208" t="s">
        <v>84</v>
      </c>
      <c r="Z12" s="208" t="s">
        <v>90</v>
      </c>
      <c r="AA12" s="208" t="s">
        <v>258</v>
      </c>
      <c r="AB12" s="237" t="s">
        <v>416</v>
      </c>
      <c r="AE12" s="223" t="s">
        <v>70</v>
      </c>
      <c r="AG12" s="231"/>
      <c r="AH12" s="161"/>
      <c r="AL12" s="88"/>
      <c r="AP12" s="224" t="s">
        <v>67</v>
      </c>
      <c r="AR12" s="231" t="s">
        <v>124</v>
      </c>
      <c r="AV12" s="224" t="s">
        <v>72</v>
      </c>
      <c r="AX12" s="232">
        <v>180</v>
      </c>
      <c r="AY12" s="233">
        <v>18</v>
      </c>
      <c r="AZ12" s="233">
        <v>181</v>
      </c>
      <c r="BA12" s="234">
        <v>16</v>
      </c>
    </row>
    <row r="13" spans="1:53" x14ac:dyDescent="0.15">
      <c r="A13" s="208" t="s">
        <v>59</v>
      </c>
      <c r="B13" s="237" t="s">
        <v>370</v>
      </c>
      <c r="C13" s="152">
        <v>2018</v>
      </c>
      <c r="D13" s="153" t="s">
        <v>446</v>
      </c>
      <c r="E13" s="208" t="s">
        <v>294</v>
      </c>
      <c r="F13" s="208" t="s">
        <v>286</v>
      </c>
      <c r="G13" s="208" t="s">
        <v>36</v>
      </c>
      <c r="H13" s="208" t="s">
        <v>155</v>
      </c>
      <c r="I13" s="208" t="s">
        <v>153</v>
      </c>
      <c r="J13" s="208" t="s">
        <v>38</v>
      </c>
      <c r="K13" s="208" t="s">
        <v>154</v>
      </c>
      <c r="L13" s="208">
        <v>3</v>
      </c>
      <c r="N13" s="208">
        <v>4</v>
      </c>
      <c r="O13" s="208">
        <v>0.56999999999999995</v>
      </c>
      <c r="P13" s="208">
        <v>0.47</v>
      </c>
      <c r="Q13" s="245">
        <f t="shared" si="2"/>
        <v>0.52</v>
      </c>
      <c r="R13" s="208">
        <v>14.6</v>
      </c>
      <c r="S13" s="208">
        <v>104</v>
      </c>
      <c r="T13" s="217">
        <f t="shared" si="0"/>
        <v>33</v>
      </c>
      <c r="U13" s="208">
        <v>297</v>
      </c>
      <c r="V13" s="217">
        <f t="shared" si="1"/>
        <v>16</v>
      </c>
      <c r="W13" s="208">
        <v>7</v>
      </c>
      <c r="X13" s="208" t="s">
        <v>39</v>
      </c>
      <c r="Y13" s="208" t="s">
        <v>84</v>
      </c>
      <c r="Z13" s="208" t="s">
        <v>90</v>
      </c>
      <c r="AA13" s="208" t="s">
        <v>258</v>
      </c>
      <c r="AB13" s="237" t="s">
        <v>416</v>
      </c>
      <c r="AE13" s="223" t="s">
        <v>73</v>
      </c>
      <c r="AG13" s="224"/>
      <c r="AH13" s="224"/>
      <c r="AP13" s="224" t="s">
        <v>71</v>
      </c>
      <c r="AR13" s="231" t="s">
        <v>103</v>
      </c>
      <c r="AV13" s="224" t="s">
        <v>75</v>
      </c>
    </row>
    <row r="14" spans="1:53" x14ac:dyDescent="0.15">
      <c r="A14" s="208" t="s">
        <v>59</v>
      </c>
      <c r="B14" s="237" t="s">
        <v>372</v>
      </c>
      <c r="C14" s="152">
        <v>2018</v>
      </c>
      <c r="D14" s="153" t="s">
        <v>447</v>
      </c>
      <c r="E14" s="208" t="s">
        <v>294</v>
      </c>
      <c r="F14" s="208" t="s">
        <v>286</v>
      </c>
      <c r="G14" s="208" t="s">
        <v>36</v>
      </c>
      <c r="H14" s="208" t="s">
        <v>129</v>
      </c>
      <c r="I14" s="208" t="s">
        <v>153</v>
      </c>
      <c r="J14" s="208" t="s">
        <v>256</v>
      </c>
      <c r="K14" s="208" t="s">
        <v>247</v>
      </c>
      <c r="L14" s="208">
        <v>1</v>
      </c>
      <c r="N14" s="208">
        <v>4</v>
      </c>
      <c r="O14" s="208">
        <v>0.85</v>
      </c>
      <c r="P14" s="208">
        <v>0.3</v>
      </c>
      <c r="Q14" s="245">
        <f t="shared" si="2"/>
        <v>0.57499999999999996</v>
      </c>
      <c r="R14" s="208">
        <v>18.2</v>
      </c>
      <c r="S14" s="208">
        <v>85</v>
      </c>
      <c r="T14" s="217">
        <f t="shared" si="0"/>
        <v>36</v>
      </c>
      <c r="U14" s="208">
        <v>357</v>
      </c>
      <c r="V14" s="217">
        <f t="shared" si="1"/>
        <v>16</v>
      </c>
      <c r="W14" s="208">
        <v>1</v>
      </c>
      <c r="X14" s="208" t="s">
        <v>39</v>
      </c>
      <c r="Y14" s="208" t="s">
        <v>84</v>
      </c>
      <c r="Z14" s="208" t="s">
        <v>90</v>
      </c>
      <c r="AA14" s="208" t="s">
        <v>258</v>
      </c>
      <c r="AB14" s="237" t="s">
        <v>416</v>
      </c>
      <c r="AE14" s="223" t="s">
        <v>76</v>
      </c>
      <c r="AG14" s="224"/>
      <c r="AH14" s="224"/>
      <c r="AP14" s="224" t="s">
        <v>254</v>
      </c>
      <c r="AR14" s="231" t="s">
        <v>125</v>
      </c>
      <c r="AV14" s="224" t="s">
        <v>78</v>
      </c>
    </row>
    <row r="15" spans="1:53" x14ac:dyDescent="0.15">
      <c r="A15" s="208" t="s">
        <v>59</v>
      </c>
      <c r="B15" s="237" t="s">
        <v>423</v>
      </c>
      <c r="C15" s="152">
        <v>2018</v>
      </c>
      <c r="D15" s="153" t="s">
        <v>424</v>
      </c>
      <c r="E15" s="208" t="s">
        <v>294</v>
      </c>
      <c r="F15" s="208" t="s">
        <v>286</v>
      </c>
      <c r="G15" s="208" t="s">
        <v>36</v>
      </c>
      <c r="H15" s="208" t="s">
        <v>129</v>
      </c>
      <c r="I15" s="208" t="s">
        <v>153</v>
      </c>
      <c r="J15" s="208" t="s">
        <v>256</v>
      </c>
      <c r="K15" s="208" t="s">
        <v>247</v>
      </c>
      <c r="L15" s="208">
        <v>2</v>
      </c>
      <c r="N15" s="208">
        <v>4</v>
      </c>
      <c r="O15" s="208">
        <v>0.3</v>
      </c>
      <c r="P15" s="208">
        <v>0.4</v>
      </c>
      <c r="Q15" s="245">
        <f t="shared" si="2"/>
        <v>0.35</v>
      </c>
      <c r="R15" s="208">
        <v>20.100000000000001</v>
      </c>
      <c r="S15" s="208">
        <v>94</v>
      </c>
      <c r="T15" s="217">
        <f t="shared" si="0"/>
        <v>36</v>
      </c>
      <c r="U15" s="208">
        <v>357</v>
      </c>
      <c r="V15" s="217">
        <f t="shared" si="1"/>
        <v>16</v>
      </c>
      <c r="W15" s="208">
        <v>1</v>
      </c>
      <c r="X15" s="208" t="s">
        <v>39</v>
      </c>
      <c r="Y15" s="208" t="s">
        <v>84</v>
      </c>
      <c r="Z15" s="208" t="s">
        <v>90</v>
      </c>
      <c r="AA15" s="208" t="s">
        <v>258</v>
      </c>
      <c r="AB15" s="237" t="s">
        <v>416</v>
      </c>
      <c r="AE15" s="223" t="s">
        <v>79</v>
      </c>
      <c r="AG15" s="224"/>
      <c r="AH15" s="224"/>
      <c r="AP15" s="224" t="s">
        <v>255</v>
      </c>
      <c r="AR15" s="231" t="s">
        <v>94</v>
      </c>
      <c r="AV15" s="224" t="s">
        <v>107</v>
      </c>
    </row>
    <row r="16" spans="1:53" x14ac:dyDescent="0.15">
      <c r="A16" s="208" t="s">
        <v>59</v>
      </c>
      <c r="B16" s="237" t="s">
        <v>374</v>
      </c>
      <c r="C16" s="152">
        <v>2018</v>
      </c>
      <c r="D16" s="153" t="s">
        <v>448</v>
      </c>
      <c r="E16" s="208" t="s">
        <v>294</v>
      </c>
      <c r="F16" s="208" t="s">
        <v>286</v>
      </c>
      <c r="G16" s="208" t="s">
        <v>36</v>
      </c>
      <c r="H16" s="208" t="s">
        <v>129</v>
      </c>
      <c r="I16" s="208" t="s">
        <v>153</v>
      </c>
      <c r="J16" s="208" t="s">
        <v>256</v>
      </c>
      <c r="K16" s="208" t="s">
        <v>247</v>
      </c>
      <c r="L16" s="208">
        <v>3</v>
      </c>
      <c r="N16" s="208">
        <v>4</v>
      </c>
      <c r="O16" s="208">
        <v>0.42</v>
      </c>
      <c r="P16" s="208">
        <v>0.44</v>
      </c>
      <c r="Q16" s="245">
        <f t="shared" si="2"/>
        <v>0.43</v>
      </c>
      <c r="R16" s="208">
        <v>14.9</v>
      </c>
      <c r="S16" s="208">
        <v>86</v>
      </c>
      <c r="T16" s="217">
        <f t="shared" si="0"/>
        <v>36</v>
      </c>
      <c r="U16" s="208">
        <v>357</v>
      </c>
      <c r="V16" s="217">
        <f t="shared" si="1"/>
        <v>16</v>
      </c>
      <c r="W16" s="208">
        <v>1</v>
      </c>
      <c r="X16" s="208" t="s">
        <v>39</v>
      </c>
      <c r="Y16" s="208" t="s">
        <v>84</v>
      </c>
      <c r="Z16" s="208" t="s">
        <v>90</v>
      </c>
      <c r="AA16" s="208" t="s">
        <v>258</v>
      </c>
      <c r="AB16" s="237" t="s">
        <v>416</v>
      </c>
      <c r="AE16" s="223" t="s">
        <v>82</v>
      </c>
      <c r="AG16" s="229"/>
      <c r="AH16" s="229"/>
      <c r="AP16" s="224" t="s">
        <v>80</v>
      </c>
      <c r="AR16" s="238" t="s">
        <v>63</v>
      </c>
      <c r="AV16" s="224" t="s">
        <v>84</v>
      </c>
    </row>
    <row r="17" spans="1:48" x14ac:dyDescent="0.15">
      <c r="A17" s="208" t="s">
        <v>59</v>
      </c>
      <c r="B17" s="237" t="s">
        <v>423</v>
      </c>
      <c r="C17" s="152">
        <v>2018</v>
      </c>
      <c r="D17" s="153" t="s">
        <v>424</v>
      </c>
      <c r="E17" s="208" t="s">
        <v>248</v>
      </c>
      <c r="F17" s="208" t="s">
        <v>289</v>
      </c>
      <c r="G17" s="208" t="s">
        <v>36</v>
      </c>
      <c r="H17" s="208" t="s">
        <v>157</v>
      </c>
      <c r="I17" s="208" t="s">
        <v>153</v>
      </c>
      <c r="J17" s="208" t="s">
        <v>38</v>
      </c>
      <c r="K17" s="208" t="s">
        <v>154</v>
      </c>
      <c r="L17" s="208">
        <v>1</v>
      </c>
      <c r="N17" s="208">
        <v>3</v>
      </c>
      <c r="O17" s="208">
        <v>0.5</v>
      </c>
      <c r="P17" s="208">
        <v>0.38</v>
      </c>
      <c r="Q17" s="245">
        <f t="shared" si="2"/>
        <v>0.44</v>
      </c>
      <c r="R17" s="208">
        <v>16.399999999999999</v>
      </c>
      <c r="S17" s="208">
        <v>122</v>
      </c>
      <c r="T17" s="217">
        <f t="shared" si="0"/>
        <v>27</v>
      </c>
      <c r="U17" s="208">
        <v>399</v>
      </c>
      <c r="V17" s="217">
        <f t="shared" si="1"/>
        <v>16</v>
      </c>
      <c r="W17" s="208">
        <v>3</v>
      </c>
      <c r="X17" s="208" t="s">
        <v>39</v>
      </c>
      <c r="Y17" s="208" t="s">
        <v>84</v>
      </c>
      <c r="Z17" s="208" t="s">
        <v>90</v>
      </c>
      <c r="AA17" s="208" t="s">
        <v>258</v>
      </c>
      <c r="AB17" s="237" t="s">
        <v>416</v>
      </c>
      <c r="AE17" s="223" t="s">
        <v>85</v>
      </c>
      <c r="AP17" s="239" t="s">
        <v>110</v>
      </c>
      <c r="AR17" s="238" t="s">
        <v>96</v>
      </c>
      <c r="AV17" s="224" t="s">
        <v>86</v>
      </c>
    </row>
    <row r="18" spans="1:48" x14ac:dyDescent="0.15">
      <c r="A18" s="208" t="s">
        <v>59</v>
      </c>
      <c r="B18" s="237" t="s">
        <v>423</v>
      </c>
      <c r="C18" s="152">
        <v>2018</v>
      </c>
      <c r="D18" s="153" t="s">
        <v>424</v>
      </c>
      <c r="E18" s="208" t="s">
        <v>248</v>
      </c>
      <c r="F18" s="208" t="s">
        <v>289</v>
      </c>
      <c r="G18" s="208" t="s">
        <v>36</v>
      </c>
      <c r="H18" s="208" t="s">
        <v>157</v>
      </c>
      <c r="I18" s="208" t="s">
        <v>153</v>
      </c>
      <c r="J18" s="208" t="s">
        <v>38</v>
      </c>
      <c r="K18" s="208" t="s">
        <v>154</v>
      </c>
      <c r="L18" s="208">
        <v>2</v>
      </c>
      <c r="N18" s="208">
        <v>3</v>
      </c>
      <c r="O18" s="208">
        <v>0.37</v>
      </c>
      <c r="P18" s="208">
        <v>0.4</v>
      </c>
      <c r="Q18" s="245">
        <f t="shared" si="2"/>
        <v>0.38500000000000001</v>
      </c>
      <c r="R18" s="208">
        <v>14.5</v>
      </c>
      <c r="S18" s="208">
        <v>115</v>
      </c>
      <c r="T18" s="217">
        <f t="shared" si="0"/>
        <v>30</v>
      </c>
      <c r="U18" s="208">
        <v>399</v>
      </c>
      <c r="V18" s="217">
        <f t="shared" si="1"/>
        <v>16</v>
      </c>
      <c r="W18" s="208">
        <v>3</v>
      </c>
      <c r="X18" s="208" t="s">
        <v>39</v>
      </c>
      <c r="Y18" s="208" t="s">
        <v>84</v>
      </c>
      <c r="Z18" s="208" t="s">
        <v>90</v>
      </c>
      <c r="AA18" s="208" t="s">
        <v>258</v>
      </c>
      <c r="AB18" s="237" t="s">
        <v>416</v>
      </c>
      <c r="AE18" s="223" t="s">
        <v>87</v>
      </c>
      <c r="AP18" s="239" t="s">
        <v>257</v>
      </c>
      <c r="AR18" s="238" t="s">
        <v>101</v>
      </c>
      <c r="AV18" s="224" t="s">
        <v>88</v>
      </c>
    </row>
    <row r="19" spans="1:48" x14ac:dyDescent="0.15">
      <c r="A19" s="208" t="s">
        <v>59</v>
      </c>
      <c r="B19" s="237" t="s">
        <v>366</v>
      </c>
      <c r="C19" s="152">
        <v>2018</v>
      </c>
      <c r="D19" s="153" t="s">
        <v>435</v>
      </c>
      <c r="E19" s="208" t="s">
        <v>248</v>
      </c>
      <c r="F19" s="208" t="s">
        <v>289</v>
      </c>
      <c r="G19" s="208" t="s">
        <v>36</v>
      </c>
      <c r="H19" s="208" t="s">
        <v>157</v>
      </c>
      <c r="I19" s="208" t="s">
        <v>153</v>
      </c>
      <c r="J19" s="208" t="s">
        <v>38</v>
      </c>
      <c r="K19" s="208" t="s">
        <v>154</v>
      </c>
      <c r="L19" s="208">
        <v>3</v>
      </c>
      <c r="N19" s="208">
        <v>3</v>
      </c>
      <c r="O19" s="208">
        <v>0.5</v>
      </c>
      <c r="P19" s="208">
        <v>0.42</v>
      </c>
      <c r="Q19" s="245">
        <f t="shared" si="2"/>
        <v>0.45999999999999996</v>
      </c>
      <c r="R19" s="208">
        <v>15.2</v>
      </c>
      <c r="S19" s="208">
        <v>126</v>
      </c>
      <c r="T19" s="217">
        <f t="shared" si="0"/>
        <v>27</v>
      </c>
      <c r="U19" s="208">
        <v>399</v>
      </c>
      <c r="V19" s="217">
        <f t="shared" si="1"/>
        <v>16</v>
      </c>
      <c r="W19" s="208">
        <v>3</v>
      </c>
      <c r="X19" s="208" t="s">
        <v>39</v>
      </c>
      <c r="Y19" s="208" t="s">
        <v>84</v>
      </c>
      <c r="Z19" s="208" t="s">
        <v>90</v>
      </c>
      <c r="AA19" s="208" t="s">
        <v>258</v>
      </c>
      <c r="AB19" s="237" t="s">
        <v>416</v>
      </c>
      <c r="AD19" s="237"/>
      <c r="AE19" s="236" t="s">
        <v>89</v>
      </c>
      <c r="AP19" s="239" t="s">
        <v>112</v>
      </c>
      <c r="AR19" s="231" t="s">
        <v>126</v>
      </c>
      <c r="AV19" s="224" t="s">
        <v>258</v>
      </c>
    </row>
    <row r="20" spans="1:48" x14ac:dyDescent="0.15">
      <c r="A20" s="208" t="s">
        <v>59</v>
      </c>
      <c r="B20" s="237" t="s">
        <v>423</v>
      </c>
      <c r="C20" s="152">
        <v>2018</v>
      </c>
      <c r="D20" s="153" t="s">
        <v>424</v>
      </c>
      <c r="E20" s="208" t="s">
        <v>248</v>
      </c>
      <c r="F20" s="208" t="s">
        <v>289</v>
      </c>
      <c r="G20" s="208" t="s">
        <v>36</v>
      </c>
      <c r="H20" s="208" t="s">
        <v>155</v>
      </c>
      <c r="I20" s="208" t="s">
        <v>153</v>
      </c>
      <c r="J20" s="208" t="s">
        <v>38</v>
      </c>
      <c r="K20" s="208" t="s">
        <v>154</v>
      </c>
      <c r="L20" s="208">
        <v>1</v>
      </c>
      <c r="N20" s="208">
        <v>4</v>
      </c>
      <c r="O20" s="208">
        <v>0.45</v>
      </c>
      <c r="P20" s="208">
        <v>0.46</v>
      </c>
      <c r="Q20" s="245">
        <f t="shared" si="2"/>
        <v>0.45500000000000002</v>
      </c>
      <c r="R20" s="208">
        <v>14.4</v>
      </c>
      <c r="S20" s="208">
        <v>105</v>
      </c>
      <c r="T20" s="217">
        <f t="shared" si="0"/>
        <v>33</v>
      </c>
      <c r="U20" s="208">
        <v>399</v>
      </c>
      <c r="V20" s="217">
        <f t="shared" si="1"/>
        <v>16</v>
      </c>
      <c r="W20" s="208">
        <v>3</v>
      </c>
      <c r="X20" s="208" t="s">
        <v>39</v>
      </c>
      <c r="Y20" s="208" t="s">
        <v>84</v>
      </c>
      <c r="Z20" s="208" t="s">
        <v>90</v>
      </c>
      <c r="AA20" s="208" t="s">
        <v>258</v>
      </c>
      <c r="AB20" s="237" t="s">
        <v>416</v>
      </c>
      <c r="AD20" s="237"/>
      <c r="AE20" s="236"/>
      <c r="AP20" s="239" t="s">
        <v>113</v>
      </c>
      <c r="AR20" s="238" t="s">
        <v>105</v>
      </c>
      <c r="AV20" s="228" t="s">
        <v>449</v>
      </c>
    </row>
    <row r="21" spans="1:48" x14ac:dyDescent="0.15">
      <c r="A21" s="208" t="s">
        <v>59</v>
      </c>
      <c r="B21" s="237" t="s">
        <v>423</v>
      </c>
      <c r="C21" s="152">
        <v>2018</v>
      </c>
      <c r="D21" s="153" t="s">
        <v>424</v>
      </c>
      <c r="E21" s="208" t="s">
        <v>248</v>
      </c>
      <c r="F21" s="208" t="s">
        <v>289</v>
      </c>
      <c r="G21" s="208" t="s">
        <v>36</v>
      </c>
      <c r="H21" s="208" t="s">
        <v>155</v>
      </c>
      <c r="I21" s="208" t="s">
        <v>153</v>
      </c>
      <c r="J21" s="208" t="s">
        <v>38</v>
      </c>
      <c r="K21" s="208" t="s">
        <v>154</v>
      </c>
      <c r="L21" s="208">
        <v>2</v>
      </c>
      <c r="N21" s="208">
        <v>4</v>
      </c>
      <c r="O21" s="208">
        <v>0.44</v>
      </c>
      <c r="P21" s="208">
        <v>0.42</v>
      </c>
      <c r="Q21" s="245">
        <f t="shared" si="2"/>
        <v>0.43</v>
      </c>
      <c r="R21" s="208">
        <v>14.4</v>
      </c>
      <c r="S21" s="208">
        <v>101</v>
      </c>
      <c r="T21" s="217">
        <f t="shared" si="0"/>
        <v>33</v>
      </c>
      <c r="U21" s="208">
        <v>399</v>
      </c>
      <c r="V21" s="217">
        <f t="shared" si="1"/>
        <v>16</v>
      </c>
      <c r="W21" s="208">
        <v>3</v>
      </c>
      <c r="X21" s="208" t="s">
        <v>39</v>
      </c>
      <c r="Y21" s="208" t="s">
        <v>84</v>
      </c>
      <c r="Z21" s="208" t="s">
        <v>90</v>
      </c>
      <c r="AA21" s="208" t="s">
        <v>258</v>
      </c>
      <c r="AB21" s="237" t="s">
        <v>416</v>
      </c>
      <c r="AD21" s="237"/>
      <c r="AE21" s="229"/>
      <c r="AP21" s="239" t="s">
        <v>259</v>
      </c>
      <c r="AR21" s="238" t="s">
        <v>68</v>
      </c>
      <c r="AV21" s="228" t="s">
        <v>450</v>
      </c>
    </row>
    <row r="22" spans="1:48" x14ac:dyDescent="0.15">
      <c r="A22" s="208" t="s">
        <v>59</v>
      </c>
      <c r="B22" s="237" t="s">
        <v>423</v>
      </c>
      <c r="C22" s="152">
        <v>2018</v>
      </c>
      <c r="D22" s="153" t="s">
        <v>424</v>
      </c>
      <c r="E22" s="208" t="s">
        <v>248</v>
      </c>
      <c r="F22" s="208" t="s">
        <v>289</v>
      </c>
      <c r="G22" s="208" t="s">
        <v>36</v>
      </c>
      <c r="H22" s="208" t="s">
        <v>155</v>
      </c>
      <c r="I22" s="208" t="s">
        <v>153</v>
      </c>
      <c r="J22" s="208" t="s">
        <v>38</v>
      </c>
      <c r="K22" s="208" t="s">
        <v>154</v>
      </c>
      <c r="L22" s="208">
        <v>3</v>
      </c>
      <c r="N22" s="208">
        <v>4</v>
      </c>
      <c r="O22" s="208">
        <v>0.21</v>
      </c>
      <c r="P22" s="208">
        <v>0.25</v>
      </c>
      <c r="Q22" s="245">
        <f t="shared" si="2"/>
        <v>0.22999999999999998</v>
      </c>
      <c r="R22" s="208">
        <v>14.2</v>
      </c>
      <c r="S22" s="208">
        <v>100</v>
      </c>
      <c r="T22" s="217">
        <f t="shared" si="0"/>
        <v>33</v>
      </c>
      <c r="U22" s="208">
        <v>399</v>
      </c>
      <c r="V22" s="217">
        <f t="shared" si="1"/>
        <v>16</v>
      </c>
      <c r="W22" s="208">
        <v>3</v>
      </c>
      <c r="X22" s="208" t="s">
        <v>39</v>
      </c>
      <c r="Y22" s="208" t="s">
        <v>84</v>
      </c>
      <c r="Z22" s="208" t="s">
        <v>90</v>
      </c>
      <c r="AA22" s="208" t="s">
        <v>258</v>
      </c>
      <c r="AB22" s="237" t="s">
        <v>416</v>
      </c>
      <c r="AD22" s="237"/>
      <c r="AP22" s="239" t="s">
        <v>256</v>
      </c>
      <c r="AR22" s="238" t="s">
        <v>83</v>
      </c>
      <c r="AV22" s="228" t="s">
        <v>260</v>
      </c>
    </row>
    <row r="23" spans="1:48" x14ac:dyDescent="0.15">
      <c r="A23" s="208" t="s">
        <v>59</v>
      </c>
      <c r="B23" s="237" t="s">
        <v>423</v>
      </c>
      <c r="C23" s="152">
        <v>2018</v>
      </c>
      <c r="D23" s="153" t="s">
        <v>424</v>
      </c>
      <c r="E23" s="208" t="s">
        <v>301</v>
      </c>
      <c r="F23" s="208" t="s">
        <v>289</v>
      </c>
      <c r="G23" s="208" t="s">
        <v>36</v>
      </c>
      <c r="H23" s="208" t="s">
        <v>128</v>
      </c>
      <c r="I23" s="208" t="s">
        <v>153</v>
      </c>
      <c r="J23" s="208" t="s">
        <v>67</v>
      </c>
      <c r="K23" s="208" t="s">
        <v>158</v>
      </c>
      <c r="L23" s="208">
        <v>1</v>
      </c>
      <c r="N23" s="208">
        <v>4</v>
      </c>
      <c r="O23" s="208">
        <v>0.21</v>
      </c>
      <c r="P23" s="208">
        <v>0.2</v>
      </c>
      <c r="Q23" s="245">
        <f t="shared" si="2"/>
        <v>0.20500000000000002</v>
      </c>
      <c r="R23" s="208">
        <v>18</v>
      </c>
      <c r="S23" s="208">
        <v>89</v>
      </c>
      <c r="T23" s="217">
        <f t="shared" si="0"/>
        <v>36</v>
      </c>
      <c r="U23" s="208">
        <v>324</v>
      </c>
      <c r="V23" s="217">
        <f t="shared" si="1"/>
        <v>16</v>
      </c>
      <c r="W23" s="208">
        <v>2</v>
      </c>
      <c r="X23" s="208" t="s">
        <v>46</v>
      </c>
      <c r="Y23" s="208" t="s">
        <v>84</v>
      </c>
      <c r="Z23" s="208" t="s">
        <v>90</v>
      </c>
      <c r="AA23" s="208" t="s">
        <v>258</v>
      </c>
      <c r="AB23" s="237" t="s">
        <v>416</v>
      </c>
      <c r="AP23" s="239" t="s">
        <v>451</v>
      </c>
      <c r="AR23" s="238" t="s">
        <v>61</v>
      </c>
      <c r="AV23" s="228" t="s">
        <v>452</v>
      </c>
    </row>
    <row r="24" spans="1:48" x14ac:dyDescent="0.15">
      <c r="A24" s="208" t="s">
        <v>59</v>
      </c>
      <c r="B24" s="237" t="s">
        <v>423</v>
      </c>
      <c r="C24" s="152">
        <v>2018</v>
      </c>
      <c r="D24" s="153" t="s">
        <v>424</v>
      </c>
      <c r="E24" s="208" t="s">
        <v>301</v>
      </c>
      <c r="F24" s="208" t="s">
        <v>289</v>
      </c>
      <c r="G24" s="208" t="s">
        <v>36</v>
      </c>
      <c r="H24" s="208" t="s">
        <v>128</v>
      </c>
      <c r="I24" s="208" t="s">
        <v>153</v>
      </c>
      <c r="J24" s="208" t="s">
        <v>67</v>
      </c>
      <c r="K24" s="208" t="s">
        <v>158</v>
      </c>
      <c r="L24" s="208">
        <v>2</v>
      </c>
      <c r="N24" s="208">
        <v>4</v>
      </c>
      <c r="O24" s="208">
        <v>0.23</v>
      </c>
      <c r="P24" s="208">
        <v>0.28999999999999998</v>
      </c>
      <c r="Q24" s="245">
        <f t="shared" si="2"/>
        <v>0.26</v>
      </c>
      <c r="R24" s="208">
        <v>15.6</v>
      </c>
      <c r="S24" s="208">
        <v>79</v>
      </c>
      <c r="T24" s="217">
        <f t="shared" si="0"/>
        <v>39</v>
      </c>
      <c r="U24" s="208">
        <v>324</v>
      </c>
      <c r="V24" s="217">
        <f t="shared" si="1"/>
        <v>16</v>
      </c>
      <c r="W24" s="208">
        <v>2</v>
      </c>
      <c r="X24" s="208" t="s">
        <v>46</v>
      </c>
      <c r="Y24" s="208" t="s">
        <v>84</v>
      </c>
      <c r="Z24" s="208" t="s">
        <v>90</v>
      </c>
      <c r="AA24" s="208" t="s">
        <v>258</v>
      </c>
      <c r="AB24" s="237" t="s">
        <v>416</v>
      </c>
      <c r="AP24" s="239" t="s">
        <v>453</v>
      </c>
      <c r="AR24" s="238" t="s">
        <v>91</v>
      </c>
      <c r="AV24" s="228" t="s">
        <v>454</v>
      </c>
    </row>
    <row r="25" spans="1:48" x14ac:dyDescent="0.15">
      <c r="A25" s="208" t="s">
        <v>59</v>
      </c>
      <c r="B25" s="237" t="s">
        <v>423</v>
      </c>
      <c r="C25" s="152">
        <v>2018</v>
      </c>
      <c r="D25" s="153" t="s">
        <v>424</v>
      </c>
      <c r="E25" s="208" t="s">
        <v>301</v>
      </c>
      <c r="F25" s="208" t="s">
        <v>289</v>
      </c>
      <c r="G25" s="208" t="s">
        <v>36</v>
      </c>
      <c r="H25" s="208" t="s">
        <v>128</v>
      </c>
      <c r="I25" s="208" t="s">
        <v>153</v>
      </c>
      <c r="J25" s="208" t="s">
        <v>67</v>
      </c>
      <c r="K25" s="208" t="s">
        <v>158</v>
      </c>
      <c r="L25" s="208">
        <v>3</v>
      </c>
      <c r="N25" s="208">
        <v>4</v>
      </c>
      <c r="O25" s="208">
        <v>0.22</v>
      </c>
      <c r="P25" s="208">
        <v>0.25</v>
      </c>
      <c r="Q25" s="245">
        <f t="shared" si="2"/>
        <v>0.23499999999999999</v>
      </c>
      <c r="R25" s="208">
        <v>18.2</v>
      </c>
      <c r="S25" s="208">
        <v>91</v>
      </c>
      <c r="T25" s="217">
        <f t="shared" si="0"/>
        <v>36</v>
      </c>
      <c r="U25" s="208">
        <v>324</v>
      </c>
      <c r="V25" s="217">
        <f t="shared" si="1"/>
        <v>16</v>
      </c>
      <c r="W25" s="208">
        <v>2</v>
      </c>
      <c r="X25" s="208" t="s">
        <v>46</v>
      </c>
      <c r="Y25" s="208" t="s">
        <v>84</v>
      </c>
      <c r="Z25" s="208" t="s">
        <v>90</v>
      </c>
      <c r="AA25" s="208" t="s">
        <v>258</v>
      </c>
      <c r="AB25" s="237" t="s">
        <v>416</v>
      </c>
      <c r="AD25" s="237"/>
      <c r="AP25" s="239" t="s">
        <v>116</v>
      </c>
      <c r="AR25" s="42" t="s">
        <v>92</v>
      </c>
      <c r="AV25" s="228" t="s">
        <v>455</v>
      </c>
    </row>
    <row r="26" spans="1:48" x14ac:dyDescent="0.15">
      <c r="A26" s="208" t="s">
        <v>59</v>
      </c>
      <c r="B26" s="237" t="s">
        <v>423</v>
      </c>
      <c r="C26" s="152">
        <v>2018</v>
      </c>
      <c r="D26" s="153" t="s">
        <v>424</v>
      </c>
      <c r="E26" s="208" t="s">
        <v>300</v>
      </c>
      <c r="F26" s="208" t="s">
        <v>292</v>
      </c>
      <c r="G26" s="208" t="s">
        <v>36</v>
      </c>
      <c r="H26" s="208" t="s">
        <v>157</v>
      </c>
      <c r="I26" s="208" t="s">
        <v>153</v>
      </c>
      <c r="J26" s="208" t="s">
        <v>38</v>
      </c>
      <c r="K26" s="208" t="s">
        <v>154</v>
      </c>
      <c r="L26" s="208">
        <v>1</v>
      </c>
      <c r="N26" s="208">
        <v>1</v>
      </c>
      <c r="O26" s="208">
        <v>0.32</v>
      </c>
      <c r="P26" s="208">
        <v>0.32</v>
      </c>
      <c r="Q26" s="245">
        <f t="shared" si="2"/>
        <v>0.32</v>
      </c>
      <c r="R26" s="208">
        <v>15.5</v>
      </c>
      <c r="S26" s="208">
        <v>139</v>
      </c>
      <c r="T26" s="217">
        <f t="shared" si="0"/>
        <v>22</v>
      </c>
      <c r="U26" s="208">
        <v>138</v>
      </c>
      <c r="V26" s="217">
        <f t="shared" si="1"/>
        <v>22</v>
      </c>
      <c r="W26" s="208">
        <v>2</v>
      </c>
      <c r="X26" s="208" t="s">
        <v>39</v>
      </c>
      <c r="Y26" s="208" t="s">
        <v>84</v>
      </c>
      <c r="Z26" s="208" t="s">
        <v>258</v>
      </c>
      <c r="AA26" s="208" t="s">
        <v>90</v>
      </c>
      <c r="AB26" s="237" t="s">
        <v>416</v>
      </c>
      <c r="AD26" s="237"/>
      <c r="AP26" s="239" t="s">
        <v>117</v>
      </c>
      <c r="AR26" s="228" t="s">
        <v>261</v>
      </c>
      <c r="AV26" s="228"/>
    </row>
    <row r="27" spans="1:48" x14ac:dyDescent="0.15">
      <c r="A27" s="208" t="s">
        <v>59</v>
      </c>
      <c r="B27" s="237" t="s">
        <v>423</v>
      </c>
      <c r="C27" s="152">
        <v>2018</v>
      </c>
      <c r="D27" s="153" t="s">
        <v>424</v>
      </c>
      <c r="E27" s="208" t="s">
        <v>300</v>
      </c>
      <c r="F27" s="208" t="s">
        <v>292</v>
      </c>
      <c r="G27" s="208" t="s">
        <v>36</v>
      </c>
      <c r="H27" s="208" t="s">
        <v>157</v>
      </c>
      <c r="I27" s="208" t="s">
        <v>153</v>
      </c>
      <c r="J27" s="208" t="s">
        <v>38</v>
      </c>
      <c r="K27" s="208" t="s">
        <v>154</v>
      </c>
      <c r="L27" s="208">
        <v>2</v>
      </c>
      <c r="N27" s="208">
        <v>1</v>
      </c>
      <c r="O27" s="208">
        <v>0.32</v>
      </c>
      <c r="P27" s="208">
        <v>0.34</v>
      </c>
      <c r="Q27" s="245">
        <f t="shared" si="2"/>
        <v>0.33</v>
      </c>
      <c r="R27" s="208">
        <v>15.2</v>
      </c>
      <c r="S27" s="208">
        <v>141</v>
      </c>
      <c r="T27" s="217">
        <f t="shared" si="0"/>
        <v>22</v>
      </c>
      <c r="U27" s="208">
        <v>138</v>
      </c>
      <c r="V27" s="217">
        <f t="shared" si="1"/>
        <v>22</v>
      </c>
      <c r="W27" s="208">
        <v>2</v>
      </c>
      <c r="X27" s="208" t="s">
        <v>39</v>
      </c>
      <c r="Y27" s="208" t="s">
        <v>84</v>
      </c>
      <c r="Z27" s="208" t="s">
        <v>258</v>
      </c>
      <c r="AA27" s="208" t="s">
        <v>90</v>
      </c>
      <c r="AB27" s="237" t="s">
        <v>416</v>
      </c>
      <c r="AD27" s="237"/>
      <c r="AP27" s="239" t="s">
        <v>118</v>
      </c>
      <c r="AR27" s="229" t="s">
        <v>273</v>
      </c>
      <c r="AV27" s="228"/>
    </row>
    <row r="28" spans="1:48" x14ac:dyDescent="0.15">
      <c r="A28" s="208" t="s">
        <v>59</v>
      </c>
      <c r="B28" s="237" t="s">
        <v>423</v>
      </c>
      <c r="C28" s="152">
        <v>2018</v>
      </c>
      <c r="D28" s="153" t="s">
        <v>424</v>
      </c>
      <c r="E28" s="208" t="s">
        <v>300</v>
      </c>
      <c r="F28" s="208" t="s">
        <v>292</v>
      </c>
      <c r="G28" s="208" t="s">
        <v>36</v>
      </c>
      <c r="H28" s="208" t="s">
        <v>157</v>
      </c>
      <c r="I28" s="208" t="s">
        <v>153</v>
      </c>
      <c r="J28" s="208" t="s">
        <v>38</v>
      </c>
      <c r="K28" s="208" t="s">
        <v>154</v>
      </c>
      <c r="L28" s="208">
        <v>3</v>
      </c>
      <c r="N28" s="208">
        <v>1</v>
      </c>
      <c r="O28" s="208">
        <v>0.33</v>
      </c>
      <c r="P28" s="208">
        <v>0.35</v>
      </c>
      <c r="Q28" s="245">
        <f t="shared" si="2"/>
        <v>0.33999999999999997</v>
      </c>
      <c r="R28" s="208">
        <v>15.7</v>
      </c>
      <c r="S28" s="208">
        <v>144</v>
      </c>
      <c r="T28" s="217">
        <f t="shared" si="0"/>
        <v>22</v>
      </c>
      <c r="U28" s="208">
        <v>138</v>
      </c>
      <c r="V28" s="217">
        <f t="shared" si="1"/>
        <v>22</v>
      </c>
      <c r="W28" s="208">
        <v>2</v>
      </c>
      <c r="X28" s="208" t="s">
        <v>39</v>
      </c>
      <c r="Y28" s="208" t="s">
        <v>84</v>
      </c>
      <c r="Z28" s="208" t="s">
        <v>258</v>
      </c>
      <c r="AA28" s="208" t="s">
        <v>90</v>
      </c>
      <c r="AB28" s="237" t="s">
        <v>416</v>
      </c>
      <c r="AD28" s="237"/>
      <c r="AV28" s="228"/>
    </row>
    <row r="29" spans="1:48" x14ac:dyDescent="0.15">
      <c r="A29" s="208" t="s">
        <v>59</v>
      </c>
      <c r="B29" s="237" t="s">
        <v>423</v>
      </c>
      <c r="C29" s="152">
        <v>2018</v>
      </c>
      <c r="D29" s="153" t="s">
        <v>424</v>
      </c>
      <c r="E29" s="208" t="s">
        <v>300</v>
      </c>
      <c r="F29" s="208" t="s">
        <v>292</v>
      </c>
      <c r="G29" s="208" t="s">
        <v>36</v>
      </c>
      <c r="H29" s="208" t="s">
        <v>155</v>
      </c>
      <c r="I29" s="208" t="s">
        <v>153</v>
      </c>
      <c r="J29" s="208" t="s">
        <v>38</v>
      </c>
      <c r="K29" s="208" t="s">
        <v>154</v>
      </c>
      <c r="L29" s="208">
        <v>1</v>
      </c>
      <c r="N29" s="208">
        <v>1</v>
      </c>
      <c r="O29" s="208">
        <v>0.22</v>
      </c>
      <c r="P29" s="208">
        <v>0.21</v>
      </c>
      <c r="Q29" s="245">
        <f t="shared" si="2"/>
        <v>0.215</v>
      </c>
      <c r="R29" s="208">
        <v>15.6</v>
      </c>
      <c r="S29" s="208">
        <v>160</v>
      </c>
      <c r="T29" s="217">
        <f t="shared" si="0"/>
        <v>18</v>
      </c>
      <c r="U29" s="208">
        <v>138</v>
      </c>
      <c r="V29" s="217">
        <f t="shared" si="1"/>
        <v>22</v>
      </c>
      <c r="W29" s="208">
        <v>2</v>
      </c>
      <c r="X29" s="208" t="s">
        <v>39</v>
      </c>
      <c r="Y29" s="208" t="s">
        <v>84</v>
      </c>
      <c r="Z29" s="208" t="s">
        <v>258</v>
      </c>
      <c r="AA29" s="208" t="s">
        <v>90</v>
      </c>
      <c r="AB29" s="237" t="s">
        <v>416</v>
      </c>
      <c r="AV29" s="228"/>
    </row>
    <row r="30" spans="1:48" x14ac:dyDescent="0.15">
      <c r="A30" s="208" t="s">
        <v>59</v>
      </c>
      <c r="B30" s="237" t="s">
        <v>423</v>
      </c>
      <c r="C30" s="152">
        <v>2018</v>
      </c>
      <c r="D30" s="153" t="s">
        <v>424</v>
      </c>
      <c r="E30" s="208" t="s">
        <v>300</v>
      </c>
      <c r="F30" s="208" t="s">
        <v>292</v>
      </c>
      <c r="G30" s="208" t="s">
        <v>36</v>
      </c>
      <c r="H30" s="208" t="s">
        <v>155</v>
      </c>
      <c r="I30" s="208" t="s">
        <v>153</v>
      </c>
      <c r="J30" s="208" t="s">
        <v>38</v>
      </c>
      <c r="K30" s="208" t="s">
        <v>154</v>
      </c>
      <c r="L30" s="208">
        <v>2</v>
      </c>
      <c r="N30" s="208">
        <v>1</v>
      </c>
      <c r="O30" s="208">
        <v>0.27</v>
      </c>
      <c r="P30" s="208">
        <v>0.21</v>
      </c>
      <c r="Q30" s="245">
        <f t="shared" si="2"/>
        <v>0.24</v>
      </c>
      <c r="R30" s="208">
        <v>15.8</v>
      </c>
      <c r="S30" s="208">
        <v>156</v>
      </c>
      <c r="T30" s="217">
        <f t="shared" si="0"/>
        <v>18</v>
      </c>
      <c r="U30" s="208">
        <v>138</v>
      </c>
      <c r="V30" s="217">
        <f t="shared" si="1"/>
        <v>22</v>
      </c>
      <c r="W30" s="208">
        <v>2</v>
      </c>
      <c r="X30" s="208" t="s">
        <v>39</v>
      </c>
      <c r="Y30" s="208" t="s">
        <v>84</v>
      </c>
      <c r="Z30" s="208" t="s">
        <v>258</v>
      </c>
      <c r="AA30" s="208" t="s">
        <v>90</v>
      </c>
      <c r="AB30" s="237" t="s">
        <v>416</v>
      </c>
      <c r="AV30" s="228"/>
    </row>
    <row r="31" spans="1:48" x14ac:dyDescent="0.15">
      <c r="A31" s="208" t="s">
        <v>59</v>
      </c>
      <c r="B31" s="237" t="s">
        <v>423</v>
      </c>
      <c r="C31" s="152">
        <v>2018</v>
      </c>
      <c r="D31" s="153" t="s">
        <v>424</v>
      </c>
      <c r="E31" s="208" t="s">
        <v>300</v>
      </c>
      <c r="F31" s="208" t="s">
        <v>292</v>
      </c>
      <c r="G31" s="208" t="s">
        <v>36</v>
      </c>
      <c r="H31" s="208" t="s">
        <v>155</v>
      </c>
      <c r="I31" s="208" t="s">
        <v>153</v>
      </c>
      <c r="J31" s="208" t="s">
        <v>38</v>
      </c>
      <c r="K31" s="208" t="s">
        <v>154</v>
      </c>
      <c r="L31" s="208">
        <v>3</v>
      </c>
      <c r="N31" s="208">
        <v>1</v>
      </c>
      <c r="O31" s="208">
        <v>0.28000000000000003</v>
      </c>
      <c r="P31" s="208">
        <v>0.3</v>
      </c>
      <c r="Q31" s="245">
        <f t="shared" si="2"/>
        <v>0.29000000000000004</v>
      </c>
      <c r="R31" s="208">
        <v>15.5</v>
      </c>
      <c r="S31" s="208">
        <v>154</v>
      </c>
      <c r="T31" s="217">
        <f t="shared" si="0"/>
        <v>18</v>
      </c>
      <c r="U31" s="208">
        <v>138</v>
      </c>
      <c r="V31" s="217">
        <f t="shared" si="1"/>
        <v>22</v>
      </c>
      <c r="W31" s="208">
        <v>2</v>
      </c>
      <c r="X31" s="208" t="s">
        <v>39</v>
      </c>
      <c r="Y31" s="208" t="s">
        <v>84</v>
      </c>
      <c r="Z31" s="208" t="s">
        <v>258</v>
      </c>
      <c r="AA31" s="208" t="s">
        <v>90</v>
      </c>
      <c r="AB31" s="237" t="s">
        <v>416</v>
      </c>
      <c r="AV31" s="228"/>
    </row>
    <row r="32" spans="1:48" x14ac:dyDescent="0.15">
      <c r="A32" s="208" t="s">
        <v>59</v>
      </c>
      <c r="B32" s="237" t="s">
        <v>423</v>
      </c>
      <c r="C32" s="152">
        <v>2018</v>
      </c>
      <c r="D32" s="153" t="s">
        <v>424</v>
      </c>
      <c r="E32" s="208" t="s">
        <v>299</v>
      </c>
      <c r="F32" s="208" t="s">
        <v>292</v>
      </c>
      <c r="G32" s="208" t="s">
        <v>36</v>
      </c>
      <c r="H32" s="208" t="s">
        <v>157</v>
      </c>
      <c r="I32" s="208" t="s">
        <v>153</v>
      </c>
      <c r="J32" s="208" t="s">
        <v>38</v>
      </c>
      <c r="K32" s="208" t="s">
        <v>154</v>
      </c>
      <c r="L32" s="208">
        <v>1</v>
      </c>
      <c r="N32" s="208">
        <v>1</v>
      </c>
      <c r="O32" s="208">
        <v>0.52</v>
      </c>
      <c r="P32" s="208">
        <v>0.59</v>
      </c>
      <c r="Q32" s="245">
        <f t="shared" si="2"/>
        <v>0.55499999999999994</v>
      </c>
      <c r="R32" s="208">
        <v>15.8</v>
      </c>
      <c r="S32" s="208">
        <v>150</v>
      </c>
      <c r="T32" s="217">
        <f t="shared" si="0"/>
        <v>22</v>
      </c>
      <c r="U32" s="208">
        <v>170</v>
      </c>
      <c r="V32" s="217">
        <f t="shared" si="1"/>
        <v>18</v>
      </c>
      <c r="W32" s="208">
        <v>4</v>
      </c>
      <c r="X32" s="208" t="s">
        <v>39</v>
      </c>
      <c r="Y32" s="208" t="s">
        <v>90</v>
      </c>
      <c r="Z32" s="208" t="s">
        <v>84</v>
      </c>
      <c r="AA32" s="208" t="s">
        <v>69</v>
      </c>
      <c r="AB32" s="237" t="s">
        <v>416</v>
      </c>
      <c r="AV32" s="228"/>
    </row>
    <row r="33" spans="1:48" x14ac:dyDescent="0.15">
      <c r="A33" s="208" t="s">
        <v>59</v>
      </c>
      <c r="B33" s="237" t="s">
        <v>423</v>
      </c>
      <c r="C33" s="152">
        <v>2018</v>
      </c>
      <c r="D33" s="153" t="s">
        <v>424</v>
      </c>
      <c r="E33" s="208" t="s">
        <v>299</v>
      </c>
      <c r="F33" s="208" t="s">
        <v>292</v>
      </c>
      <c r="G33" s="208" t="s">
        <v>36</v>
      </c>
      <c r="H33" s="208" t="s">
        <v>157</v>
      </c>
      <c r="I33" s="208" t="s">
        <v>153</v>
      </c>
      <c r="J33" s="208" t="s">
        <v>38</v>
      </c>
      <c r="K33" s="208" t="s">
        <v>154</v>
      </c>
      <c r="L33" s="208">
        <v>2</v>
      </c>
      <c r="N33" s="208">
        <v>1</v>
      </c>
      <c r="O33" s="208">
        <v>0.49</v>
      </c>
      <c r="P33" s="208">
        <v>0.51</v>
      </c>
      <c r="Q33" s="245">
        <f t="shared" si="2"/>
        <v>0.5</v>
      </c>
      <c r="R33" s="208">
        <v>16</v>
      </c>
      <c r="S33" s="208">
        <v>150</v>
      </c>
      <c r="T33" s="217">
        <f t="shared" si="0"/>
        <v>22</v>
      </c>
      <c r="U33" s="208">
        <v>170</v>
      </c>
      <c r="V33" s="217">
        <f t="shared" si="1"/>
        <v>18</v>
      </c>
      <c r="W33" s="208">
        <v>4</v>
      </c>
      <c r="X33" s="208" t="s">
        <v>39</v>
      </c>
      <c r="Y33" s="208" t="s">
        <v>90</v>
      </c>
      <c r="Z33" s="208" t="s">
        <v>84</v>
      </c>
      <c r="AA33" s="208" t="s">
        <v>69</v>
      </c>
      <c r="AB33" s="237" t="s">
        <v>416</v>
      </c>
      <c r="AV33" s="228"/>
    </row>
    <row r="34" spans="1:48" x14ac:dyDescent="0.15">
      <c r="A34" s="208" t="s">
        <v>59</v>
      </c>
      <c r="B34" s="237" t="s">
        <v>423</v>
      </c>
      <c r="C34" s="152">
        <v>2018</v>
      </c>
      <c r="D34" s="153" t="s">
        <v>424</v>
      </c>
      <c r="E34" s="208" t="s">
        <v>299</v>
      </c>
      <c r="F34" s="208" t="s">
        <v>292</v>
      </c>
      <c r="G34" s="208" t="s">
        <v>36</v>
      </c>
      <c r="H34" s="208" t="s">
        <v>157</v>
      </c>
      <c r="I34" s="208" t="s">
        <v>153</v>
      </c>
      <c r="J34" s="208" t="s">
        <v>38</v>
      </c>
      <c r="K34" s="208" t="s">
        <v>154</v>
      </c>
      <c r="L34" s="208">
        <v>3</v>
      </c>
      <c r="N34" s="208">
        <v>1</v>
      </c>
      <c r="O34" s="208">
        <v>0.55000000000000004</v>
      </c>
      <c r="P34" s="208">
        <v>0.6</v>
      </c>
      <c r="Q34" s="245">
        <f t="shared" si="2"/>
        <v>0.57499999999999996</v>
      </c>
      <c r="R34" s="208">
        <v>15.6</v>
      </c>
      <c r="S34" s="208">
        <v>150</v>
      </c>
      <c r="T34" s="217">
        <f t="shared" si="0"/>
        <v>22</v>
      </c>
      <c r="U34" s="208">
        <v>170</v>
      </c>
      <c r="V34" s="217">
        <f t="shared" si="1"/>
        <v>18</v>
      </c>
      <c r="W34" s="208">
        <v>4</v>
      </c>
      <c r="X34" s="208" t="s">
        <v>39</v>
      </c>
      <c r="Y34" s="208" t="s">
        <v>90</v>
      </c>
      <c r="Z34" s="208" t="s">
        <v>84</v>
      </c>
      <c r="AA34" s="208" t="s">
        <v>69</v>
      </c>
      <c r="AB34" s="237" t="s">
        <v>416</v>
      </c>
      <c r="AV34" s="228"/>
    </row>
    <row r="35" spans="1:48" x14ac:dyDescent="0.15">
      <c r="A35" s="208" t="s">
        <v>59</v>
      </c>
      <c r="B35" s="237" t="s">
        <v>423</v>
      </c>
      <c r="C35" s="152">
        <v>2018</v>
      </c>
      <c r="D35" s="153" t="s">
        <v>424</v>
      </c>
      <c r="E35" s="208" t="s">
        <v>299</v>
      </c>
      <c r="F35" s="208" t="s">
        <v>292</v>
      </c>
      <c r="G35" s="208" t="s">
        <v>36</v>
      </c>
      <c r="H35" s="208" t="s">
        <v>155</v>
      </c>
      <c r="I35" s="208" t="s">
        <v>153</v>
      </c>
      <c r="J35" s="208" t="s">
        <v>38</v>
      </c>
      <c r="K35" s="208" t="s">
        <v>154</v>
      </c>
      <c r="L35" s="208">
        <v>1</v>
      </c>
      <c r="N35" s="208">
        <v>3</v>
      </c>
      <c r="O35" s="208">
        <v>0.5</v>
      </c>
      <c r="P35" s="208">
        <v>0.5</v>
      </c>
      <c r="Q35" s="245">
        <f t="shared" si="2"/>
        <v>0.5</v>
      </c>
      <c r="R35" s="208">
        <v>14.5</v>
      </c>
      <c r="S35" s="208">
        <v>109</v>
      </c>
      <c r="T35" s="217">
        <f t="shared" si="0"/>
        <v>33</v>
      </c>
      <c r="U35" s="208">
        <v>321</v>
      </c>
      <c r="V35" s="217">
        <f t="shared" si="1"/>
        <v>16</v>
      </c>
      <c r="W35" s="208">
        <v>4</v>
      </c>
      <c r="X35" s="208" t="s">
        <v>39</v>
      </c>
      <c r="Y35" s="208" t="s">
        <v>90</v>
      </c>
      <c r="Z35" s="208" t="s">
        <v>84</v>
      </c>
      <c r="AA35" s="208" t="s">
        <v>69</v>
      </c>
      <c r="AB35" s="237" t="s">
        <v>416</v>
      </c>
      <c r="AV35" s="228"/>
    </row>
    <row r="36" spans="1:48" x14ac:dyDescent="0.15">
      <c r="A36" s="208" t="s">
        <v>59</v>
      </c>
      <c r="B36" s="237" t="s">
        <v>423</v>
      </c>
      <c r="C36" s="152">
        <v>2018</v>
      </c>
      <c r="D36" s="153" t="s">
        <v>424</v>
      </c>
      <c r="E36" s="208" t="s">
        <v>299</v>
      </c>
      <c r="F36" s="208" t="s">
        <v>292</v>
      </c>
      <c r="G36" s="208" t="s">
        <v>36</v>
      </c>
      <c r="H36" s="208" t="s">
        <v>155</v>
      </c>
      <c r="I36" s="208" t="s">
        <v>153</v>
      </c>
      <c r="J36" s="208" t="s">
        <v>38</v>
      </c>
      <c r="K36" s="208" t="s">
        <v>154</v>
      </c>
      <c r="L36" s="208">
        <v>2</v>
      </c>
      <c r="N36" s="208">
        <v>3</v>
      </c>
      <c r="O36" s="208">
        <v>0.49</v>
      </c>
      <c r="P36" s="208">
        <v>0.42</v>
      </c>
      <c r="Q36" s="245">
        <f t="shared" si="2"/>
        <v>0.45499999999999996</v>
      </c>
      <c r="R36" s="208">
        <v>14.5</v>
      </c>
      <c r="S36" s="208">
        <v>110</v>
      </c>
      <c r="T36" s="217">
        <f t="shared" si="0"/>
        <v>33</v>
      </c>
      <c r="U36" s="208">
        <v>321</v>
      </c>
      <c r="V36" s="217">
        <f t="shared" si="1"/>
        <v>16</v>
      </c>
      <c r="W36" s="208">
        <v>4</v>
      </c>
      <c r="X36" s="208" t="s">
        <v>39</v>
      </c>
      <c r="Y36" s="208" t="s">
        <v>90</v>
      </c>
      <c r="Z36" s="208" t="s">
        <v>84</v>
      </c>
      <c r="AA36" s="208" t="s">
        <v>69</v>
      </c>
      <c r="AB36" s="237" t="s">
        <v>416</v>
      </c>
      <c r="AV36" s="228"/>
    </row>
    <row r="37" spans="1:48" x14ac:dyDescent="0.15">
      <c r="A37" s="208" t="s">
        <v>59</v>
      </c>
      <c r="B37" s="237" t="s">
        <v>423</v>
      </c>
      <c r="C37" s="152">
        <v>2018</v>
      </c>
      <c r="D37" s="153" t="s">
        <v>424</v>
      </c>
      <c r="E37" s="208" t="s">
        <v>299</v>
      </c>
      <c r="F37" s="208" t="s">
        <v>292</v>
      </c>
      <c r="G37" s="208" t="s">
        <v>36</v>
      </c>
      <c r="H37" s="208" t="s">
        <v>155</v>
      </c>
      <c r="I37" s="208" t="s">
        <v>153</v>
      </c>
      <c r="J37" s="208" t="s">
        <v>38</v>
      </c>
      <c r="K37" s="208" t="s">
        <v>154</v>
      </c>
      <c r="L37" s="208">
        <v>3</v>
      </c>
      <c r="N37" s="208">
        <v>3</v>
      </c>
      <c r="O37" s="208">
        <v>0.52</v>
      </c>
      <c r="P37" s="208">
        <v>0.43</v>
      </c>
      <c r="Q37" s="245">
        <f t="shared" si="2"/>
        <v>0.47499999999999998</v>
      </c>
      <c r="R37" s="208">
        <v>14.3</v>
      </c>
      <c r="S37" s="208">
        <v>115</v>
      </c>
      <c r="T37" s="217">
        <f t="shared" si="0"/>
        <v>30</v>
      </c>
      <c r="U37" s="208">
        <v>321</v>
      </c>
      <c r="V37" s="217">
        <f t="shared" si="1"/>
        <v>16</v>
      </c>
      <c r="W37" s="208">
        <v>4</v>
      </c>
      <c r="X37" s="208" t="s">
        <v>39</v>
      </c>
      <c r="Y37" s="208" t="s">
        <v>90</v>
      </c>
      <c r="Z37" s="208" t="s">
        <v>84</v>
      </c>
      <c r="AA37" s="208" t="s">
        <v>69</v>
      </c>
      <c r="AB37" s="237" t="s">
        <v>416</v>
      </c>
      <c r="AV37" s="228"/>
    </row>
    <row r="38" spans="1:48" x14ac:dyDescent="0.15">
      <c r="A38" s="208" t="s">
        <v>59</v>
      </c>
      <c r="B38" s="237" t="s">
        <v>423</v>
      </c>
      <c r="C38" s="152">
        <v>2018</v>
      </c>
      <c r="D38" s="153" t="s">
        <v>424</v>
      </c>
      <c r="E38" s="208" t="s">
        <v>298</v>
      </c>
      <c r="F38" s="208" t="s">
        <v>291</v>
      </c>
      <c r="G38" s="208" t="s">
        <v>36</v>
      </c>
      <c r="H38" s="208" t="s">
        <v>157</v>
      </c>
      <c r="I38" s="208" t="s">
        <v>153</v>
      </c>
      <c r="J38" s="208" t="s">
        <v>38</v>
      </c>
      <c r="K38" s="208" t="s">
        <v>154</v>
      </c>
      <c r="L38" s="208">
        <v>1</v>
      </c>
      <c r="N38" s="208">
        <v>3</v>
      </c>
      <c r="O38" s="208">
        <v>0.3</v>
      </c>
      <c r="P38" s="208">
        <v>0.3</v>
      </c>
      <c r="Q38" s="245">
        <f t="shared" si="2"/>
        <v>0.3</v>
      </c>
      <c r="R38" s="208">
        <v>14</v>
      </c>
      <c r="S38" s="208">
        <v>140</v>
      </c>
      <c r="T38" s="217">
        <f t="shared" si="0"/>
        <v>22</v>
      </c>
      <c r="U38" s="208">
        <v>480</v>
      </c>
      <c r="V38" s="217">
        <f t="shared" si="1"/>
        <v>16</v>
      </c>
      <c r="W38" s="208">
        <v>6</v>
      </c>
      <c r="X38" s="208" t="s">
        <v>39</v>
      </c>
      <c r="Y38" s="208" t="s">
        <v>90</v>
      </c>
      <c r="Z38" s="208" t="s">
        <v>84</v>
      </c>
      <c r="AA38" s="208" t="s">
        <v>258</v>
      </c>
      <c r="AB38" s="237" t="s">
        <v>416</v>
      </c>
      <c r="AV38" s="229"/>
    </row>
    <row r="39" spans="1:48" x14ac:dyDescent="0.15">
      <c r="A39" s="208" t="s">
        <v>59</v>
      </c>
      <c r="B39" s="237" t="s">
        <v>423</v>
      </c>
      <c r="C39" s="152">
        <v>2018</v>
      </c>
      <c r="D39" s="153" t="s">
        <v>424</v>
      </c>
      <c r="E39" s="208" t="s">
        <v>298</v>
      </c>
      <c r="F39" s="208" t="s">
        <v>291</v>
      </c>
      <c r="G39" s="208" t="s">
        <v>36</v>
      </c>
      <c r="H39" s="208" t="s">
        <v>157</v>
      </c>
      <c r="I39" s="208" t="s">
        <v>153</v>
      </c>
      <c r="J39" s="208" t="s">
        <v>38</v>
      </c>
      <c r="K39" s="208" t="s">
        <v>154</v>
      </c>
      <c r="L39" s="208">
        <v>2</v>
      </c>
      <c r="N39" s="208">
        <v>3</v>
      </c>
      <c r="O39" s="208">
        <v>0.28000000000000003</v>
      </c>
      <c r="P39" s="208">
        <v>0.34</v>
      </c>
      <c r="Q39" s="245">
        <f t="shared" si="2"/>
        <v>0.31000000000000005</v>
      </c>
      <c r="R39" s="208">
        <v>15.4</v>
      </c>
      <c r="S39" s="208">
        <v>133</v>
      </c>
      <c r="T39" s="217">
        <f t="shared" si="0"/>
        <v>25</v>
      </c>
      <c r="U39" s="208">
        <v>480</v>
      </c>
      <c r="V39" s="217">
        <f t="shared" si="1"/>
        <v>16</v>
      </c>
      <c r="W39" s="208">
        <v>6</v>
      </c>
      <c r="X39" s="208" t="s">
        <v>39</v>
      </c>
      <c r="Y39" s="208" t="s">
        <v>90</v>
      </c>
      <c r="Z39" s="208" t="s">
        <v>84</v>
      </c>
      <c r="AA39" s="208" t="s">
        <v>258</v>
      </c>
      <c r="AB39" s="237" t="s">
        <v>416</v>
      </c>
    </row>
    <row r="40" spans="1:48" x14ac:dyDescent="0.15">
      <c r="A40" s="208" t="s">
        <v>59</v>
      </c>
      <c r="B40" s="237" t="s">
        <v>423</v>
      </c>
      <c r="C40" s="152">
        <v>2018</v>
      </c>
      <c r="D40" s="153" t="s">
        <v>424</v>
      </c>
      <c r="E40" s="208" t="s">
        <v>298</v>
      </c>
      <c r="F40" s="208" t="s">
        <v>291</v>
      </c>
      <c r="G40" s="208" t="s">
        <v>36</v>
      </c>
      <c r="H40" s="208" t="s">
        <v>157</v>
      </c>
      <c r="I40" s="208" t="s">
        <v>153</v>
      </c>
      <c r="J40" s="208" t="s">
        <v>38</v>
      </c>
      <c r="K40" s="208" t="s">
        <v>154</v>
      </c>
      <c r="L40" s="208">
        <v>3</v>
      </c>
      <c r="N40" s="208">
        <v>3</v>
      </c>
      <c r="O40" s="208">
        <v>0.3</v>
      </c>
      <c r="P40" s="208">
        <v>0.25</v>
      </c>
      <c r="Q40" s="245">
        <f t="shared" si="2"/>
        <v>0.27500000000000002</v>
      </c>
      <c r="R40" s="208">
        <v>15</v>
      </c>
      <c r="S40" s="208">
        <v>139</v>
      </c>
      <c r="T40" s="217">
        <f t="shared" si="0"/>
        <v>22</v>
      </c>
      <c r="U40" s="208">
        <v>480</v>
      </c>
      <c r="V40" s="217">
        <f t="shared" si="1"/>
        <v>16</v>
      </c>
      <c r="W40" s="208">
        <v>6</v>
      </c>
      <c r="X40" s="208" t="s">
        <v>39</v>
      </c>
      <c r="Y40" s="208" t="s">
        <v>90</v>
      </c>
      <c r="Z40" s="208" t="s">
        <v>84</v>
      </c>
      <c r="AA40" s="208" t="s">
        <v>258</v>
      </c>
      <c r="AB40" s="237" t="s">
        <v>416</v>
      </c>
    </row>
    <row r="41" spans="1:48" x14ac:dyDescent="0.15">
      <c r="A41" s="208" t="s">
        <v>59</v>
      </c>
      <c r="B41" s="237" t="s">
        <v>423</v>
      </c>
      <c r="C41" s="152">
        <v>2018</v>
      </c>
      <c r="D41" s="153" t="s">
        <v>424</v>
      </c>
      <c r="E41" s="208" t="s">
        <v>298</v>
      </c>
      <c r="F41" s="208" t="s">
        <v>291</v>
      </c>
      <c r="G41" s="208" t="s">
        <v>36</v>
      </c>
      <c r="H41" s="208" t="s">
        <v>155</v>
      </c>
      <c r="I41" s="208" t="s">
        <v>153</v>
      </c>
      <c r="J41" s="208" t="s">
        <v>38</v>
      </c>
      <c r="K41" s="208" t="s">
        <v>154</v>
      </c>
      <c r="L41" s="208">
        <v>1</v>
      </c>
      <c r="N41" s="208">
        <v>3</v>
      </c>
      <c r="O41" s="208">
        <v>0.3</v>
      </c>
      <c r="P41" s="208">
        <v>0.36</v>
      </c>
      <c r="Q41" s="245">
        <f t="shared" si="2"/>
        <v>0.32999999999999996</v>
      </c>
      <c r="R41" s="208">
        <v>13.4</v>
      </c>
      <c r="S41" s="208">
        <v>130</v>
      </c>
      <c r="T41" s="217">
        <f t="shared" si="0"/>
        <v>25</v>
      </c>
      <c r="U41" s="208">
        <v>399</v>
      </c>
      <c r="V41" s="217">
        <f t="shared" si="1"/>
        <v>16</v>
      </c>
      <c r="W41" s="208">
        <v>6</v>
      </c>
      <c r="X41" s="208" t="s">
        <v>46</v>
      </c>
      <c r="Y41" s="208" t="s">
        <v>90</v>
      </c>
      <c r="Z41" s="208" t="s">
        <v>84</v>
      </c>
      <c r="AA41" s="208" t="s">
        <v>258</v>
      </c>
      <c r="AB41" s="237" t="s">
        <v>416</v>
      </c>
    </row>
    <row r="42" spans="1:48" x14ac:dyDescent="0.15">
      <c r="A42" s="208" t="s">
        <v>59</v>
      </c>
      <c r="B42" s="237" t="s">
        <v>423</v>
      </c>
      <c r="C42" s="152">
        <v>2018</v>
      </c>
      <c r="D42" s="153" t="s">
        <v>424</v>
      </c>
      <c r="E42" s="208" t="s">
        <v>298</v>
      </c>
      <c r="F42" s="208" t="s">
        <v>291</v>
      </c>
      <c r="G42" s="208" t="s">
        <v>36</v>
      </c>
      <c r="H42" s="208" t="s">
        <v>155</v>
      </c>
      <c r="I42" s="208" t="s">
        <v>153</v>
      </c>
      <c r="J42" s="208" t="s">
        <v>38</v>
      </c>
      <c r="K42" s="208" t="s">
        <v>154</v>
      </c>
      <c r="L42" s="208">
        <v>2</v>
      </c>
      <c r="N42" s="208">
        <v>3</v>
      </c>
      <c r="O42" s="208">
        <v>0.34</v>
      </c>
      <c r="P42" s="208">
        <v>0.24</v>
      </c>
      <c r="Q42" s="245">
        <f t="shared" si="2"/>
        <v>0.29000000000000004</v>
      </c>
      <c r="R42" s="208">
        <v>14</v>
      </c>
      <c r="S42" s="208">
        <v>130</v>
      </c>
      <c r="T42" s="217">
        <f t="shared" si="0"/>
        <v>25</v>
      </c>
      <c r="U42" s="208">
        <v>399</v>
      </c>
      <c r="V42" s="217">
        <f t="shared" si="1"/>
        <v>16</v>
      </c>
      <c r="W42" s="208">
        <v>6</v>
      </c>
      <c r="X42" s="208" t="s">
        <v>46</v>
      </c>
      <c r="Y42" s="208" t="s">
        <v>90</v>
      </c>
      <c r="Z42" s="208" t="s">
        <v>84</v>
      </c>
      <c r="AA42" s="208" t="s">
        <v>258</v>
      </c>
      <c r="AB42" s="237" t="s">
        <v>416</v>
      </c>
    </row>
    <row r="43" spans="1:48" x14ac:dyDescent="0.15">
      <c r="A43" s="208" t="s">
        <v>59</v>
      </c>
      <c r="B43" s="237" t="s">
        <v>423</v>
      </c>
      <c r="C43" s="152">
        <v>2018</v>
      </c>
      <c r="D43" s="153" t="s">
        <v>424</v>
      </c>
      <c r="E43" s="208" t="s">
        <v>298</v>
      </c>
      <c r="F43" s="208" t="s">
        <v>291</v>
      </c>
      <c r="G43" s="208" t="s">
        <v>36</v>
      </c>
      <c r="H43" s="208" t="s">
        <v>155</v>
      </c>
      <c r="I43" s="208" t="s">
        <v>153</v>
      </c>
      <c r="J43" s="208" t="s">
        <v>38</v>
      </c>
      <c r="K43" s="208" t="s">
        <v>154</v>
      </c>
      <c r="L43" s="208">
        <v>3</v>
      </c>
      <c r="N43" s="208">
        <v>3</v>
      </c>
      <c r="O43" s="208">
        <v>0.26</v>
      </c>
      <c r="P43" s="208">
        <v>0.3</v>
      </c>
      <c r="Q43" s="245">
        <f t="shared" si="2"/>
        <v>0.28000000000000003</v>
      </c>
      <c r="R43" s="208">
        <v>14.2</v>
      </c>
      <c r="S43" s="208">
        <v>135</v>
      </c>
      <c r="T43" s="217">
        <f t="shared" si="0"/>
        <v>25</v>
      </c>
      <c r="U43" s="208">
        <v>399</v>
      </c>
      <c r="V43" s="217">
        <f t="shared" si="1"/>
        <v>16</v>
      </c>
      <c r="W43" s="208">
        <v>6</v>
      </c>
      <c r="X43" s="208" t="s">
        <v>46</v>
      </c>
      <c r="Y43" s="208" t="s">
        <v>90</v>
      </c>
      <c r="Z43" s="208" t="s">
        <v>84</v>
      </c>
      <c r="AA43" s="208" t="s">
        <v>258</v>
      </c>
      <c r="AB43" s="237" t="s">
        <v>416</v>
      </c>
    </row>
    <row r="44" spans="1:48" x14ac:dyDescent="0.15">
      <c r="A44" s="208" t="s">
        <v>59</v>
      </c>
      <c r="B44" s="237" t="s">
        <v>423</v>
      </c>
      <c r="C44" s="152">
        <v>2018</v>
      </c>
      <c r="D44" s="153" t="s">
        <v>424</v>
      </c>
      <c r="E44" s="208" t="s">
        <v>296</v>
      </c>
      <c r="F44" s="208" t="s">
        <v>288</v>
      </c>
      <c r="G44" s="208" t="s">
        <v>36</v>
      </c>
      <c r="H44" s="208" t="s">
        <v>157</v>
      </c>
      <c r="I44" s="208" t="s">
        <v>153</v>
      </c>
      <c r="J44" s="208" t="s">
        <v>38</v>
      </c>
      <c r="K44" s="208" t="s">
        <v>154</v>
      </c>
      <c r="L44" s="208">
        <v>1</v>
      </c>
      <c r="N44" s="208">
        <v>4</v>
      </c>
      <c r="O44" s="208">
        <v>0.36</v>
      </c>
      <c r="P44" s="208">
        <v>0.31</v>
      </c>
      <c r="Q44" s="245">
        <f t="shared" si="2"/>
        <v>0.33499999999999996</v>
      </c>
      <c r="R44" s="208">
        <v>14.6</v>
      </c>
      <c r="S44" s="208">
        <v>100</v>
      </c>
      <c r="T44" s="217">
        <f t="shared" si="0"/>
        <v>33</v>
      </c>
      <c r="U44" s="208">
        <v>518</v>
      </c>
      <c r="V44" s="217">
        <f t="shared" si="1"/>
        <v>16</v>
      </c>
      <c r="W44" s="208">
        <v>1</v>
      </c>
      <c r="X44" s="208" t="s">
        <v>46</v>
      </c>
      <c r="Y44" s="208" t="s">
        <v>90</v>
      </c>
      <c r="Z44" s="208" t="s">
        <v>84</v>
      </c>
      <c r="AA44" s="208" t="s">
        <v>258</v>
      </c>
      <c r="AB44" s="237" t="s">
        <v>416</v>
      </c>
    </row>
    <row r="45" spans="1:48" x14ac:dyDescent="0.15">
      <c r="A45" s="208" t="s">
        <v>59</v>
      </c>
      <c r="B45" s="237" t="s">
        <v>423</v>
      </c>
      <c r="C45" s="152">
        <v>2018</v>
      </c>
      <c r="D45" s="153" t="s">
        <v>424</v>
      </c>
      <c r="E45" s="208" t="s">
        <v>296</v>
      </c>
      <c r="F45" s="208" t="s">
        <v>288</v>
      </c>
      <c r="G45" s="208" t="s">
        <v>36</v>
      </c>
      <c r="H45" s="208" t="s">
        <v>157</v>
      </c>
      <c r="I45" s="208" t="s">
        <v>153</v>
      </c>
      <c r="J45" s="208" t="s">
        <v>38</v>
      </c>
      <c r="K45" s="208" t="s">
        <v>154</v>
      </c>
      <c r="L45" s="208">
        <v>2</v>
      </c>
      <c r="N45" s="208">
        <v>4</v>
      </c>
      <c r="O45" s="208">
        <v>0.25</v>
      </c>
      <c r="P45" s="208">
        <v>0.3</v>
      </c>
      <c r="Q45" s="245">
        <f t="shared" si="2"/>
        <v>0.27500000000000002</v>
      </c>
      <c r="R45" s="208">
        <v>14.4</v>
      </c>
      <c r="S45" s="208">
        <v>100</v>
      </c>
      <c r="T45" s="217">
        <f t="shared" si="0"/>
        <v>33</v>
      </c>
      <c r="U45" s="208">
        <v>518</v>
      </c>
      <c r="V45" s="217">
        <f t="shared" si="1"/>
        <v>16</v>
      </c>
      <c r="W45" s="208">
        <v>1</v>
      </c>
      <c r="X45" s="208" t="s">
        <v>46</v>
      </c>
      <c r="Y45" s="208" t="s">
        <v>90</v>
      </c>
      <c r="Z45" s="208" t="s">
        <v>84</v>
      </c>
      <c r="AA45" s="208" t="s">
        <v>258</v>
      </c>
      <c r="AB45" s="237" t="s">
        <v>416</v>
      </c>
    </row>
    <row r="46" spans="1:48" x14ac:dyDescent="0.15">
      <c r="A46" s="208" t="s">
        <v>59</v>
      </c>
      <c r="B46" s="237" t="s">
        <v>423</v>
      </c>
      <c r="C46" s="152">
        <v>2018</v>
      </c>
      <c r="D46" s="153" t="s">
        <v>424</v>
      </c>
      <c r="E46" s="208" t="s">
        <v>296</v>
      </c>
      <c r="F46" s="208" t="s">
        <v>288</v>
      </c>
      <c r="G46" s="208" t="s">
        <v>36</v>
      </c>
      <c r="H46" s="208" t="s">
        <v>157</v>
      </c>
      <c r="I46" s="208" t="s">
        <v>153</v>
      </c>
      <c r="J46" s="208" t="s">
        <v>38</v>
      </c>
      <c r="K46" s="208" t="s">
        <v>154</v>
      </c>
      <c r="L46" s="208">
        <v>3</v>
      </c>
      <c r="N46" s="208">
        <v>4</v>
      </c>
      <c r="O46" s="208">
        <v>0.32</v>
      </c>
      <c r="P46" s="208">
        <v>0.38</v>
      </c>
      <c r="Q46" s="245">
        <f t="shared" si="2"/>
        <v>0.35</v>
      </c>
      <c r="R46" s="208">
        <v>14.4</v>
      </c>
      <c r="S46" s="208">
        <v>108</v>
      </c>
      <c r="T46" s="217">
        <f t="shared" si="0"/>
        <v>33</v>
      </c>
      <c r="U46" s="208">
        <v>518</v>
      </c>
      <c r="V46" s="217">
        <f t="shared" si="1"/>
        <v>16</v>
      </c>
      <c r="W46" s="208">
        <v>1</v>
      </c>
      <c r="X46" s="208" t="s">
        <v>46</v>
      </c>
      <c r="Y46" s="208" t="s">
        <v>90</v>
      </c>
      <c r="Z46" s="208" t="s">
        <v>84</v>
      </c>
      <c r="AA46" s="208" t="s">
        <v>258</v>
      </c>
      <c r="AB46" s="237" t="s">
        <v>416</v>
      </c>
    </row>
    <row r="47" spans="1:48" x14ac:dyDescent="0.15">
      <c r="A47" s="208" t="s">
        <v>59</v>
      </c>
      <c r="B47" s="237" t="s">
        <v>423</v>
      </c>
      <c r="C47" s="152">
        <v>2018</v>
      </c>
      <c r="D47" s="153" t="s">
        <v>424</v>
      </c>
      <c r="E47" s="208" t="s">
        <v>296</v>
      </c>
      <c r="F47" s="208" t="s">
        <v>288</v>
      </c>
      <c r="G47" s="208" t="s">
        <v>36</v>
      </c>
      <c r="H47" s="208" t="s">
        <v>155</v>
      </c>
      <c r="I47" s="208" t="s">
        <v>153</v>
      </c>
      <c r="J47" s="208" t="s">
        <v>38</v>
      </c>
      <c r="K47" s="208" t="s">
        <v>154</v>
      </c>
      <c r="L47" s="208">
        <v>1</v>
      </c>
      <c r="N47" s="208">
        <v>5</v>
      </c>
      <c r="O47" s="208">
        <v>0.22</v>
      </c>
      <c r="P47" s="208">
        <v>0.21</v>
      </c>
      <c r="Q47" s="245">
        <f t="shared" si="2"/>
        <v>0.215</v>
      </c>
      <c r="R47" s="208">
        <v>14.4</v>
      </c>
      <c r="S47" s="208">
        <v>95</v>
      </c>
      <c r="T47" s="217">
        <f t="shared" si="0"/>
        <v>36</v>
      </c>
      <c r="U47" s="208">
        <v>429</v>
      </c>
      <c r="V47" s="217">
        <f t="shared" si="1"/>
        <v>16</v>
      </c>
      <c r="W47" s="208">
        <v>1</v>
      </c>
      <c r="X47" s="208" t="s">
        <v>46</v>
      </c>
      <c r="Y47" s="208" t="s">
        <v>90</v>
      </c>
      <c r="Z47" s="208" t="s">
        <v>84</v>
      </c>
      <c r="AA47" s="208" t="s">
        <v>258</v>
      </c>
      <c r="AB47" s="237" t="s">
        <v>416</v>
      </c>
    </row>
    <row r="48" spans="1:48" x14ac:dyDescent="0.15">
      <c r="A48" s="208" t="s">
        <v>59</v>
      </c>
      <c r="B48" s="237" t="s">
        <v>423</v>
      </c>
      <c r="C48" s="152">
        <v>2018</v>
      </c>
      <c r="D48" s="153" t="s">
        <v>424</v>
      </c>
      <c r="E48" s="208" t="s">
        <v>296</v>
      </c>
      <c r="F48" s="208" t="s">
        <v>288</v>
      </c>
      <c r="G48" s="208" t="s">
        <v>36</v>
      </c>
      <c r="H48" s="208" t="s">
        <v>155</v>
      </c>
      <c r="I48" s="208" t="s">
        <v>153</v>
      </c>
      <c r="J48" s="208" t="s">
        <v>38</v>
      </c>
      <c r="K48" s="208" t="s">
        <v>154</v>
      </c>
      <c r="L48" s="208">
        <v>2</v>
      </c>
      <c r="N48" s="208">
        <v>5</v>
      </c>
      <c r="O48" s="208">
        <v>0.44</v>
      </c>
      <c r="P48" s="208">
        <v>0.45</v>
      </c>
      <c r="Q48" s="245">
        <f t="shared" si="2"/>
        <v>0.44500000000000001</v>
      </c>
      <c r="R48" s="208">
        <v>14</v>
      </c>
      <c r="S48" s="208">
        <v>86</v>
      </c>
      <c r="T48" s="217">
        <f t="shared" si="0"/>
        <v>36</v>
      </c>
      <c r="U48" s="208">
        <v>429</v>
      </c>
      <c r="V48" s="217">
        <f t="shared" si="1"/>
        <v>16</v>
      </c>
      <c r="W48" s="208">
        <v>1</v>
      </c>
      <c r="X48" s="208" t="s">
        <v>46</v>
      </c>
      <c r="Y48" s="208" t="s">
        <v>90</v>
      </c>
      <c r="Z48" s="208" t="s">
        <v>84</v>
      </c>
      <c r="AA48" s="208" t="s">
        <v>258</v>
      </c>
      <c r="AB48" s="237" t="s">
        <v>416</v>
      </c>
    </row>
    <row r="49" spans="1:28" x14ac:dyDescent="0.15">
      <c r="A49" s="208" t="s">
        <v>59</v>
      </c>
      <c r="B49" s="237" t="s">
        <v>423</v>
      </c>
      <c r="C49" s="152">
        <v>2018</v>
      </c>
      <c r="D49" s="153" t="s">
        <v>424</v>
      </c>
      <c r="E49" s="208" t="s">
        <v>296</v>
      </c>
      <c r="F49" s="208" t="s">
        <v>288</v>
      </c>
      <c r="G49" s="208" t="s">
        <v>36</v>
      </c>
      <c r="H49" s="208" t="s">
        <v>155</v>
      </c>
      <c r="I49" s="208" t="s">
        <v>153</v>
      </c>
      <c r="J49" s="208" t="s">
        <v>38</v>
      </c>
      <c r="K49" s="208" t="s">
        <v>154</v>
      </c>
      <c r="L49" s="208">
        <v>3</v>
      </c>
      <c r="N49" s="208">
        <v>5</v>
      </c>
      <c r="O49" s="208">
        <v>0.21</v>
      </c>
      <c r="P49" s="208">
        <v>0.23</v>
      </c>
      <c r="Q49" s="245">
        <f t="shared" si="2"/>
        <v>0.22</v>
      </c>
      <c r="R49" s="208">
        <v>14.6</v>
      </c>
      <c r="S49" s="208">
        <v>86</v>
      </c>
      <c r="T49" s="217">
        <f t="shared" si="0"/>
        <v>36</v>
      </c>
      <c r="U49" s="208">
        <v>429</v>
      </c>
      <c r="V49" s="217">
        <f t="shared" si="1"/>
        <v>16</v>
      </c>
      <c r="W49" s="208">
        <v>1</v>
      </c>
      <c r="X49" s="208" t="s">
        <v>46</v>
      </c>
      <c r="Y49" s="208" t="s">
        <v>90</v>
      </c>
      <c r="Z49" s="208" t="s">
        <v>84</v>
      </c>
      <c r="AA49" s="208" t="s">
        <v>258</v>
      </c>
      <c r="AB49" s="237" t="s">
        <v>416</v>
      </c>
    </row>
    <row r="50" spans="1:28" x14ac:dyDescent="0.15">
      <c r="A50" s="208" t="s">
        <v>59</v>
      </c>
      <c r="B50" s="237" t="s">
        <v>423</v>
      </c>
      <c r="C50" s="152">
        <v>2018</v>
      </c>
      <c r="D50" s="153" t="s">
        <v>424</v>
      </c>
      <c r="E50" s="208" t="s">
        <v>302</v>
      </c>
      <c r="F50" s="208" t="s">
        <v>293</v>
      </c>
      <c r="G50" s="208" t="s">
        <v>36</v>
      </c>
      <c r="H50" s="208" t="s">
        <v>157</v>
      </c>
      <c r="I50" s="208" t="s">
        <v>153</v>
      </c>
      <c r="J50" s="208" t="s">
        <v>38</v>
      </c>
      <c r="K50" s="208" t="s">
        <v>154</v>
      </c>
      <c r="L50" s="208">
        <v>1</v>
      </c>
      <c r="N50" s="208">
        <v>1</v>
      </c>
      <c r="O50" s="208">
        <v>0.43</v>
      </c>
      <c r="P50" s="208">
        <v>0.44</v>
      </c>
      <c r="Q50" s="245">
        <f t="shared" si="2"/>
        <v>0.435</v>
      </c>
      <c r="R50" s="208">
        <v>16.399999999999999</v>
      </c>
      <c r="S50" s="208">
        <v>149</v>
      </c>
      <c r="T50" s="217">
        <f t="shared" si="0"/>
        <v>22</v>
      </c>
      <c r="U50" s="208">
        <v>128</v>
      </c>
      <c r="V50" s="217">
        <f t="shared" si="1"/>
        <v>27</v>
      </c>
      <c r="W50" s="208">
        <v>3</v>
      </c>
      <c r="X50" s="208" t="s">
        <v>46</v>
      </c>
      <c r="Y50" s="208" t="s">
        <v>84</v>
      </c>
      <c r="Z50" s="208" t="s">
        <v>90</v>
      </c>
      <c r="AA50" s="208" t="s">
        <v>258</v>
      </c>
      <c r="AB50" s="237" t="s">
        <v>416</v>
      </c>
    </row>
    <row r="51" spans="1:28" x14ac:dyDescent="0.15">
      <c r="A51" s="208" t="s">
        <v>59</v>
      </c>
      <c r="B51" s="237" t="s">
        <v>423</v>
      </c>
      <c r="C51" s="152">
        <v>2018</v>
      </c>
      <c r="D51" s="153" t="s">
        <v>424</v>
      </c>
      <c r="E51" s="208" t="s">
        <v>302</v>
      </c>
      <c r="F51" s="208" t="s">
        <v>293</v>
      </c>
      <c r="G51" s="208" t="s">
        <v>36</v>
      </c>
      <c r="H51" s="208" t="s">
        <v>157</v>
      </c>
      <c r="I51" s="208" t="s">
        <v>153</v>
      </c>
      <c r="J51" s="208" t="s">
        <v>38</v>
      </c>
      <c r="K51" s="208" t="s">
        <v>154</v>
      </c>
      <c r="L51" s="208">
        <v>2</v>
      </c>
      <c r="N51" s="208">
        <v>1</v>
      </c>
      <c r="O51" s="208">
        <v>0.4</v>
      </c>
      <c r="P51" s="208">
        <v>0.38</v>
      </c>
      <c r="Q51" s="245">
        <f t="shared" si="2"/>
        <v>0.39</v>
      </c>
      <c r="R51" s="208">
        <v>15.1</v>
      </c>
      <c r="S51" s="208">
        <v>145</v>
      </c>
      <c r="T51" s="217">
        <f t="shared" si="0"/>
        <v>22</v>
      </c>
      <c r="U51" s="208">
        <v>128</v>
      </c>
      <c r="V51" s="217">
        <f t="shared" si="1"/>
        <v>27</v>
      </c>
      <c r="W51" s="208">
        <v>3</v>
      </c>
      <c r="X51" s="208" t="s">
        <v>46</v>
      </c>
      <c r="Y51" s="208" t="s">
        <v>84</v>
      </c>
      <c r="Z51" s="208" t="s">
        <v>90</v>
      </c>
      <c r="AA51" s="208" t="s">
        <v>258</v>
      </c>
      <c r="AB51" s="237" t="s">
        <v>416</v>
      </c>
    </row>
    <row r="52" spans="1:28" x14ac:dyDescent="0.15">
      <c r="A52" s="208" t="s">
        <v>59</v>
      </c>
      <c r="B52" s="237" t="s">
        <v>423</v>
      </c>
      <c r="C52" s="152">
        <v>2018</v>
      </c>
      <c r="D52" s="153" t="s">
        <v>424</v>
      </c>
      <c r="E52" s="208" t="s">
        <v>302</v>
      </c>
      <c r="F52" s="208" t="s">
        <v>293</v>
      </c>
      <c r="G52" s="208" t="s">
        <v>36</v>
      </c>
      <c r="H52" s="208" t="s">
        <v>157</v>
      </c>
      <c r="I52" s="208" t="s">
        <v>153</v>
      </c>
      <c r="J52" s="208" t="s">
        <v>38</v>
      </c>
      <c r="K52" s="208" t="s">
        <v>154</v>
      </c>
      <c r="L52" s="208">
        <v>3</v>
      </c>
      <c r="N52" s="208">
        <v>1</v>
      </c>
      <c r="O52" s="208">
        <v>0.53</v>
      </c>
      <c r="P52" s="208">
        <v>0.5</v>
      </c>
      <c r="Q52" s="245">
        <f t="shared" si="2"/>
        <v>0.51500000000000001</v>
      </c>
      <c r="R52" s="208">
        <v>16.2</v>
      </c>
      <c r="S52" s="208">
        <v>140</v>
      </c>
      <c r="T52" s="217">
        <f t="shared" si="0"/>
        <v>22</v>
      </c>
      <c r="U52" s="208">
        <v>128</v>
      </c>
      <c r="V52" s="217">
        <f t="shared" si="1"/>
        <v>27</v>
      </c>
      <c r="W52" s="208">
        <v>3</v>
      </c>
      <c r="X52" s="208" t="s">
        <v>46</v>
      </c>
      <c r="Y52" s="208" t="s">
        <v>84</v>
      </c>
      <c r="Z52" s="208" t="s">
        <v>90</v>
      </c>
      <c r="AA52" s="208" t="s">
        <v>258</v>
      </c>
      <c r="AB52" s="237" t="s">
        <v>416</v>
      </c>
    </row>
    <row r="53" spans="1:28" x14ac:dyDescent="0.15">
      <c r="A53" s="208" t="s">
        <v>59</v>
      </c>
      <c r="B53" s="237" t="s">
        <v>423</v>
      </c>
      <c r="C53" s="152">
        <v>2018</v>
      </c>
      <c r="D53" s="153" t="s">
        <v>424</v>
      </c>
      <c r="E53" s="208" t="s">
        <v>302</v>
      </c>
      <c r="F53" s="208" t="s">
        <v>293</v>
      </c>
      <c r="G53" s="208" t="s">
        <v>36</v>
      </c>
      <c r="H53" s="208" t="s">
        <v>155</v>
      </c>
      <c r="I53" s="208" t="s">
        <v>153</v>
      </c>
      <c r="J53" s="208" t="s">
        <v>38</v>
      </c>
      <c r="K53" s="208" t="s">
        <v>154</v>
      </c>
      <c r="L53" s="208">
        <v>1</v>
      </c>
      <c r="N53" s="208">
        <v>4</v>
      </c>
      <c r="O53" s="208">
        <v>0.72</v>
      </c>
      <c r="P53" s="208">
        <v>0.86</v>
      </c>
      <c r="Q53" s="245">
        <f t="shared" si="2"/>
        <v>0.79</v>
      </c>
      <c r="R53" s="208">
        <v>15.5</v>
      </c>
      <c r="S53" s="208">
        <v>146</v>
      </c>
      <c r="T53" s="217">
        <f t="shared" si="0"/>
        <v>22</v>
      </c>
      <c r="U53" s="208">
        <v>348</v>
      </c>
      <c r="V53" s="217">
        <f t="shared" si="1"/>
        <v>16</v>
      </c>
      <c r="W53" s="208">
        <v>2</v>
      </c>
      <c r="X53" s="208" t="s">
        <v>46</v>
      </c>
      <c r="Y53" s="208" t="s">
        <v>84</v>
      </c>
      <c r="Z53" s="208" t="s">
        <v>90</v>
      </c>
      <c r="AA53" s="208" t="s">
        <v>258</v>
      </c>
      <c r="AB53" s="237" t="s">
        <v>416</v>
      </c>
    </row>
    <row r="54" spans="1:28" x14ac:dyDescent="0.15">
      <c r="A54" s="208" t="s">
        <v>59</v>
      </c>
      <c r="B54" s="237" t="s">
        <v>423</v>
      </c>
      <c r="C54" s="152">
        <v>2018</v>
      </c>
      <c r="D54" s="153" t="s">
        <v>424</v>
      </c>
      <c r="E54" s="208" t="s">
        <v>302</v>
      </c>
      <c r="F54" s="208" t="s">
        <v>293</v>
      </c>
      <c r="G54" s="208" t="s">
        <v>36</v>
      </c>
      <c r="H54" s="208" t="s">
        <v>155</v>
      </c>
      <c r="I54" s="208" t="s">
        <v>153</v>
      </c>
      <c r="J54" s="208" t="s">
        <v>38</v>
      </c>
      <c r="K54" s="208" t="s">
        <v>154</v>
      </c>
      <c r="L54" s="208">
        <v>2</v>
      </c>
      <c r="N54" s="208">
        <v>4</v>
      </c>
      <c r="O54" s="208">
        <v>0.75</v>
      </c>
      <c r="P54" s="208">
        <v>0.82</v>
      </c>
      <c r="Q54" s="245">
        <f t="shared" si="2"/>
        <v>0.78499999999999992</v>
      </c>
      <c r="R54" s="208">
        <v>13.9</v>
      </c>
      <c r="S54" s="208">
        <v>140</v>
      </c>
      <c r="T54" s="217">
        <f t="shared" si="0"/>
        <v>22</v>
      </c>
      <c r="U54" s="208">
        <v>348</v>
      </c>
      <c r="V54" s="217">
        <f t="shared" si="1"/>
        <v>16</v>
      </c>
      <c r="W54" s="208">
        <v>2</v>
      </c>
      <c r="X54" s="208" t="s">
        <v>46</v>
      </c>
      <c r="Y54" s="208" t="s">
        <v>84</v>
      </c>
      <c r="Z54" s="208" t="s">
        <v>90</v>
      </c>
      <c r="AA54" s="208" t="s">
        <v>258</v>
      </c>
      <c r="AB54" s="237" t="s">
        <v>416</v>
      </c>
    </row>
    <row r="55" spans="1:28" x14ac:dyDescent="0.15">
      <c r="A55" s="208" t="s">
        <v>59</v>
      </c>
      <c r="B55" s="237" t="s">
        <v>423</v>
      </c>
      <c r="C55" s="152">
        <v>2018</v>
      </c>
      <c r="D55" s="153" t="s">
        <v>424</v>
      </c>
      <c r="E55" s="208" t="s">
        <v>302</v>
      </c>
      <c r="F55" s="208" t="s">
        <v>293</v>
      </c>
      <c r="G55" s="208" t="s">
        <v>36</v>
      </c>
      <c r="H55" s="208" t="s">
        <v>155</v>
      </c>
      <c r="I55" s="208" t="s">
        <v>153</v>
      </c>
      <c r="J55" s="208" t="s">
        <v>38</v>
      </c>
      <c r="K55" s="208" t="s">
        <v>154</v>
      </c>
      <c r="L55" s="208">
        <v>3</v>
      </c>
      <c r="N55" s="208">
        <v>4</v>
      </c>
      <c r="O55" s="208">
        <v>0.74</v>
      </c>
      <c r="P55" s="208">
        <v>0.83</v>
      </c>
      <c r="Q55" s="245">
        <f t="shared" si="2"/>
        <v>0.78499999999999992</v>
      </c>
      <c r="R55" s="208">
        <v>15.1</v>
      </c>
      <c r="S55" s="208">
        <v>146</v>
      </c>
      <c r="T55" s="217">
        <f t="shared" si="0"/>
        <v>22</v>
      </c>
      <c r="U55" s="208">
        <v>348</v>
      </c>
      <c r="V55" s="217">
        <f t="shared" si="1"/>
        <v>16</v>
      </c>
      <c r="W55" s="208">
        <v>2</v>
      </c>
      <c r="X55" s="208" t="s">
        <v>46</v>
      </c>
      <c r="Y55" s="208" t="s">
        <v>84</v>
      </c>
      <c r="Z55" s="208" t="s">
        <v>90</v>
      </c>
      <c r="AA55" s="208" t="s">
        <v>258</v>
      </c>
      <c r="AB55" s="237" t="s">
        <v>416</v>
      </c>
    </row>
    <row r="56" spans="1:28" x14ac:dyDescent="0.15">
      <c r="A56" s="208" t="s">
        <v>59</v>
      </c>
      <c r="B56" s="237" t="s">
        <v>423</v>
      </c>
      <c r="C56" s="152">
        <v>2018</v>
      </c>
      <c r="D56" s="153" t="s">
        <v>424</v>
      </c>
      <c r="E56" s="208" t="s">
        <v>297</v>
      </c>
      <c r="F56" s="208" t="s">
        <v>290</v>
      </c>
      <c r="G56" s="208" t="s">
        <v>36</v>
      </c>
      <c r="H56" s="208" t="s">
        <v>157</v>
      </c>
      <c r="I56" s="208" t="s">
        <v>153</v>
      </c>
      <c r="J56" s="208" t="s">
        <v>38</v>
      </c>
      <c r="K56" s="208" t="s">
        <v>154</v>
      </c>
      <c r="L56" s="208">
        <v>1</v>
      </c>
      <c r="N56" s="208">
        <v>3</v>
      </c>
      <c r="O56" s="208">
        <v>0.31</v>
      </c>
      <c r="P56" s="208">
        <v>0.3</v>
      </c>
      <c r="Q56" s="245">
        <f t="shared" si="2"/>
        <v>0.30499999999999999</v>
      </c>
      <c r="R56" s="208">
        <v>15.9</v>
      </c>
      <c r="S56" s="208">
        <v>130</v>
      </c>
      <c r="T56" s="217">
        <f t="shared" si="0"/>
        <v>25</v>
      </c>
      <c r="U56" s="208">
        <v>494</v>
      </c>
      <c r="V56" s="217">
        <f t="shared" si="1"/>
        <v>16</v>
      </c>
      <c r="W56" s="208">
        <v>5</v>
      </c>
      <c r="X56" s="208" t="s">
        <v>46</v>
      </c>
      <c r="Y56" s="208" t="s">
        <v>84</v>
      </c>
      <c r="Z56" s="208" t="s">
        <v>90</v>
      </c>
      <c r="AA56" s="208" t="s">
        <v>258</v>
      </c>
      <c r="AB56" s="237" t="s">
        <v>416</v>
      </c>
    </row>
    <row r="57" spans="1:28" x14ac:dyDescent="0.15">
      <c r="A57" s="208" t="s">
        <v>59</v>
      </c>
      <c r="B57" s="237" t="s">
        <v>423</v>
      </c>
      <c r="C57" s="152">
        <v>2018</v>
      </c>
      <c r="D57" s="153" t="s">
        <v>424</v>
      </c>
      <c r="E57" s="208" t="s">
        <v>297</v>
      </c>
      <c r="F57" s="208" t="s">
        <v>290</v>
      </c>
      <c r="G57" s="208" t="s">
        <v>36</v>
      </c>
      <c r="H57" s="208" t="s">
        <v>157</v>
      </c>
      <c r="I57" s="208" t="s">
        <v>153</v>
      </c>
      <c r="J57" s="208" t="s">
        <v>38</v>
      </c>
      <c r="K57" s="208" t="s">
        <v>154</v>
      </c>
      <c r="L57" s="208">
        <v>2</v>
      </c>
      <c r="N57" s="208">
        <v>3</v>
      </c>
      <c r="O57" s="208">
        <v>0.27</v>
      </c>
      <c r="P57" s="208">
        <v>0.24</v>
      </c>
      <c r="Q57" s="245">
        <f t="shared" si="2"/>
        <v>0.255</v>
      </c>
      <c r="R57" s="208">
        <v>14.8</v>
      </c>
      <c r="S57" s="208">
        <v>136</v>
      </c>
      <c r="T57" s="217">
        <f t="shared" si="0"/>
        <v>25</v>
      </c>
      <c r="U57" s="208">
        <v>494</v>
      </c>
      <c r="V57" s="217">
        <f t="shared" si="1"/>
        <v>16</v>
      </c>
      <c r="W57" s="208">
        <v>5</v>
      </c>
      <c r="X57" s="208" t="s">
        <v>46</v>
      </c>
      <c r="Y57" s="208" t="s">
        <v>84</v>
      </c>
      <c r="Z57" s="208" t="s">
        <v>90</v>
      </c>
      <c r="AA57" s="208" t="s">
        <v>258</v>
      </c>
      <c r="AB57" s="237" t="s">
        <v>416</v>
      </c>
    </row>
    <row r="58" spans="1:28" x14ac:dyDescent="0.15">
      <c r="A58" s="208" t="s">
        <v>59</v>
      </c>
      <c r="B58" s="237" t="s">
        <v>423</v>
      </c>
      <c r="C58" s="152">
        <v>2018</v>
      </c>
      <c r="D58" s="153" t="s">
        <v>424</v>
      </c>
      <c r="E58" s="208" t="s">
        <v>297</v>
      </c>
      <c r="F58" s="208" t="s">
        <v>290</v>
      </c>
      <c r="G58" s="208" t="s">
        <v>36</v>
      </c>
      <c r="H58" s="208" t="s">
        <v>157</v>
      </c>
      <c r="I58" s="208" t="s">
        <v>153</v>
      </c>
      <c r="J58" s="208" t="s">
        <v>38</v>
      </c>
      <c r="K58" s="208" t="s">
        <v>154</v>
      </c>
      <c r="L58" s="208">
        <v>3</v>
      </c>
      <c r="N58" s="208">
        <v>3</v>
      </c>
      <c r="O58" s="208">
        <v>0.32</v>
      </c>
      <c r="P58" s="208">
        <v>0.28999999999999998</v>
      </c>
      <c r="Q58" s="245">
        <f t="shared" si="2"/>
        <v>0.30499999999999999</v>
      </c>
      <c r="R58" s="208">
        <v>15.3</v>
      </c>
      <c r="S58" s="208">
        <v>130</v>
      </c>
      <c r="T58" s="217">
        <f t="shared" si="0"/>
        <v>25</v>
      </c>
      <c r="U58" s="208">
        <v>494</v>
      </c>
      <c r="V58" s="217">
        <f t="shared" si="1"/>
        <v>16</v>
      </c>
      <c r="W58" s="208">
        <v>5</v>
      </c>
      <c r="X58" s="208" t="s">
        <v>46</v>
      </c>
      <c r="Y58" s="208" t="s">
        <v>84</v>
      </c>
      <c r="Z58" s="208" t="s">
        <v>90</v>
      </c>
      <c r="AA58" s="208" t="s">
        <v>258</v>
      </c>
      <c r="AB58" s="237" t="s">
        <v>416</v>
      </c>
    </row>
    <row r="59" spans="1:28" x14ac:dyDescent="0.15">
      <c r="A59" s="208" t="s">
        <v>59</v>
      </c>
      <c r="B59" s="237" t="s">
        <v>423</v>
      </c>
      <c r="C59" s="152">
        <v>2018</v>
      </c>
      <c r="D59" s="153" t="s">
        <v>424</v>
      </c>
      <c r="E59" s="208" t="s">
        <v>297</v>
      </c>
      <c r="F59" s="208" t="s">
        <v>290</v>
      </c>
      <c r="G59" s="208" t="s">
        <v>36</v>
      </c>
      <c r="H59" s="208" t="s">
        <v>155</v>
      </c>
      <c r="I59" s="208" t="s">
        <v>153</v>
      </c>
      <c r="J59" s="208" t="s">
        <v>38</v>
      </c>
      <c r="K59" s="208" t="s">
        <v>154</v>
      </c>
      <c r="L59" s="208">
        <v>1</v>
      </c>
      <c r="N59" s="208">
        <v>1</v>
      </c>
      <c r="O59" s="208">
        <v>0.6</v>
      </c>
      <c r="P59" s="208">
        <v>0.63</v>
      </c>
      <c r="Q59" s="245">
        <f t="shared" si="2"/>
        <v>0.61499999999999999</v>
      </c>
      <c r="R59" s="208">
        <v>14.6</v>
      </c>
      <c r="S59" s="208">
        <v>140</v>
      </c>
      <c r="T59" s="217">
        <f t="shared" si="0"/>
        <v>22</v>
      </c>
      <c r="U59" s="208">
        <v>138</v>
      </c>
      <c r="V59" s="217">
        <f t="shared" si="1"/>
        <v>22</v>
      </c>
      <c r="W59" s="208">
        <v>3</v>
      </c>
      <c r="X59" s="208" t="s">
        <v>46</v>
      </c>
      <c r="Y59" s="208" t="s">
        <v>84</v>
      </c>
      <c r="Z59" s="208" t="s">
        <v>90</v>
      </c>
      <c r="AA59" s="208" t="s">
        <v>258</v>
      </c>
      <c r="AB59" s="237" t="s">
        <v>416</v>
      </c>
    </row>
    <row r="60" spans="1:28" x14ac:dyDescent="0.15">
      <c r="A60" s="208" t="s">
        <v>59</v>
      </c>
      <c r="B60" s="237" t="s">
        <v>423</v>
      </c>
      <c r="C60" s="152">
        <v>2018</v>
      </c>
      <c r="D60" s="153" t="s">
        <v>424</v>
      </c>
      <c r="E60" s="208" t="s">
        <v>297</v>
      </c>
      <c r="F60" s="208" t="s">
        <v>290</v>
      </c>
      <c r="G60" s="208" t="s">
        <v>36</v>
      </c>
      <c r="H60" s="208" t="s">
        <v>155</v>
      </c>
      <c r="I60" s="208" t="s">
        <v>153</v>
      </c>
      <c r="J60" s="208" t="s">
        <v>38</v>
      </c>
      <c r="K60" s="208" t="s">
        <v>154</v>
      </c>
      <c r="L60" s="208">
        <v>2</v>
      </c>
      <c r="N60" s="208">
        <v>1</v>
      </c>
      <c r="O60" s="208">
        <v>0.68</v>
      </c>
      <c r="P60" s="208">
        <v>0.7</v>
      </c>
      <c r="Q60" s="245">
        <f t="shared" si="2"/>
        <v>0.69</v>
      </c>
      <c r="R60" s="208">
        <v>13.6</v>
      </c>
      <c r="S60" s="208">
        <v>149</v>
      </c>
      <c r="T60" s="217">
        <f t="shared" si="0"/>
        <v>22</v>
      </c>
      <c r="U60" s="208">
        <v>138</v>
      </c>
      <c r="V60" s="217">
        <f t="shared" si="1"/>
        <v>22</v>
      </c>
      <c r="W60" s="208">
        <v>3</v>
      </c>
      <c r="X60" s="208" t="s">
        <v>46</v>
      </c>
      <c r="Y60" s="208" t="s">
        <v>84</v>
      </c>
      <c r="Z60" s="208" t="s">
        <v>90</v>
      </c>
      <c r="AA60" s="208" t="s">
        <v>258</v>
      </c>
      <c r="AB60" s="237" t="s">
        <v>416</v>
      </c>
    </row>
    <row r="61" spans="1:28" x14ac:dyDescent="0.15">
      <c r="A61" s="208" t="s">
        <v>59</v>
      </c>
      <c r="B61" s="237" t="s">
        <v>423</v>
      </c>
      <c r="C61" s="152">
        <v>2018</v>
      </c>
      <c r="D61" s="153" t="s">
        <v>424</v>
      </c>
      <c r="E61" s="208" t="s">
        <v>297</v>
      </c>
      <c r="F61" s="208" t="s">
        <v>290</v>
      </c>
      <c r="G61" s="208" t="s">
        <v>36</v>
      </c>
      <c r="H61" s="208" t="s">
        <v>155</v>
      </c>
      <c r="I61" s="208" t="s">
        <v>153</v>
      </c>
      <c r="J61" s="208" t="s">
        <v>38</v>
      </c>
      <c r="K61" s="208" t="s">
        <v>154</v>
      </c>
      <c r="L61" s="208">
        <v>3</v>
      </c>
      <c r="N61" s="208">
        <v>1</v>
      </c>
      <c r="O61" s="208">
        <v>0.72</v>
      </c>
      <c r="P61" s="208">
        <v>0.66</v>
      </c>
      <c r="Q61" s="245">
        <f t="shared" si="2"/>
        <v>0.69</v>
      </c>
      <c r="R61" s="208">
        <v>13.9</v>
      </c>
      <c r="S61" s="208">
        <v>144</v>
      </c>
      <c r="T61" s="217">
        <f t="shared" si="0"/>
        <v>22</v>
      </c>
      <c r="U61" s="208">
        <v>138</v>
      </c>
      <c r="V61" s="217">
        <f t="shared" si="1"/>
        <v>22</v>
      </c>
      <c r="W61" s="208">
        <v>3</v>
      </c>
      <c r="X61" s="208" t="s">
        <v>46</v>
      </c>
      <c r="Y61" s="208" t="s">
        <v>84</v>
      </c>
      <c r="Z61" s="208" t="s">
        <v>90</v>
      </c>
      <c r="AA61" s="208" t="s">
        <v>258</v>
      </c>
      <c r="AB61" s="237" t="s">
        <v>416</v>
      </c>
    </row>
    <row r="62" spans="1:28" x14ac:dyDescent="0.15">
      <c r="B62" s="237"/>
      <c r="C62" s="152"/>
      <c r="D62" s="153"/>
      <c r="Q62" s="245" t="str">
        <f t="shared" si="2"/>
        <v/>
      </c>
      <c r="T62" s="217" t="str">
        <f t="shared" si="0"/>
        <v/>
      </c>
      <c r="V62" s="217" t="str">
        <f t="shared" si="1"/>
        <v/>
      </c>
      <c r="AB62" s="237"/>
    </row>
    <row r="63" spans="1:28" x14ac:dyDescent="0.15">
      <c r="B63" s="237"/>
      <c r="C63" s="152"/>
      <c r="D63" s="153"/>
      <c r="Q63" s="245" t="str">
        <f t="shared" si="2"/>
        <v/>
      </c>
      <c r="T63" s="217" t="str">
        <f t="shared" si="0"/>
        <v/>
      </c>
      <c r="V63" s="217" t="str">
        <f t="shared" si="1"/>
        <v/>
      </c>
      <c r="AB63" s="237"/>
    </row>
    <row r="64" spans="1:28" x14ac:dyDescent="0.15">
      <c r="B64" s="237"/>
      <c r="C64" s="152"/>
      <c r="D64" s="153"/>
      <c r="Q64" s="245" t="str">
        <f t="shared" si="2"/>
        <v/>
      </c>
      <c r="T64" s="217" t="str">
        <f t="shared" si="0"/>
        <v/>
      </c>
      <c r="V64" s="217" t="str">
        <f t="shared" si="1"/>
        <v/>
      </c>
      <c r="AB64" s="237"/>
    </row>
    <row r="65" spans="2:28" x14ac:dyDescent="0.15">
      <c r="B65" s="237"/>
      <c r="C65" s="152"/>
      <c r="D65" s="153"/>
      <c r="Q65" s="245" t="str">
        <f t="shared" si="2"/>
        <v/>
      </c>
      <c r="T65" s="217" t="str">
        <f t="shared" si="0"/>
        <v/>
      </c>
      <c r="AB65" s="237"/>
    </row>
    <row r="66" spans="2:28" x14ac:dyDescent="0.15">
      <c r="B66" s="237"/>
      <c r="C66" s="152"/>
      <c r="D66" s="153"/>
      <c r="Q66" s="245" t="str">
        <f t="shared" si="2"/>
        <v/>
      </c>
      <c r="T66" s="217" t="str">
        <f t="shared" si="0"/>
        <v/>
      </c>
      <c r="AB66" s="237"/>
    </row>
    <row r="67" spans="2:28" x14ac:dyDescent="0.15">
      <c r="B67" s="237"/>
      <c r="C67" s="152"/>
      <c r="D67" s="153"/>
      <c r="Q67" s="245" t="str">
        <f t="shared" si="2"/>
        <v/>
      </c>
      <c r="T67" s="217" t="str">
        <f t="shared" si="0"/>
        <v/>
      </c>
      <c r="AB67" s="237"/>
    </row>
    <row r="68" spans="2:28" x14ac:dyDescent="0.15">
      <c r="B68" s="237"/>
      <c r="C68" s="152"/>
      <c r="D68" s="153"/>
      <c r="Q68" s="245"/>
      <c r="AB68" s="237"/>
    </row>
    <row r="69" spans="2:28" x14ac:dyDescent="0.15">
      <c r="B69" s="237"/>
      <c r="C69" s="152"/>
      <c r="D69" s="153"/>
      <c r="Q69" s="245"/>
      <c r="AB69" s="237"/>
    </row>
    <row r="70" spans="2:28" x14ac:dyDescent="0.15">
      <c r="B70" s="237"/>
      <c r="C70" s="152"/>
      <c r="D70" s="153"/>
      <c r="Q70" s="245"/>
      <c r="AB70" s="237"/>
    </row>
    <row r="71" spans="2:28" x14ac:dyDescent="0.15">
      <c r="B71" s="237"/>
      <c r="C71" s="152"/>
      <c r="D71" s="153"/>
      <c r="Q71" s="245"/>
      <c r="AB71" s="237"/>
    </row>
    <row r="72" spans="2:28" x14ac:dyDescent="0.15">
      <c r="B72" s="237"/>
      <c r="C72" s="152"/>
      <c r="D72" s="153"/>
      <c r="Q72" s="245"/>
      <c r="AB72" s="237"/>
    </row>
    <row r="73" spans="2:28" x14ac:dyDescent="0.15">
      <c r="B73" s="237"/>
      <c r="C73" s="152"/>
      <c r="D73" s="153"/>
      <c r="Q73" s="245"/>
      <c r="AB73" s="237"/>
    </row>
    <row r="74" spans="2:28" x14ac:dyDescent="0.15">
      <c r="B74" s="237"/>
      <c r="C74" s="152"/>
      <c r="D74" s="153"/>
      <c r="Q74" s="245"/>
      <c r="AB74" s="237"/>
    </row>
    <row r="75" spans="2:28" x14ac:dyDescent="0.15">
      <c r="B75" s="237"/>
      <c r="C75" s="152"/>
      <c r="D75" s="153"/>
      <c r="Q75" s="245"/>
      <c r="AB75" s="237"/>
    </row>
    <row r="76" spans="2:28" x14ac:dyDescent="0.15">
      <c r="B76" s="237"/>
      <c r="C76" s="152"/>
      <c r="D76" s="153"/>
      <c r="Q76" s="245"/>
      <c r="AB76" s="237"/>
    </row>
    <row r="77" spans="2:28" x14ac:dyDescent="0.15">
      <c r="B77" s="237"/>
      <c r="C77" s="152"/>
      <c r="Q77" s="245"/>
      <c r="AB77" s="237"/>
    </row>
    <row r="78" spans="2:28" x14ac:dyDescent="0.15">
      <c r="B78" s="237"/>
      <c r="C78" s="152"/>
      <c r="Q78" s="245"/>
      <c r="AB78" s="237"/>
    </row>
    <row r="79" spans="2:28" x14ac:dyDescent="0.15">
      <c r="B79" s="237"/>
      <c r="C79" s="152"/>
      <c r="Q79" s="245"/>
      <c r="AB79" s="237"/>
    </row>
    <row r="80" spans="2:28" x14ac:dyDescent="0.15">
      <c r="B80" s="237"/>
      <c r="C80" s="152"/>
      <c r="Q80" s="245"/>
      <c r="AB80" s="237"/>
    </row>
    <row r="81" spans="2:28" x14ac:dyDescent="0.15">
      <c r="B81" s="237"/>
      <c r="C81" s="152"/>
      <c r="Q81" s="245"/>
      <c r="AB81" s="237"/>
    </row>
    <row r="82" spans="2:28" x14ac:dyDescent="0.15">
      <c r="B82" s="237"/>
      <c r="C82" s="152"/>
      <c r="Q82" s="245"/>
      <c r="AB82" s="237"/>
    </row>
    <row r="83" spans="2:28" x14ac:dyDescent="0.15">
      <c r="B83" s="237"/>
      <c r="C83" s="152"/>
      <c r="Q83" s="245"/>
      <c r="AB83" s="237"/>
    </row>
    <row r="84" spans="2:28" x14ac:dyDescent="0.15">
      <c r="B84" s="237"/>
      <c r="C84" s="152"/>
      <c r="Q84" s="245"/>
      <c r="AB84" s="237"/>
    </row>
    <row r="85" spans="2:28" x14ac:dyDescent="0.15">
      <c r="B85" s="237"/>
      <c r="C85" s="152"/>
      <c r="Q85" s="245"/>
      <c r="AB85" s="237"/>
    </row>
    <row r="86" spans="2:28" x14ac:dyDescent="0.15">
      <c r="B86" s="237"/>
      <c r="C86" s="152"/>
      <c r="Q86" s="245"/>
      <c r="AB86" s="237"/>
    </row>
    <row r="87" spans="2:28" x14ac:dyDescent="0.15">
      <c r="B87" s="237"/>
      <c r="C87" s="152"/>
      <c r="Q87" s="245"/>
      <c r="AB87" s="237"/>
    </row>
    <row r="88" spans="2:28" x14ac:dyDescent="0.15">
      <c r="B88" s="237"/>
      <c r="C88" s="152"/>
      <c r="Q88" s="245"/>
      <c r="AB88" s="237"/>
    </row>
    <row r="89" spans="2:28" x14ac:dyDescent="0.15">
      <c r="B89" s="237"/>
      <c r="C89" s="152"/>
      <c r="Q89" s="245"/>
      <c r="AB89" s="237"/>
    </row>
    <row r="90" spans="2:28" x14ac:dyDescent="0.15">
      <c r="B90" s="237"/>
      <c r="C90" s="152"/>
      <c r="Q90" s="245"/>
      <c r="AB90" s="237"/>
    </row>
    <row r="91" spans="2:28" x14ac:dyDescent="0.15">
      <c r="B91" s="237"/>
      <c r="C91" s="152"/>
      <c r="Q91" s="245"/>
      <c r="AB91" s="237"/>
    </row>
    <row r="92" spans="2:28" x14ac:dyDescent="0.15">
      <c r="B92" s="237"/>
      <c r="C92" s="152"/>
      <c r="Q92" s="245"/>
      <c r="AB92" s="237"/>
    </row>
    <row r="93" spans="2:28" x14ac:dyDescent="0.15">
      <c r="B93" s="237"/>
      <c r="C93" s="152"/>
      <c r="AB93" s="237"/>
    </row>
    <row r="94" spans="2:28" x14ac:dyDescent="0.15">
      <c r="B94" s="237"/>
      <c r="C94" s="152"/>
      <c r="AB94" s="237"/>
    </row>
    <row r="95" spans="2:28" x14ac:dyDescent="0.15">
      <c r="Q95" s="217" t="str">
        <f t="shared" ref="Q95:Q146" si="3">IF(OR(O95="",P95=""),"",AVERAGE(O95,P95))</f>
        <v/>
      </c>
      <c r="T95" s="217" t="str">
        <f t="shared" ref="T95:T146" si="4">IF(H95="","",IF(OR(H95="GREEN",H95="GK"),IF(S95&gt;=$AX$2,VLOOKUP(S95,$AX$2:$AY$12,2,1),""),IF(S95&gt;=$AZ$2,VLOOKUP(S95,$AZ$2:$BA$12,2,1),"")))</f>
        <v/>
      </c>
      <c r="V95" s="217" t="str">
        <f t="shared" ref="V95:V146" si="5">IF(J95="","",IF(OR(J95="GREEN",J95="GK"),IF(U95&gt;=$AX$2,VLOOKUP(U95,$AX$2:$AY$12,2,1),""),IF(U95&gt;=$AZ$2,VLOOKUP(U95,$AZ$2:$BA$12,2,1),"")))</f>
        <v/>
      </c>
      <c r="AB95" s="237"/>
    </row>
    <row r="96" spans="2:28" x14ac:dyDescent="0.15">
      <c r="Q96" s="217" t="str">
        <f t="shared" si="3"/>
        <v/>
      </c>
      <c r="T96" s="217" t="str">
        <f t="shared" si="4"/>
        <v/>
      </c>
      <c r="V96" s="217" t="str">
        <f t="shared" si="5"/>
        <v/>
      </c>
    </row>
    <row r="97" spans="17:22" x14ac:dyDescent="0.15">
      <c r="Q97" s="217" t="str">
        <f t="shared" si="3"/>
        <v/>
      </c>
      <c r="T97" s="217" t="str">
        <f t="shared" si="4"/>
        <v/>
      </c>
      <c r="V97" s="217" t="str">
        <f t="shared" si="5"/>
        <v/>
      </c>
    </row>
    <row r="98" spans="17:22" x14ac:dyDescent="0.15">
      <c r="Q98" s="217" t="str">
        <f t="shared" si="3"/>
        <v/>
      </c>
      <c r="T98" s="217" t="str">
        <f t="shared" si="4"/>
        <v/>
      </c>
      <c r="V98" s="217" t="str">
        <f t="shared" si="5"/>
        <v/>
      </c>
    </row>
    <row r="99" spans="17:22" x14ac:dyDescent="0.15">
      <c r="Q99" s="217" t="str">
        <f t="shared" si="3"/>
        <v/>
      </c>
      <c r="T99" s="217" t="str">
        <f t="shared" si="4"/>
        <v/>
      </c>
      <c r="V99" s="217" t="str">
        <f t="shared" si="5"/>
        <v/>
      </c>
    </row>
    <row r="100" spans="17:22" x14ac:dyDescent="0.15">
      <c r="Q100" s="217" t="str">
        <f t="shared" si="3"/>
        <v/>
      </c>
      <c r="T100" s="217" t="str">
        <f t="shared" si="4"/>
        <v/>
      </c>
      <c r="V100" s="217" t="str">
        <f t="shared" si="5"/>
        <v/>
      </c>
    </row>
    <row r="101" spans="17:22" x14ac:dyDescent="0.15">
      <c r="Q101" s="217" t="str">
        <f t="shared" si="3"/>
        <v/>
      </c>
      <c r="T101" s="217" t="str">
        <f t="shared" si="4"/>
        <v/>
      </c>
      <c r="V101" s="217" t="str">
        <f t="shared" si="5"/>
        <v/>
      </c>
    </row>
    <row r="102" spans="17:22" x14ac:dyDescent="0.15">
      <c r="Q102" s="217" t="str">
        <f t="shared" si="3"/>
        <v/>
      </c>
      <c r="T102" s="217" t="str">
        <f t="shared" si="4"/>
        <v/>
      </c>
      <c r="V102" s="217" t="str">
        <f t="shared" si="5"/>
        <v/>
      </c>
    </row>
    <row r="103" spans="17:22" x14ac:dyDescent="0.15">
      <c r="Q103" s="217" t="str">
        <f t="shared" si="3"/>
        <v/>
      </c>
      <c r="T103" s="217" t="str">
        <f t="shared" si="4"/>
        <v/>
      </c>
      <c r="V103" s="217" t="str">
        <f t="shared" si="5"/>
        <v/>
      </c>
    </row>
    <row r="104" spans="17:22" x14ac:dyDescent="0.15">
      <c r="Q104" s="217" t="str">
        <f t="shared" si="3"/>
        <v/>
      </c>
      <c r="T104" s="217" t="str">
        <f t="shared" si="4"/>
        <v/>
      </c>
      <c r="V104" s="217" t="str">
        <f t="shared" si="5"/>
        <v/>
      </c>
    </row>
    <row r="105" spans="17:22" x14ac:dyDescent="0.15">
      <c r="Q105" s="217" t="str">
        <f t="shared" si="3"/>
        <v/>
      </c>
      <c r="T105" s="217" t="str">
        <f t="shared" si="4"/>
        <v/>
      </c>
      <c r="V105" s="217" t="str">
        <f t="shared" si="5"/>
        <v/>
      </c>
    </row>
    <row r="106" spans="17:22" x14ac:dyDescent="0.15">
      <c r="Q106" s="217" t="str">
        <f t="shared" si="3"/>
        <v/>
      </c>
      <c r="T106" s="217" t="str">
        <f t="shared" si="4"/>
        <v/>
      </c>
      <c r="V106" s="217" t="str">
        <f t="shared" si="5"/>
        <v/>
      </c>
    </row>
    <row r="107" spans="17:22" x14ac:dyDescent="0.15">
      <c r="Q107" s="217" t="str">
        <f t="shared" si="3"/>
        <v/>
      </c>
      <c r="T107" s="217" t="str">
        <f t="shared" si="4"/>
        <v/>
      </c>
      <c r="V107" s="217" t="str">
        <f t="shared" si="5"/>
        <v/>
      </c>
    </row>
    <row r="108" spans="17:22" x14ac:dyDescent="0.15">
      <c r="Q108" s="217" t="str">
        <f t="shared" si="3"/>
        <v/>
      </c>
      <c r="T108" s="217" t="str">
        <f t="shared" si="4"/>
        <v/>
      </c>
      <c r="V108" s="217" t="str">
        <f t="shared" si="5"/>
        <v/>
      </c>
    </row>
    <row r="109" spans="17:22" x14ac:dyDescent="0.15">
      <c r="Q109" s="217" t="str">
        <f t="shared" si="3"/>
        <v/>
      </c>
      <c r="T109" s="217" t="str">
        <f t="shared" si="4"/>
        <v/>
      </c>
      <c r="V109" s="217" t="str">
        <f t="shared" si="5"/>
        <v/>
      </c>
    </row>
    <row r="110" spans="17:22" x14ac:dyDescent="0.15">
      <c r="Q110" s="217" t="str">
        <f t="shared" si="3"/>
        <v/>
      </c>
      <c r="T110" s="217" t="str">
        <f t="shared" si="4"/>
        <v/>
      </c>
      <c r="V110" s="217" t="str">
        <f t="shared" si="5"/>
        <v/>
      </c>
    </row>
    <row r="111" spans="17:22" x14ac:dyDescent="0.15">
      <c r="Q111" s="217" t="str">
        <f t="shared" si="3"/>
        <v/>
      </c>
      <c r="T111" s="217" t="str">
        <f t="shared" si="4"/>
        <v/>
      </c>
      <c r="V111" s="217" t="str">
        <f t="shared" si="5"/>
        <v/>
      </c>
    </row>
    <row r="112" spans="17:22" x14ac:dyDescent="0.15">
      <c r="Q112" s="217" t="str">
        <f t="shared" si="3"/>
        <v/>
      </c>
      <c r="T112" s="217" t="str">
        <f t="shared" si="4"/>
        <v/>
      </c>
      <c r="V112" s="217" t="str">
        <f t="shared" si="5"/>
        <v/>
      </c>
    </row>
    <row r="113" spans="17:22" x14ac:dyDescent="0.15">
      <c r="Q113" s="217" t="str">
        <f t="shared" si="3"/>
        <v/>
      </c>
      <c r="T113" s="217" t="str">
        <f t="shared" si="4"/>
        <v/>
      </c>
      <c r="V113" s="217" t="str">
        <f t="shared" si="5"/>
        <v/>
      </c>
    </row>
    <row r="114" spans="17:22" x14ac:dyDescent="0.15">
      <c r="Q114" s="217" t="str">
        <f t="shared" si="3"/>
        <v/>
      </c>
      <c r="T114" s="217" t="str">
        <f t="shared" si="4"/>
        <v/>
      </c>
      <c r="V114" s="217" t="str">
        <f t="shared" si="5"/>
        <v/>
      </c>
    </row>
    <row r="115" spans="17:22" x14ac:dyDescent="0.15">
      <c r="Q115" s="217" t="str">
        <f t="shared" si="3"/>
        <v/>
      </c>
      <c r="T115" s="217" t="str">
        <f t="shared" si="4"/>
        <v/>
      </c>
      <c r="V115" s="217" t="str">
        <f t="shared" si="5"/>
        <v/>
      </c>
    </row>
    <row r="116" spans="17:22" x14ac:dyDescent="0.15">
      <c r="Q116" s="217" t="str">
        <f t="shared" si="3"/>
        <v/>
      </c>
      <c r="T116" s="217" t="str">
        <f t="shared" si="4"/>
        <v/>
      </c>
      <c r="V116" s="217" t="str">
        <f t="shared" si="5"/>
        <v/>
      </c>
    </row>
    <row r="117" spans="17:22" x14ac:dyDescent="0.15">
      <c r="Q117" s="217" t="str">
        <f t="shared" si="3"/>
        <v/>
      </c>
      <c r="T117" s="217" t="str">
        <f t="shared" si="4"/>
        <v/>
      </c>
      <c r="V117" s="217" t="str">
        <f t="shared" si="5"/>
        <v/>
      </c>
    </row>
    <row r="118" spans="17:22" x14ac:dyDescent="0.15">
      <c r="Q118" s="217" t="str">
        <f t="shared" si="3"/>
        <v/>
      </c>
      <c r="T118" s="217" t="str">
        <f t="shared" si="4"/>
        <v/>
      </c>
      <c r="V118" s="217" t="str">
        <f t="shared" si="5"/>
        <v/>
      </c>
    </row>
    <row r="119" spans="17:22" x14ac:dyDescent="0.15">
      <c r="Q119" s="217" t="str">
        <f t="shared" si="3"/>
        <v/>
      </c>
      <c r="T119" s="217" t="str">
        <f t="shared" si="4"/>
        <v/>
      </c>
      <c r="V119" s="217" t="str">
        <f t="shared" si="5"/>
        <v/>
      </c>
    </row>
    <row r="120" spans="17:22" x14ac:dyDescent="0.15">
      <c r="Q120" s="217" t="str">
        <f t="shared" si="3"/>
        <v/>
      </c>
      <c r="T120" s="217" t="str">
        <f t="shared" si="4"/>
        <v/>
      </c>
      <c r="V120" s="217" t="str">
        <f t="shared" si="5"/>
        <v/>
      </c>
    </row>
    <row r="121" spans="17:22" x14ac:dyDescent="0.15">
      <c r="Q121" s="217" t="str">
        <f t="shared" si="3"/>
        <v/>
      </c>
      <c r="T121" s="217" t="str">
        <f t="shared" si="4"/>
        <v/>
      </c>
      <c r="V121" s="217" t="str">
        <f t="shared" si="5"/>
        <v/>
      </c>
    </row>
    <row r="122" spans="17:22" x14ac:dyDescent="0.15">
      <c r="Q122" s="217" t="str">
        <f t="shared" si="3"/>
        <v/>
      </c>
      <c r="T122" s="217" t="str">
        <f t="shared" si="4"/>
        <v/>
      </c>
      <c r="V122" s="217" t="str">
        <f t="shared" si="5"/>
        <v/>
      </c>
    </row>
    <row r="123" spans="17:22" x14ac:dyDescent="0.15">
      <c r="Q123" s="217" t="str">
        <f t="shared" si="3"/>
        <v/>
      </c>
      <c r="T123" s="217" t="str">
        <f t="shared" si="4"/>
        <v/>
      </c>
      <c r="V123" s="217" t="str">
        <f t="shared" si="5"/>
        <v/>
      </c>
    </row>
    <row r="124" spans="17:22" x14ac:dyDescent="0.15">
      <c r="Q124" s="217" t="str">
        <f t="shared" si="3"/>
        <v/>
      </c>
      <c r="T124" s="217" t="str">
        <f t="shared" si="4"/>
        <v/>
      </c>
      <c r="V124" s="217" t="str">
        <f t="shared" si="5"/>
        <v/>
      </c>
    </row>
    <row r="125" spans="17:22" x14ac:dyDescent="0.15">
      <c r="Q125" s="217" t="str">
        <f t="shared" si="3"/>
        <v/>
      </c>
      <c r="T125" s="217" t="str">
        <f t="shared" si="4"/>
        <v/>
      </c>
      <c r="V125" s="217" t="str">
        <f t="shared" si="5"/>
        <v/>
      </c>
    </row>
    <row r="126" spans="17:22" x14ac:dyDescent="0.15">
      <c r="Q126" s="217" t="str">
        <f t="shared" si="3"/>
        <v/>
      </c>
      <c r="T126" s="217" t="str">
        <f t="shared" si="4"/>
        <v/>
      </c>
      <c r="V126" s="217" t="str">
        <f t="shared" si="5"/>
        <v/>
      </c>
    </row>
    <row r="127" spans="17:22" x14ac:dyDescent="0.15">
      <c r="Q127" s="217" t="str">
        <f t="shared" si="3"/>
        <v/>
      </c>
      <c r="T127" s="217" t="str">
        <f t="shared" si="4"/>
        <v/>
      </c>
      <c r="V127" s="217" t="str">
        <f t="shared" si="5"/>
        <v/>
      </c>
    </row>
    <row r="128" spans="17:22" x14ac:dyDescent="0.15">
      <c r="Q128" s="217" t="str">
        <f t="shared" si="3"/>
        <v/>
      </c>
      <c r="T128" s="217" t="str">
        <f t="shared" si="4"/>
        <v/>
      </c>
      <c r="V128" s="217" t="str">
        <f t="shared" si="5"/>
        <v/>
      </c>
    </row>
    <row r="129" spans="17:22" x14ac:dyDescent="0.15">
      <c r="Q129" s="217" t="str">
        <f t="shared" si="3"/>
        <v/>
      </c>
      <c r="T129" s="217" t="str">
        <f t="shared" si="4"/>
        <v/>
      </c>
      <c r="V129" s="217" t="str">
        <f t="shared" si="5"/>
        <v/>
      </c>
    </row>
    <row r="130" spans="17:22" x14ac:dyDescent="0.15">
      <c r="Q130" s="217" t="str">
        <f t="shared" si="3"/>
        <v/>
      </c>
      <c r="T130" s="217" t="str">
        <f t="shared" si="4"/>
        <v/>
      </c>
      <c r="V130" s="217" t="str">
        <f t="shared" si="5"/>
        <v/>
      </c>
    </row>
    <row r="131" spans="17:22" x14ac:dyDescent="0.15">
      <c r="Q131" s="217" t="str">
        <f t="shared" si="3"/>
        <v/>
      </c>
      <c r="T131" s="217" t="str">
        <f t="shared" si="4"/>
        <v/>
      </c>
      <c r="V131" s="217" t="str">
        <f t="shared" si="5"/>
        <v/>
      </c>
    </row>
    <row r="132" spans="17:22" x14ac:dyDescent="0.15">
      <c r="Q132" s="217" t="str">
        <f t="shared" si="3"/>
        <v/>
      </c>
      <c r="T132" s="217" t="str">
        <f t="shared" si="4"/>
        <v/>
      </c>
      <c r="V132" s="217" t="str">
        <f t="shared" si="5"/>
        <v/>
      </c>
    </row>
    <row r="133" spans="17:22" x14ac:dyDescent="0.15">
      <c r="Q133" s="217" t="str">
        <f t="shared" si="3"/>
        <v/>
      </c>
      <c r="T133" s="217" t="str">
        <f t="shared" si="4"/>
        <v/>
      </c>
      <c r="V133" s="217" t="str">
        <f t="shared" si="5"/>
        <v/>
      </c>
    </row>
    <row r="134" spans="17:22" x14ac:dyDescent="0.15">
      <c r="Q134" s="217" t="str">
        <f t="shared" si="3"/>
        <v/>
      </c>
      <c r="T134" s="217" t="str">
        <f t="shared" si="4"/>
        <v/>
      </c>
      <c r="V134" s="217" t="str">
        <f t="shared" si="5"/>
        <v/>
      </c>
    </row>
    <row r="135" spans="17:22" x14ac:dyDescent="0.15">
      <c r="Q135" s="217" t="str">
        <f t="shared" si="3"/>
        <v/>
      </c>
      <c r="T135" s="217" t="str">
        <f t="shared" si="4"/>
        <v/>
      </c>
      <c r="V135" s="217" t="str">
        <f t="shared" si="5"/>
        <v/>
      </c>
    </row>
    <row r="136" spans="17:22" x14ac:dyDescent="0.15">
      <c r="Q136" s="217" t="str">
        <f t="shared" si="3"/>
        <v/>
      </c>
      <c r="T136" s="217" t="str">
        <f t="shared" si="4"/>
        <v/>
      </c>
      <c r="V136" s="217" t="str">
        <f t="shared" si="5"/>
        <v/>
      </c>
    </row>
    <row r="137" spans="17:22" x14ac:dyDescent="0.15">
      <c r="Q137" s="217" t="str">
        <f t="shared" si="3"/>
        <v/>
      </c>
      <c r="T137" s="217" t="str">
        <f t="shared" si="4"/>
        <v/>
      </c>
      <c r="V137" s="217" t="str">
        <f t="shared" si="5"/>
        <v/>
      </c>
    </row>
    <row r="138" spans="17:22" x14ac:dyDescent="0.15">
      <c r="Q138" s="217" t="str">
        <f t="shared" si="3"/>
        <v/>
      </c>
      <c r="T138" s="217" t="str">
        <f t="shared" si="4"/>
        <v/>
      </c>
      <c r="V138" s="217" t="str">
        <f t="shared" si="5"/>
        <v/>
      </c>
    </row>
    <row r="139" spans="17:22" x14ac:dyDescent="0.15">
      <c r="Q139" s="217" t="str">
        <f t="shared" si="3"/>
        <v/>
      </c>
      <c r="T139" s="217" t="str">
        <f t="shared" si="4"/>
        <v/>
      </c>
      <c r="V139" s="217" t="str">
        <f t="shared" si="5"/>
        <v/>
      </c>
    </row>
    <row r="140" spans="17:22" x14ac:dyDescent="0.15">
      <c r="Q140" s="217" t="str">
        <f t="shared" si="3"/>
        <v/>
      </c>
      <c r="T140" s="217" t="str">
        <f t="shared" si="4"/>
        <v/>
      </c>
      <c r="V140" s="217" t="str">
        <f t="shared" si="5"/>
        <v/>
      </c>
    </row>
    <row r="141" spans="17:22" x14ac:dyDescent="0.15">
      <c r="Q141" s="217" t="str">
        <f t="shared" si="3"/>
        <v/>
      </c>
      <c r="T141" s="217" t="str">
        <f t="shared" si="4"/>
        <v/>
      </c>
      <c r="V141" s="217" t="str">
        <f t="shared" si="5"/>
        <v/>
      </c>
    </row>
    <row r="142" spans="17:22" x14ac:dyDescent="0.15">
      <c r="Q142" s="217" t="str">
        <f t="shared" si="3"/>
        <v/>
      </c>
      <c r="T142" s="217" t="str">
        <f t="shared" si="4"/>
        <v/>
      </c>
      <c r="V142" s="217" t="str">
        <f t="shared" si="5"/>
        <v/>
      </c>
    </row>
    <row r="143" spans="17:22" x14ac:dyDescent="0.15">
      <c r="Q143" s="217" t="str">
        <f t="shared" si="3"/>
        <v/>
      </c>
      <c r="T143" s="217" t="str">
        <f t="shared" si="4"/>
        <v/>
      </c>
      <c r="V143" s="217" t="str">
        <f t="shared" si="5"/>
        <v/>
      </c>
    </row>
    <row r="144" spans="17:22" x14ac:dyDescent="0.15">
      <c r="Q144" s="217" t="str">
        <f t="shared" si="3"/>
        <v/>
      </c>
      <c r="T144" s="217" t="str">
        <f t="shared" si="4"/>
        <v/>
      </c>
      <c r="V144" s="217" t="str">
        <f t="shared" si="5"/>
        <v/>
      </c>
    </row>
    <row r="145" spans="17:22" x14ac:dyDescent="0.15">
      <c r="Q145" s="217" t="str">
        <f t="shared" si="3"/>
        <v/>
      </c>
      <c r="T145" s="217" t="str">
        <f t="shared" si="4"/>
        <v/>
      </c>
      <c r="V145" s="217" t="str">
        <f t="shared" si="5"/>
        <v/>
      </c>
    </row>
    <row r="146" spans="17:22" x14ac:dyDescent="0.15">
      <c r="Q146" s="217" t="str">
        <f t="shared" si="3"/>
        <v/>
      </c>
      <c r="T146" s="217" t="str">
        <f t="shared" si="4"/>
        <v/>
      </c>
      <c r="V146" s="217" t="str">
        <f t="shared" si="5"/>
        <v/>
      </c>
    </row>
  </sheetData>
  <autoFilter ref="A1:BA146"/>
  <phoneticPr fontId="3"/>
  <dataValidations count="19">
    <dataValidation type="list" allowBlank="1" showInputMessage="1" showErrorMessage="1" sqref="K2:K428">
      <formula1>$AR$2:$AR$27</formula1>
    </dataValidation>
    <dataValidation type="list" allowBlank="1" showInputMessage="1" showErrorMessage="1" sqref="E2:E486">
      <formula1>$AG$2:$AG$11</formula1>
    </dataValidation>
    <dataValidation type="list" allowBlank="1" showInputMessage="1" showErrorMessage="1" sqref="H2:H486">
      <formula1>$AL$2:$AL$8</formula1>
    </dataValidation>
    <dataValidation type="decimal" allowBlank="1" showInputMessage="1" showErrorMessage="1" error="硬度を正しく入力して下さい。" sqref="O2:P486">
      <formula1>0</formula1>
      <formula2>7</formula2>
    </dataValidation>
    <dataValidation type="list" allowBlank="1" showInputMessage="1" showErrorMessage="1" sqref="F2:F1440">
      <formula1>$AH$2:$AH$11</formula1>
    </dataValidation>
    <dataValidation type="list" allowBlank="1" showInputMessage="1" showErrorMessage="1" sqref="AC38 Y2:AA577">
      <formula1>$AV$2:$AV$38</formula1>
    </dataValidation>
    <dataValidation type="list" allowBlank="1" showInputMessage="1" showErrorMessage="1" sqref="J2:J43">
      <formula1>$AP$2:$AP$38</formula1>
    </dataValidation>
    <dataValidation type="list" allowBlank="1" showInputMessage="1" showErrorMessage="1" sqref="WVS983028:WVS983093 K429:K486 K65524:K65589 WLW983028:WLW983093 WCA983028:WCA983093 VSE983028:VSE983093 VII983028:VII983093 UYM983028:UYM983093 UOQ983028:UOQ983093 UEU983028:UEU983093 TUY983028:TUY983093 TLC983028:TLC983093 TBG983028:TBG983093 SRK983028:SRK983093 SHO983028:SHO983093 RXS983028:RXS983093 RNW983028:RNW983093 REA983028:REA983093 QUE983028:QUE983093 QKI983028:QKI983093 QAM983028:QAM983093 PQQ983028:PQQ983093 PGU983028:PGU983093 OWY983028:OWY983093 ONC983028:ONC983093 ODG983028:ODG983093 NTK983028:NTK983093 NJO983028:NJO983093 MZS983028:MZS983093 MPW983028:MPW983093 MGA983028:MGA983093 LWE983028:LWE983093 LMI983028:LMI983093 LCM983028:LCM983093 KSQ983028:KSQ983093 KIU983028:KIU983093 JYY983028:JYY983093 JPC983028:JPC983093 JFG983028:JFG983093 IVK983028:IVK983093 ILO983028:ILO983093 IBS983028:IBS983093 HRW983028:HRW983093 HIA983028:HIA983093 GYE983028:GYE983093 GOI983028:GOI983093 GEM983028:GEM983093 FUQ983028:FUQ983093 FKU983028:FKU983093 FAY983028:FAY983093 ERC983028:ERC983093 EHG983028:EHG983093 DXK983028:DXK983093 DNO983028:DNO983093 DDS983028:DDS983093 CTW983028:CTW983093 CKA983028:CKA983093 CAE983028:CAE983093 BQI983028:BQI983093 BGM983028:BGM983093 AWQ983028:AWQ983093 AMU983028:AMU983093 ACY983028:ACY983093 TC983028:TC983093 JG983028:JG983093 K983028:K983093 WVS917492:WVS917557 WLW917492:WLW917557 WCA917492:WCA917557 VSE917492:VSE917557 VII917492:VII917557 UYM917492:UYM917557 UOQ917492:UOQ917557 UEU917492:UEU917557 TUY917492:TUY917557 TLC917492:TLC917557 TBG917492:TBG917557 SRK917492:SRK917557 SHO917492:SHO917557 RXS917492:RXS917557 RNW917492:RNW917557 REA917492:REA917557 QUE917492:QUE917557 QKI917492:QKI917557 QAM917492:QAM917557 PQQ917492:PQQ917557 PGU917492:PGU917557 OWY917492:OWY917557 ONC917492:ONC917557 ODG917492:ODG917557 NTK917492:NTK917557 NJO917492:NJO917557 MZS917492:MZS917557 MPW917492:MPW917557 MGA917492:MGA917557 LWE917492:LWE917557 LMI917492:LMI917557 LCM917492:LCM917557 KSQ917492:KSQ917557 KIU917492:KIU917557 JYY917492:JYY917557 JPC917492:JPC917557 JFG917492:JFG917557 IVK917492:IVK917557 ILO917492:ILO917557 IBS917492:IBS917557 HRW917492:HRW917557 HIA917492:HIA917557 GYE917492:GYE917557 GOI917492:GOI917557 GEM917492:GEM917557 FUQ917492:FUQ917557 FKU917492:FKU917557 FAY917492:FAY917557 ERC917492:ERC917557 EHG917492:EHG917557 DXK917492:DXK917557 DNO917492:DNO917557 DDS917492:DDS917557 CTW917492:CTW917557 CKA917492:CKA917557 CAE917492:CAE917557 BQI917492:BQI917557 BGM917492:BGM917557 AWQ917492:AWQ917557 AMU917492:AMU917557 ACY917492:ACY917557 TC917492:TC917557 JG917492:JG917557 K917492:K917557 WVS851956:WVS852021 WLW851956:WLW852021 WCA851956:WCA852021 VSE851956:VSE852021 VII851956:VII852021 UYM851956:UYM852021 UOQ851956:UOQ852021 UEU851956:UEU852021 TUY851956:TUY852021 TLC851956:TLC852021 TBG851956:TBG852021 SRK851956:SRK852021 SHO851956:SHO852021 RXS851956:RXS852021 RNW851956:RNW852021 REA851956:REA852021 QUE851956:QUE852021 QKI851956:QKI852021 QAM851956:QAM852021 PQQ851956:PQQ852021 PGU851956:PGU852021 OWY851956:OWY852021 ONC851956:ONC852021 ODG851956:ODG852021 NTK851956:NTK852021 NJO851956:NJO852021 MZS851956:MZS852021 MPW851956:MPW852021 MGA851956:MGA852021 LWE851956:LWE852021 LMI851956:LMI852021 LCM851956:LCM852021 KSQ851956:KSQ852021 KIU851956:KIU852021 JYY851956:JYY852021 JPC851956:JPC852021 JFG851956:JFG852021 IVK851956:IVK852021 ILO851956:ILO852021 IBS851956:IBS852021 HRW851956:HRW852021 HIA851956:HIA852021 GYE851956:GYE852021 GOI851956:GOI852021 GEM851956:GEM852021 FUQ851956:FUQ852021 FKU851956:FKU852021 FAY851956:FAY852021 ERC851956:ERC852021 EHG851956:EHG852021 DXK851956:DXK852021 DNO851956:DNO852021 DDS851956:DDS852021 CTW851956:CTW852021 CKA851956:CKA852021 CAE851956:CAE852021 BQI851956:BQI852021 BGM851956:BGM852021 AWQ851956:AWQ852021 AMU851956:AMU852021 ACY851956:ACY852021 TC851956:TC852021 JG851956:JG852021 K851956:K852021 WVS786420:WVS786485 WLW786420:WLW786485 WCA786420:WCA786485 VSE786420:VSE786485 VII786420:VII786485 UYM786420:UYM786485 UOQ786420:UOQ786485 UEU786420:UEU786485 TUY786420:TUY786485 TLC786420:TLC786485 TBG786420:TBG786485 SRK786420:SRK786485 SHO786420:SHO786485 RXS786420:RXS786485 RNW786420:RNW786485 REA786420:REA786485 QUE786420:QUE786485 QKI786420:QKI786485 QAM786420:QAM786485 PQQ786420:PQQ786485 PGU786420:PGU786485 OWY786420:OWY786485 ONC786420:ONC786485 ODG786420:ODG786485 NTK786420:NTK786485 NJO786420:NJO786485 MZS786420:MZS786485 MPW786420:MPW786485 MGA786420:MGA786485 LWE786420:LWE786485 LMI786420:LMI786485 LCM786420:LCM786485 KSQ786420:KSQ786485 KIU786420:KIU786485 JYY786420:JYY786485 JPC786420:JPC786485 JFG786420:JFG786485 IVK786420:IVK786485 ILO786420:ILO786485 IBS786420:IBS786485 HRW786420:HRW786485 HIA786420:HIA786485 GYE786420:GYE786485 GOI786420:GOI786485 GEM786420:GEM786485 FUQ786420:FUQ786485 FKU786420:FKU786485 FAY786420:FAY786485 ERC786420:ERC786485 EHG786420:EHG786485 DXK786420:DXK786485 DNO786420:DNO786485 DDS786420:DDS786485 CTW786420:CTW786485 CKA786420:CKA786485 CAE786420:CAE786485 BQI786420:BQI786485 BGM786420:BGM786485 AWQ786420:AWQ786485 AMU786420:AMU786485 ACY786420:ACY786485 TC786420:TC786485 JG786420:JG786485 K786420:K786485 WVS720884:WVS720949 WLW720884:WLW720949 WCA720884:WCA720949 VSE720884:VSE720949 VII720884:VII720949 UYM720884:UYM720949 UOQ720884:UOQ720949 UEU720884:UEU720949 TUY720884:TUY720949 TLC720884:TLC720949 TBG720884:TBG720949 SRK720884:SRK720949 SHO720884:SHO720949 RXS720884:RXS720949 RNW720884:RNW720949 REA720884:REA720949 QUE720884:QUE720949 QKI720884:QKI720949 QAM720884:QAM720949 PQQ720884:PQQ720949 PGU720884:PGU720949 OWY720884:OWY720949 ONC720884:ONC720949 ODG720884:ODG720949 NTK720884:NTK720949 NJO720884:NJO720949 MZS720884:MZS720949 MPW720884:MPW720949 MGA720884:MGA720949 LWE720884:LWE720949 LMI720884:LMI720949 LCM720884:LCM720949 KSQ720884:KSQ720949 KIU720884:KIU720949 JYY720884:JYY720949 JPC720884:JPC720949 JFG720884:JFG720949 IVK720884:IVK720949 ILO720884:ILO720949 IBS720884:IBS720949 HRW720884:HRW720949 HIA720884:HIA720949 GYE720884:GYE720949 GOI720884:GOI720949 GEM720884:GEM720949 FUQ720884:FUQ720949 FKU720884:FKU720949 FAY720884:FAY720949 ERC720884:ERC720949 EHG720884:EHG720949 DXK720884:DXK720949 DNO720884:DNO720949 DDS720884:DDS720949 CTW720884:CTW720949 CKA720884:CKA720949 CAE720884:CAE720949 BQI720884:BQI720949 BGM720884:BGM720949 AWQ720884:AWQ720949 AMU720884:AMU720949 ACY720884:ACY720949 TC720884:TC720949 JG720884:JG720949 K720884:K720949 WVS655348:WVS655413 WLW655348:WLW655413 WCA655348:WCA655413 VSE655348:VSE655413 VII655348:VII655413 UYM655348:UYM655413 UOQ655348:UOQ655413 UEU655348:UEU655413 TUY655348:TUY655413 TLC655348:TLC655413 TBG655348:TBG655413 SRK655348:SRK655413 SHO655348:SHO655413 RXS655348:RXS655413 RNW655348:RNW655413 REA655348:REA655413 QUE655348:QUE655413 QKI655348:QKI655413 QAM655348:QAM655413 PQQ655348:PQQ655413 PGU655348:PGU655413 OWY655348:OWY655413 ONC655348:ONC655413 ODG655348:ODG655413 NTK655348:NTK655413 NJO655348:NJO655413 MZS655348:MZS655413 MPW655348:MPW655413 MGA655348:MGA655413 LWE655348:LWE655413 LMI655348:LMI655413 LCM655348:LCM655413 KSQ655348:KSQ655413 KIU655348:KIU655413 JYY655348:JYY655413 JPC655348:JPC655413 JFG655348:JFG655413 IVK655348:IVK655413 ILO655348:ILO655413 IBS655348:IBS655413 HRW655348:HRW655413 HIA655348:HIA655413 GYE655348:GYE655413 GOI655348:GOI655413 GEM655348:GEM655413 FUQ655348:FUQ655413 FKU655348:FKU655413 FAY655348:FAY655413 ERC655348:ERC655413 EHG655348:EHG655413 DXK655348:DXK655413 DNO655348:DNO655413 DDS655348:DDS655413 CTW655348:CTW655413 CKA655348:CKA655413 CAE655348:CAE655413 BQI655348:BQI655413 BGM655348:BGM655413 AWQ655348:AWQ655413 AMU655348:AMU655413 ACY655348:ACY655413 TC655348:TC655413 JG655348:JG655413 K655348:K655413 WVS589812:WVS589877 WLW589812:WLW589877 WCA589812:WCA589877 VSE589812:VSE589877 VII589812:VII589877 UYM589812:UYM589877 UOQ589812:UOQ589877 UEU589812:UEU589877 TUY589812:TUY589877 TLC589812:TLC589877 TBG589812:TBG589877 SRK589812:SRK589877 SHO589812:SHO589877 RXS589812:RXS589877 RNW589812:RNW589877 REA589812:REA589877 QUE589812:QUE589877 QKI589812:QKI589877 QAM589812:QAM589877 PQQ589812:PQQ589877 PGU589812:PGU589877 OWY589812:OWY589877 ONC589812:ONC589877 ODG589812:ODG589877 NTK589812:NTK589877 NJO589812:NJO589877 MZS589812:MZS589877 MPW589812:MPW589877 MGA589812:MGA589877 LWE589812:LWE589877 LMI589812:LMI589877 LCM589812:LCM589877 KSQ589812:KSQ589877 KIU589812:KIU589877 JYY589812:JYY589877 JPC589812:JPC589877 JFG589812:JFG589877 IVK589812:IVK589877 ILO589812:ILO589877 IBS589812:IBS589877 HRW589812:HRW589877 HIA589812:HIA589877 GYE589812:GYE589877 GOI589812:GOI589877 GEM589812:GEM589877 FUQ589812:FUQ589877 FKU589812:FKU589877 FAY589812:FAY589877 ERC589812:ERC589877 EHG589812:EHG589877 DXK589812:DXK589877 DNO589812:DNO589877 DDS589812:DDS589877 CTW589812:CTW589877 CKA589812:CKA589877 CAE589812:CAE589877 BQI589812:BQI589877 BGM589812:BGM589877 AWQ589812:AWQ589877 AMU589812:AMU589877 ACY589812:ACY589877 TC589812:TC589877 JG589812:JG589877 K589812:K589877 WVS524276:WVS524341 WLW524276:WLW524341 WCA524276:WCA524341 VSE524276:VSE524341 VII524276:VII524341 UYM524276:UYM524341 UOQ524276:UOQ524341 UEU524276:UEU524341 TUY524276:TUY524341 TLC524276:TLC524341 TBG524276:TBG524341 SRK524276:SRK524341 SHO524276:SHO524341 RXS524276:RXS524341 RNW524276:RNW524341 REA524276:REA524341 QUE524276:QUE524341 QKI524276:QKI524341 QAM524276:QAM524341 PQQ524276:PQQ524341 PGU524276:PGU524341 OWY524276:OWY524341 ONC524276:ONC524341 ODG524276:ODG524341 NTK524276:NTK524341 NJO524276:NJO524341 MZS524276:MZS524341 MPW524276:MPW524341 MGA524276:MGA524341 LWE524276:LWE524341 LMI524276:LMI524341 LCM524276:LCM524341 KSQ524276:KSQ524341 KIU524276:KIU524341 JYY524276:JYY524341 JPC524276:JPC524341 JFG524276:JFG524341 IVK524276:IVK524341 ILO524276:ILO524341 IBS524276:IBS524341 HRW524276:HRW524341 HIA524276:HIA524341 GYE524276:GYE524341 GOI524276:GOI524341 GEM524276:GEM524341 FUQ524276:FUQ524341 FKU524276:FKU524341 FAY524276:FAY524341 ERC524276:ERC524341 EHG524276:EHG524341 DXK524276:DXK524341 DNO524276:DNO524341 DDS524276:DDS524341 CTW524276:CTW524341 CKA524276:CKA524341 CAE524276:CAE524341 BQI524276:BQI524341 BGM524276:BGM524341 AWQ524276:AWQ524341 AMU524276:AMU524341 ACY524276:ACY524341 TC524276:TC524341 JG524276:JG524341 K524276:K524341 WVS458740:WVS458805 WLW458740:WLW458805 WCA458740:WCA458805 VSE458740:VSE458805 VII458740:VII458805 UYM458740:UYM458805 UOQ458740:UOQ458805 UEU458740:UEU458805 TUY458740:TUY458805 TLC458740:TLC458805 TBG458740:TBG458805 SRK458740:SRK458805 SHO458740:SHO458805 RXS458740:RXS458805 RNW458740:RNW458805 REA458740:REA458805 QUE458740:QUE458805 QKI458740:QKI458805 QAM458740:QAM458805 PQQ458740:PQQ458805 PGU458740:PGU458805 OWY458740:OWY458805 ONC458740:ONC458805 ODG458740:ODG458805 NTK458740:NTK458805 NJO458740:NJO458805 MZS458740:MZS458805 MPW458740:MPW458805 MGA458740:MGA458805 LWE458740:LWE458805 LMI458740:LMI458805 LCM458740:LCM458805 KSQ458740:KSQ458805 KIU458740:KIU458805 JYY458740:JYY458805 JPC458740:JPC458805 JFG458740:JFG458805 IVK458740:IVK458805 ILO458740:ILO458805 IBS458740:IBS458805 HRW458740:HRW458805 HIA458740:HIA458805 GYE458740:GYE458805 GOI458740:GOI458805 GEM458740:GEM458805 FUQ458740:FUQ458805 FKU458740:FKU458805 FAY458740:FAY458805 ERC458740:ERC458805 EHG458740:EHG458805 DXK458740:DXK458805 DNO458740:DNO458805 DDS458740:DDS458805 CTW458740:CTW458805 CKA458740:CKA458805 CAE458740:CAE458805 BQI458740:BQI458805 BGM458740:BGM458805 AWQ458740:AWQ458805 AMU458740:AMU458805 ACY458740:ACY458805 TC458740:TC458805 JG458740:JG458805 K458740:K458805 WVS393204:WVS393269 WLW393204:WLW393269 WCA393204:WCA393269 VSE393204:VSE393269 VII393204:VII393269 UYM393204:UYM393269 UOQ393204:UOQ393269 UEU393204:UEU393269 TUY393204:TUY393269 TLC393204:TLC393269 TBG393204:TBG393269 SRK393204:SRK393269 SHO393204:SHO393269 RXS393204:RXS393269 RNW393204:RNW393269 REA393204:REA393269 QUE393204:QUE393269 QKI393204:QKI393269 QAM393204:QAM393269 PQQ393204:PQQ393269 PGU393204:PGU393269 OWY393204:OWY393269 ONC393204:ONC393269 ODG393204:ODG393269 NTK393204:NTK393269 NJO393204:NJO393269 MZS393204:MZS393269 MPW393204:MPW393269 MGA393204:MGA393269 LWE393204:LWE393269 LMI393204:LMI393269 LCM393204:LCM393269 KSQ393204:KSQ393269 KIU393204:KIU393269 JYY393204:JYY393269 JPC393204:JPC393269 JFG393204:JFG393269 IVK393204:IVK393269 ILO393204:ILO393269 IBS393204:IBS393269 HRW393204:HRW393269 HIA393204:HIA393269 GYE393204:GYE393269 GOI393204:GOI393269 GEM393204:GEM393269 FUQ393204:FUQ393269 FKU393204:FKU393269 FAY393204:FAY393269 ERC393204:ERC393269 EHG393204:EHG393269 DXK393204:DXK393269 DNO393204:DNO393269 DDS393204:DDS393269 CTW393204:CTW393269 CKA393204:CKA393269 CAE393204:CAE393269 BQI393204:BQI393269 BGM393204:BGM393269 AWQ393204:AWQ393269 AMU393204:AMU393269 ACY393204:ACY393269 TC393204:TC393269 JG393204:JG393269 K393204:K393269 WVS327668:WVS327733 WLW327668:WLW327733 WCA327668:WCA327733 VSE327668:VSE327733 VII327668:VII327733 UYM327668:UYM327733 UOQ327668:UOQ327733 UEU327668:UEU327733 TUY327668:TUY327733 TLC327668:TLC327733 TBG327668:TBG327733 SRK327668:SRK327733 SHO327668:SHO327733 RXS327668:RXS327733 RNW327668:RNW327733 REA327668:REA327733 QUE327668:QUE327733 QKI327668:QKI327733 QAM327668:QAM327733 PQQ327668:PQQ327733 PGU327668:PGU327733 OWY327668:OWY327733 ONC327668:ONC327733 ODG327668:ODG327733 NTK327668:NTK327733 NJO327668:NJO327733 MZS327668:MZS327733 MPW327668:MPW327733 MGA327668:MGA327733 LWE327668:LWE327733 LMI327668:LMI327733 LCM327668:LCM327733 KSQ327668:KSQ327733 KIU327668:KIU327733 JYY327668:JYY327733 JPC327668:JPC327733 JFG327668:JFG327733 IVK327668:IVK327733 ILO327668:ILO327733 IBS327668:IBS327733 HRW327668:HRW327733 HIA327668:HIA327733 GYE327668:GYE327733 GOI327668:GOI327733 GEM327668:GEM327733 FUQ327668:FUQ327733 FKU327668:FKU327733 FAY327668:FAY327733 ERC327668:ERC327733 EHG327668:EHG327733 DXK327668:DXK327733 DNO327668:DNO327733 DDS327668:DDS327733 CTW327668:CTW327733 CKA327668:CKA327733 CAE327668:CAE327733 BQI327668:BQI327733 BGM327668:BGM327733 AWQ327668:AWQ327733 AMU327668:AMU327733 ACY327668:ACY327733 TC327668:TC327733 JG327668:JG327733 K327668:K327733 WVS262132:WVS262197 WLW262132:WLW262197 WCA262132:WCA262197 VSE262132:VSE262197 VII262132:VII262197 UYM262132:UYM262197 UOQ262132:UOQ262197 UEU262132:UEU262197 TUY262132:TUY262197 TLC262132:TLC262197 TBG262132:TBG262197 SRK262132:SRK262197 SHO262132:SHO262197 RXS262132:RXS262197 RNW262132:RNW262197 REA262132:REA262197 QUE262132:QUE262197 QKI262132:QKI262197 QAM262132:QAM262197 PQQ262132:PQQ262197 PGU262132:PGU262197 OWY262132:OWY262197 ONC262132:ONC262197 ODG262132:ODG262197 NTK262132:NTK262197 NJO262132:NJO262197 MZS262132:MZS262197 MPW262132:MPW262197 MGA262132:MGA262197 LWE262132:LWE262197 LMI262132:LMI262197 LCM262132:LCM262197 KSQ262132:KSQ262197 KIU262132:KIU262197 JYY262132:JYY262197 JPC262132:JPC262197 JFG262132:JFG262197 IVK262132:IVK262197 ILO262132:ILO262197 IBS262132:IBS262197 HRW262132:HRW262197 HIA262132:HIA262197 GYE262132:GYE262197 GOI262132:GOI262197 GEM262132:GEM262197 FUQ262132:FUQ262197 FKU262132:FKU262197 FAY262132:FAY262197 ERC262132:ERC262197 EHG262132:EHG262197 DXK262132:DXK262197 DNO262132:DNO262197 DDS262132:DDS262197 CTW262132:CTW262197 CKA262132:CKA262197 CAE262132:CAE262197 BQI262132:BQI262197 BGM262132:BGM262197 AWQ262132:AWQ262197 AMU262132:AMU262197 ACY262132:ACY262197 TC262132:TC262197 JG262132:JG262197 K262132:K262197 WVS196596:WVS196661 WLW196596:WLW196661 WCA196596:WCA196661 VSE196596:VSE196661 VII196596:VII196661 UYM196596:UYM196661 UOQ196596:UOQ196661 UEU196596:UEU196661 TUY196596:TUY196661 TLC196596:TLC196661 TBG196596:TBG196661 SRK196596:SRK196661 SHO196596:SHO196661 RXS196596:RXS196661 RNW196596:RNW196661 REA196596:REA196661 QUE196596:QUE196661 QKI196596:QKI196661 QAM196596:QAM196661 PQQ196596:PQQ196661 PGU196596:PGU196661 OWY196596:OWY196661 ONC196596:ONC196661 ODG196596:ODG196661 NTK196596:NTK196661 NJO196596:NJO196661 MZS196596:MZS196661 MPW196596:MPW196661 MGA196596:MGA196661 LWE196596:LWE196661 LMI196596:LMI196661 LCM196596:LCM196661 KSQ196596:KSQ196661 KIU196596:KIU196661 JYY196596:JYY196661 JPC196596:JPC196661 JFG196596:JFG196661 IVK196596:IVK196661 ILO196596:ILO196661 IBS196596:IBS196661 HRW196596:HRW196661 HIA196596:HIA196661 GYE196596:GYE196661 GOI196596:GOI196661 GEM196596:GEM196661 FUQ196596:FUQ196661 FKU196596:FKU196661 FAY196596:FAY196661 ERC196596:ERC196661 EHG196596:EHG196661 DXK196596:DXK196661 DNO196596:DNO196661 DDS196596:DDS196661 CTW196596:CTW196661 CKA196596:CKA196661 CAE196596:CAE196661 BQI196596:BQI196661 BGM196596:BGM196661 AWQ196596:AWQ196661 AMU196596:AMU196661 ACY196596:ACY196661 TC196596:TC196661 JG196596:JG196661 K196596:K196661 WVS131060:WVS131125 WLW131060:WLW131125 WCA131060:WCA131125 VSE131060:VSE131125 VII131060:VII131125 UYM131060:UYM131125 UOQ131060:UOQ131125 UEU131060:UEU131125 TUY131060:TUY131125 TLC131060:TLC131125 TBG131060:TBG131125 SRK131060:SRK131125 SHO131060:SHO131125 RXS131060:RXS131125 RNW131060:RNW131125 REA131060:REA131125 QUE131060:QUE131125 QKI131060:QKI131125 QAM131060:QAM131125 PQQ131060:PQQ131125 PGU131060:PGU131125 OWY131060:OWY131125 ONC131060:ONC131125 ODG131060:ODG131125 NTK131060:NTK131125 NJO131060:NJO131125 MZS131060:MZS131125 MPW131060:MPW131125 MGA131060:MGA131125 LWE131060:LWE131125 LMI131060:LMI131125 LCM131060:LCM131125 KSQ131060:KSQ131125 KIU131060:KIU131125 JYY131060:JYY131125 JPC131060:JPC131125 JFG131060:JFG131125 IVK131060:IVK131125 ILO131060:ILO131125 IBS131060:IBS131125 HRW131060:HRW131125 HIA131060:HIA131125 GYE131060:GYE131125 GOI131060:GOI131125 GEM131060:GEM131125 FUQ131060:FUQ131125 FKU131060:FKU131125 FAY131060:FAY131125 ERC131060:ERC131125 EHG131060:EHG131125 DXK131060:DXK131125 DNO131060:DNO131125 DDS131060:DDS131125 CTW131060:CTW131125 CKA131060:CKA131125 CAE131060:CAE131125 BQI131060:BQI131125 BGM131060:BGM131125 AWQ131060:AWQ131125 AMU131060:AMU131125 ACY131060:ACY131125 TC131060:TC131125 JG131060:JG131125 K131060:K131125 WVS65524:WVS65589 WLW65524:WLW65589 WCA65524:WCA65589 VSE65524:VSE65589 VII65524:VII65589 UYM65524:UYM65589 UOQ65524:UOQ65589 UEU65524:UEU65589 TUY65524:TUY65589 TLC65524:TLC65589 TBG65524:TBG65589 SRK65524:SRK65589 SHO65524:SHO65589 RXS65524:RXS65589 RNW65524:RNW65589 REA65524:REA65589 QUE65524:QUE65589 QKI65524:QKI65589 QAM65524:QAM65589 PQQ65524:PQQ65589 PGU65524:PGU65589 OWY65524:OWY65589 ONC65524:ONC65589 ODG65524:ODG65589 NTK65524:NTK65589 NJO65524:NJO65589 MZS65524:MZS65589 MPW65524:MPW65589 MGA65524:MGA65589 LWE65524:LWE65589 LMI65524:LMI65589 LCM65524:LCM65589 KSQ65524:KSQ65589 KIU65524:KIU65589 JYY65524:JYY65589 JPC65524:JPC65589 JFG65524:JFG65589 IVK65524:IVK65589 ILO65524:ILO65589 IBS65524:IBS65589 HRW65524:HRW65589 HIA65524:HIA65589 GYE65524:GYE65589 GOI65524:GOI65589 GEM65524:GEM65589 FUQ65524:FUQ65589 FKU65524:FKU65589 FAY65524:FAY65589 ERC65524:ERC65589 EHG65524:EHG65589 DXK65524:DXK65589 DNO65524:DNO65589 DDS65524:DDS65589 CTW65524:CTW65589 CKA65524:CKA65589 CAE65524:CAE65589 BQI65524:BQI65589 BGM65524:BGM65589 AWQ65524:AWQ65589 AMU65524:AMU65589 ACY65524:ACY65589 TC65524:TC65589 JG65524:JG65589 TC2:TC61 JG2:JG61 WVS2:WVS61 WLW2:WLW61 WCA2:WCA61 VSE2:VSE61 VII2:VII61 UYM2:UYM61 UOQ2:UOQ61 UEU2:UEU61 TUY2:TUY61 TLC2:TLC61 TBG2:TBG61 SRK2:SRK61 SHO2:SHO61 RXS2:RXS61 RNW2:RNW61 REA2:REA61 QUE2:QUE61 QKI2:QKI61 QAM2:QAM61 PQQ2:PQQ61 PGU2:PGU61 OWY2:OWY61 ONC2:ONC61 ODG2:ODG61 NTK2:NTK61 NJO2:NJO61 MZS2:MZS61 MPW2:MPW61 MGA2:MGA61 LWE2:LWE61 LMI2:LMI61 LCM2:LCM61 KSQ2:KSQ61 KIU2:KIU61 JYY2:JYY61 JPC2:JPC61 JFG2:JFG61 IVK2:IVK61 ILO2:ILO61 IBS2:IBS61 HRW2:HRW61 HIA2:HIA61 GYE2:GYE61 GOI2:GOI61 GEM2:GEM61 FUQ2:FUQ61 FKU2:FKU61 FAY2:FAY61 ERC2:ERC61 EHG2:EHG61 DXK2:DXK61 DNO2:DNO61 DDS2:DDS61 CTW2:CTW61 CKA2:CKA61 CAE2:CAE61 BQI2:BQI61 BGM2:BGM61 AWQ2:AWQ61 AMU2:AMU61 ACY2:ACY61">
      <formula1>$AR$2:$AR$25</formula1>
    </dataValidation>
    <dataValidation type="list" allowBlank="1" showInputMessage="1" showErrorMessage="1" sqref="WVR983028:WVR983093 J65524:J65589 WLV983028:WLV983093 WBZ983028:WBZ983093 VSD983028:VSD983093 VIH983028:VIH983093 UYL983028:UYL983093 UOP983028:UOP983093 UET983028:UET983093 TUX983028:TUX983093 TLB983028:TLB983093 TBF983028:TBF983093 SRJ983028:SRJ983093 SHN983028:SHN983093 RXR983028:RXR983093 RNV983028:RNV983093 RDZ983028:RDZ983093 QUD983028:QUD983093 QKH983028:QKH983093 QAL983028:QAL983093 PQP983028:PQP983093 PGT983028:PGT983093 OWX983028:OWX983093 ONB983028:ONB983093 ODF983028:ODF983093 NTJ983028:NTJ983093 NJN983028:NJN983093 MZR983028:MZR983093 MPV983028:MPV983093 MFZ983028:MFZ983093 LWD983028:LWD983093 LMH983028:LMH983093 LCL983028:LCL983093 KSP983028:KSP983093 KIT983028:KIT983093 JYX983028:JYX983093 JPB983028:JPB983093 JFF983028:JFF983093 IVJ983028:IVJ983093 ILN983028:ILN983093 IBR983028:IBR983093 HRV983028:HRV983093 HHZ983028:HHZ983093 GYD983028:GYD983093 GOH983028:GOH983093 GEL983028:GEL983093 FUP983028:FUP983093 FKT983028:FKT983093 FAX983028:FAX983093 ERB983028:ERB983093 EHF983028:EHF983093 DXJ983028:DXJ983093 DNN983028:DNN983093 DDR983028:DDR983093 CTV983028:CTV983093 CJZ983028:CJZ983093 CAD983028:CAD983093 BQH983028:BQH983093 BGL983028:BGL983093 AWP983028:AWP983093 AMT983028:AMT983093 ACX983028:ACX983093 TB983028:TB983093 JF983028:JF983093 J983028:J983093 WVR917492:WVR917557 WLV917492:WLV917557 WBZ917492:WBZ917557 VSD917492:VSD917557 VIH917492:VIH917557 UYL917492:UYL917557 UOP917492:UOP917557 UET917492:UET917557 TUX917492:TUX917557 TLB917492:TLB917557 TBF917492:TBF917557 SRJ917492:SRJ917557 SHN917492:SHN917557 RXR917492:RXR917557 RNV917492:RNV917557 RDZ917492:RDZ917557 QUD917492:QUD917557 QKH917492:QKH917557 QAL917492:QAL917557 PQP917492:PQP917557 PGT917492:PGT917557 OWX917492:OWX917557 ONB917492:ONB917557 ODF917492:ODF917557 NTJ917492:NTJ917557 NJN917492:NJN917557 MZR917492:MZR917557 MPV917492:MPV917557 MFZ917492:MFZ917557 LWD917492:LWD917557 LMH917492:LMH917557 LCL917492:LCL917557 KSP917492:KSP917557 KIT917492:KIT917557 JYX917492:JYX917557 JPB917492:JPB917557 JFF917492:JFF917557 IVJ917492:IVJ917557 ILN917492:ILN917557 IBR917492:IBR917557 HRV917492:HRV917557 HHZ917492:HHZ917557 GYD917492:GYD917557 GOH917492:GOH917557 GEL917492:GEL917557 FUP917492:FUP917557 FKT917492:FKT917557 FAX917492:FAX917557 ERB917492:ERB917557 EHF917492:EHF917557 DXJ917492:DXJ917557 DNN917492:DNN917557 DDR917492:DDR917557 CTV917492:CTV917557 CJZ917492:CJZ917557 CAD917492:CAD917557 BQH917492:BQH917557 BGL917492:BGL917557 AWP917492:AWP917557 AMT917492:AMT917557 ACX917492:ACX917557 TB917492:TB917557 JF917492:JF917557 J917492:J917557 WVR851956:WVR852021 WLV851956:WLV852021 WBZ851956:WBZ852021 VSD851956:VSD852021 VIH851956:VIH852021 UYL851956:UYL852021 UOP851956:UOP852021 UET851956:UET852021 TUX851956:TUX852021 TLB851956:TLB852021 TBF851956:TBF852021 SRJ851956:SRJ852021 SHN851956:SHN852021 RXR851956:RXR852021 RNV851956:RNV852021 RDZ851956:RDZ852021 QUD851956:QUD852021 QKH851956:QKH852021 QAL851956:QAL852021 PQP851956:PQP852021 PGT851956:PGT852021 OWX851956:OWX852021 ONB851956:ONB852021 ODF851956:ODF852021 NTJ851956:NTJ852021 NJN851956:NJN852021 MZR851956:MZR852021 MPV851956:MPV852021 MFZ851956:MFZ852021 LWD851956:LWD852021 LMH851956:LMH852021 LCL851956:LCL852021 KSP851956:KSP852021 KIT851956:KIT852021 JYX851956:JYX852021 JPB851956:JPB852021 JFF851956:JFF852021 IVJ851956:IVJ852021 ILN851956:ILN852021 IBR851956:IBR852021 HRV851956:HRV852021 HHZ851956:HHZ852021 GYD851956:GYD852021 GOH851956:GOH852021 GEL851956:GEL852021 FUP851956:FUP852021 FKT851956:FKT852021 FAX851956:FAX852021 ERB851956:ERB852021 EHF851956:EHF852021 DXJ851956:DXJ852021 DNN851956:DNN852021 DDR851956:DDR852021 CTV851956:CTV852021 CJZ851956:CJZ852021 CAD851956:CAD852021 BQH851956:BQH852021 BGL851956:BGL852021 AWP851956:AWP852021 AMT851956:AMT852021 ACX851956:ACX852021 TB851956:TB852021 JF851956:JF852021 J851956:J852021 WVR786420:WVR786485 WLV786420:WLV786485 WBZ786420:WBZ786485 VSD786420:VSD786485 VIH786420:VIH786485 UYL786420:UYL786485 UOP786420:UOP786485 UET786420:UET786485 TUX786420:TUX786485 TLB786420:TLB786485 TBF786420:TBF786485 SRJ786420:SRJ786485 SHN786420:SHN786485 RXR786420:RXR786485 RNV786420:RNV786485 RDZ786420:RDZ786485 QUD786420:QUD786485 QKH786420:QKH786485 QAL786420:QAL786485 PQP786420:PQP786485 PGT786420:PGT786485 OWX786420:OWX786485 ONB786420:ONB786485 ODF786420:ODF786485 NTJ786420:NTJ786485 NJN786420:NJN786485 MZR786420:MZR786485 MPV786420:MPV786485 MFZ786420:MFZ786485 LWD786420:LWD786485 LMH786420:LMH786485 LCL786420:LCL786485 KSP786420:KSP786485 KIT786420:KIT786485 JYX786420:JYX786485 JPB786420:JPB786485 JFF786420:JFF786485 IVJ786420:IVJ786485 ILN786420:ILN786485 IBR786420:IBR786485 HRV786420:HRV786485 HHZ786420:HHZ786485 GYD786420:GYD786485 GOH786420:GOH786485 GEL786420:GEL786485 FUP786420:FUP786485 FKT786420:FKT786485 FAX786420:FAX786485 ERB786420:ERB786485 EHF786420:EHF786485 DXJ786420:DXJ786485 DNN786420:DNN786485 DDR786420:DDR786485 CTV786420:CTV786485 CJZ786420:CJZ786485 CAD786420:CAD786485 BQH786420:BQH786485 BGL786420:BGL786485 AWP786420:AWP786485 AMT786420:AMT786485 ACX786420:ACX786485 TB786420:TB786485 JF786420:JF786485 J786420:J786485 WVR720884:WVR720949 WLV720884:WLV720949 WBZ720884:WBZ720949 VSD720884:VSD720949 VIH720884:VIH720949 UYL720884:UYL720949 UOP720884:UOP720949 UET720884:UET720949 TUX720884:TUX720949 TLB720884:TLB720949 TBF720884:TBF720949 SRJ720884:SRJ720949 SHN720884:SHN720949 RXR720884:RXR720949 RNV720884:RNV720949 RDZ720884:RDZ720949 QUD720884:QUD720949 QKH720884:QKH720949 QAL720884:QAL720949 PQP720884:PQP720949 PGT720884:PGT720949 OWX720884:OWX720949 ONB720884:ONB720949 ODF720884:ODF720949 NTJ720884:NTJ720949 NJN720884:NJN720949 MZR720884:MZR720949 MPV720884:MPV720949 MFZ720884:MFZ720949 LWD720884:LWD720949 LMH720884:LMH720949 LCL720884:LCL720949 KSP720884:KSP720949 KIT720884:KIT720949 JYX720884:JYX720949 JPB720884:JPB720949 JFF720884:JFF720949 IVJ720884:IVJ720949 ILN720884:ILN720949 IBR720884:IBR720949 HRV720884:HRV720949 HHZ720884:HHZ720949 GYD720884:GYD720949 GOH720884:GOH720949 GEL720884:GEL720949 FUP720884:FUP720949 FKT720884:FKT720949 FAX720884:FAX720949 ERB720884:ERB720949 EHF720884:EHF720949 DXJ720884:DXJ720949 DNN720884:DNN720949 DDR720884:DDR720949 CTV720884:CTV720949 CJZ720884:CJZ720949 CAD720884:CAD720949 BQH720884:BQH720949 BGL720884:BGL720949 AWP720884:AWP720949 AMT720884:AMT720949 ACX720884:ACX720949 TB720884:TB720949 JF720884:JF720949 J720884:J720949 WVR655348:WVR655413 WLV655348:WLV655413 WBZ655348:WBZ655413 VSD655348:VSD655413 VIH655348:VIH655413 UYL655348:UYL655413 UOP655348:UOP655413 UET655348:UET655413 TUX655348:TUX655413 TLB655348:TLB655413 TBF655348:TBF655413 SRJ655348:SRJ655413 SHN655348:SHN655413 RXR655348:RXR655413 RNV655348:RNV655413 RDZ655348:RDZ655413 QUD655348:QUD655413 QKH655348:QKH655413 QAL655348:QAL655413 PQP655348:PQP655413 PGT655348:PGT655413 OWX655348:OWX655413 ONB655348:ONB655413 ODF655348:ODF655413 NTJ655348:NTJ655413 NJN655348:NJN655413 MZR655348:MZR655413 MPV655348:MPV655413 MFZ655348:MFZ655413 LWD655348:LWD655413 LMH655348:LMH655413 LCL655348:LCL655413 KSP655348:KSP655413 KIT655348:KIT655413 JYX655348:JYX655413 JPB655348:JPB655413 JFF655348:JFF655413 IVJ655348:IVJ655413 ILN655348:ILN655413 IBR655348:IBR655413 HRV655348:HRV655413 HHZ655348:HHZ655413 GYD655348:GYD655413 GOH655348:GOH655413 GEL655348:GEL655413 FUP655348:FUP655413 FKT655348:FKT655413 FAX655348:FAX655413 ERB655348:ERB655413 EHF655348:EHF655413 DXJ655348:DXJ655413 DNN655348:DNN655413 DDR655348:DDR655413 CTV655348:CTV655413 CJZ655348:CJZ655413 CAD655348:CAD655413 BQH655348:BQH655413 BGL655348:BGL655413 AWP655348:AWP655413 AMT655348:AMT655413 ACX655348:ACX655413 TB655348:TB655413 JF655348:JF655413 J655348:J655413 WVR589812:WVR589877 WLV589812:WLV589877 WBZ589812:WBZ589877 VSD589812:VSD589877 VIH589812:VIH589877 UYL589812:UYL589877 UOP589812:UOP589877 UET589812:UET589877 TUX589812:TUX589877 TLB589812:TLB589877 TBF589812:TBF589877 SRJ589812:SRJ589877 SHN589812:SHN589877 RXR589812:RXR589877 RNV589812:RNV589877 RDZ589812:RDZ589877 QUD589812:QUD589877 QKH589812:QKH589877 QAL589812:QAL589877 PQP589812:PQP589877 PGT589812:PGT589877 OWX589812:OWX589877 ONB589812:ONB589877 ODF589812:ODF589877 NTJ589812:NTJ589877 NJN589812:NJN589877 MZR589812:MZR589877 MPV589812:MPV589877 MFZ589812:MFZ589877 LWD589812:LWD589877 LMH589812:LMH589877 LCL589812:LCL589877 KSP589812:KSP589877 KIT589812:KIT589877 JYX589812:JYX589877 JPB589812:JPB589877 JFF589812:JFF589877 IVJ589812:IVJ589877 ILN589812:ILN589877 IBR589812:IBR589877 HRV589812:HRV589877 HHZ589812:HHZ589877 GYD589812:GYD589877 GOH589812:GOH589877 GEL589812:GEL589877 FUP589812:FUP589877 FKT589812:FKT589877 FAX589812:FAX589877 ERB589812:ERB589877 EHF589812:EHF589877 DXJ589812:DXJ589877 DNN589812:DNN589877 DDR589812:DDR589877 CTV589812:CTV589877 CJZ589812:CJZ589877 CAD589812:CAD589877 BQH589812:BQH589877 BGL589812:BGL589877 AWP589812:AWP589877 AMT589812:AMT589877 ACX589812:ACX589877 TB589812:TB589877 JF589812:JF589877 J589812:J589877 WVR524276:WVR524341 WLV524276:WLV524341 WBZ524276:WBZ524341 VSD524276:VSD524341 VIH524276:VIH524341 UYL524276:UYL524341 UOP524276:UOP524341 UET524276:UET524341 TUX524276:TUX524341 TLB524276:TLB524341 TBF524276:TBF524341 SRJ524276:SRJ524341 SHN524276:SHN524341 RXR524276:RXR524341 RNV524276:RNV524341 RDZ524276:RDZ524341 QUD524276:QUD524341 QKH524276:QKH524341 QAL524276:QAL524341 PQP524276:PQP524341 PGT524276:PGT524341 OWX524276:OWX524341 ONB524276:ONB524341 ODF524276:ODF524341 NTJ524276:NTJ524341 NJN524276:NJN524341 MZR524276:MZR524341 MPV524276:MPV524341 MFZ524276:MFZ524341 LWD524276:LWD524341 LMH524276:LMH524341 LCL524276:LCL524341 KSP524276:KSP524341 KIT524276:KIT524341 JYX524276:JYX524341 JPB524276:JPB524341 JFF524276:JFF524341 IVJ524276:IVJ524341 ILN524276:ILN524341 IBR524276:IBR524341 HRV524276:HRV524341 HHZ524276:HHZ524341 GYD524276:GYD524341 GOH524276:GOH524341 GEL524276:GEL524341 FUP524276:FUP524341 FKT524276:FKT524341 FAX524276:FAX524341 ERB524276:ERB524341 EHF524276:EHF524341 DXJ524276:DXJ524341 DNN524276:DNN524341 DDR524276:DDR524341 CTV524276:CTV524341 CJZ524276:CJZ524341 CAD524276:CAD524341 BQH524276:BQH524341 BGL524276:BGL524341 AWP524276:AWP524341 AMT524276:AMT524341 ACX524276:ACX524341 TB524276:TB524341 JF524276:JF524341 J524276:J524341 WVR458740:WVR458805 WLV458740:WLV458805 WBZ458740:WBZ458805 VSD458740:VSD458805 VIH458740:VIH458805 UYL458740:UYL458805 UOP458740:UOP458805 UET458740:UET458805 TUX458740:TUX458805 TLB458740:TLB458805 TBF458740:TBF458805 SRJ458740:SRJ458805 SHN458740:SHN458805 RXR458740:RXR458805 RNV458740:RNV458805 RDZ458740:RDZ458805 QUD458740:QUD458805 QKH458740:QKH458805 QAL458740:QAL458805 PQP458740:PQP458805 PGT458740:PGT458805 OWX458740:OWX458805 ONB458740:ONB458805 ODF458740:ODF458805 NTJ458740:NTJ458805 NJN458740:NJN458805 MZR458740:MZR458805 MPV458740:MPV458805 MFZ458740:MFZ458805 LWD458740:LWD458805 LMH458740:LMH458805 LCL458740:LCL458805 KSP458740:KSP458805 KIT458740:KIT458805 JYX458740:JYX458805 JPB458740:JPB458805 JFF458740:JFF458805 IVJ458740:IVJ458805 ILN458740:ILN458805 IBR458740:IBR458805 HRV458740:HRV458805 HHZ458740:HHZ458805 GYD458740:GYD458805 GOH458740:GOH458805 GEL458740:GEL458805 FUP458740:FUP458805 FKT458740:FKT458805 FAX458740:FAX458805 ERB458740:ERB458805 EHF458740:EHF458805 DXJ458740:DXJ458805 DNN458740:DNN458805 DDR458740:DDR458805 CTV458740:CTV458805 CJZ458740:CJZ458805 CAD458740:CAD458805 BQH458740:BQH458805 BGL458740:BGL458805 AWP458740:AWP458805 AMT458740:AMT458805 ACX458740:ACX458805 TB458740:TB458805 JF458740:JF458805 J458740:J458805 WVR393204:WVR393269 WLV393204:WLV393269 WBZ393204:WBZ393269 VSD393204:VSD393269 VIH393204:VIH393269 UYL393204:UYL393269 UOP393204:UOP393269 UET393204:UET393269 TUX393204:TUX393269 TLB393204:TLB393269 TBF393204:TBF393269 SRJ393204:SRJ393269 SHN393204:SHN393269 RXR393204:RXR393269 RNV393204:RNV393269 RDZ393204:RDZ393269 QUD393204:QUD393269 QKH393204:QKH393269 QAL393204:QAL393269 PQP393204:PQP393269 PGT393204:PGT393269 OWX393204:OWX393269 ONB393204:ONB393269 ODF393204:ODF393269 NTJ393204:NTJ393269 NJN393204:NJN393269 MZR393204:MZR393269 MPV393204:MPV393269 MFZ393204:MFZ393269 LWD393204:LWD393269 LMH393204:LMH393269 LCL393204:LCL393269 KSP393204:KSP393269 KIT393204:KIT393269 JYX393204:JYX393269 JPB393204:JPB393269 JFF393204:JFF393269 IVJ393204:IVJ393269 ILN393204:ILN393269 IBR393204:IBR393269 HRV393204:HRV393269 HHZ393204:HHZ393269 GYD393204:GYD393269 GOH393204:GOH393269 GEL393204:GEL393269 FUP393204:FUP393269 FKT393204:FKT393269 FAX393204:FAX393269 ERB393204:ERB393269 EHF393204:EHF393269 DXJ393204:DXJ393269 DNN393204:DNN393269 DDR393204:DDR393269 CTV393204:CTV393269 CJZ393204:CJZ393269 CAD393204:CAD393269 BQH393204:BQH393269 BGL393204:BGL393269 AWP393204:AWP393269 AMT393204:AMT393269 ACX393204:ACX393269 TB393204:TB393269 JF393204:JF393269 J393204:J393269 WVR327668:WVR327733 WLV327668:WLV327733 WBZ327668:WBZ327733 VSD327668:VSD327733 VIH327668:VIH327733 UYL327668:UYL327733 UOP327668:UOP327733 UET327668:UET327733 TUX327668:TUX327733 TLB327668:TLB327733 TBF327668:TBF327733 SRJ327668:SRJ327733 SHN327668:SHN327733 RXR327668:RXR327733 RNV327668:RNV327733 RDZ327668:RDZ327733 QUD327668:QUD327733 QKH327668:QKH327733 QAL327668:QAL327733 PQP327668:PQP327733 PGT327668:PGT327733 OWX327668:OWX327733 ONB327668:ONB327733 ODF327668:ODF327733 NTJ327668:NTJ327733 NJN327668:NJN327733 MZR327668:MZR327733 MPV327668:MPV327733 MFZ327668:MFZ327733 LWD327668:LWD327733 LMH327668:LMH327733 LCL327668:LCL327733 KSP327668:KSP327733 KIT327668:KIT327733 JYX327668:JYX327733 JPB327668:JPB327733 JFF327668:JFF327733 IVJ327668:IVJ327733 ILN327668:ILN327733 IBR327668:IBR327733 HRV327668:HRV327733 HHZ327668:HHZ327733 GYD327668:GYD327733 GOH327668:GOH327733 GEL327668:GEL327733 FUP327668:FUP327733 FKT327668:FKT327733 FAX327668:FAX327733 ERB327668:ERB327733 EHF327668:EHF327733 DXJ327668:DXJ327733 DNN327668:DNN327733 DDR327668:DDR327733 CTV327668:CTV327733 CJZ327668:CJZ327733 CAD327668:CAD327733 BQH327668:BQH327733 BGL327668:BGL327733 AWP327668:AWP327733 AMT327668:AMT327733 ACX327668:ACX327733 TB327668:TB327733 JF327668:JF327733 J327668:J327733 WVR262132:WVR262197 WLV262132:WLV262197 WBZ262132:WBZ262197 VSD262132:VSD262197 VIH262132:VIH262197 UYL262132:UYL262197 UOP262132:UOP262197 UET262132:UET262197 TUX262132:TUX262197 TLB262132:TLB262197 TBF262132:TBF262197 SRJ262132:SRJ262197 SHN262132:SHN262197 RXR262132:RXR262197 RNV262132:RNV262197 RDZ262132:RDZ262197 QUD262132:QUD262197 QKH262132:QKH262197 QAL262132:QAL262197 PQP262132:PQP262197 PGT262132:PGT262197 OWX262132:OWX262197 ONB262132:ONB262197 ODF262132:ODF262197 NTJ262132:NTJ262197 NJN262132:NJN262197 MZR262132:MZR262197 MPV262132:MPV262197 MFZ262132:MFZ262197 LWD262132:LWD262197 LMH262132:LMH262197 LCL262132:LCL262197 KSP262132:KSP262197 KIT262132:KIT262197 JYX262132:JYX262197 JPB262132:JPB262197 JFF262132:JFF262197 IVJ262132:IVJ262197 ILN262132:ILN262197 IBR262132:IBR262197 HRV262132:HRV262197 HHZ262132:HHZ262197 GYD262132:GYD262197 GOH262132:GOH262197 GEL262132:GEL262197 FUP262132:FUP262197 FKT262132:FKT262197 FAX262132:FAX262197 ERB262132:ERB262197 EHF262132:EHF262197 DXJ262132:DXJ262197 DNN262132:DNN262197 DDR262132:DDR262197 CTV262132:CTV262197 CJZ262132:CJZ262197 CAD262132:CAD262197 BQH262132:BQH262197 BGL262132:BGL262197 AWP262132:AWP262197 AMT262132:AMT262197 ACX262132:ACX262197 TB262132:TB262197 JF262132:JF262197 J262132:J262197 WVR196596:WVR196661 WLV196596:WLV196661 WBZ196596:WBZ196661 VSD196596:VSD196661 VIH196596:VIH196661 UYL196596:UYL196661 UOP196596:UOP196661 UET196596:UET196661 TUX196596:TUX196661 TLB196596:TLB196661 TBF196596:TBF196661 SRJ196596:SRJ196661 SHN196596:SHN196661 RXR196596:RXR196661 RNV196596:RNV196661 RDZ196596:RDZ196661 QUD196596:QUD196661 QKH196596:QKH196661 QAL196596:QAL196661 PQP196596:PQP196661 PGT196596:PGT196661 OWX196596:OWX196661 ONB196596:ONB196661 ODF196596:ODF196661 NTJ196596:NTJ196661 NJN196596:NJN196661 MZR196596:MZR196661 MPV196596:MPV196661 MFZ196596:MFZ196661 LWD196596:LWD196661 LMH196596:LMH196661 LCL196596:LCL196661 KSP196596:KSP196661 KIT196596:KIT196661 JYX196596:JYX196661 JPB196596:JPB196661 JFF196596:JFF196661 IVJ196596:IVJ196661 ILN196596:ILN196661 IBR196596:IBR196661 HRV196596:HRV196661 HHZ196596:HHZ196661 GYD196596:GYD196661 GOH196596:GOH196661 GEL196596:GEL196661 FUP196596:FUP196661 FKT196596:FKT196661 FAX196596:FAX196661 ERB196596:ERB196661 EHF196596:EHF196661 DXJ196596:DXJ196661 DNN196596:DNN196661 DDR196596:DDR196661 CTV196596:CTV196661 CJZ196596:CJZ196661 CAD196596:CAD196661 BQH196596:BQH196661 BGL196596:BGL196661 AWP196596:AWP196661 AMT196596:AMT196661 ACX196596:ACX196661 TB196596:TB196661 JF196596:JF196661 J196596:J196661 WVR131060:WVR131125 WLV131060:WLV131125 WBZ131060:WBZ131125 VSD131060:VSD131125 VIH131060:VIH131125 UYL131060:UYL131125 UOP131060:UOP131125 UET131060:UET131125 TUX131060:TUX131125 TLB131060:TLB131125 TBF131060:TBF131125 SRJ131060:SRJ131125 SHN131060:SHN131125 RXR131060:RXR131125 RNV131060:RNV131125 RDZ131060:RDZ131125 QUD131060:QUD131125 QKH131060:QKH131125 QAL131060:QAL131125 PQP131060:PQP131125 PGT131060:PGT131125 OWX131060:OWX131125 ONB131060:ONB131125 ODF131060:ODF131125 NTJ131060:NTJ131125 NJN131060:NJN131125 MZR131060:MZR131125 MPV131060:MPV131125 MFZ131060:MFZ131125 LWD131060:LWD131125 LMH131060:LMH131125 LCL131060:LCL131125 KSP131060:KSP131125 KIT131060:KIT131125 JYX131060:JYX131125 JPB131060:JPB131125 JFF131060:JFF131125 IVJ131060:IVJ131125 ILN131060:ILN131125 IBR131060:IBR131125 HRV131060:HRV131125 HHZ131060:HHZ131125 GYD131060:GYD131125 GOH131060:GOH131125 GEL131060:GEL131125 FUP131060:FUP131125 FKT131060:FKT131125 FAX131060:FAX131125 ERB131060:ERB131125 EHF131060:EHF131125 DXJ131060:DXJ131125 DNN131060:DNN131125 DDR131060:DDR131125 CTV131060:CTV131125 CJZ131060:CJZ131125 CAD131060:CAD131125 BQH131060:BQH131125 BGL131060:BGL131125 AWP131060:AWP131125 AMT131060:AMT131125 ACX131060:ACX131125 TB131060:TB131125 JF131060:JF131125 J131060:J131125 WVR65524:WVR65589 WLV65524:WLV65589 WBZ65524:WBZ65589 VSD65524:VSD65589 VIH65524:VIH65589 UYL65524:UYL65589 UOP65524:UOP65589 UET65524:UET65589 TUX65524:TUX65589 TLB65524:TLB65589 TBF65524:TBF65589 SRJ65524:SRJ65589 SHN65524:SHN65589 RXR65524:RXR65589 RNV65524:RNV65589 RDZ65524:RDZ65589 QUD65524:QUD65589 QKH65524:QKH65589 QAL65524:QAL65589 PQP65524:PQP65589 PGT65524:PGT65589 OWX65524:OWX65589 ONB65524:ONB65589 ODF65524:ODF65589 NTJ65524:NTJ65589 NJN65524:NJN65589 MZR65524:MZR65589 MPV65524:MPV65589 MFZ65524:MFZ65589 LWD65524:LWD65589 LMH65524:LMH65589 LCL65524:LCL65589 KSP65524:KSP65589 KIT65524:KIT65589 JYX65524:JYX65589 JPB65524:JPB65589 JFF65524:JFF65589 IVJ65524:IVJ65589 ILN65524:ILN65589 IBR65524:IBR65589 HRV65524:HRV65589 HHZ65524:HHZ65589 GYD65524:GYD65589 GOH65524:GOH65589 GEL65524:GEL65589 FUP65524:FUP65589 FKT65524:FKT65589 FAX65524:FAX65589 ERB65524:ERB65589 EHF65524:EHF65589 DXJ65524:DXJ65589 DNN65524:DNN65589 DDR65524:DDR65589 CTV65524:CTV65589 CJZ65524:CJZ65589 CAD65524:CAD65589 BQH65524:BQH65589 BGL65524:BGL65589 AWP65524:AWP65589 AMT65524:AMT65589 ACX65524:ACX65589 TB65524:TB65589 JF65524:JF65589 J44:J486 JF2:JF61 WVR2:WVR61 WLV2:WLV61 WBZ2:WBZ61 VSD2:VSD61 VIH2:VIH61 UYL2:UYL61 UOP2:UOP61 UET2:UET61 TUX2:TUX61 TLB2:TLB61 TBF2:TBF61 SRJ2:SRJ61 SHN2:SHN61 RXR2:RXR61 RNV2:RNV61 RDZ2:RDZ61 QUD2:QUD61 QKH2:QKH61 QAL2:QAL61 PQP2:PQP61 PGT2:PGT61 OWX2:OWX61 ONB2:ONB61 ODF2:ODF61 NTJ2:NTJ61 NJN2:NJN61 MZR2:MZR61 MPV2:MPV61 MFZ2:MFZ61 LWD2:LWD61 LMH2:LMH61 LCL2:LCL61 KSP2:KSP61 KIT2:KIT61 JYX2:JYX61 JPB2:JPB61 JFF2:JFF61 IVJ2:IVJ61 ILN2:ILN61 IBR2:IBR61 HRV2:HRV61 HHZ2:HHZ61 GYD2:GYD61 GOH2:GOH61 GEL2:GEL61 FUP2:FUP61 FKT2:FKT61 FAX2:FAX61 ERB2:ERB61 EHF2:EHF61 DXJ2:DXJ61 DNN2:DNN61 DDR2:DDR61 CTV2:CTV61 CJZ2:CJZ61 CAD2:CAD61 BQH2:BQH61 BGL2:BGL61 AWP2:AWP61 AMT2:AMT61 ACX2:ACX61 TB2:TB61">
      <formula1>$AP$2:$AP$27</formula1>
    </dataValidation>
    <dataValidation type="list" allowBlank="1" showInputMessage="1" showErrorMessage="1" sqref="WVP983028:WVP983093 H65524:H65589 WLT983028:WLT983093 WBX983028:WBX983093 VSB983028:VSB983093 VIF983028:VIF983093 UYJ983028:UYJ983093 UON983028:UON983093 UER983028:UER983093 TUV983028:TUV983093 TKZ983028:TKZ983093 TBD983028:TBD983093 SRH983028:SRH983093 SHL983028:SHL983093 RXP983028:RXP983093 RNT983028:RNT983093 RDX983028:RDX983093 QUB983028:QUB983093 QKF983028:QKF983093 QAJ983028:QAJ983093 PQN983028:PQN983093 PGR983028:PGR983093 OWV983028:OWV983093 OMZ983028:OMZ983093 ODD983028:ODD983093 NTH983028:NTH983093 NJL983028:NJL983093 MZP983028:MZP983093 MPT983028:MPT983093 MFX983028:MFX983093 LWB983028:LWB983093 LMF983028:LMF983093 LCJ983028:LCJ983093 KSN983028:KSN983093 KIR983028:KIR983093 JYV983028:JYV983093 JOZ983028:JOZ983093 JFD983028:JFD983093 IVH983028:IVH983093 ILL983028:ILL983093 IBP983028:IBP983093 HRT983028:HRT983093 HHX983028:HHX983093 GYB983028:GYB983093 GOF983028:GOF983093 GEJ983028:GEJ983093 FUN983028:FUN983093 FKR983028:FKR983093 FAV983028:FAV983093 EQZ983028:EQZ983093 EHD983028:EHD983093 DXH983028:DXH983093 DNL983028:DNL983093 DDP983028:DDP983093 CTT983028:CTT983093 CJX983028:CJX983093 CAB983028:CAB983093 BQF983028:BQF983093 BGJ983028:BGJ983093 AWN983028:AWN983093 AMR983028:AMR983093 ACV983028:ACV983093 SZ983028:SZ983093 JD983028:JD983093 H983028:H983093 WVP917492:WVP917557 WLT917492:WLT917557 WBX917492:WBX917557 VSB917492:VSB917557 VIF917492:VIF917557 UYJ917492:UYJ917557 UON917492:UON917557 UER917492:UER917557 TUV917492:TUV917557 TKZ917492:TKZ917557 TBD917492:TBD917557 SRH917492:SRH917557 SHL917492:SHL917557 RXP917492:RXP917557 RNT917492:RNT917557 RDX917492:RDX917557 QUB917492:QUB917557 QKF917492:QKF917557 QAJ917492:QAJ917557 PQN917492:PQN917557 PGR917492:PGR917557 OWV917492:OWV917557 OMZ917492:OMZ917557 ODD917492:ODD917557 NTH917492:NTH917557 NJL917492:NJL917557 MZP917492:MZP917557 MPT917492:MPT917557 MFX917492:MFX917557 LWB917492:LWB917557 LMF917492:LMF917557 LCJ917492:LCJ917557 KSN917492:KSN917557 KIR917492:KIR917557 JYV917492:JYV917557 JOZ917492:JOZ917557 JFD917492:JFD917557 IVH917492:IVH917557 ILL917492:ILL917557 IBP917492:IBP917557 HRT917492:HRT917557 HHX917492:HHX917557 GYB917492:GYB917557 GOF917492:GOF917557 GEJ917492:GEJ917557 FUN917492:FUN917557 FKR917492:FKR917557 FAV917492:FAV917557 EQZ917492:EQZ917557 EHD917492:EHD917557 DXH917492:DXH917557 DNL917492:DNL917557 DDP917492:DDP917557 CTT917492:CTT917557 CJX917492:CJX917557 CAB917492:CAB917557 BQF917492:BQF917557 BGJ917492:BGJ917557 AWN917492:AWN917557 AMR917492:AMR917557 ACV917492:ACV917557 SZ917492:SZ917557 JD917492:JD917557 H917492:H917557 WVP851956:WVP852021 WLT851956:WLT852021 WBX851956:WBX852021 VSB851956:VSB852021 VIF851956:VIF852021 UYJ851956:UYJ852021 UON851956:UON852021 UER851956:UER852021 TUV851956:TUV852021 TKZ851956:TKZ852021 TBD851956:TBD852021 SRH851956:SRH852021 SHL851956:SHL852021 RXP851956:RXP852021 RNT851956:RNT852021 RDX851956:RDX852021 QUB851956:QUB852021 QKF851956:QKF852021 QAJ851956:QAJ852021 PQN851956:PQN852021 PGR851956:PGR852021 OWV851956:OWV852021 OMZ851956:OMZ852021 ODD851956:ODD852021 NTH851956:NTH852021 NJL851956:NJL852021 MZP851956:MZP852021 MPT851956:MPT852021 MFX851956:MFX852021 LWB851956:LWB852021 LMF851956:LMF852021 LCJ851956:LCJ852021 KSN851956:KSN852021 KIR851956:KIR852021 JYV851956:JYV852021 JOZ851956:JOZ852021 JFD851956:JFD852021 IVH851956:IVH852021 ILL851956:ILL852021 IBP851956:IBP852021 HRT851956:HRT852021 HHX851956:HHX852021 GYB851956:GYB852021 GOF851956:GOF852021 GEJ851956:GEJ852021 FUN851956:FUN852021 FKR851956:FKR852021 FAV851956:FAV852021 EQZ851956:EQZ852021 EHD851956:EHD852021 DXH851956:DXH852021 DNL851956:DNL852021 DDP851956:DDP852021 CTT851956:CTT852021 CJX851956:CJX852021 CAB851956:CAB852021 BQF851956:BQF852021 BGJ851956:BGJ852021 AWN851956:AWN852021 AMR851956:AMR852021 ACV851956:ACV852021 SZ851956:SZ852021 JD851956:JD852021 H851956:H852021 WVP786420:WVP786485 WLT786420:WLT786485 WBX786420:WBX786485 VSB786420:VSB786485 VIF786420:VIF786485 UYJ786420:UYJ786485 UON786420:UON786485 UER786420:UER786485 TUV786420:TUV786485 TKZ786420:TKZ786485 TBD786420:TBD786485 SRH786420:SRH786485 SHL786420:SHL786485 RXP786420:RXP786485 RNT786420:RNT786485 RDX786420:RDX786485 QUB786420:QUB786485 QKF786420:QKF786485 QAJ786420:QAJ786485 PQN786420:PQN786485 PGR786420:PGR786485 OWV786420:OWV786485 OMZ786420:OMZ786485 ODD786420:ODD786485 NTH786420:NTH786485 NJL786420:NJL786485 MZP786420:MZP786485 MPT786420:MPT786485 MFX786420:MFX786485 LWB786420:LWB786485 LMF786420:LMF786485 LCJ786420:LCJ786485 KSN786420:KSN786485 KIR786420:KIR786485 JYV786420:JYV786485 JOZ786420:JOZ786485 JFD786420:JFD786485 IVH786420:IVH786485 ILL786420:ILL786485 IBP786420:IBP786485 HRT786420:HRT786485 HHX786420:HHX786485 GYB786420:GYB786485 GOF786420:GOF786485 GEJ786420:GEJ786485 FUN786420:FUN786485 FKR786420:FKR786485 FAV786420:FAV786485 EQZ786420:EQZ786485 EHD786420:EHD786485 DXH786420:DXH786485 DNL786420:DNL786485 DDP786420:DDP786485 CTT786420:CTT786485 CJX786420:CJX786485 CAB786420:CAB786485 BQF786420:BQF786485 BGJ786420:BGJ786485 AWN786420:AWN786485 AMR786420:AMR786485 ACV786420:ACV786485 SZ786420:SZ786485 JD786420:JD786485 H786420:H786485 WVP720884:WVP720949 WLT720884:WLT720949 WBX720884:WBX720949 VSB720884:VSB720949 VIF720884:VIF720949 UYJ720884:UYJ720949 UON720884:UON720949 UER720884:UER720949 TUV720884:TUV720949 TKZ720884:TKZ720949 TBD720884:TBD720949 SRH720884:SRH720949 SHL720884:SHL720949 RXP720884:RXP720949 RNT720884:RNT720949 RDX720884:RDX720949 QUB720884:QUB720949 QKF720884:QKF720949 QAJ720884:QAJ720949 PQN720884:PQN720949 PGR720884:PGR720949 OWV720884:OWV720949 OMZ720884:OMZ720949 ODD720884:ODD720949 NTH720884:NTH720949 NJL720884:NJL720949 MZP720884:MZP720949 MPT720884:MPT720949 MFX720884:MFX720949 LWB720884:LWB720949 LMF720884:LMF720949 LCJ720884:LCJ720949 KSN720884:KSN720949 KIR720884:KIR720949 JYV720884:JYV720949 JOZ720884:JOZ720949 JFD720884:JFD720949 IVH720884:IVH720949 ILL720884:ILL720949 IBP720884:IBP720949 HRT720884:HRT720949 HHX720884:HHX720949 GYB720884:GYB720949 GOF720884:GOF720949 GEJ720884:GEJ720949 FUN720884:FUN720949 FKR720884:FKR720949 FAV720884:FAV720949 EQZ720884:EQZ720949 EHD720884:EHD720949 DXH720884:DXH720949 DNL720884:DNL720949 DDP720884:DDP720949 CTT720884:CTT720949 CJX720884:CJX720949 CAB720884:CAB720949 BQF720884:BQF720949 BGJ720884:BGJ720949 AWN720884:AWN720949 AMR720884:AMR720949 ACV720884:ACV720949 SZ720884:SZ720949 JD720884:JD720949 H720884:H720949 WVP655348:WVP655413 WLT655348:WLT655413 WBX655348:WBX655413 VSB655348:VSB655413 VIF655348:VIF655413 UYJ655348:UYJ655413 UON655348:UON655413 UER655348:UER655413 TUV655348:TUV655413 TKZ655348:TKZ655413 TBD655348:TBD655413 SRH655348:SRH655413 SHL655348:SHL655413 RXP655348:RXP655413 RNT655348:RNT655413 RDX655348:RDX655413 QUB655348:QUB655413 QKF655348:QKF655413 QAJ655348:QAJ655413 PQN655348:PQN655413 PGR655348:PGR655413 OWV655348:OWV655413 OMZ655348:OMZ655413 ODD655348:ODD655413 NTH655348:NTH655413 NJL655348:NJL655413 MZP655348:MZP655413 MPT655348:MPT655413 MFX655348:MFX655413 LWB655348:LWB655413 LMF655348:LMF655413 LCJ655348:LCJ655413 KSN655348:KSN655413 KIR655348:KIR655413 JYV655348:JYV655413 JOZ655348:JOZ655413 JFD655348:JFD655413 IVH655348:IVH655413 ILL655348:ILL655413 IBP655348:IBP655413 HRT655348:HRT655413 HHX655348:HHX655413 GYB655348:GYB655413 GOF655348:GOF655413 GEJ655348:GEJ655413 FUN655348:FUN655413 FKR655348:FKR655413 FAV655348:FAV655413 EQZ655348:EQZ655413 EHD655348:EHD655413 DXH655348:DXH655413 DNL655348:DNL655413 DDP655348:DDP655413 CTT655348:CTT655413 CJX655348:CJX655413 CAB655348:CAB655413 BQF655348:BQF655413 BGJ655348:BGJ655413 AWN655348:AWN655413 AMR655348:AMR655413 ACV655348:ACV655413 SZ655348:SZ655413 JD655348:JD655413 H655348:H655413 WVP589812:WVP589877 WLT589812:WLT589877 WBX589812:WBX589877 VSB589812:VSB589877 VIF589812:VIF589877 UYJ589812:UYJ589877 UON589812:UON589877 UER589812:UER589877 TUV589812:TUV589877 TKZ589812:TKZ589877 TBD589812:TBD589877 SRH589812:SRH589877 SHL589812:SHL589877 RXP589812:RXP589877 RNT589812:RNT589877 RDX589812:RDX589877 QUB589812:QUB589877 QKF589812:QKF589877 QAJ589812:QAJ589877 PQN589812:PQN589877 PGR589812:PGR589877 OWV589812:OWV589877 OMZ589812:OMZ589877 ODD589812:ODD589877 NTH589812:NTH589877 NJL589812:NJL589877 MZP589812:MZP589877 MPT589812:MPT589877 MFX589812:MFX589877 LWB589812:LWB589877 LMF589812:LMF589877 LCJ589812:LCJ589877 KSN589812:KSN589877 KIR589812:KIR589877 JYV589812:JYV589877 JOZ589812:JOZ589877 JFD589812:JFD589877 IVH589812:IVH589877 ILL589812:ILL589877 IBP589812:IBP589877 HRT589812:HRT589877 HHX589812:HHX589877 GYB589812:GYB589877 GOF589812:GOF589877 GEJ589812:GEJ589877 FUN589812:FUN589877 FKR589812:FKR589877 FAV589812:FAV589877 EQZ589812:EQZ589877 EHD589812:EHD589877 DXH589812:DXH589877 DNL589812:DNL589877 DDP589812:DDP589877 CTT589812:CTT589877 CJX589812:CJX589877 CAB589812:CAB589877 BQF589812:BQF589877 BGJ589812:BGJ589877 AWN589812:AWN589877 AMR589812:AMR589877 ACV589812:ACV589877 SZ589812:SZ589877 JD589812:JD589877 H589812:H589877 WVP524276:WVP524341 WLT524276:WLT524341 WBX524276:WBX524341 VSB524276:VSB524341 VIF524276:VIF524341 UYJ524276:UYJ524341 UON524276:UON524341 UER524276:UER524341 TUV524276:TUV524341 TKZ524276:TKZ524341 TBD524276:TBD524341 SRH524276:SRH524341 SHL524276:SHL524341 RXP524276:RXP524341 RNT524276:RNT524341 RDX524276:RDX524341 QUB524276:QUB524341 QKF524276:QKF524341 QAJ524276:QAJ524341 PQN524276:PQN524341 PGR524276:PGR524341 OWV524276:OWV524341 OMZ524276:OMZ524341 ODD524276:ODD524341 NTH524276:NTH524341 NJL524276:NJL524341 MZP524276:MZP524341 MPT524276:MPT524341 MFX524276:MFX524341 LWB524276:LWB524341 LMF524276:LMF524341 LCJ524276:LCJ524341 KSN524276:KSN524341 KIR524276:KIR524341 JYV524276:JYV524341 JOZ524276:JOZ524341 JFD524276:JFD524341 IVH524276:IVH524341 ILL524276:ILL524341 IBP524276:IBP524341 HRT524276:HRT524341 HHX524276:HHX524341 GYB524276:GYB524341 GOF524276:GOF524341 GEJ524276:GEJ524341 FUN524276:FUN524341 FKR524276:FKR524341 FAV524276:FAV524341 EQZ524276:EQZ524341 EHD524276:EHD524341 DXH524276:DXH524341 DNL524276:DNL524341 DDP524276:DDP524341 CTT524276:CTT524341 CJX524276:CJX524341 CAB524276:CAB524341 BQF524276:BQF524341 BGJ524276:BGJ524341 AWN524276:AWN524341 AMR524276:AMR524341 ACV524276:ACV524341 SZ524276:SZ524341 JD524276:JD524341 H524276:H524341 WVP458740:WVP458805 WLT458740:WLT458805 WBX458740:WBX458805 VSB458740:VSB458805 VIF458740:VIF458805 UYJ458740:UYJ458805 UON458740:UON458805 UER458740:UER458805 TUV458740:TUV458805 TKZ458740:TKZ458805 TBD458740:TBD458805 SRH458740:SRH458805 SHL458740:SHL458805 RXP458740:RXP458805 RNT458740:RNT458805 RDX458740:RDX458805 QUB458740:QUB458805 QKF458740:QKF458805 QAJ458740:QAJ458805 PQN458740:PQN458805 PGR458740:PGR458805 OWV458740:OWV458805 OMZ458740:OMZ458805 ODD458740:ODD458805 NTH458740:NTH458805 NJL458740:NJL458805 MZP458740:MZP458805 MPT458740:MPT458805 MFX458740:MFX458805 LWB458740:LWB458805 LMF458740:LMF458805 LCJ458740:LCJ458805 KSN458740:KSN458805 KIR458740:KIR458805 JYV458740:JYV458805 JOZ458740:JOZ458805 JFD458740:JFD458805 IVH458740:IVH458805 ILL458740:ILL458805 IBP458740:IBP458805 HRT458740:HRT458805 HHX458740:HHX458805 GYB458740:GYB458805 GOF458740:GOF458805 GEJ458740:GEJ458805 FUN458740:FUN458805 FKR458740:FKR458805 FAV458740:FAV458805 EQZ458740:EQZ458805 EHD458740:EHD458805 DXH458740:DXH458805 DNL458740:DNL458805 DDP458740:DDP458805 CTT458740:CTT458805 CJX458740:CJX458805 CAB458740:CAB458805 BQF458740:BQF458805 BGJ458740:BGJ458805 AWN458740:AWN458805 AMR458740:AMR458805 ACV458740:ACV458805 SZ458740:SZ458805 JD458740:JD458805 H458740:H458805 WVP393204:WVP393269 WLT393204:WLT393269 WBX393204:WBX393269 VSB393204:VSB393269 VIF393204:VIF393269 UYJ393204:UYJ393269 UON393204:UON393269 UER393204:UER393269 TUV393204:TUV393269 TKZ393204:TKZ393269 TBD393204:TBD393269 SRH393204:SRH393269 SHL393204:SHL393269 RXP393204:RXP393269 RNT393204:RNT393269 RDX393204:RDX393269 QUB393204:QUB393269 QKF393204:QKF393269 QAJ393204:QAJ393269 PQN393204:PQN393269 PGR393204:PGR393269 OWV393204:OWV393269 OMZ393204:OMZ393269 ODD393204:ODD393269 NTH393204:NTH393269 NJL393204:NJL393269 MZP393204:MZP393269 MPT393204:MPT393269 MFX393204:MFX393269 LWB393204:LWB393269 LMF393204:LMF393269 LCJ393204:LCJ393269 KSN393204:KSN393269 KIR393204:KIR393269 JYV393204:JYV393269 JOZ393204:JOZ393269 JFD393204:JFD393269 IVH393204:IVH393269 ILL393204:ILL393269 IBP393204:IBP393269 HRT393204:HRT393269 HHX393204:HHX393269 GYB393204:GYB393269 GOF393204:GOF393269 GEJ393204:GEJ393269 FUN393204:FUN393269 FKR393204:FKR393269 FAV393204:FAV393269 EQZ393204:EQZ393269 EHD393204:EHD393269 DXH393204:DXH393269 DNL393204:DNL393269 DDP393204:DDP393269 CTT393204:CTT393269 CJX393204:CJX393269 CAB393204:CAB393269 BQF393204:BQF393269 BGJ393204:BGJ393269 AWN393204:AWN393269 AMR393204:AMR393269 ACV393204:ACV393269 SZ393204:SZ393269 JD393204:JD393269 H393204:H393269 WVP327668:WVP327733 WLT327668:WLT327733 WBX327668:WBX327733 VSB327668:VSB327733 VIF327668:VIF327733 UYJ327668:UYJ327733 UON327668:UON327733 UER327668:UER327733 TUV327668:TUV327733 TKZ327668:TKZ327733 TBD327668:TBD327733 SRH327668:SRH327733 SHL327668:SHL327733 RXP327668:RXP327733 RNT327668:RNT327733 RDX327668:RDX327733 QUB327668:QUB327733 QKF327668:QKF327733 QAJ327668:QAJ327733 PQN327668:PQN327733 PGR327668:PGR327733 OWV327668:OWV327733 OMZ327668:OMZ327733 ODD327668:ODD327733 NTH327668:NTH327733 NJL327668:NJL327733 MZP327668:MZP327733 MPT327668:MPT327733 MFX327668:MFX327733 LWB327668:LWB327733 LMF327668:LMF327733 LCJ327668:LCJ327733 KSN327668:KSN327733 KIR327668:KIR327733 JYV327668:JYV327733 JOZ327668:JOZ327733 JFD327668:JFD327733 IVH327668:IVH327733 ILL327668:ILL327733 IBP327668:IBP327733 HRT327668:HRT327733 HHX327668:HHX327733 GYB327668:GYB327733 GOF327668:GOF327733 GEJ327668:GEJ327733 FUN327668:FUN327733 FKR327668:FKR327733 FAV327668:FAV327733 EQZ327668:EQZ327733 EHD327668:EHD327733 DXH327668:DXH327733 DNL327668:DNL327733 DDP327668:DDP327733 CTT327668:CTT327733 CJX327668:CJX327733 CAB327668:CAB327733 BQF327668:BQF327733 BGJ327668:BGJ327733 AWN327668:AWN327733 AMR327668:AMR327733 ACV327668:ACV327733 SZ327668:SZ327733 JD327668:JD327733 H327668:H327733 WVP262132:WVP262197 WLT262132:WLT262197 WBX262132:WBX262197 VSB262132:VSB262197 VIF262132:VIF262197 UYJ262132:UYJ262197 UON262132:UON262197 UER262132:UER262197 TUV262132:TUV262197 TKZ262132:TKZ262197 TBD262132:TBD262197 SRH262132:SRH262197 SHL262132:SHL262197 RXP262132:RXP262197 RNT262132:RNT262197 RDX262132:RDX262197 QUB262132:QUB262197 QKF262132:QKF262197 QAJ262132:QAJ262197 PQN262132:PQN262197 PGR262132:PGR262197 OWV262132:OWV262197 OMZ262132:OMZ262197 ODD262132:ODD262197 NTH262132:NTH262197 NJL262132:NJL262197 MZP262132:MZP262197 MPT262132:MPT262197 MFX262132:MFX262197 LWB262132:LWB262197 LMF262132:LMF262197 LCJ262132:LCJ262197 KSN262132:KSN262197 KIR262132:KIR262197 JYV262132:JYV262197 JOZ262132:JOZ262197 JFD262132:JFD262197 IVH262132:IVH262197 ILL262132:ILL262197 IBP262132:IBP262197 HRT262132:HRT262197 HHX262132:HHX262197 GYB262132:GYB262197 GOF262132:GOF262197 GEJ262132:GEJ262197 FUN262132:FUN262197 FKR262132:FKR262197 FAV262132:FAV262197 EQZ262132:EQZ262197 EHD262132:EHD262197 DXH262132:DXH262197 DNL262132:DNL262197 DDP262132:DDP262197 CTT262132:CTT262197 CJX262132:CJX262197 CAB262132:CAB262197 BQF262132:BQF262197 BGJ262132:BGJ262197 AWN262132:AWN262197 AMR262132:AMR262197 ACV262132:ACV262197 SZ262132:SZ262197 JD262132:JD262197 H262132:H262197 WVP196596:WVP196661 WLT196596:WLT196661 WBX196596:WBX196661 VSB196596:VSB196661 VIF196596:VIF196661 UYJ196596:UYJ196661 UON196596:UON196661 UER196596:UER196661 TUV196596:TUV196661 TKZ196596:TKZ196661 TBD196596:TBD196661 SRH196596:SRH196661 SHL196596:SHL196661 RXP196596:RXP196661 RNT196596:RNT196661 RDX196596:RDX196661 QUB196596:QUB196661 QKF196596:QKF196661 QAJ196596:QAJ196661 PQN196596:PQN196661 PGR196596:PGR196661 OWV196596:OWV196661 OMZ196596:OMZ196661 ODD196596:ODD196661 NTH196596:NTH196661 NJL196596:NJL196661 MZP196596:MZP196661 MPT196596:MPT196661 MFX196596:MFX196661 LWB196596:LWB196661 LMF196596:LMF196661 LCJ196596:LCJ196661 KSN196596:KSN196661 KIR196596:KIR196661 JYV196596:JYV196661 JOZ196596:JOZ196661 JFD196596:JFD196661 IVH196596:IVH196661 ILL196596:ILL196661 IBP196596:IBP196661 HRT196596:HRT196661 HHX196596:HHX196661 GYB196596:GYB196661 GOF196596:GOF196661 GEJ196596:GEJ196661 FUN196596:FUN196661 FKR196596:FKR196661 FAV196596:FAV196661 EQZ196596:EQZ196661 EHD196596:EHD196661 DXH196596:DXH196661 DNL196596:DNL196661 DDP196596:DDP196661 CTT196596:CTT196661 CJX196596:CJX196661 CAB196596:CAB196661 BQF196596:BQF196661 BGJ196596:BGJ196661 AWN196596:AWN196661 AMR196596:AMR196661 ACV196596:ACV196661 SZ196596:SZ196661 JD196596:JD196661 H196596:H196661 WVP131060:WVP131125 WLT131060:WLT131125 WBX131060:WBX131125 VSB131060:VSB131125 VIF131060:VIF131125 UYJ131060:UYJ131125 UON131060:UON131125 UER131060:UER131125 TUV131060:TUV131125 TKZ131060:TKZ131125 TBD131060:TBD131125 SRH131060:SRH131125 SHL131060:SHL131125 RXP131060:RXP131125 RNT131060:RNT131125 RDX131060:RDX131125 QUB131060:QUB131125 QKF131060:QKF131125 QAJ131060:QAJ131125 PQN131060:PQN131125 PGR131060:PGR131125 OWV131060:OWV131125 OMZ131060:OMZ131125 ODD131060:ODD131125 NTH131060:NTH131125 NJL131060:NJL131125 MZP131060:MZP131125 MPT131060:MPT131125 MFX131060:MFX131125 LWB131060:LWB131125 LMF131060:LMF131125 LCJ131060:LCJ131125 KSN131060:KSN131125 KIR131060:KIR131125 JYV131060:JYV131125 JOZ131060:JOZ131125 JFD131060:JFD131125 IVH131060:IVH131125 ILL131060:ILL131125 IBP131060:IBP131125 HRT131060:HRT131125 HHX131060:HHX131125 GYB131060:GYB131125 GOF131060:GOF131125 GEJ131060:GEJ131125 FUN131060:FUN131125 FKR131060:FKR131125 FAV131060:FAV131125 EQZ131060:EQZ131125 EHD131060:EHD131125 DXH131060:DXH131125 DNL131060:DNL131125 DDP131060:DDP131125 CTT131060:CTT131125 CJX131060:CJX131125 CAB131060:CAB131125 BQF131060:BQF131125 BGJ131060:BGJ131125 AWN131060:AWN131125 AMR131060:AMR131125 ACV131060:ACV131125 SZ131060:SZ131125 JD131060:JD131125 H131060:H131125 WVP65524:WVP65589 WLT65524:WLT65589 WBX65524:WBX65589 VSB65524:VSB65589 VIF65524:VIF65589 UYJ65524:UYJ65589 UON65524:UON65589 UER65524:UER65589 TUV65524:TUV65589 TKZ65524:TKZ65589 TBD65524:TBD65589 SRH65524:SRH65589 SHL65524:SHL65589 RXP65524:RXP65589 RNT65524:RNT65589 RDX65524:RDX65589 QUB65524:QUB65589 QKF65524:QKF65589 QAJ65524:QAJ65589 PQN65524:PQN65589 PGR65524:PGR65589 OWV65524:OWV65589 OMZ65524:OMZ65589 ODD65524:ODD65589 NTH65524:NTH65589 NJL65524:NJL65589 MZP65524:MZP65589 MPT65524:MPT65589 MFX65524:MFX65589 LWB65524:LWB65589 LMF65524:LMF65589 LCJ65524:LCJ65589 KSN65524:KSN65589 KIR65524:KIR65589 JYV65524:JYV65589 JOZ65524:JOZ65589 JFD65524:JFD65589 IVH65524:IVH65589 ILL65524:ILL65589 IBP65524:IBP65589 HRT65524:HRT65589 HHX65524:HHX65589 GYB65524:GYB65589 GOF65524:GOF65589 GEJ65524:GEJ65589 FUN65524:FUN65589 FKR65524:FKR65589 FAV65524:FAV65589 EQZ65524:EQZ65589 EHD65524:EHD65589 DXH65524:DXH65589 DNL65524:DNL65589 DDP65524:DDP65589 CTT65524:CTT65589 CJX65524:CJX65589 CAB65524:CAB65589 BQF65524:BQF65589 BGJ65524:BGJ65589 AWN65524:AWN65589 AMR65524:AMR65589 ACV65524:ACV65589 SZ65524:SZ65589 JD65524:JD65589 JD2:JD61 WVP2:WVP61 WLT2:WLT61 WBX2:WBX61 VSB2:VSB61 VIF2:VIF61 UYJ2:UYJ61 UON2:UON61 UER2:UER61 TUV2:TUV61 TKZ2:TKZ61 TBD2:TBD61 SRH2:SRH61 SHL2:SHL61 RXP2:RXP61 RNT2:RNT61 RDX2:RDX61 QUB2:QUB61 QKF2:QKF61 QAJ2:QAJ61 PQN2:PQN61 PGR2:PGR61 OWV2:OWV61 OMZ2:OMZ61 ODD2:ODD61 NTH2:NTH61 NJL2:NJL61 MZP2:MZP61 MPT2:MPT61 MFX2:MFX61 LWB2:LWB61 LMF2:LMF61 LCJ2:LCJ61 KSN2:KSN61 KIR2:KIR61 JYV2:JYV61 JOZ2:JOZ61 JFD2:JFD61 IVH2:IVH61 ILL2:ILL61 IBP2:IBP61 HRT2:HRT61 HHX2:HHX61 GYB2:GYB61 GOF2:GOF61 GEJ2:GEJ61 FUN2:FUN61 FKR2:FKR61 FAV2:FAV61 EQZ2:EQZ61 EHD2:EHD61 DXH2:DXH61 DNL2:DNL61 DDP2:DDP61 CTT2:CTT61 CJX2:CJX61 CAB2:CAB61 BQF2:BQF61 BGJ2:BGJ61 AWN2:AWN61 AMR2:AMR61 ACV2:ACV61 SZ2:SZ61">
      <formula1>$AL$4:$AL$12</formula1>
    </dataValidation>
    <dataValidation type="list" allowBlank="1" showInputMessage="1" showErrorMessage="1" sqref="A64349:A64414 IW64349:IW64414 WLM983028:WLM983099 WBQ983028:WBQ983099 VRU983028:VRU983099 VHY983028:VHY983099 UYC983028:UYC983099 UOG983028:UOG983099 UEK983028:UEK983099 TUO983028:TUO983099 TKS983028:TKS983099 TAW983028:TAW983099 SRA983028:SRA983099 SHE983028:SHE983099 RXI983028:RXI983099 RNM983028:RNM983099 RDQ983028:RDQ983099 QTU983028:QTU983099 QJY983028:QJY983099 QAC983028:QAC983099 PQG983028:PQG983099 PGK983028:PGK983099 OWO983028:OWO983099 OMS983028:OMS983099 OCW983028:OCW983099 NTA983028:NTA983099 NJE983028:NJE983099 MZI983028:MZI983099 MPM983028:MPM983099 MFQ983028:MFQ983099 LVU983028:LVU983099 LLY983028:LLY983099 LCC983028:LCC983099 KSG983028:KSG983099 KIK983028:KIK983099 JYO983028:JYO983099 JOS983028:JOS983099 JEW983028:JEW983099 IVA983028:IVA983099 ILE983028:ILE983099 IBI983028:IBI983099 HRM983028:HRM983099 HHQ983028:HHQ983099 GXU983028:GXU983099 GNY983028:GNY983099 GEC983028:GEC983099 FUG983028:FUG983099 FKK983028:FKK983099 FAO983028:FAO983099 EQS983028:EQS983099 EGW983028:EGW983099 DXA983028:DXA983099 DNE983028:DNE983099 DDI983028:DDI983099 CTM983028:CTM983099 CJQ983028:CJQ983099 BZU983028:BZU983099 BPY983028:BPY983099 BGC983028:BGC983099 AWG983028:AWG983099 AMK983028:AMK983099 ACO983028:ACO983099 SS983028:SS983099 IW983028:IW983099 A983028:A983099 WVI917492:WVI917563 WLM917492:WLM917563 WBQ917492:WBQ917563 VRU917492:VRU917563 VHY917492:VHY917563 UYC917492:UYC917563 UOG917492:UOG917563 UEK917492:UEK917563 TUO917492:TUO917563 TKS917492:TKS917563 TAW917492:TAW917563 SRA917492:SRA917563 SHE917492:SHE917563 RXI917492:RXI917563 RNM917492:RNM917563 RDQ917492:RDQ917563 QTU917492:QTU917563 QJY917492:QJY917563 QAC917492:QAC917563 PQG917492:PQG917563 PGK917492:PGK917563 OWO917492:OWO917563 OMS917492:OMS917563 OCW917492:OCW917563 NTA917492:NTA917563 NJE917492:NJE917563 MZI917492:MZI917563 MPM917492:MPM917563 MFQ917492:MFQ917563 LVU917492:LVU917563 LLY917492:LLY917563 LCC917492:LCC917563 KSG917492:KSG917563 KIK917492:KIK917563 JYO917492:JYO917563 JOS917492:JOS917563 JEW917492:JEW917563 IVA917492:IVA917563 ILE917492:ILE917563 IBI917492:IBI917563 HRM917492:HRM917563 HHQ917492:HHQ917563 GXU917492:GXU917563 GNY917492:GNY917563 GEC917492:GEC917563 FUG917492:FUG917563 FKK917492:FKK917563 FAO917492:FAO917563 EQS917492:EQS917563 EGW917492:EGW917563 DXA917492:DXA917563 DNE917492:DNE917563 DDI917492:DDI917563 CTM917492:CTM917563 CJQ917492:CJQ917563 BZU917492:BZU917563 BPY917492:BPY917563 BGC917492:BGC917563 AWG917492:AWG917563 AMK917492:AMK917563 ACO917492:ACO917563 SS917492:SS917563 IW917492:IW917563 A917492:A917563 WVI851956:WVI852027 WLM851956:WLM852027 WBQ851956:WBQ852027 VRU851956:VRU852027 VHY851956:VHY852027 UYC851956:UYC852027 UOG851956:UOG852027 UEK851956:UEK852027 TUO851956:TUO852027 TKS851956:TKS852027 TAW851956:TAW852027 SRA851956:SRA852027 SHE851956:SHE852027 RXI851956:RXI852027 RNM851956:RNM852027 RDQ851956:RDQ852027 QTU851956:QTU852027 QJY851956:QJY852027 QAC851956:QAC852027 PQG851956:PQG852027 PGK851956:PGK852027 OWO851956:OWO852027 OMS851956:OMS852027 OCW851956:OCW852027 NTA851956:NTA852027 NJE851956:NJE852027 MZI851956:MZI852027 MPM851956:MPM852027 MFQ851956:MFQ852027 LVU851956:LVU852027 LLY851956:LLY852027 LCC851956:LCC852027 KSG851956:KSG852027 KIK851956:KIK852027 JYO851956:JYO852027 JOS851956:JOS852027 JEW851956:JEW852027 IVA851956:IVA852027 ILE851956:ILE852027 IBI851956:IBI852027 HRM851956:HRM852027 HHQ851956:HHQ852027 GXU851956:GXU852027 GNY851956:GNY852027 GEC851956:GEC852027 FUG851956:FUG852027 FKK851956:FKK852027 FAO851956:FAO852027 EQS851956:EQS852027 EGW851956:EGW852027 DXA851956:DXA852027 DNE851956:DNE852027 DDI851956:DDI852027 CTM851956:CTM852027 CJQ851956:CJQ852027 BZU851956:BZU852027 BPY851956:BPY852027 BGC851956:BGC852027 AWG851956:AWG852027 AMK851956:AMK852027 ACO851956:ACO852027 SS851956:SS852027 IW851956:IW852027 A851956:A852027 WVI786420:WVI786491 WLM786420:WLM786491 WBQ786420:WBQ786491 VRU786420:VRU786491 VHY786420:VHY786491 UYC786420:UYC786491 UOG786420:UOG786491 UEK786420:UEK786491 TUO786420:TUO786491 TKS786420:TKS786491 TAW786420:TAW786491 SRA786420:SRA786491 SHE786420:SHE786491 RXI786420:RXI786491 RNM786420:RNM786491 RDQ786420:RDQ786491 QTU786420:QTU786491 QJY786420:QJY786491 QAC786420:QAC786491 PQG786420:PQG786491 PGK786420:PGK786491 OWO786420:OWO786491 OMS786420:OMS786491 OCW786420:OCW786491 NTA786420:NTA786491 NJE786420:NJE786491 MZI786420:MZI786491 MPM786420:MPM786491 MFQ786420:MFQ786491 LVU786420:LVU786491 LLY786420:LLY786491 LCC786420:LCC786491 KSG786420:KSG786491 KIK786420:KIK786491 JYO786420:JYO786491 JOS786420:JOS786491 JEW786420:JEW786491 IVA786420:IVA786491 ILE786420:ILE786491 IBI786420:IBI786491 HRM786420:HRM786491 HHQ786420:HHQ786491 GXU786420:GXU786491 GNY786420:GNY786491 GEC786420:GEC786491 FUG786420:FUG786491 FKK786420:FKK786491 FAO786420:FAO786491 EQS786420:EQS786491 EGW786420:EGW786491 DXA786420:DXA786491 DNE786420:DNE786491 DDI786420:DDI786491 CTM786420:CTM786491 CJQ786420:CJQ786491 BZU786420:BZU786491 BPY786420:BPY786491 BGC786420:BGC786491 AWG786420:AWG786491 AMK786420:AMK786491 ACO786420:ACO786491 SS786420:SS786491 IW786420:IW786491 A786420:A786491 WVI720884:WVI720955 WLM720884:WLM720955 WBQ720884:WBQ720955 VRU720884:VRU720955 VHY720884:VHY720955 UYC720884:UYC720955 UOG720884:UOG720955 UEK720884:UEK720955 TUO720884:TUO720955 TKS720884:TKS720955 TAW720884:TAW720955 SRA720884:SRA720955 SHE720884:SHE720955 RXI720884:RXI720955 RNM720884:RNM720955 RDQ720884:RDQ720955 QTU720884:QTU720955 QJY720884:QJY720955 QAC720884:QAC720955 PQG720884:PQG720955 PGK720884:PGK720955 OWO720884:OWO720955 OMS720884:OMS720955 OCW720884:OCW720955 NTA720884:NTA720955 NJE720884:NJE720955 MZI720884:MZI720955 MPM720884:MPM720955 MFQ720884:MFQ720955 LVU720884:LVU720955 LLY720884:LLY720955 LCC720884:LCC720955 KSG720884:KSG720955 KIK720884:KIK720955 JYO720884:JYO720955 JOS720884:JOS720955 JEW720884:JEW720955 IVA720884:IVA720955 ILE720884:ILE720955 IBI720884:IBI720955 HRM720884:HRM720955 HHQ720884:HHQ720955 GXU720884:GXU720955 GNY720884:GNY720955 GEC720884:GEC720955 FUG720884:FUG720955 FKK720884:FKK720955 FAO720884:FAO720955 EQS720884:EQS720955 EGW720884:EGW720955 DXA720884:DXA720955 DNE720884:DNE720955 DDI720884:DDI720955 CTM720884:CTM720955 CJQ720884:CJQ720955 BZU720884:BZU720955 BPY720884:BPY720955 BGC720884:BGC720955 AWG720884:AWG720955 AMK720884:AMK720955 ACO720884:ACO720955 SS720884:SS720955 IW720884:IW720955 A720884:A720955 WVI655348:WVI655419 WLM655348:WLM655419 WBQ655348:WBQ655419 VRU655348:VRU655419 VHY655348:VHY655419 UYC655348:UYC655419 UOG655348:UOG655419 UEK655348:UEK655419 TUO655348:TUO655419 TKS655348:TKS655419 TAW655348:TAW655419 SRA655348:SRA655419 SHE655348:SHE655419 RXI655348:RXI655419 RNM655348:RNM655419 RDQ655348:RDQ655419 QTU655348:QTU655419 QJY655348:QJY655419 QAC655348:QAC655419 PQG655348:PQG655419 PGK655348:PGK655419 OWO655348:OWO655419 OMS655348:OMS655419 OCW655348:OCW655419 NTA655348:NTA655419 NJE655348:NJE655419 MZI655348:MZI655419 MPM655348:MPM655419 MFQ655348:MFQ655419 LVU655348:LVU655419 LLY655348:LLY655419 LCC655348:LCC655419 KSG655348:KSG655419 KIK655348:KIK655419 JYO655348:JYO655419 JOS655348:JOS655419 JEW655348:JEW655419 IVA655348:IVA655419 ILE655348:ILE655419 IBI655348:IBI655419 HRM655348:HRM655419 HHQ655348:HHQ655419 GXU655348:GXU655419 GNY655348:GNY655419 GEC655348:GEC655419 FUG655348:FUG655419 FKK655348:FKK655419 FAO655348:FAO655419 EQS655348:EQS655419 EGW655348:EGW655419 DXA655348:DXA655419 DNE655348:DNE655419 DDI655348:DDI655419 CTM655348:CTM655419 CJQ655348:CJQ655419 BZU655348:BZU655419 BPY655348:BPY655419 BGC655348:BGC655419 AWG655348:AWG655419 AMK655348:AMK655419 ACO655348:ACO655419 SS655348:SS655419 IW655348:IW655419 A655348:A655419 WVI589812:WVI589883 WLM589812:WLM589883 WBQ589812:WBQ589883 VRU589812:VRU589883 VHY589812:VHY589883 UYC589812:UYC589883 UOG589812:UOG589883 UEK589812:UEK589883 TUO589812:TUO589883 TKS589812:TKS589883 TAW589812:TAW589883 SRA589812:SRA589883 SHE589812:SHE589883 RXI589812:RXI589883 RNM589812:RNM589883 RDQ589812:RDQ589883 QTU589812:QTU589883 QJY589812:QJY589883 QAC589812:QAC589883 PQG589812:PQG589883 PGK589812:PGK589883 OWO589812:OWO589883 OMS589812:OMS589883 OCW589812:OCW589883 NTA589812:NTA589883 NJE589812:NJE589883 MZI589812:MZI589883 MPM589812:MPM589883 MFQ589812:MFQ589883 LVU589812:LVU589883 LLY589812:LLY589883 LCC589812:LCC589883 KSG589812:KSG589883 KIK589812:KIK589883 JYO589812:JYO589883 JOS589812:JOS589883 JEW589812:JEW589883 IVA589812:IVA589883 ILE589812:ILE589883 IBI589812:IBI589883 HRM589812:HRM589883 HHQ589812:HHQ589883 GXU589812:GXU589883 GNY589812:GNY589883 GEC589812:GEC589883 FUG589812:FUG589883 FKK589812:FKK589883 FAO589812:FAO589883 EQS589812:EQS589883 EGW589812:EGW589883 DXA589812:DXA589883 DNE589812:DNE589883 DDI589812:DDI589883 CTM589812:CTM589883 CJQ589812:CJQ589883 BZU589812:BZU589883 BPY589812:BPY589883 BGC589812:BGC589883 AWG589812:AWG589883 AMK589812:AMK589883 ACO589812:ACO589883 SS589812:SS589883 IW589812:IW589883 A589812:A589883 WVI524276:WVI524347 WLM524276:WLM524347 WBQ524276:WBQ524347 VRU524276:VRU524347 VHY524276:VHY524347 UYC524276:UYC524347 UOG524276:UOG524347 UEK524276:UEK524347 TUO524276:TUO524347 TKS524276:TKS524347 TAW524276:TAW524347 SRA524276:SRA524347 SHE524276:SHE524347 RXI524276:RXI524347 RNM524276:RNM524347 RDQ524276:RDQ524347 QTU524276:QTU524347 QJY524276:QJY524347 QAC524276:QAC524347 PQG524276:PQG524347 PGK524276:PGK524347 OWO524276:OWO524347 OMS524276:OMS524347 OCW524276:OCW524347 NTA524276:NTA524347 NJE524276:NJE524347 MZI524276:MZI524347 MPM524276:MPM524347 MFQ524276:MFQ524347 LVU524276:LVU524347 LLY524276:LLY524347 LCC524276:LCC524347 KSG524276:KSG524347 KIK524276:KIK524347 JYO524276:JYO524347 JOS524276:JOS524347 JEW524276:JEW524347 IVA524276:IVA524347 ILE524276:ILE524347 IBI524276:IBI524347 HRM524276:HRM524347 HHQ524276:HHQ524347 GXU524276:GXU524347 GNY524276:GNY524347 GEC524276:GEC524347 FUG524276:FUG524347 FKK524276:FKK524347 FAO524276:FAO524347 EQS524276:EQS524347 EGW524276:EGW524347 DXA524276:DXA524347 DNE524276:DNE524347 DDI524276:DDI524347 CTM524276:CTM524347 CJQ524276:CJQ524347 BZU524276:BZU524347 BPY524276:BPY524347 BGC524276:BGC524347 AWG524276:AWG524347 AMK524276:AMK524347 ACO524276:ACO524347 SS524276:SS524347 IW524276:IW524347 A524276:A524347 WVI458740:WVI458811 WLM458740:WLM458811 WBQ458740:WBQ458811 VRU458740:VRU458811 VHY458740:VHY458811 UYC458740:UYC458811 UOG458740:UOG458811 UEK458740:UEK458811 TUO458740:TUO458811 TKS458740:TKS458811 TAW458740:TAW458811 SRA458740:SRA458811 SHE458740:SHE458811 RXI458740:RXI458811 RNM458740:RNM458811 RDQ458740:RDQ458811 QTU458740:QTU458811 QJY458740:QJY458811 QAC458740:QAC458811 PQG458740:PQG458811 PGK458740:PGK458811 OWO458740:OWO458811 OMS458740:OMS458811 OCW458740:OCW458811 NTA458740:NTA458811 NJE458740:NJE458811 MZI458740:MZI458811 MPM458740:MPM458811 MFQ458740:MFQ458811 LVU458740:LVU458811 LLY458740:LLY458811 LCC458740:LCC458811 KSG458740:KSG458811 KIK458740:KIK458811 JYO458740:JYO458811 JOS458740:JOS458811 JEW458740:JEW458811 IVA458740:IVA458811 ILE458740:ILE458811 IBI458740:IBI458811 HRM458740:HRM458811 HHQ458740:HHQ458811 GXU458740:GXU458811 GNY458740:GNY458811 GEC458740:GEC458811 FUG458740:FUG458811 FKK458740:FKK458811 FAO458740:FAO458811 EQS458740:EQS458811 EGW458740:EGW458811 DXA458740:DXA458811 DNE458740:DNE458811 DDI458740:DDI458811 CTM458740:CTM458811 CJQ458740:CJQ458811 BZU458740:BZU458811 BPY458740:BPY458811 BGC458740:BGC458811 AWG458740:AWG458811 AMK458740:AMK458811 ACO458740:ACO458811 SS458740:SS458811 IW458740:IW458811 A458740:A458811 WVI393204:WVI393275 WLM393204:WLM393275 WBQ393204:WBQ393275 VRU393204:VRU393275 VHY393204:VHY393275 UYC393204:UYC393275 UOG393204:UOG393275 UEK393204:UEK393275 TUO393204:TUO393275 TKS393204:TKS393275 TAW393204:TAW393275 SRA393204:SRA393275 SHE393204:SHE393275 RXI393204:RXI393275 RNM393204:RNM393275 RDQ393204:RDQ393275 QTU393204:QTU393275 QJY393204:QJY393275 QAC393204:QAC393275 PQG393204:PQG393275 PGK393204:PGK393275 OWO393204:OWO393275 OMS393204:OMS393275 OCW393204:OCW393275 NTA393204:NTA393275 NJE393204:NJE393275 MZI393204:MZI393275 MPM393204:MPM393275 MFQ393204:MFQ393275 LVU393204:LVU393275 LLY393204:LLY393275 LCC393204:LCC393275 KSG393204:KSG393275 KIK393204:KIK393275 JYO393204:JYO393275 JOS393204:JOS393275 JEW393204:JEW393275 IVA393204:IVA393275 ILE393204:ILE393275 IBI393204:IBI393275 HRM393204:HRM393275 HHQ393204:HHQ393275 GXU393204:GXU393275 GNY393204:GNY393275 GEC393204:GEC393275 FUG393204:FUG393275 FKK393204:FKK393275 FAO393204:FAO393275 EQS393204:EQS393275 EGW393204:EGW393275 DXA393204:DXA393275 DNE393204:DNE393275 DDI393204:DDI393275 CTM393204:CTM393275 CJQ393204:CJQ393275 BZU393204:BZU393275 BPY393204:BPY393275 BGC393204:BGC393275 AWG393204:AWG393275 AMK393204:AMK393275 ACO393204:ACO393275 SS393204:SS393275 IW393204:IW393275 A393204:A393275 WVI327668:WVI327739 WLM327668:WLM327739 WBQ327668:WBQ327739 VRU327668:VRU327739 VHY327668:VHY327739 UYC327668:UYC327739 UOG327668:UOG327739 UEK327668:UEK327739 TUO327668:TUO327739 TKS327668:TKS327739 TAW327668:TAW327739 SRA327668:SRA327739 SHE327668:SHE327739 RXI327668:RXI327739 RNM327668:RNM327739 RDQ327668:RDQ327739 QTU327668:QTU327739 QJY327668:QJY327739 QAC327668:QAC327739 PQG327668:PQG327739 PGK327668:PGK327739 OWO327668:OWO327739 OMS327668:OMS327739 OCW327668:OCW327739 NTA327668:NTA327739 NJE327668:NJE327739 MZI327668:MZI327739 MPM327668:MPM327739 MFQ327668:MFQ327739 LVU327668:LVU327739 LLY327668:LLY327739 LCC327668:LCC327739 KSG327668:KSG327739 KIK327668:KIK327739 JYO327668:JYO327739 JOS327668:JOS327739 JEW327668:JEW327739 IVA327668:IVA327739 ILE327668:ILE327739 IBI327668:IBI327739 HRM327668:HRM327739 HHQ327668:HHQ327739 GXU327668:GXU327739 GNY327668:GNY327739 GEC327668:GEC327739 FUG327668:FUG327739 FKK327668:FKK327739 FAO327668:FAO327739 EQS327668:EQS327739 EGW327668:EGW327739 DXA327668:DXA327739 DNE327668:DNE327739 DDI327668:DDI327739 CTM327668:CTM327739 CJQ327668:CJQ327739 BZU327668:BZU327739 BPY327668:BPY327739 BGC327668:BGC327739 AWG327668:AWG327739 AMK327668:AMK327739 ACO327668:ACO327739 SS327668:SS327739 IW327668:IW327739 A327668:A327739 WVI262132:WVI262203 WLM262132:WLM262203 WBQ262132:WBQ262203 VRU262132:VRU262203 VHY262132:VHY262203 UYC262132:UYC262203 UOG262132:UOG262203 UEK262132:UEK262203 TUO262132:TUO262203 TKS262132:TKS262203 TAW262132:TAW262203 SRA262132:SRA262203 SHE262132:SHE262203 RXI262132:RXI262203 RNM262132:RNM262203 RDQ262132:RDQ262203 QTU262132:QTU262203 QJY262132:QJY262203 QAC262132:QAC262203 PQG262132:PQG262203 PGK262132:PGK262203 OWO262132:OWO262203 OMS262132:OMS262203 OCW262132:OCW262203 NTA262132:NTA262203 NJE262132:NJE262203 MZI262132:MZI262203 MPM262132:MPM262203 MFQ262132:MFQ262203 LVU262132:LVU262203 LLY262132:LLY262203 LCC262132:LCC262203 KSG262132:KSG262203 KIK262132:KIK262203 JYO262132:JYO262203 JOS262132:JOS262203 JEW262132:JEW262203 IVA262132:IVA262203 ILE262132:ILE262203 IBI262132:IBI262203 HRM262132:HRM262203 HHQ262132:HHQ262203 GXU262132:GXU262203 GNY262132:GNY262203 GEC262132:GEC262203 FUG262132:FUG262203 FKK262132:FKK262203 FAO262132:FAO262203 EQS262132:EQS262203 EGW262132:EGW262203 DXA262132:DXA262203 DNE262132:DNE262203 DDI262132:DDI262203 CTM262132:CTM262203 CJQ262132:CJQ262203 BZU262132:BZU262203 BPY262132:BPY262203 BGC262132:BGC262203 AWG262132:AWG262203 AMK262132:AMK262203 ACO262132:ACO262203 SS262132:SS262203 IW262132:IW262203 A262132:A262203 WVI196596:WVI196667 WLM196596:WLM196667 WBQ196596:WBQ196667 VRU196596:VRU196667 VHY196596:VHY196667 UYC196596:UYC196667 UOG196596:UOG196667 UEK196596:UEK196667 TUO196596:TUO196667 TKS196596:TKS196667 TAW196596:TAW196667 SRA196596:SRA196667 SHE196596:SHE196667 RXI196596:RXI196667 RNM196596:RNM196667 RDQ196596:RDQ196667 QTU196596:QTU196667 QJY196596:QJY196667 QAC196596:QAC196667 PQG196596:PQG196667 PGK196596:PGK196667 OWO196596:OWO196667 OMS196596:OMS196667 OCW196596:OCW196667 NTA196596:NTA196667 NJE196596:NJE196667 MZI196596:MZI196667 MPM196596:MPM196667 MFQ196596:MFQ196667 LVU196596:LVU196667 LLY196596:LLY196667 LCC196596:LCC196667 KSG196596:KSG196667 KIK196596:KIK196667 JYO196596:JYO196667 JOS196596:JOS196667 JEW196596:JEW196667 IVA196596:IVA196667 ILE196596:ILE196667 IBI196596:IBI196667 HRM196596:HRM196667 HHQ196596:HHQ196667 GXU196596:GXU196667 GNY196596:GNY196667 GEC196596:GEC196667 FUG196596:FUG196667 FKK196596:FKK196667 FAO196596:FAO196667 EQS196596:EQS196667 EGW196596:EGW196667 DXA196596:DXA196667 DNE196596:DNE196667 DDI196596:DDI196667 CTM196596:CTM196667 CJQ196596:CJQ196667 BZU196596:BZU196667 BPY196596:BPY196667 BGC196596:BGC196667 AWG196596:AWG196667 AMK196596:AMK196667 ACO196596:ACO196667 SS196596:SS196667 IW196596:IW196667 A196596:A196667 WVI131060:WVI131131 WLM131060:WLM131131 WBQ131060:WBQ131131 VRU131060:VRU131131 VHY131060:VHY131131 UYC131060:UYC131131 UOG131060:UOG131131 UEK131060:UEK131131 TUO131060:TUO131131 TKS131060:TKS131131 TAW131060:TAW131131 SRA131060:SRA131131 SHE131060:SHE131131 RXI131060:RXI131131 RNM131060:RNM131131 RDQ131060:RDQ131131 QTU131060:QTU131131 QJY131060:QJY131131 QAC131060:QAC131131 PQG131060:PQG131131 PGK131060:PGK131131 OWO131060:OWO131131 OMS131060:OMS131131 OCW131060:OCW131131 NTA131060:NTA131131 NJE131060:NJE131131 MZI131060:MZI131131 MPM131060:MPM131131 MFQ131060:MFQ131131 LVU131060:LVU131131 LLY131060:LLY131131 LCC131060:LCC131131 KSG131060:KSG131131 KIK131060:KIK131131 JYO131060:JYO131131 JOS131060:JOS131131 JEW131060:JEW131131 IVA131060:IVA131131 ILE131060:ILE131131 IBI131060:IBI131131 HRM131060:HRM131131 HHQ131060:HHQ131131 GXU131060:GXU131131 GNY131060:GNY131131 GEC131060:GEC131131 FUG131060:FUG131131 FKK131060:FKK131131 FAO131060:FAO131131 EQS131060:EQS131131 EGW131060:EGW131131 DXA131060:DXA131131 DNE131060:DNE131131 DDI131060:DDI131131 CTM131060:CTM131131 CJQ131060:CJQ131131 BZU131060:BZU131131 BPY131060:BPY131131 BGC131060:BGC131131 AWG131060:AWG131131 AMK131060:AMK131131 ACO131060:ACO131131 SS131060:SS131131 IW131060:IW131131 A131060:A131131 WVI65524:WVI65595 WLM65524:WLM65595 WBQ65524:WBQ65595 VRU65524:VRU65595 VHY65524:VHY65595 UYC65524:UYC65595 UOG65524:UOG65595 UEK65524:UEK65595 TUO65524:TUO65595 TKS65524:TKS65595 TAW65524:TAW65595 SRA65524:SRA65595 SHE65524:SHE65595 RXI65524:RXI65595 RNM65524:RNM65595 RDQ65524:RDQ65595 QTU65524:QTU65595 QJY65524:QJY65595 QAC65524:QAC65595 PQG65524:PQG65595 PGK65524:PGK65595 OWO65524:OWO65595 OMS65524:OMS65595 OCW65524:OCW65595 NTA65524:NTA65595 NJE65524:NJE65595 MZI65524:MZI65595 MPM65524:MPM65595 MFQ65524:MFQ65595 LVU65524:LVU65595 LLY65524:LLY65595 LCC65524:LCC65595 KSG65524:KSG65595 KIK65524:KIK65595 JYO65524:JYO65595 JOS65524:JOS65595 JEW65524:JEW65595 IVA65524:IVA65595 ILE65524:ILE65595 IBI65524:IBI65595 HRM65524:HRM65595 HHQ65524:HHQ65595 GXU65524:GXU65595 GNY65524:GNY65595 GEC65524:GEC65595 FUG65524:FUG65595 FKK65524:FKK65595 FAO65524:FAO65595 EQS65524:EQS65595 EGW65524:EGW65595 DXA65524:DXA65595 DNE65524:DNE65595 DDI65524:DDI65595 CTM65524:CTM65595 CJQ65524:CJQ65595 BZU65524:BZU65595 BPY65524:BPY65595 BGC65524:BGC65595 AWG65524:AWG65595 AMK65524:AMK65595 ACO65524:ACO65595 SS65524:SS65595 IW65524:IW65595 A65524:A65595 WVI983028:WVI983099 WVI1047389:WVI1047454 WLM1047389:WLM1047454 WBQ1047389:WBQ1047454 VRU1047389:VRU1047454 VHY1047389:VHY1047454 UYC1047389:UYC1047454 UOG1047389:UOG1047454 UEK1047389:UEK1047454 TUO1047389:TUO1047454 TKS1047389:TKS1047454 TAW1047389:TAW1047454 SRA1047389:SRA1047454 SHE1047389:SHE1047454 RXI1047389:RXI1047454 RNM1047389:RNM1047454 RDQ1047389:RDQ1047454 QTU1047389:QTU1047454 QJY1047389:QJY1047454 QAC1047389:QAC1047454 PQG1047389:PQG1047454 PGK1047389:PGK1047454 OWO1047389:OWO1047454 OMS1047389:OMS1047454 OCW1047389:OCW1047454 NTA1047389:NTA1047454 NJE1047389:NJE1047454 MZI1047389:MZI1047454 MPM1047389:MPM1047454 MFQ1047389:MFQ1047454 LVU1047389:LVU1047454 LLY1047389:LLY1047454 LCC1047389:LCC1047454 KSG1047389:KSG1047454 KIK1047389:KIK1047454 JYO1047389:JYO1047454 JOS1047389:JOS1047454 JEW1047389:JEW1047454 IVA1047389:IVA1047454 ILE1047389:ILE1047454 IBI1047389:IBI1047454 HRM1047389:HRM1047454 HHQ1047389:HHQ1047454 GXU1047389:GXU1047454 GNY1047389:GNY1047454 GEC1047389:GEC1047454 FUG1047389:FUG1047454 FKK1047389:FKK1047454 FAO1047389:FAO1047454 EQS1047389:EQS1047454 EGW1047389:EGW1047454 DXA1047389:DXA1047454 DNE1047389:DNE1047454 DDI1047389:DDI1047454 CTM1047389:CTM1047454 CJQ1047389:CJQ1047454 BZU1047389:BZU1047454 BPY1047389:BPY1047454 BGC1047389:BGC1047454 AWG1047389:AWG1047454 AMK1047389:AMK1047454 ACO1047389:ACO1047454 SS1047389:SS1047454 IW1047389:IW1047454 A1047389:A1047454 WVI981853:WVI981918 WLM981853:WLM981918 WBQ981853:WBQ981918 VRU981853:VRU981918 VHY981853:VHY981918 UYC981853:UYC981918 UOG981853:UOG981918 UEK981853:UEK981918 TUO981853:TUO981918 TKS981853:TKS981918 TAW981853:TAW981918 SRA981853:SRA981918 SHE981853:SHE981918 RXI981853:RXI981918 RNM981853:RNM981918 RDQ981853:RDQ981918 QTU981853:QTU981918 QJY981853:QJY981918 QAC981853:QAC981918 PQG981853:PQG981918 PGK981853:PGK981918 OWO981853:OWO981918 OMS981853:OMS981918 OCW981853:OCW981918 NTA981853:NTA981918 NJE981853:NJE981918 MZI981853:MZI981918 MPM981853:MPM981918 MFQ981853:MFQ981918 LVU981853:LVU981918 LLY981853:LLY981918 LCC981853:LCC981918 KSG981853:KSG981918 KIK981853:KIK981918 JYO981853:JYO981918 JOS981853:JOS981918 JEW981853:JEW981918 IVA981853:IVA981918 ILE981853:ILE981918 IBI981853:IBI981918 HRM981853:HRM981918 HHQ981853:HHQ981918 GXU981853:GXU981918 GNY981853:GNY981918 GEC981853:GEC981918 FUG981853:FUG981918 FKK981853:FKK981918 FAO981853:FAO981918 EQS981853:EQS981918 EGW981853:EGW981918 DXA981853:DXA981918 DNE981853:DNE981918 DDI981853:DDI981918 CTM981853:CTM981918 CJQ981853:CJQ981918 BZU981853:BZU981918 BPY981853:BPY981918 BGC981853:BGC981918 AWG981853:AWG981918 AMK981853:AMK981918 ACO981853:ACO981918 SS981853:SS981918 IW981853:IW981918 A981853:A981918 WVI916317:WVI916382 WLM916317:WLM916382 WBQ916317:WBQ916382 VRU916317:VRU916382 VHY916317:VHY916382 UYC916317:UYC916382 UOG916317:UOG916382 UEK916317:UEK916382 TUO916317:TUO916382 TKS916317:TKS916382 TAW916317:TAW916382 SRA916317:SRA916382 SHE916317:SHE916382 RXI916317:RXI916382 RNM916317:RNM916382 RDQ916317:RDQ916382 QTU916317:QTU916382 QJY916317:QJY916382 QAC916317:QAC916382 PQG916317:PQG916382 PGK916317:PGK916382 OWO916317:OWO916382 OMS916317:OMS916382 OCW916317:OCW916382 NTA916317:NTA916382 NJE916317:NJE916382 MZI916317:MZI916382 MPM916317:MPM916382 MFQ916317:MFQ916382 LVU916317:LVU916382 LLY916317:LLY916382 LCC916317:LCC916382 KSG916317:KSG916382 KIK916317:KIK916382 JYO916317:JYO916382 JOS916317:JOS916382 JEW916317:JEW916382 IVA916317:IVA916382 ILE916317:ILE916382 IBI916317:IBI916382 HRM916317:HRM916382 HHQ916317:HHQ916382 GXU916317:GXU916382 GNY916317:GNY916382 GEC916317:GEC916382 FUG916317:FUG916382 FKK916317:FKK916382 FAO916317:FAO916382 EQS916317:EQS916382 EGW916317:EGW916382 DXA916317:DXA916382 DNE916317:DNE916382 DDI916317:DDI916382 CTM916317:CTM916382 CJQ916317:CJQ916382 BZU916317:BZU916382 BPY916317:BPY916382 BGC916317:BGC916382 AWG916317:AWG916382 AMK916317:AMK916382 ACO916317:ACO916382 SS916317:SS916382 IW916317:IW916382 A916317:A916382 WVI850781:WVI850846 WLM850781:WLM850846 WBQ850781:WBQ850846 VRU850781:VRU850846 VHY850781:VHY850846 UYC850781:UYC850846 UOG850781:UOG850846 UEK850781:UEK850846 TUO850781:TUO850846 TKS850781:TKS850846 TAW850781:TAW850846 SRA850781:SRA850846 SHE850781:SHE850846 RXI850781:RXI850846 RNM850781:RNM850846 RDQ850781:RDQ850846 QTU850781:QTU850846 QJY850781:QJY850846 QAC850781:QAC850846 PQG850781:PQG850846 PGK850781:PGK850846 OWO850781:OWO850846 OMS850781:OMS850846 OCW850781:OCW850846 NTA850781:NTA850846 NJE850781:NJE850846 MZI850781:MZI850846 MPM850781:MPM850846 MFQ850781:MFQ850846 LVU850781:LVU850846 LLY850781:LLY850846 LCC850781:LCC850846 KSG850781:KSG850846 KIK850781:KIK850846 JYO850781:JYO850846 JOS850781:JOS850846 JEW850781:JEW850846 IVA850781:IVA850846 ILE850781:ILE850846 IBI850781:IBI850846 HRM850781:HRM850846 HHQ850781:HHQ850846 GXU850781:GXU850846 GNY850781:GNY850846 GEC850781:GEC850846 FUG850781:FUG850846 FKK850781:FKK850846 FAO850781:FAO850846 EQS850781:EQS850846 EGW850781:EGW850846 DXA850781:DXA850846 DNE850781:DNE850846 DDI850781:DDI850846 CTM850781:CTM850846 CJQ850781:CJQ850846 BZU850781:BZU850846 BPY850781:BPY850846 BGC850781:BGC850846 AWG850781:AWG850846 AMK850781:AMK850846 ACO850781:ACO850846 SS850781:SS850846 IW850781:IW850846 A850781:A850846 WVI785245:WVI785310 WLM785245:WLM785310 WBQ785245:WBQ785310 VRU785245:VRU785310 VHY785245:VHY785310 UYC785245:UYC785310 UOG785245:UOG785310 UEK785245:UEK785310 TUO785245:TUO785310 TKS785245:TKS785310 TAW785245:TAW785310 SRA785245:SRA785310 SHE785245:SHE785310 RXI785245:RXI785310 RNM785245:RNM785310 RDQ785245:RDQ785310 QTU785245:QTU785310 QJY785245:QJY785310 QAC785245:QAC785310 PQG785245:PQG785310 PGK785245:PGK785310 OWO785245:OWO785310 OMS785245:OMS785310 OCW785245:OCW785310 NTA785245:NTA785310 NJE785245:NJE785310 MZI785245:MZI785310 MPM785245:MPM785310 MFQ785245:MFQ785310 LVU785245:LVU785310 LLY785245:LLY785310 LCC785245:LCC785310 KSG785245:KSG785310 KIK785245:KIK785310 JYO785245:JYO785310 JOS785245:JOS785310 JEW785245:JEW785310 IVA785245:IVA785310 ILE785245:ILE785310 IBI785245:IBI785310 HRM785245:HRM785310 HHQ785245:HHQ785310 GXU785245:GXU785310 GNY785245:GNY785310 GEC785245:GEC785310 FUG785245:FUG785310 FKK785245:FKK785310 FAO785245:FAO785310 EQS785245:EQS785310 EGW785245:EGW785310 DXA785245:DXA785310 DNE785245:DNE785310 DDI785245:DDI785310 CTM785245:CTM785310 CJQ785245:CJQ785310 BZU785245:BZU785310 BPY785245:BPY785310 BGC785245:BGC785310 AWG785245:AWG785310 AMK785245:AMK785310 ACO785245:ACO785310 SS785245:SS785310 IW785245:IW785310 A785245:A785310 WVI719709:WVI719774 WLM719709:WLM719774 WBQ719709:WBQ719774 VRU719709:VRU719774 VHY719709:VHY719774 UYC719709:UYC719774 UOG719709:UOG719774 UEK719709:UEK719774 TUO719709:TUO719774 TKS719709:TKS719774 TAW719709:TAW719774 SRA719709:SRA719774 SHE719709:SHE719774 RXI719709:RXI719774 RNM719709:RNM719774 RDQ719709:RDQ719774 QTU719709:QTU719774 QJY719709:QJY719774 QAC719709:QAC719774 PQG719709:PQG719774 PGK719709:PGK719774 OWO719709:OWO719774 OMS719709:OMS719774 OCW719709:OCW719774 NTA719709:NTA719774 NJE719709:NJE719774 MZI719709:MZI719774 MPM719709:MPM719774 MFQ719709:MFQ719774 LVU719709:LVU719774 LLY719709:LLY719774 LCC719709:LCC719774 KSG719709:KSG719774 KIK719709:KIK719774 JYO719709:JYO719774 JOS719709:JOS719774 JEW719709:JEW719774 IVA719709:IVA719774 ILE719709:ILE719774 IBI719709:IBI719774 HRM719709:HRM719774 HHQ719709:HHQ719774 GXU719709:GXU719774 GNY719709:GNY719774 GEC719709:GEC719774 FUG719709:FUG719774 FKK719709:FKK719774 FAO719709:FAO719774 EQS719709:EQS719774 EGW719709:EGW719774 DXA719709:DXA719774 DNE719709:DNE719774 DDI719709:DDI719774 CTM719709:CTM719774 CJQ719709:CJQ719774 BZU719709:BZU719774 BPY719709:BPY719774 BGC719709:BGC719774 AWG719709:AWG719774 AMK719709:AMK719774 ACO719709:ACO719774 SS719709:SS719774 IW719709:IW719774 A719709:A719774 WVI654173:WVI654238 WLM654173:WLM654238 WBQ654173:WBQ654238 VRU654173:VRU654238 VHY654173:VHY654238 UYC654173:UYC654238 UOG654173:UOG654238 UEK654173:UEK654238 TUO654173:TUO654238 TKS654173:TKS654238 TAW654173:TAW654238 SRA654173:SRA654238 SHE654173:SHE654238 RXI654173:RXI654238 RNM654173:RNM654238 RDQ654173:RDQ654238 QTU654173:QTU654238 QJY654173:QJY654238 QAC654173:QAC654238 PQG654173:PQG654238 PGK654173:PGK654238 OWO654173:OWO654238 OMS654173:OMS654238 OCW654173:OCW654238 NTA654173:NTA654238 NJE654173:NJE654238 MZI654173:MZI654238 MPM654173:MPM654238 MFQ654173:MFQ654238 LVU654173:LVU654238 LLY654173:LLY654238 LCC654173:LCC654238 KSG654173:KSG654238 KIK654173:KIK654238 JYO654173:JYO654238 JOS654173:JOS654238 JEW654173:JEW654238 IVA654173:IVA654238 ILE654173:ILE654238 IBI654173:IBI654238 HRM654173:HRM654238 HHQ654173:HHQ654238 GXU654173:GXU654238 GNY654173:GNY654238 GEC654173:GEC654238 FUG654173:FUG654238 FKK654173:FKK654238 FAO654173:FAO654238 EQS654173:EQS654238 EGW654173:EGW654238 DXA654173:DXA654238 DNE654173:DNE654238 DDI654173:DDI654238 CTM654173:CTM654238 CJQ654173:CJQ654238 BZU654173:BZU654238 BPY654173:BPY654238 BGC654173:BGC654238 AWG654173:AWG654238 AMK654173:AMK654238 ACO654173:ACO654238 SS654173:SS654238 IW654173:IW654238 A654173:A654238 WVI588637:WVI588702 WLM588637:WLM588702 WBQ588637:WBQ588702 VRU588637:VRU588702 VHY588637:VHY588702 UYC588637:UYC588702 UOG588637:UOG588702 UEK588637:UEK588702 TUO588637:TUO588702 TKS588637:TKS588702 TAW588637:TAW588702 SRA588637:SRA588702 SHE588637:SHE588702 RXI588637:RXI588702 RNM588637:RNM588702 RDQ588637:RDQ588702 QTU588637:QTU588702 QJY588637:QJY588702 QAC588637:QAC588702 PQG588637:PQG588702 PGK588637:PGK588702 OWO588637:OWO588702 OMS588637:OMS588702 OCW588637:OCW588702 NTA588637:NTA588702 NJE588637:NJE588702 MZI588637:MZI588702 MPM588637:MPM588702 MFQ588637:MFQ588702 LVU588637:LVU588702 LLY588637:LLY588702 LCC588637:LCC588702 KSG588637:KSG588702 KIK588637:KIK588702 JYO588637:JYO588702 JOS588637:JOS588702 JEW588637:JEW588702 IVA588637:IVA588702 ILE588637:ILE588702 IBI588637:IBI588702 HRM588637:HRM588702 HHQ588637:HHQ588702 GXU588637:GXU588702 GNY588637:GNY588702 GEC588637:GEC588702 FUG588637:FUG588702 FKK588637:FKK588702 FAO588637:FAO588702 EQS588637:EQS588702 EGW588637:EGW588702 DXA588637:DXA588702 DNE588637:DNE588702 DDI588637:DDI588702 CTM588637:CTM588702 CJQ588637:CJQ588702 BZU588637:BZU588702 BPY588637:BPY588702 BGC588637:BGC588702 AWG588637:AWG588702 AMK588637:AMK588702 ACO588637:ACO588702 SS588637:SS588702 IW588637:IW588702 A588637:A588702 WVI523101:WVI523166 WLM523101:WLM523166 WBQ523101:WBQ523166 VRU523101:VRU523166 VHY523101:VHY523166 UYC523101:UYC523166 UOG523101:UOG523166 UEK523101:UEK523166 TUO523101:TUO523166 TKS523101:TKS523166 TAW523101:TAW523166 SRA523101:SRA523166 SHE523101:SHE523166 RXI523101:RXI523166 RNM523101:RNM523166 RDQ523101:RDQ523166 QTU523101:QTU523166 QJY523101:QJY523166 QAC523101:QAC523166 PQG523101:PQG523166 PGK523101:PGK523166 OWO523101:OWO523166 OMS523101:OMS523166 OCW523101:OCW523166 NTA523101:NTA523166 NJE523101:NJE523166 MZI523101:MZI523166 MPM523101:MPM523166 MFQ523101:MFQ523166 LVU523101:LVU523166 LLY523101:LLY523166 LCC523101:LCC523166 KSG523101:KSG523166 KIK523101:KIK523166 JYO523101:JYO523166 JOS523101:JOS523166 JEW523101:JEW523166 IVA523101:IVA523166 ILE523101:ILE523166 IBI523101:IBI523166 HRM523101:HRM523166 HHQ523101:HHQ523166 GXU523101:GXU523166 GNY523101:GNY523166 GEC523101:GEC523166 FUG523101:FUG523166 FKK523101:FKK523166 FAO523101:FAO523166 EQS523101:EQS523166 EGW523101:EGW523166 DXA523101:DXA523166 DNE523101:DNE523166 DDI523101:DDI523166 CTM523101:CTM523166 CJQ523101:CJQ523166 BZU523101:BZU523166 BPY523101:BPY523166 BGC523101:BGC523166 AWG523101:AWG523166 AMK523101:AMK523166 ACO523101:ACO523166 SS523101:SS523166 IW523101:IW523166 A523101:A523166 WVI457565:WVI457630 WLM457565:WLM457630 WBQ457565:WBQ457630 VRU457565:VRU457630 VHY457565:VHY457630 UYC457565:UYC457630 UOG457565:UOG457630 UEK457565:UEK457630 TUO457565:TUO457630 TKS457565:TKS457630 TAW457565:TAW457630 SRA457565:SRA457630 SHE457565:SHE457630 RXI457565:RXI457630 RNM457565:RNM457630 RDQ457565:RDQ457630 QTU457565:QTU457630 QJY457565:QJY457630 QAC457565:QAC457630 PQG457565:PQG457630 PGK457565:PGK457630 OWO457565:OWO457630 OMS457565:OMS457630 OCW457565:OCW457630 NTA457565:NTA457630 NJE457565:NJE457630 MZI457565:MZI457630 MPM457565:MPM457630 MFQ457565:MFQ457630 LVU457565:LVU457630 LLY457565:LLY457630 LCC457565:LCC457630 KSG457565:KSG457630 KIK457565:KIK457630 JYO457565:JYO457630 JOS457565:JOS457630 JEW457565:JEW457630 IVA457565:IVA457630 ILE457565:ILE457630 IBI457565:IBI457630 HRM457565:HRM457630 HHQ457565:HHQ457630 GXU457565:GXU457630 GNY457565:GNY457630 GEC457565:GEC457630 FUG457565:FUG457630 FKK457565:FKK457630 FAO457565:FAO457630 EQS457565:EQS457630 EGW457565:EGW457630 DXA457565:DXA457630 DNE457565:DNE457630 DDI457565:DDI457630 CTM457565:CTM457630 CJQ457565:CJQ457630 BZU457565:BZU457630 BPY457565:BPY457630 BGC457565:BGC457630 AWG457565:AWG457630 AMK457565:AMK457630 ACO457565:ACO457630 SS457565:SS457630 IW457565:IW457630 A457565:A457630 WVI392029:WVI392094 WLM392029:WLM392094 WBQ392029:WBQ392094 VRU392029:VRU392094 VHY392029:VHY392094 UYC392029:UYC392094 UOG392029:UOG392094 UEK392029:UEK392094 TUO392029:TUO392094 TKS392029:TKS392094 TAW392029:TAW392094 SRA392029:SRA392094 SHE392029:SHE392094 RXI392029:RXI392094 RNM392029:RNM392094 RDQ392029:RDQ392094 QTU392029:QTU392094 QJY392029:QJY392094 QAC392029:QAC392094 PQG392029:PQG392094 PGK392029:PGK392094 OWO392029:OWO392094 OMS392029:OMS392094 OCW392029:OCW392094 NTA392029:NTA392094 NJE392029:NJE392094 MZI392029:MZI392094 MPM392029:MPM392094 MFQ392029:MFQ392094 LVU392029:LVU392094 LLY392029:LLY392094 LCC392029:LCC392094 KSG392029:KSG392094 KIK392029:KIK392094 JYO392029:JYO392094 JOS392029:JOS392094 JEW392029:JEW392094 IVA392029:IVA392094 ILE392029:ILE392094 IBI392029:IBI392094 HRM392029:HRM392094 HHQ392029:HHQ392094 GXU392029:GXU392094 GNY392029:GNY392094 GEC392029:GEC392094 FUG392029:FUG392094 FKK392029:FKK392094 FAO392029:FAO392094 EQS392029:EQS392094 EGW392029:EGW392094 DXA392029:DXA392094 DNE392029:DNE392094 DDI392029:DDI392094 CTM392029:CTM392094 CJQ392029:CJQ392094 BZU392029:BZU392094 BPY392029:BPY392094 BGC392029:BGC392094 AWG392029:AWG392094 AMK392029:AMK392094 ACO392029:ACO392094 SS392029:SS392094 IW392029:IW392094 A392029:A392094 WVI326493:WVI326558 WLM326493:WLM326558 WBQ326493:WBQ326558 VRU326493:VRU326558 VHY326493:VHY326558 UYC326493:UYC326558 UOG326493:UOG326558 UEK326493:UEK326558 TUO326493:TUO326558 TKS326493:TKS326558 TAW326493:TAW326558 SRA326493:SRA326558 SHE326493:SHE326558 RXI326493:RXI326558 RNM326493:RNM326558 RDQ326493:RDQ326558 QTU326493:QTU326558 QJY326493:QJY326558 QAC326493:QAC326558 PQG326493:PQG326558 PGK326493:PGK326558 OWO326493:OWO326558 OMS326493:OMS326558 OCW326493:OCW326558 NTA326493:NTA326558 NJE326493:NJE326558 MZI326493:MZI326558 MPM326493:MPM326558 MFQ326493:MFQ326558 LVU326493:LVU326558 LLY326493:LLY326558 LCC326493:LCC326558 KSG326493:KSG326558 KIK326493:KIK326558 JYO326493:JYO326558 JOS326493:JOS326558 JEW326493:JEW326558 IVA326493:IVA326558 ILE326493:ILE326558 IBI326493:IBI326558 HRM326493:HRM326558 HHQ326493:HHQ326558 GXU326493:GXU326558 GNY326493:GNY326558 GEC326493:GEC326558 FUG326493:FUG326558 FKK326493:FKK326558 FAO326493:FAO326558 EQS326493:EQS326558 EGW326493:EGW326558 DXA326493:DXA326558 DNE326493:DNE326558 DDI326493:DDI326558 CTM326493:CTM326558 CJQ326493:CJQ326558 BZU326493:BZU326558 BPY326493:BPY326558 BGC326493:BGC326558 AWG326493:AWG326558 AMK326493:AMK326558 ACO326493:ACO326558 SS326493:SS326558 IW326493:IW326558 A326493:A326558 WVI260957:WVI261022 WLM260957:WLM261022 WBQ260957:WBQ261022 VRU260957:VRU261022 VHY260957:VHY261022 UYC260957:UYC261022 UOG260957:UOG261022 UEK260957:UEK261022 TUO260957:TUO261022 TKS260957:TKS261022 TAW260957:TAW261022 SRA260957:SRA261022 SHE260957:SHE261022 RXI260957:RXI261022 RNM260957:RNM261022 RDQ260957:RDQ261022 QTU260957:QTU261022 QJY260957:QJY261022 QAC260957:QAC261022 PQG260957:PQG261022 PGK260957:PGK261022 OWO260957:OWO261022 OMS260957:OMS261022 OCW260957:OCW261022 NTA260957:NTA261022 NJE260957:NJE261022 MZI260957:MZI261022 MPM260957:MPM261022 MFQ260957:MFQ261022 LVU260957:LVU261022 LLY260957:LLY261022 LCC260957:LCC261022 KSG260957:KSG261022 KIK260957:KIK261022 JYO260957:JYO261022 JOS260957:JOS261022 JEW260957:JEW261022 IVA260957:IVA261022 ILE260957:ILE261022 IBI260957:IBI261022 HRM260957:HRM261022 HHQ260957:HHQ261022 GXU260957:GXU261022 GNY260957:GNY261022 GEC260957:GEC261022 FUG260957:FUG261022 FKK260957:FKK261022 FAO260957:FAO261022 EQS260957:EQS261022 EGW260957:EGW261022 DXA260957:DXA261022 DNE260957:DNE261022 DDI260957:DDI261022 CTM260957:CTM261022 CJQ260957:CJQ261022 BZU260957:BZU261022 BPY260957:BPY261022 BGC260957:BGC261022 AWG260957:AWG261022 AMK260957:AMK261022 ACO260957:ACO261022 SS260957:SS261022 IW260957:IW261022 A260957:A261022 WVI195421:WVI195486 WLM195421:WLM195486 WBQ195421:WBQ195486 VRU195421:VRU195486 VHY195421:VHY195486 UYC195421:UYC195486 UOG195421:UOG195486 UEK195421:UEK195486 TUO195421:TUO195486 TKS195421:TKS195486 TAW195421:TAW195486 SRA195421:SRA195486 SHE195421:SHE195486 RXI195421:RXI195486 RNM195421:RNM195486 RDQ195421:RDQ195486 QTU195421:QTU195486 QJY195421:QJY195486 QAC195421:QAC195486 PQG195421:PQG195486 PGK195421:PGK195486 OWO195421:OWO195486 OMS195421:OMS195486 OCW195421:OCW195486 NTA195421:NTA195486 NJE195421:NJE195486 MZI195421:MZI195486 MPM195421:MPM195486 MFQ195421:MFQ195486 LVU195421:LVU195486 LLY195421:LLY195486 LCC195421:LCC195486 KSG195421:KSG195486 KIK195421:KIK195486 JYO195421:JYO195486 JOS195421:JOS195486 JEW195421:JEW195486 IVA195421:IVA195486 ILE195421:ILE195486 IBI195421:IBI195486 HRM195421:HRM195486 HHQ195421:HHQ195486 GXU195421:GXU195486 GNY195421:GNY195486 GEC195421:GEC195486 FUG195421:FUG195486 FKK195421:FKK195486 FAO195421:FAO195486 EQS195421:EQS195486 EGW195421:EGW195486 DXA195421:DXA195486 DNE195421:DNE195486 DDI195421:DDI195486 CTM195421:CTM195486 CJQ195421:CJQ195486 BZU195421:BZU195486 BPY195421:BPY195486 BGC195421:BGC195486 AWG195421:AWG195486 AMK195421:AMK195486 ACO195421:ACO195486 SS195421:SS195486 IW195421:IW195486 A195421:A195486 WVI129885:WVI129950 WLM129885:WLM129950 WBQ129885:WBQ129950 VRU129885:VRU129950 VHY129885:VHY129950 UYC129885:UYC129950 UOG129885:UOG129950 UEK129885:UEK129950 TUO129885:TUO129950 TKS129885:TKS129950 TAW129885:TAW129950 SRA129885:SRA129950 SHE129885:SHE129950 RXI129885:RXI129950 RNM129885:RNM129950 RDQ129885:RDQ129950 QTU129885:QTU129950 QJY129885:QJY129950 QAC129885:QAC129950 PQG129885:PQG129950 PGK129885:PGK129950 OWO129885:OWO129950 OMS129885:OMS129950 OCW129885:OCW129950 NTA129885:NTA129950 NJE129885:NJE129950 MZI129885:MZI129950 MPM129885:MPM129950 MFQ129885:MFQ129950 LVU129885:LVU129950 LLY129885:LLY129950 LCC129885:LCC129950 KSG129885:KSG129950 KIK129885:KIK129950 JYO129885:JYO129950 JOS129885:JOS129950 JEW129885:JEW129950 IVA129885:IVA129950 ILE129885:ILE129950 IBI129885:IBI129950 HRM129885:HRM129950 HHQ129885:HHQ129950 GXU129885:GXU129950 GNY129885:GNY129950 GEC129885:GEC129950 FUG129885:FUG129950 FKK129885:FKK129950 FAO129885:FAO129950 EQS129885:EQS129950 EGW129885:EGW129950 DXA129885:DXA129950 DNE129885:DNE129950 DDI129885:DDI129950 CTM129885:CTM129950 CJQ129885:CJQ129950 BZU129885:BZU129950 BPY129885:BPY129950 BGC129885:BGC129950 AWG129885:AWG129950 AMK129885:AMK129950 ACO129885:ACO129950 SS129885:SS129950 IW129885:IW129950 A129885:A129950 WVI64349:WVI64414 WLM64349:WLM64414 WBQ64349:WBQ64414 VRU64349:VRU64414 VHY64349:VHY64414 UYC64349:UYC64414 UOG64349:UOG64414 UEK64349:UEK64414 TUO64349:TUO64414 TKS64349:TKS64414 TAW64349:TAW64414 SRA64349:SRA64414 SHE64349:SHE64414 RXI64349:RXI64414 RNM64349:RNM64414 RDQ64349:RDQ64414 QTU64349:QTU64414 QJY64349:QJY64414 QAC64349:QAC64414 PQG64349:PQG64414 PGK64349:PGK64414 OWO64349:OWO64414 OMS64349:OMS64414 OCW64349:OCW64414 NTA64349:NTA64414 NJE64349:NJE64414 MZI64349:MZI64414 MPM64349:MPM64414 MFQ64349:MFQ64414 LVU64349:LVU64414 LLY64349:LLY64414 LCC64349:LCC64414 KSG64349:KSG64414 KIK64349:KIK64414 JYO64349:JYO64414 JOS64349:JOS64414 JEW64349:JEW64414 IVA64349:IVA64414 ILE64349:ILE64414 IBI64349:IBI64414 HRM64349:HRM64414 HHQ64349:HHQ64414 GXU64349:GXU64414 GNY64349:GNY64414 GEC64349:GEC64414 FUG64349:FUG64414 FKK64349:FKK64414 FAO64349:FAO64414 EQS64349:EQS64414 EGW64349:EGW64414 DXA64349:DXA64414 DNE64349:DNE64414 DDI64349:DDI64414 CTM64349:CTM64414 CJQ64349:CJQ64414 BZU64349:BZU64414 BPY64349:BPY64414 BGC64349:BGC64414 AWG64349:AWG64414 AMK64349:AMK64414 ACO64349:ACO64414 SS64349:SS64414 SS2:SS61 A2:A486 ACO2:ACO61 AMK2:AMK61 AWG2:AWG61 BGC2:BGC61 BPY2:BPY61 BZU2:BZU61 CJQ2:CJQ61 CTM2:CTM61 DDI2:DDI61 DNE2:DNE61 DXA2:DXA61 EGW2:EGW61 EQS2:EQS61 FAO2:FAO61 FKK2:FKK61 FUG2:FUG61 GEC2:GEC61 GNY2:GNY61 GXU2:GXU61 HHQ2:HHQ61 HRM2:HRM61 IBI2:IBI61 ILE2:ILE61 IVA2:IVA61 JEW2:JEW61 JOS2:JOS61 JYO2:JYO61 KIK2:KIK61 KSG2:KSG61 LCC2:LCC61 LLY2:LLY61 LVU2:LVU61 MFQ2:MFQ61 MPM2:MPM61 MZI2:MZI61 NJE2:NJE61 NTA2:NTA61 OCW2:OCW61 OMS2:OMS61 OWO2:OWO61 PGK2:PGK61 PQG2:PQG61 QAC2:QAC61 QJY2:QJY61 QTU2:QTU61 RDQ2:RDQ61 RNM2:RNM61 RXI2:RXI61 SHE2:SHE61 SRA2:SRA61 TAW2:TAW61 TKS2:TKS61 TUO2:TUO61 UEK2:UEK61 UOG2:UOG61 UYC2:UYC61 VHY2:VHY61 VRU2:VRU61 WBQ2:WBQ61 WLM2:WLM61 WVI2:WVI61 IW2:IW61">
      <formula1>$AE$2:$AE$19</formula1>
    </dataValidation>
    <dataValidation type="list" allowBlank="1" showInputMessage="1" showErrorMessage="1" sqref="X64349:X64414 JT64349:JT64414 WMJ983028:WMJ983093 WCN983028:WCN983093 VSR983028:VSR983093 VIV983028:VIV983093 UYZ983028:UYZ983093 UPD983028:UPD983093 UFH983028:UFH983093 TVL983028:TVL983093 TLP983028:TLP983093 TBT983028:TBT983093 SRX983028:SRX983093 SIB983028:SIB983093 RYF983028:RYF983093 ROJ983028:ROJ983093 REN983028:REN983093 QUR983028:QUR983093 QKV983028:QKV983093 QAZ983028:QAZ983093 PRD983028:PRD983093 PHH983028:PHH983093 OXL983028:OXL983093 ONP983028:ONP983093 ODT983028:ODT983093 NTX983028:NTX983093 NKB983028:NKB983093 NAF983028:NAF983093 MQJ983028:MQJ983093 MGN983028:MGN983093 LWR983028:LWR983093 LMV983028:LMV983093 LCZ983028:LCZ983093 KTD983028:KTD983093 KJH983028:KJH983093 JZL983028:JZL983093 JPP983028:JPP983093 JFT983028:JFT983093 IVX983028:IVX983093 IMB983028:IMB983093 ICF983028:ICF983093 HSJ983028:HSJ983093 HIN983028:HIN983093 GYR983028:GYR983093 GOV983028:GOV983093 GEZ983028:GEZ983093 FVD983028:FVD983093 FLH983028:FLH983093 FBL983028:FBL983093 ERP983028:ERP983093 EHT983028:EHT983093 DXX983028:DXX983093 DOB983028:DOB983093 DEF983028:DEF983093 CUJ983028:CUJ983093 CKN983028:CKN983093 CAR983028:CAR983093 BQV983028:BQV983093 BGZ983028:BGZ983093 AXD983028:AXD983093 ANH983028:ANH983093 ADL983028:ADL983093 TP983028:TP983093 JT983028:JT983093 X983028:X983093 WWF917492:WWF917557 WMJ917492:WMJ917557 WCN917492:WCN917557 VSR917492:VSR917557 VIV917492:VIV917557 UYZ917492:UYZ917557 UPD917492:UPD917557 UFH917492:UFH917557 TVL917492:TVL917557 TLP917492:TLP917557 TBT917492:TBT917557 SRX917492:SRX917557 SIB917492:SIB917557 RYF917492:RYF917557 ROJ917492:ROJ917557 REN917492:REN917557 QUR917492:QUR917557 QKV917492:QKV917557 QAZ917492:QAZ917557 PRD917492:PRD917557 PHH917492:PHH917557 OXL917492:OXL917557 ONP917492:ONP917557 ODT917492:ODT917557 NTX917492:NTX917557 NKB917492:NKB917557 NAF917492:NAF917557 MQJ917492:MQJ917557 MGN917492:MGN917557 LWR917492:LWR917557 LMV917492:LMV917557 LCZ917492:LCZ917557 KTD917492:KTD917557 KJH917492:KJH917557 JZL917492:JZL917557 JPP917492:JPP917557 JFT917492:JFT917557 IVX917492:IVX917557 IMB917492:IMB917557 ICF917492:ICF917557 HSJ917492:HSJ917557 HIN917492:HIN917557 GYR917492:GYR917557 GOV917492:GOV917557 GEZ917492:GEZ917557 FVD917492:FVD917557 FLH917492:FLH917557 FBL917492:FBL917557 ERP917492:ERP917557 EHT917492:EHT917557 DXX917492:DXX917557 DOB917492:DOB917557 DEF917492:DEF917557 CUJ917492:CUJ917557 CKN917492:CKN917557 CAR917492:CAR917557 BQV917492:BQV917557 BGZ917492:BGZ917557 AXD917492:AXD917557 ANH917492:ANH917557 ADL917492:ADL917557 TP917492:TP917557 JT917492:JT917557 X917492:X917557 WWF851956:WWF852021 WMJ851956:WMJ852021 WCN851956:WCN852021 VSR851956:VSR852021 VIV851956:VIV852021 UYZ851956:UYZ852021 UPD851956:UPD852021 UFH851956:UFH852021 TVL851956:TVL852021 TLP851956:TLP852021 TBT851956:TBT852021 SRX851956:SRX852021 SIB851956:SIB852021 RYF851956:RYF852021 ROJ851956:ROJ852021 REN851956:REN852021 QUR851956:QUR852021 QKV851956:QKV852021 QAZ851956:QAZ852021 PRD851956:PRD852021 PHH851956:PHH852021 OXL851956:OXL852021 ONP851956:ONP852021 ODT851956:ODT852021 NTX851956:NTX852021 NKB851956:NKB852021 NAF851956:NAF852021 MQJ851956:MQJ852021 MGN851956:MGN852021 LWR851956:LWR852021 LMV851956:LMV852021 LCZ851956:LCZ852021 KTD851956:KTD852021 KJH851956:KJH852021 JZL851956:JZL852021 JPP851956:JPP852021 JFT851956:JFT852021 IVX851956:IVX852021 IMB851956:IMB852021 ICF851956:ICF852021 HSJ851956:HSJ852021 HIN851956:HIN852021 GYR851956:GYR852021 GOV851956:GOV852021 GEZ851956:GEZ852021 FVD851956:FVD852021 FLH851956:FLH852021 FBL851956:FBL852021 ERP851956:ERP852021 EHT851956:EHT852021 DXX851956:DXX852021 DOB851956:DOB852021 DEF851956:DEF852021 CUJ851956:CUJ852021 CKN851956:CKN852021 CAR851956:CAR852021 BQV851956:BQV852021 BGZ851956:BGZ852021 AXD851956:AXD852021 ANH851956:ANH852021 ADL851956:ADL852021 TP851956:TP852021 JT851956:JT852021 X851956:X852021 WWF786420:WWF786485 WMJ786420:WMJ786485 WCN786420:WCN786485 VSR786420:VSR786485 VIV786420:VIV786485 UYZ786420:UYZ786485 UPD786420:UPD786485 UFH786420:UFH786485 TVL786420:TVL786485 TLP786420:TLP786485 TBT786420:TBT786485 SRX786420:SRX786485 SIB786420:SIB786485 RYF786420:RYF786485 ROJ786420:ROJ786485 REN786420:REN786485 QUR786420:QUR786485 QKV786420:QKV786485 QAZ786420:QAZ786485 PRD786420:PRD786485 PHH786420:PHH786485 OXL786420:OXL786485 ONP786420:ONP786485 ODT786420:ODT786485 NTX786420:NTX786485 NKB786420:NKB786485 NAF786420:NAF786485 MQJ786420:MQJ786485 MGN786420:MGN786485 LWR786420:LWR786485 LMV786420:LMV786485 LCZ786420:LCZ786485 KTD786420:KTD786485 KJH786420:KJH786485 JZL786420:JZL786485 JPP786420:JPP786485 JFT786420:JFT786485 IVX786420:IVX786485 IMB786420:IMB786485 ICF786420:ICF786485 HSJ786420:HSJ786485 HIN786420:HIN786485 GYR786420:GYR786485 GOV786420:GOV786485 GEZ786420:GEZ786485 FVD786420:FVD786485 FLH786420:FLH786485 FBL786420:FBL786485 ERP786420:ERP786485 EHT786420:EHT786485 DXX786420:DXX786485 DOB786420:DOB786485 DEF786420:DEF786485 CUJ786420:CUJ786485 CKN786420:CKN786485 CAR786420:CAR786485 BQV786420:BQV786485 BGZ786420:BGZ786485 AXD786420:AXD786485 ANH786420:ANH786485 ADL786420:ADL786485 TP786420:TP786485 JT786420:JT786485 X786420:X786485 WWF720884:WWF720949 WMJ720884:WMJ720949 WCN720884:WCN720949 VSR720884:VSR720949 VIV720884:VIV720949 UYZ720884:UYZ720949 UPD720884:UPD720949 UFH720884:UFH720949 TVL720884:TVL720949 TLP720884:TLP720949 TBT720884:TBT720949 SRX720884:SRX720949 SIB720884:SIB720949 RYF720884:RYF720949 ROJ720884:ROJ720949 REN720884:REN720949 QUR720884:QUR720949 QKV720884:QKV720949 QAZ720884:QAZ720949 PRD720884:PRD720949 PHH720884:PHH720949 OXL720884:OXL720949 ONP720884:ONP720949 ODT720884:ODT720949 NTX720884:NTX720949 NKB720884:NKB720949 NAF720884:NAF720949 MQJ720884:MQJ720949 MGN720884:MGN720949 LWR720884:LWR720949 LMV720884:LMV720949 LCZ720884:LCZ720949 KTD720884:KTD720949 KJH720884:KJH720949 JZL720884:JZL720949 JPP720884:JPP720949 JFT720884:JFT720949 IVX720884:IVX720949 IMB720884:IMB720949 ICF720884:ICF720949 HSJ720884:HSJ720949 HIN720884:HIN720949 GYR720884:GYR720949 GOV720884:GOV720949 GEZ720884:GEZ720949 FVD720884:FVD720949 FLH720884:FLH720949 FBL720884:FBL720949 ERP720884:ERP720949 EHT720884:EHT720949 DXX720884:DXX720949 DOB720884:DOB720949 DEF720884:DEF720949 CUJ720884:CUJ720949 CKN720884:CKN720949 CAR720884:CAR720949 BQV720884:BQV720949 BGZ720884:BGZ720949 AXD720884:AXD720949 ANH720884:ANH720949 ADL720884:ADL720949 TP720884:TP720949 JT720884:JT720949 X720884:X720949 WWF655348:WWF655413 WMJ655348:WMJ655413 WCN655348:WCN655413 VSR655348:VSR655413 VIV655348:VIV655413 UYZ655348:UYZ655413 UPD655348:UPD655413 UFH655348:UFH655413 TVL655348:TVL655413 TLP655348:TLP655413 TBT655348:TBT655413 SRX655348:SRX655413 SIB655348:SIB655413 RYF655348:RYF655413 ROJ655348:ROJ655413 REN655348:REN655413 QUR655348:QUR655413 QKV655348:QKV655413 QAZ655348:QAZ655413 PRD655348:PRD655413 PHH655348:PHH655413 OXL655348:OXL655413 ONP655348:ONP655413 ODT655348:ODT655413 NTX655348:NTX655413 NKB655348:NKB655413 NAF655348:NAF655413 MQJ655348:MQJ655413 MGN655348:MGN655413 LWR655348:LWR655413 LMV655348:LMV655413 LCZ655348:LCZ655413 KTD655348:KTD655413 KJH655348:KJH655413 JZL655348:JZL655413 JPP655348:JPP655413 JFT655348:JFT655413 IVX655348:IVX655413 IMB655348:IMB655413 ICF655348:ICF655413 HSJ655348:HSJ655413 HIN655348:HIN655413 GYR655348:GYR655413 GOV655348:GOV655413 GEZ655348:GEZ655413 FVD655348:FVD655413 FLH655348:FLH655413 FBL655348:FBL655413 ERP655348:ERP655413 EHT655348:EHT655413 DXX655348:DXX655413 DOB655348:DOB655413 DEF655348:DEF655413 CUJ655348:CUJ655413 CKN655348:CKN655413 CAR655348:CAR655413 BQV655348:BQV655413 BGZ655348:BGZ655413 AXD655348:AXD655413 ANH655348:ANH655413 ADL655348:ADL655413 TP655348:TP655413 JT655348:JT655413 X655348:X655413 WWF589812:WWF589877 WMJ589812:WMJ589877 WCN589812:WCN589877 VSR589812:VSR589877 VIV589812:VIV589877 UYZ589812:UYZ589877 UPD589812:UPD589877 UFH589812:UFH589877 TVL589812:TVL589877 TLP589812:TLP589877 TBT589812:TBT589877 SRX589812:SRX589877 SIB589812:SIB589877 RYF589812:RYF589877 ROJ589812:ROJ589877 REN589812:REN589877 QUR589812:QUR589877 QKV589812:QKV589877 QAZ589812:QAZ589877 PRD589812:PRD589877 PHH589812:PHH589877 OXL589812:OXL589877 ONP589812:ONP589877 ODT589812:ODT589877 NTX589812:NTX589877 NKB589812:NKB589877 NAF589812:NAF589877 MQJ589812:MQJ589877 MGN589812:MGN589877 LWR589812:LWR589877 LMV589812:LMV589877 LCZ589812:LCZ589877 KTD589812:KTD589877 KJH589812:KJH589877 JZL589812:JZL589877 JPP589812:JPP589877 JFT589812:JFT589877 IVX589812:IVX589877 IMB589812:IMB589877 ICF589812:ICF589877 HSJ589812:HSJ589877 HIN589812:HIN589877 GYR589812:GYR589877 GOV589812:GOV589877 GEZ589812:GEZ589877 FVD589812:FVD589877 FLH589812:FLH589877 FBL589812:FBL589877 ERP589812:ERP589877 EHT589812:EHT589877 DXX589812:DXX589877 DOB589812:DOB589877 DEF589812:DEF589877 CUJ589812:CUJ589877 CKN589812:CKN589877 CAR589812:CAR589877 BQV589812:BQV589877 BGZ589812:BGZ589877 AXD589812:AXD589877 ANH589812:ANH589877 ADL589812:ADL589877 TP589812:TP589877 JT589812:JT589877 X589812:X589877 WWF524276:WWF524341 WMJ524276:WMJ524341 WCN524276:WCN524341 VSR524276:VSR524341 VIV524276:VIV524341 UYZ524276:UYZ524341 UPD524276:UPD524341 UFH524276:UFH524341 TVL524276:TVL524341 TLP524276:TLP524341 TBT524276:TBT524341 SRX524276:SRX524341 SIB524276:SIB524341 RYF524276:RYF524341 ROJ524276:ROJ524341 REN524276:REN524341 QUR524276:QUR524341 QKV524276:QKV524341 QAZ524276:QAZ524341 PRD524276:PRD524341 PHH524276:PHH524341 OXL524276:OXL524341 ONP524276:ONP524341 ODT524276:ODT524341 NTX524276:NTX524341 NKB524276:NKB524341 NAF524276:NAF524341 MQJ524276:MQJ524341 MGN524276:MGN524341 LWR524276:LWR524341 LMV524276:LMV524341 LCZ524276:LCZ524341 KTD524276:KTD524341 KJH524276:KJH524341 JZL524276:JZL524341 JPP524276:JPP524341 JFT524276:JFT524341 IVX524276:IVX524341 IMB524276:IMB524341 ICF524276:ICF524341 HSJ524276:HSJ524341 HIN524276:HIN524341 GYR524276:GYR524341 GOV524276:GOV524341 GEZ524276:GEZ524341 FVD524276:FVD524341 FLH524276:FLH524341 FBL524276:FBL524341 ERP524276:ERP524341 EHT524276:EHT524341 DXX524276:DXX524341 DOB524276:DOB524341 DEF524276:DEF524341 CUJ524276:CUJ524341 CKN524276:CKN524341 CAR524276:CAR524341 BQV524276:BQV524341 BGZ524276:BGZ524341 AXD524276:AXD524341 ANH524276:ANH524341 ADL524276:ADL524341 TP524276:TP524341 JT524276:JT524341 X524276:X524341 WWF458740:WWF458805 WMJ458740:WMJ458805 WCN458740:WCN458805 VSR458740:VSR458805 VIV458740:VIV458805 UYZ458740:UYZ458805 UPD458740:UPD458805 UFH458740:UFH458805 TVL458740:TVL458805 TLP458740:TLP458805 TBT458740:TBT458805 SRX458740:SRX458805 SIB458740:SIB458805 RYF458740:RYF458805 ROJ458740:ROJ458805 REN458740:REN458805 QUR458740:QUR458805 QKV458740:QKV458805 QAZ458740:QAZ458805 PRD458740:PRD458805 PHH458740:PHH458805 OXL458740:OXL458805 ONP458740:ONP458805 ODT458740:ODT458805 NTX458740:NTX458805 NKB458740:NKB458805 NAF458740:NAF458805 MQJ458740:MQJ458805 MGN458740:MGN458805 LWR458740:LWR458805 LMV458740:LMV458805 LCZ458740:LCZ458805 KTD458740:KTD458805 KJH458740:KJH458805 JZL458740:JZL458805 JPP458740:JPP458805 JFT458740:JFT458805 IVX458740:IVX458805 IMB458740:IMB458805 ICF458740:ICF458805 HSJ458740:HSJ458805 HIN458740:HIN458805 GYR458740:GYR458805 GOV458740:GOV458805 GEZ458740:GEZ458805 FVD458740:FVD458805 FLH458740:FLH458805 FBL458740:FBL458805 ERP458740:ERP458805 EHT458740:EHT458805 DXX458740:DXX458805 DOB458740:DOB458805 DEF458740:DEF458805 CUJ458740:CUJ458805 CKN458740:CKN458805 CAR458740:CAR458805 BQV458740:BQV458805 BGZ458740:BGZ458805 AXD458740:AXD458805 ANH458740:ANH458805 ADL458740:ADL458805 TP458740:TP458805 JT458740:JT458805 X458740:X458805 WWF393204:WWF393269 WMJ393204:WMJ393269 WCN393204:WCN393269 VSR393204:VSR393269 VIV393204:VIV393269 UYZ393204:UYZ393269 UPD393204:UPD393269 UFH393204:UFH393269 TVL393204:TVL393269 TLP393204:TLP393269 TBT393204:TBT393269 SRX393204:SRX393269 SIB393204:SIB393269 RYF393204:RYF393269 ROJ393204:ROJ393269 REN393204:REN393269 QUR393204:QUR393269 QKV393204:QKV393269 QAZ393204:QAZ393269 PRD393204:PRD393269 PHH393204:PHH393269 OXL393204:OXL393269 ONP393204:ONP393269 ODT393204:ODT393269 NTX393204:NTX393269 NKB393204:NKB393269 NAF393204:NAF393269 MQJ393204:MQJ393269 MGN393204:MGN393269 LWR393204:LWR393269 LMV393204:LMV393269 LCZ393204:LCZ393269 KTD393204:KTD393269 KJH393204:KJH393269 JZL393204:JZL393269 JPP393204:JPP393269 JFT393204:JFT393269 IVX393204:IVX393269 IMB393204:IMB393269 ICF393204:ICF393269 HSJ393204:HSJ393269 HIN393204:HIN393269 GYR393204:GYR393269 GOV393204:GOV393269 GEZ393204:GEZ393269 FVD393204:FVD393269 FLH393204:FLH393269 FBL393204:FBL393269 ERP393204:ERP393269 EHT393204:EHT393269 DXX393204:DXX393269 DOB393204:DOB393269 DEF393204:DEF393269 CUJ393204:CUJ393269 CKN393204:CKN393269 CAR393204:CAR393269 BQV393204:BQV393269 BGZ393204:BGZ393269 AXD393204:AXD393269 ANH393204:ANH393269 ADL393204:ADL393269 TP393204:TP393269 JT393204:JT393269 X393204:X393269 WWF327668:WWF327733 WMJ327668:WMJ327733 WCN327668:WCN327733 VSR327668:VSR327733 VIV327668:VIV327733 UYZ327668:UYZ327733 UPD327668:UPD327733 UFH327668:UFH327733 TVL327668:TVL327733 TLP327668:TLP327733 TBT327668:TBT327733 SRX327668:SRX327733 SIB327668:SIB327733 RYF327668:RYF327733 ROJ327668:ROJ327733 REN327668:REN327733 QUR327668:QUR327733 QKV327668:QKV327733 QAZ327668:QAZ327733 PRD327668:PRD327733 PHH327668:PHH327733 OXL327668:OXL327733 ONP327668:ONP327733 ODT327668:ODT327733 NTX327668:NTX327733 NKB327668:NKB327733 NAF327668:NAF327733 MQJ327668:MQJ327733 MGN327668:MGN327733 LWR327668:LWR327733 LMV327668:LMV327733 LCZ327668:LCZ327733 KTD327668:KTD327733 KJH327668:KJH327733 JZL327668:JZL327733 JPP327668:JPP327733 JFT327668:JFT327733 IVX327668:IVX327733 IMB327668:IMB327733 ICF327668:ICF327733 HSJ327668:HSJ327733 HIN327668:HIN327733 GYR327668:GYR327733 GOV327668:GOV327733 GEZ327668:GEZ327733 FVD327668:FVD327733 FLH327668:FLH327733 FBL327668:FBL327733 ERP327668:ERP327733 EHT327668:EHT327733 DXX327668:DXX327733 DOB327668:DOB327733 DEF327668:DEF327733 CUJ327668:CUJ327733 CKN327668:CKN327733 CAR327668:CAR327733 BQV327668:BQV327733 BGZ327668:BGZ327733 AXD327668:AXD327733 ANH327668:ANH327733 ADL327668:ADL327733 TP327668:TP327733 JT327668:JT327733 X327668:X327733 WWF262132:WWF262197 WMJ262132:WMJ262197 WCN262132:WCN262197 VSR262132:VSR262197 VIV262132:VIV262197 UYZ262132:UYZ262197 UPD262132:UPD262197 UFH262132:UFH262197 TVL262132:TVL262197 TLP262132:TLP262197 TBT262132:TBT262197 SRX262132:SRX262197 SIB262132:SIB262197 RYF262132:RYF262197 ROJ262132:ROJ262197 REN262132:REN262197 QUR262132:QUR262197 QKV262132:QKV262197 QAZ262132:QAZ262197 PRD262132:PRD262197 PHH262132:PHH262197 OXL262132:OXL262197 ONP262132:ONP262197 ODT262132:ODT262197 NTX262132:NTX262197 NKB262132:NKB262197 NAF262132:NAF262197 MQJ262132:MQJ262197 MGN262132:MGN262197 LWR262132:LWR262197 LMV262132:LMV262197 LCZ262132:LCZ262197 KTD262132:KTD262197 KJH262132:KJH262197 JZL262132:JZL262197 JPP262132:JPP262197 JFT262132:JFT262197 IVX262132:IVX262197 IMB262132:IMB262197 ICF262132:ICF262197 HSJ262132:HSJ262197 HIN262132:HIN262197 GYR262132:GYR262197 GOV262132:GOV262197 GEZ262132:GEZ262197 FVD262132:FVD262197 FLH262132:FLH262197 FBL262132:FBL262197 ERP262132:ERP262197 EHT262132:EHT262197 DXX262132:DXX262197 DOB262132:DOB262197 DEF262132:DEF262197 CUJ262132:CUJ262197 CKN262132:CKN262197 CAR262132:CAR262197 BQV262132:BQV262197 BGZ262132:BGZ262197 AXD262132:AXD262197 ANH262132:ANH262197 ADL262132:ADL262197 TP262132:TP262197 JT262132:JT262197 X262132:X262197 WWF196596:WWF196661 WMJ196596:WMJ196661 WCN196596:WCN196661 VSR196596:VSR196661 VIV196596:VIV196661 UYZ196596:UYZ196661 UPD196596:UPD196661 UFH196596:UFH196661 TVL196596:TVL196661 TLP196596:TLP196661 TBT196596:TBT196661 SRX196596:SRX196661 SIB196596:SIB196661 RYF196596:RYF196661 ROJ196596:ROJ196661 REN196596:REN196661 QUR196596:QUR196661 QKV196596:QKV196661 QAZ196596:QAZ196661 PRD196596:PRD196661 PHH196596:PHH196661 OXL196596:OXL196661 ONP196596:ONP196661 ODT196596:ODT196661 NTX196596:NTX196661 NKB196596:NKB196661 NAF196596:NAF196661 MQJ196596:MQJ196661 MGN196596:MGN196661 LWR196596:LWR196661 LMV196596:LMV196661 LCZ196596:LCZ196661 KTD196596:KTD196661 KJH196596:KJH196661 JZL196596:JZL196661 JPP196596:JPP196661 JFT196596:JFT196661 IVX196596:IVX196661 IMB196596:IMB196661 ICF196596:ICF196661 HSJ196596:HSJ196661 HIN196596:HIN196661 GYR196596:GYR196661 GOV196596:GOV196661 GEZ196596:GEZ196661 FVD196596:FVD196661 FLH196596:FLH196661 FBL196596:FBL196661 ERP196596:ERP196661 EHT196596:EHT196661 DXX196596:DXX196661 DOB196596:DOB196661 DEF196596:DEF196661 CUJ196596:CUJ196661 CKN196596:CKN196661 CAR196596:CAR196661 BQV196596:BQV196661 BGZ196596:BGZ196661 AXD196596:AXD196661 ANH196596:ANH196661 ADL196596:ADL196661 TP196596:TP196661 JT196596:JT196661 X196596:X196661 WWF131060:WWF131125 WMJ131060:WMJ131125 WCN131060:WCN131125 VSR131060:VSR131125 VIV131060:VIV131125 UYZ131060:UYZ131125 UPD131060:UPD131125 UFH131060:UFH131125 TVL131060:TVL131125 TLP131060:TLP131125 TBT131060:TBT131125 SRX131060:SRX131125 SIB131060:SIB131125 RYF131060:RYF131125 ROJ131060:ROJ131125 REN131060:REN131125 QUR131060:QUR131125 QKV131060:QKV131125 QAZ131060:QAZ131125 PRD131060:PRD131125 PHH131060:PHH131125 OXL131060:OXL131125 ONP131060:ONP131125 ODT131060:ODT131125 NTX131060:NTX131125 NKB131060:NKB131125 NAF131060:NAF131125 MQJ131060:MQJ131125 MGN131060:MGN131125 LWR131060:LWR131125 LMV131060:LMV131125 LCZ131060:LCZ131125 KTD131060:KTD131125 KJH131060:KJH131125 JZL131060:JZL131125 JPP131060:JPP131125 JFT131060:JFT131125 IVX131060:IVX131125 IMB131060:IMB131125 ICF131060:ICF131125 HSJ131060:HSJ131125 HIN131060:HIN131125 GYR131060:GYR131125 GOV131060:GOV131125 GEZ131060:GEZ131125 FVD131060:FVD131125 FLH131060:FLH131125 FBL131060:FBL131125 ERP131060:ERP131125 EHT131060:EHT131125 DXX131060:DXX131125 DOB131060:DOB131125 DEF131060:DEF131125 CUJ131060:CUJ131125 CKN131060:CKN131125 CAR131060:CAR131125 BQV131060:BQV131125 BGZ131060:BGZ131125 AXD131060:AXD131125 ANH131060:ANH131125 ADL131060:ADL131125 TP131060:TP131125 JT131060:JT131125 X131060:X131125 WWF65524:WWF65589 WMJ65524:WMJ65589 WCN65524:WCN65589 VSR65524:VSR65589 VIV65524:VIV65589 UYZ65524:UYZ65589 UPD65524:UPD65589 UFH65524:UFH65589 TVL65524:TVL65589 TLP65524:TLP65589 TBT65524:TBT65589 SRX65524:SRX65589 SIB65524:SIB65589 RYF65524:RYF65589 ROJ65524:ROJ65589 REN65524:REN65589 QUR65524:QUR65589 QKV65524:QKV65589 QAZ65524:QAZ65589 PRD65524:PRD65589 PHH65524:PHH65589 OXL65524:OXL65589 ONP65524:ONP65589 ODT65524:ODT65589 NTX65524:NTX65589 NKB65524:NKB65589 NAF65524:NAF65589 MQJ65524:MQJ65589 MGN65524:MGN65589 LWR65524:LWR65589 LMV65524:LMV65589 LCZ65524:LCZ65589 KTD65524:KTD65589 KJH65524:KJH65589 JZL65524:JZL65589 JPP65524:JPP65589 JFT65524:JFT65589 IVX65524:IVX65589 IMB65524:IMB65589 ICF65524:ICF65589 HSJ65524:HSJ65589 HIN65524:HIN65589 GYR65524:GYR65589 GOV65524:GOV65589 GEZ65524:GEZ65589 FVD65524:FVD65589 FLH65524:FLH65589 FBL65524:FBL65589 ERP65524:ERP65589 EHT65524:EHT65589 DXX65524:DXX65589 DOB65524:DOB65589 DEF65524:DEF65589 CUJ65524:CUJ65589 CKN65524:CKN65589 CAR65524:CAR65589 BQV65524:BQV65589 BGZ65524:BGZ65589 AXD65524:AXD65589 ANH65524:ANH65589 ADL65524:ADL65589 TP65524:TP65589 JT65524:JT65589 X65524:X65589 WWF983028:WWF983093 WWF1047389:WWF1047454 WMJ1047389:WMJ1047454 WCN1047389:WCN1047454 VSR1047389:VSR1047454 VIV1047389:VIV1047454 UYZ1047389:UYZ1047454 UPD1047389:UPD1047454 UFH1047389:UFH1047454 TVL1047389:TVL1047454 TLP1047389:TLP1047454 TBT1047389:TBT1047454 SRX1047389:SRX1047454 SIB1047389:SIB1047454 RYF1047389:RYF1047454 ROJ1047389:ROJ1047454 REN1047389:REN1047454 QUR1047389:QUR1047454 QKV1047389:QKV1047454 QAZ1047389:QAZ1047454 PRD1047389:PRD1047454 PHH1047389:PHH1047454 OXL1047389:OXL1047454 ONP1047389:ONP1047454 ODT1047389:ODT1047454 NTX1047389:NTX1047454 NKB1047389:NKB1047454 NAF1047389:NAF1047454 MQJ1047389:MQJ1047454 MGN1047389:MGN1047454 LWR1047389:LWR1047454 LMV1047389:LMV1047454 LCZ1047389:LCZ1047454 KTD1047389:KTD1047454 KJH1047389:KJH1047454 JZL1047389:JZL1047454 JPP1047389:JPP1047454 JFT1047389:JFT1047454 IVX1047389:IVX1047454 IMB1047389:IMB1047454 ICF1047389:ICF1047454 HSJ1047389:HSJ1047454 HIN1047389:HIN1047454 GYR1047389:GYR1047454 GOV1047389:GOV1047454 GEZ1047389:GEZ1047454 FVD1047389:FVD1047454 FLH1047389:FLH1047454 FBL1047389:FBL1047454 ERP1047389:ERP1047454 EHT1047389:EHT1047454 DXX1047389:DXX1047454 DOB1047389:DOB1047454 DEF1047389:DEF1047454 CUJ1047389:CUJ1047454 CKN1047389:CKN1047454 CAR1047389:CAR1047454 BQV1047389:BQV1047454 BGZ1047389:BGZ1047454 AXD1047389:AXD1047454 ANH1047389:ANH1047454 ADL1047389:ADL1047454 TP1047389:TP1047454 JT1047389:JT1047454 X1047389:X1047454 WWF981853:WWF981918 WMJ981853:WMJ981918 WCN981853:WCN981918 VSR981853:VSR981918 VIV981853:VIV981918 UYZ981853:UYZ981918 UPD981853:UPD981918 UFH981853:UFH981918 TVL981853:TVL981918 TLP981853:TLP981918 TBT981853:TBT981918 SRX981853:SRX981918 SIB981853:SIB981918 RYF981853:RYF981918 ROJ981853:ROJ981918 REN981853:REN981918 QUR981853:QUR981918 QKV981853:QKV981918 QAZ981853:QAZ981918 PRD981853:PRD981918 PHH981853:PHH981918 OXL981853:OXL981918 ONP981853:ONP981918 ODT981853:ODT981918 NTX981853:NTX981918 NKB981853:NKB981918 NAF981853:NAF981918 MQJ981853:MQJ981918 MGN981853:MGN981918 LWR981853:LWR981918 LMV981853:LMV981918 LCZ981853:LCZ981918 KTD981853:KTD981918 KJH981853:KJH981918 JZL981853:JZL981918 JPP981853:JPP981918 JFT981853:JFT981918 IVX981853:IVX981918 IMB981853:IMB981918 ICF981853:ICF981918 HSJ981853:HSJ981918 HIN981853:HIN981918 GYR981853:GYR981918 GOV981853:GOV981918 GEZ981853:GEZ981918 FVD981853:FVD981918 FLH981853:FLH981918 FBL981853:FBL981918 ERP981853:ERP981918 EHT981853:EHT981918 DXX981853:DXX981918 DOB981853:DOB981918 DEF981853:DEF981918 CUJ981853:CUJ981918 CKN981853:CKN981918 CAR981853:CAR981918 BQV981853:BQV981918 BGZ981853:BGZ981918 AXD981853:AXD981918 ANH981853:ANH981918 ADL981853:ADL981918 TP981853:TP981918 JT981853:JT981918 X981853:X981918 WWF916317:WWF916382 WMJ916317:WMJ916382 WCN916317:WCN916382 VSR916317:VSR916382 VIV916317:VIV916382 UYZ916317:UYZ916382 UPD916317:UPD916382 UFH916317:UFH916382 TVL916317:TVL916382 TLP916317:TLP916382 TBT916317:TBT916382 SRX916317:SRX916382 SIB916317:SIB916382 RYF916317:RYF916382 ROJ916317:ROJ916382 REN916317:REN916382 QUR916317:QUR916382 QKV916317:QKV916382 QAZ916317:QAZ916382 PRD916317:PRD916382 PHH916317:PHH916382 OXL916317:OXL916382 ONP916317:ONP916382 ODT916317:ODT916382 NTX916317:NTX916382 NKB916317:NKB916382 NAF916317:NAF916382 MQJ916317:MQJ916382 MGN916317:MGN916382 LWR916317:LWR916382 LMV916317:LMV916382 LCZ916317:LCZ916382 KTD916317:KTD916382 KJH916317:KJH916382 JZL916317:JZL916382 JPP916317:JPP916382 JFT916317:JFT916382 IVX916317:IVX916382 IMB916317:IMB916382 ICF916317:ICF916382 HSJ916317:HSJ916382 HIN916317:HIN916382 GYR916317:GYR916382 GOV916317:GOV916382 GEZ916317:GEZ916382 FVD916317:FVD916382 FLH916317:FLH916382 FBL916317:FBL916382 ERP916317:ERP916382 EHT916317:EHT916382 DXX916317:DXX916382 DOB916317:DOB916382 DEF916317:DEF916382 CUJ916317:CUJ916382 CKN916317:CKN916382 CAR916317:CAR916382 BQV916317:BQV916382 BGZ916317:BGZ916382 AXD916317:AXD916382 ANH916317:ANH916382 ADL916317:ADL916382 TP916317:TP916382 JT916317:JT916382 X916317:X916382 WWF850781:WWF850846 WMJ850781:WMJ850846 WCN850781:WCN850846 VSR850781:VSR850846 VIV850781:VIV850846 UYZ850781:UYZ850846 UPD850781:UPD850846 UFH850781:UFH850846 TVL850781:TVL850846 TLP850781:TLP850846 TBT850781:TBT850846 SRX850781:SRX850846 SIB850781:SIB850846 RYF850781:RYF850846 ROJ850781:ROJ850846 REN850781:REN850846 QUR850781:QUR850846 QKV850781:QKV850846 QAZ850781:QAZ850846 PRD850781:PRD850846 PHH850781:PHH850846 OXL850781:OXL850846 ONP850781:ONP850846 ODT850781:ODT850846 NTX850781:NTX850846 NKB850781:NKB850846 NAF850781:NAF850846 MQJ850781:MQJ850846 MGN850781:MGN850846 LWR850781:LWR850846 LMV850781:LMV850846 LCZ850781:LCZ850846 KTD850781:KTD850846 KJH850781:KJH850846 JZL850781:JZL850846 JPP850781:JPP850846 JFT850781:JFT850846 IVX850781:IVX850846 IMB850781:IMB850846 ICF850781:ICF850846 HSJ850781:HSJ850846 HIN850781:HIN850846 GYR850781:GYR850846 GOV850781:GOV850846 GEZ850781:GEZ850846 FVD850781:FVD850846 FLH850781:FLH850846 FBL850781:FBL850846 ERP850781:ERP850846 EHT850781:EHT850846 DXX850781:DXX850846 DOB850781:DOB850846 DEF850781:DEF850846 CUJ850781:CUJ850846 CKN850781:CKN850846 CAR850781:CAR850846 BQV850781:BQV850846 BGZ850781:BGZ850846 AXD850781:AXD850846 ANH850781:ANH850846 ADL850781:ADL850846 TP850781:TP850846 JT850781:JT850846 X850781:X850846 WWF785245:WWF785310 WMJ785245:WMJ785310 WCN785245:WCN785310 VSR785245:VSR785310 VIV785245:VIV785310 UYZ785245:UYZ785310 UPD785245:UPD785310 UFH785245:UFH785310 TVL785245:TVL785310 TLP785245:TLP785310 TBT785245:TBT785310 SRX785245:SRX785310 SIB785245:SIB785310 RYF785245:RYF785310 ROJ785245:ROJ785310 REN785245:REN785310 QUR785245:QUR785310 QKV785245:QKV785310 QAZ785245:QAZ785310 PRD785245:PRD785310 PHH785245:PHH785310 OXL785245:OXL785310 ONP785245:ONP785310 ODT785245:ODT785310 NTX785245:NTX785310 NKB785245:NKB785310 NAF785245:NAF785310 MQJ785245:MQJ785310 MGN785245:MGN785310 LWR785245:LWR785310 LMV785245:LMV785310 LCZ785245:LCZ785310 KTD785245:KTD785310 KJH785245:KJH785310 JZL785245:JZL785310 JPP785245:JPP785310 JFT785245:JFT785310 IVX785245:IVX785310 IMB785245:IMB785310 ICF785245:ICF785310 HSJ785245:HSJ785310 HIN785245:HIN785310 GYR785245:GYR785310 GOV785245:GOV785310 GEZ785245:GEZ785310 FVD785245:FVD785310 FLH785245:FLH785310 FBL785245:FBL785310 ERP785245:ERP785310 EHT785245:EHT785310 DXX785245:DXX785310 DOB785245:DOB785310 DEF785245:DEF785310 CUJ785245:CUJ785310 CKN785245:CKN785310 CAR785245:CAR785310 BQV785245:BQV785310 BGZ785245:BGZ785310 AXD785245:AXD785310 ANH785245:ANH785310 ADL785245:ADL785310 TP785245:TP785310 JT785245:JT785310 X785245:X785310 WWF719709:WWF719774 WMJ719709:WMJ719774 WCN719709:WCN719774 VSR719709:VSR719774 VIV719709:VIV719774 UYZ719709:UYZ719774 UPD719709:UPD719774 UFH719709:UFH719774 TVL719709:TVL719774 TLP719709:TLP719774 TBT719709:TBT719774 SRX719709:SRX719774 SIB719709:SIB719774 RYF719709:RYF719774 ROJ719709:ROJ719774 REN719709:REN719774 QUR719709:QUR719774 QKV719709:QKV719774 QAZ719709:QAZ719774 PRD719709:PRD719774 PHH719709:PHH719774 OXL719709:OXL719774 ONP719709:ONP719774 ODT719709:ODT719774 NTX719709:NTX719774 NKB719709:NKB719774 NAF719709:NAF719774 MQJ719709:MQJ719774 MGN719709:MGN719774 LWR719709:LWR719774 LMV719709:LMV719774 LCZ719709:LCZ719774 KTD719709:KTD719774 KJH719709:KJH719774 JZL719709:JZL719774 JPP719709:JPP719774 JFT719709:JFT719774 IVX719709:IVX719774 IMB719709:IMB719774 ICF719709:ICF719774 HSJ719709:HSJ719774 HIN719709:HIN719774 GYR719709:GYR719774 GOV719709:GOV719774 GEZ719709:GEZ719774 FVD719709:FVD719774 FLH719709:FLH719774 FBL719709:FBL719774 ERP719709:ERP719774 EHT719709:EHT719774 DXX719709:DXX719774 DOB719709:DOB719774 DEF719709:DEF719774 CUJ719709:CUJ719774 CKN719709:CKN719774 CAR719709:CAR719774 BQV719709:BQV719774 BGZ719709:BGZ719774 AXD719709:AXD719774 ANH719709:ANH719774 ADL719709:ADL719774 TP719709:TP719774 JT719709:JT719774 X719709:X719774 WWF654173:WWF654238 WMJ654173:WMJ654238 WCN654173:WCN654238 VSR654173:VSR654238 VIV654173:VIV654238 UYZ654173:UYZ654238 UPD654173:UPD654238 UFH654173:UFH654238 TVL654173:TVL654238 TLP654173:TLP654238 TBT654173:TBT654238 SRX654173:SRX654238 SIB654173:SIB654238 RYF654173:RYF654238 ROJ654173:ROJ654238 REN654173:REN654238 QUR654173:QUR654238 QKV654173:QKV654238 QAZ654173:QAZ654238 PRD654173:PRD654238 PHH654173:PHH654238 OXL654173:OXL654238 ONP654173:ONP654238 ODT654173:ODT654238 NTX654173:NTX654238 NKB654173:NKB654238 NAF654173:NAF654238 MQJ654173:MQJ654238 MGN654173:MGN654238 LWR654173:LWR654238 LMV654173:LMV654238 LCZ654173:LCZ654238 KTD654173:KTD654238 KJH654173:KJH654238 JZL654173:JZL654238 JPP654173:JPP654238 JFT654173:JFT654238 IVX654173:IVX654238 IMB654173:IMB654238 ICF654173:ICF654238 HSJ654173:HSJ654238 HIN654173:HIN654238 GYR654173:GYR654238 GOV654173:GOV654238 GEZ654173:GEZ654238 FVD654173:FVD654238 FLH654173:FLH654238 FBL654173:FBL654238 ERP654173:ERP654238 EHT654173:EHT654238 DXX654173:DXX654238 DOB654173:DOB654238 DEF654173:DEF654238 CUJ654173:CUJ654238 CKN654173:CKN654238 CAR654173:CAR654238 BQV654173:BQV654238 BGZ654173:BGZ654238 AXD654173:AXD654238 ANH654173:ANH654238 ADL654173:ADL654238 TP654173:TP654238 JT654173:JT654238 X654173:X654238 WWF588637:WWF588702 WMJ588637:WMJ588702 WCN588637:WCN588702 VSR588637:VSR588702 VIV588637:VIV588702 UYZ588637:UYZ588702 UPD588637:UPD588702 UFH588637:UFH588702 TVL588637:TVL588702 TLP588637:TLP588702 TBT588637:TBT588702 SRX588637:SRX588702 SIB588637:SIB588702 RYF588637:RYF588702 ROJ588637:ROJ588702 REN588637:REN588702 QUR588637:QUR588702 QKV588637:QKV588702 QAZ588637:QAZ588702 PRD588637:PRD588702 PHH588637:PHH588702 OXL588637:OXL588702 ONP588637:ONP588702 ODT588637:ODT588702 NTX588637:NTX588702 NKB588637:NKB588702 NAF588637:NAF588702 MQJ588637:MQJ588702 MGN588637:MGN588702 LWR588637:LWR588702 LMV588637:LMV588702 LCZ588637:LCZ588702 KTD588637:KTD588702 KJH588637:KJH588702 JZL588637:JZL588702 JPP588637:JPP588702 JFT588637:JFT588702 IVX588637:IVX588702 IMB588637:IMB588702 ICF588637:ICF588702 HSJ588637:HSJ588702 HIN588637:HIN588702 GYR588637:GYR588702 GOV588637:GOV588702 GEZ588637:GEZ588702 FVD588637:FVD588702 FLH588637:FLH588702 FBL588637:FBL588702 ERP588637:ERP588702 EHT588637:EHT588702 DXX588637:DXX588702 DOB588637:DOB588702 DEF588637:DEF588702 CUJ588637:CUJ588702 CKN588637:CKN588702 CAR588637:CAR588702 BQV588637:BQV588702 BGZ588637:BGZ588702 AXD588637:AXD588702 ANH588637:ANH588702 ADL588637:ADL588702 TP588637:TP588702 JT588637:JT588702 X588637:X588702 WWF523101:WWF523166 WMJ523101:WMJ523166 WCN523101:WCN523166 VSR523101:VSR523166 VIV523101:VIV523166 UYZ523101:UYZ523166 UPD523101:UPD523166 UFH523101:UFH523166 TVL523101:TVL523166 TLP523101:TLP523166 TBT523101:TBT523166 SRX523101:SRX523166 SIB523101:SIB523166 RYF523101:RYF523166 ROJ523101:ROJ523166 REN523101:REN523166 QUR523101:QUR523166 QKV523101:QKV523166 QAZ523101:QAZ523166 PRD523101:PRD523166 PHH523101:PHH523166 OXL523101:OXL523166 ONP523101:ONP523166 ODT523101:ODT523166 NTX523101:NTX523166 NKB523101:NKB523166 NAF523101:NAF523166 MQJ523101:MQJ523166 MGN523101:MGN523166 LWR523101:LWR523166 LMV523101:LMV523166 LCZ523101:LCZ523166 KTD523101:KTD523166 KJH523101:KJH523166 JZL523101:JZL523166 JPP523101:JPP523166 JFT523101:JFT523166 IVX523101:IVX523166 IMB523101:IMB523166 ICF523101:ICF523166 HSJ523101:HSJ523166 HIN523101:HIN523166 GYR523101:GYR523166 GOV523101:GOV523166 GEZ523101:GEZ523166 FVD523101:FVD523166 FLH523101:FLH523166 FBL523101:FBL523166 ERP523101:ERP523166 EHT523101:EHT523166 DXX523101:DXX523166 DOB523101:DOB523166 DEF523101:DEF523166 CUJ523101:CUJ523166 CKN523101:CKN523166 CAR523101:CAR523166 BQV523101:BQV523166 BGZ523101:BGZ523166 AXD523101:AXD523166 ANH523101:ANH523166 ADL523101:ADL523166 TP523101:TP523166 JT523101:JT523166 X523101:X523166 WWF457565:WWF457630 WMJ457565:WMJ457630 WCN457565:WCN457630 VSR457565:VSR457630 VIV457565:VIV457630 UYZ457565:UYZ457630 UPD457565:UPD457630 UFH457565:UFH457630 TVL457565:TVL457630 TLP457565:TLP457630 TBT457565:TBT457630 SRX457565:SRX457630 SIB457565:SIB457630 RYF457565:RYF457630 ROJ457565:ROJ457630 REN457565:REN457630 QUR457565:QUR457630 QKV457565:QKV457630 QAZ457565:QAZ457630 PRD457565:PRD457630 PHH457565:PHH457630 OXL457565:OXL457630 ONP457565:ONP457630 ODT457565:ODT457630 NTX457565:NTX457630 NKB457565:NKB457630 NAF457565:NAF457630 MQJ457565:MQJ457630 MGN457565:MGN457630 LWR457565:LWR457630 LMV457565:LMV457630 LCZ457565:LCZ457630 KTD457565:KTD457630 KJH457565:KJH457630 JZL457565:JZL457630 JPP457565:JPP457630 JFT457565:JFT457630 IVX457565:IVX457630 IMB457565:IMB457630 ICF457565:ICF457630 HSJ457565:HSJ457630 HIN457565:HIN457630 GYR457565:GYR457630 GOV457565:GOV457630 GEZ457565:GEZ457630 FVD457565:FVD457630 FLH457565:FLH457630 FBL457565:FBL457630 ERP457565:ERP457630 EHT457565:EHT457630 DXX457565:DXX457630 DOB457565:DOB457630 DEF457565:DEF457630 CUJ457565:CUJ457630 CKN457565:CKN457630 CAR457565:CAR457630 BQV457565:BQV457630 BGZ457565:BGZ457630 AXD457565:AXD457630 ANH457565:ANH457630 ADL457565:ADL457630 TP457565:TP457630 JT457565:JT457630 X457565:X457630 WWF392029:WWF392094 WMJ392029:WMJ392094 WCN392029:WCN392094 VSR392029:VSR392094 VIV392029:VIV392094 UYZ392029:UYZ392094 UPD392029:UPD392094 UFH392029:UFH392094 TVL392029:TVL392094 TLP392029:TLP392094 TBT392029:TBT392094 SRX392029:SRX392094 SIB392029:SIB392094 RYF392029:RYF392094 ROJ392029:ROJ392094 REN392029:REN392094 QUR392029:QUR392094 QKV392029:QKV392094 QAZ392029:QAZ392094 PRD392029:PRD392094 PHH392029:PHH392094 OXL392029:OXL392094 ONP392029:ONP392094 ODT392029:ODT392094 NTX392029:NTX392094 NKB392029:NKB392094 NAF392029:NAF392094 MQJ392029:MQJ392094 MGN392029:MGN392094 LWR392029:LWR392094 LMV392029:LMV392094 LCZ392029:LCZ392094 KTD392029:KTD392094 KJH392029:KJH392094 JZL392029:JZL392094 JPP392029:JPP392094 JFT392029:JFT392094 IVX392029:IVX392094 IMB392029:IMB392094 ICF392029:ICF392094 HSJ392029:HSJ392094 HIN392029:HIN392094 GYR392029:GYR392094 GOV392029:GOV392094 GEZ392029:GEZ392094 FVD392029:FVD392094 FLH392029:FLH392094 FBL392029:FBL392094 ERP392029:ERP392094 EHT392029:EHT392094 DXX392029:DXX392094 DOB392029:DOB392094 DEF392029:DEF392094 CUJ392029:CUJ392094 CKN392029:CKN392094 CAR392029:CAR392094 BQV392029:BQV392094 BGZ392029:BGZ392094 AXD392029:AXD392094 ANH392029:ANH392094 ADL392029:ADL392094 TP392029:TP392094 JT392029:JT392094 X392029:X392094 WWF326493:WWF326558 WMJ326493:WMJ326558 WCN326493:WCN326558 VSR326493:VSR326558 VIV326493:VIV326558 UYZ326493:UYZ326558 UPD326493:UPD326558 UFH326493:UFH326558 TVL326493:TVL326558 TLP326493:TLP326558 TBT326493:TBT326558 SRX326493:SRX326558 SIB326493:SIB326558 RYF326493:RYF326558 ROJ326493:ROJ326558 REN326493:REN326558 QUR326493:QUR326558 QKV326493:QKV326558 QAZ326493:QAZ326558 PRD326493:PRD326558 PHH326493:PHH326558 OXL326493:OXL326558 ONP326493:ONP326558 ODT326493:ODT326558 NTX326493:NTX326558 NKB326493:NKB326558 NAF326493:NAF326558 MQJ326493:MQJ326558 MGN326493:MGN326558 LWR326493:LWR326558 LMV326493:LMV326558 LCZ326493:LCZ326558 KTD326493:KTD326558 KJH326493:KJH326558 JZL326493:JZL326558 JPP326493:JPP326558 JFT326493:JFT326558 IVX326493:IVX326558 IMB326493:IMB326558 ICF326493:ICF326558 HSJ326493:HSJ326558 HIN326493:HIN326558 GYR326493:GYR326558 GOV326493:GOV326558 GEZ326493:GEZ326558 FVD326493:FVD326558 FLH326493:FLH326558 FBL326493:FBL326558 ERP326493:ERP326558 EHT326493:EHT326558 DXX326493:DXX326558 DOB326493:DOB326558 DEF326493:DEF326558 CUJ326493:CUJ326558 CKN326493:CKN326558 CAR326493:CAR326558 BQV326493:BQV326558 BGZ326493:BGZ326558 AXD326493:AXD326558 ANH326493:ANH326558 ADL326493:ADL326558 TP326493:TP326558 JT326493:JT326558 X326493:X326558 WWF260957:WWF261022 WMJ260957:WMJ261022 WCN260957:WCN261022 VSR260957:VSR261022 VIV260957:VIV261022 UYZ260957:UYZ261022 UPD260957:UPD261022 UFH260957:UFH261022 TVL260957:TVL261022 TLP260957:TLP261022 TBT260957:TBT261022 SRX260957:SRX261022 SIB260957:SIB261022 RYF260957:RYF261022 ROJ260957:ROJ261022 REN260957:REN261022 QUR260957:QUR261022 QKV260957:QKV261022 QAZ260957:QAZ261022 PRD260957:PRD261022 PHH260957:PHH261022 OXL260957:OXL261022 ONP260957:ONP261022 ODT260957:ODT261022 NTX260957:NTX261022 NKB260957:NKB261022 NAF260957:NAF261022 MQJ260957:MQJ261022 MGN260957:MGN261022 LWR260957:LWR261022 LMV260957:LMV261022 LCZ260957:LCZ261022 KTD260957:KTD261022 KJH260957:KJH261022 JZL260957:JZL261022 JPP260957:JPP261022 JFT260957:JFT261022 IVX260957:IVX261022 IMB260957:IMB261022 ICF260957:ICF261022 HSJ260957:HSJ261022 HIN260957:HIN261022 GYR260957:GYR261022 GOV260957:GOV261022 GEZ260957:GEZ261022 FVD260957:FVD261022 FLH260957:FLH261022 FBL260957:FBL261022 ERP260957:ERP261022 EHT260957:EHT261022 DXX260957:DXX261022 DOB260957:DOB261022 DEF260957:DEF261022 CUJ260957:CUJ261022 CKN260957:CKN261022 CAR260957:CAR261022 BQV260957:BQV261022 BGZ260957:BGZ261022 AXD260957:AXD261022 ANH260957:ANH261022 ADL260957:ADL261022 TP260957:TP261022 JT260957:JT261022 X260957:X261022 WWF195421:WWF195486 WMJ195421:WMJ195486 WCN195421:WCN195486 VSR195421:VSR195486 VIV195421:VIV195486 UYZ195421:UYZ195486 UPD195421:UPD195486 UFH195421:UFH195486 TVL195421:TVL195486 TLP195421:TLP195486 TBT195421:TBT195486 SRX195421:SRX195486 SIB195421:SIB195486 RYF195421:RYF195486 ROJ195421:ROJ195486 REN195421:REN195486 QUR195421:QUR195486 QKV195421:QKV195486 QAZ195421:QAZ195486 PRD195421:PRD195486 PHH195421:PHH195486 OXL195421:OXL195486 ONP195421:ONP195486 ODT195421:ODT195486 NTX195421:NTX195486 NKB195421:NKB195486 NAF195421:NAF195486 MQJ195421:MQJ195486 MGN195421:MGN195486 LWR195421:LWR195486 LMV195421:LMV195486 LCZ195421:LCZ195486 KTD195421:KTD195486 KJH195421:KJH195486 JZL195421:JZL195486 JPP195421:JPP195486 JFT195421:JFT195486 IVX195421:IVX195486 IMB195421:IMB195486 ICF195421:ICF195486 HSJ195421:HSJ195486 HIN195421:HIN195486 GYR195421:GYR195486 GOV195421:GOV195486 GEZ195421:GEZ195486 FVD195421:FVD195486 FLH195421:FLH195486 FBL195421:FBL195486 ERP195421:ERP195486 EHT195421:EHT195486 DXX195421:DXX195486 DOB195421:DOB195486 DEF195421:DEF195486 CUJ195421:CUJ195486 CKN195421:CKN195486 CAR195421:CAR195486 BQV195421:BQV195486 BGZ195421:BGZ195486 AXD195421:AXD195486 ANH195421:ANH195486 ADL195421:ADL195486 TP195421:TP195486 JT195421:JT195486 X195421:X195486 WWF129885:WWF129950 WMJ129885:WMJ129950 WCN129885:WCN129950 VSR129885:VSR129950 VIV129885:VIV129950 UYZ129885:UYZ129950 UPD129885:UPD129950 UFH129885:UFH129950 TVL129885:TVL129950 TLP129885:TLP129950 TBT129885:TBT129950 SRX129885:SRX129950 SIB129885:SIB129950 RYF129885:RYF129950 ROJ129885:ROJ129950 REN129885:REN129950 QUR129885:QUR129950 QKV129885:QKV129950 QAZ129885:QAZ129950 PRD129885:PRD129950 PHH129885:PHH129950 OXL129885:OXL129950 ONP129885:ONP129950 ODT129885:ODT129950 NTX129885:NTX129950 NKB129885:NKB129950 NAF129885:NAF129950 MQJ129885:MQJ129950 MGN129885:MGN129950 LWR129885:LWR129950 LMV129885:LMV129950 LCZ129885:LCZ129950 KTD129885:KTD129950 KJH129885:KJH129950 JZL129885:JZL129950 JPP129885:JPP129950 JFT129885:JFT129950 IVX129885:IVX129950 IMB129885:IMB129950 ICF129885:ICF129950 HSJ129885:HSJ129950 HIN129885:HIN129950 GYR129885:GYR129950 GOV129885:GOV129950 GEZ129885:GEZ129950 FVD129885:FVD129950 FLH129885:FLH129950 FBL129885:FBL129950 ERP129885:ERP129950 EHT129885:EHT129950 DXX129885:DXX129950 DOB129885:DOB129950 DEF129885:DEF129950 CUJ129885:CUJ129950 CKN129885:CKN129950 CAR129885:CAR129950 BQV129885:BQV129950 BGZ129885:BGZ129950 AXD129885:AXD129950 ANH129885:ANH129950 ADL129885:ADL129950 TP129885:TP129950 JT129885:JT129950 X129885:X129950 WWF64349:WWF64414 WMJ64349:WMJ64414 WCN64349:WCN64414 VSR64349:VSR64414 VIV64349:VIV64414 UYZ64349:UYZ64414 UPD64349:UPD64414 UFH64349:UFH64414 TVL64349:TVL64414 TLP64349:TLP64414 TBT64349:TBT64414 SRX64349:SRX64414 SIB64349:SIB64414 RYF64349:RYF64414 ROJ64349:ROJ64414 REN64349:REN64414 QUR64349:QUR64414 QKV64349:QKV64414 QAZ64349:QAZ64414 PRD64349:PRD64414 PHH64349:PHH64414 OXL64349:OXL64414 ONP64349:ONP64414 ODT64349:ODT64414 NTX64349:NTX64414 NKB64349:NKB64414 NAF64349:NAF64414 MQJ64349:MQJ64414 MGN64349:MGN64414 LWR64349:LWR64414 LMV64349:LMV64414 LCZ64349:LCZ64414 KTD64349:KTD64414 KJH64349:KJH64414 JZL64349:JZL64414 JPP64349:JPP64414 JFT64349:JFT64414 IVX64349:IVX64414 IMB64349:IMB64414 ICF64349:ICF64414 HSJ64349:HSJ64414 HIN64349:HIN64414 GYR64349:GYR64414 GOV64349:GOV64414 GEZ64349:GEZ64414 FVD64349:FVD64414 FLH64349:FLH64414 FBL64349:FBL64414 ERP64349:ERP64414 EHT64349:EHT64414 DXX64349:DXX64414 DOB64349:DOB64414 DEF64349:DEF64414 CUJ64349:CUJ64414 CKN64349:CKN64414 CAR64349:CAR64414 BQV64349:BQV64414 BGZ64349:BGZ64414 AXD64349:AXD64414 ANH64349:ANH64414 ADL64349:ADL64414 TP64349:TP64414 ADL2:ADL61 TP2:TP61 JT2:JT61 WWF2:WWF61 WMJ2:WMJ61 WCN2:WCN61 VSR2:VSR61 VIV2:VIV61 UYZ2:UYZ61 UPD2:UPD61 UFH2:UFH61 TVL2:TVL61 TLP2:TLP61 TBT2:TBT61 SRX2:SRX61 SIB2:SIB61 RYF2:RYF61 ROJ2:ROJ61 REN2:REN61 QUR2:QUR61 QKV2:QKV61 QAZ2:QAZ61 PRD2:PRD61 PHH2:PHH61 OXL2:OXL61 ONP2:ONP61 ODT2:ODT61 NTX2:NTX61 NKB2:NKB61 NAF2:NAF61 MQJ2:MQJ61 MGN2:MGN61 LWR2:LWR61 LMV2:LMV61 LCZ2:LCZ61 KTD2:KTD61 KJH2:KJH61 JZL2:JZL61 JPP2:JPP61 JFT2:JFT61 IVX2:IVX61 IMB2:IMB61 ICF2:ICF61 HSJ2:HSJ61 HIN2:HIN61 GYR2:GYR61 GOV2:GOV61 GEZ2:GEZ61 FVD2:FVD61 FLH2:FLH61 FBL2:FBL61 ERP2:ERP61 EHT2:EHT61 DXX2:DXX61 DOB2:DOB61 DEF2:DEF61 CUJ2:CUJ61 CKN2:CKN61 CAR2:CAR61 BQV2:BQV61 BGZ2:BGZ61 AXD2:AXD61 ANH2:ANH61 X2:X486">
      <formula1>$AT$2:$AT$3</formula1>
    </dataValidation>
    <dataValidation type="list" allowBlank="1" showInputMessage="1" showErrorMessage="1" sqref="G64349:G64416 JC64349:JC64416 WLS983028:WLS983099 WBW983028:WBW983099 VSA983028:VSA983099 VIE983028:VIE983099 UYI983028:UYI983099 UOM983028:UOM983099 UEQ983028:UEQ983099 TUU983028:TUU983099 TKY983028:TKY983099 TBC983028:TBC983099 SRG983028:SRG983099 SHK983028:SHK983099 RXO983028:RXO983099 RNS983028:RNS983099 RDW983028:RDW983099 QUA983028:QUA983099 QKE983028:QKE983099 QAI983028:QAI983099 PQM983028:PQM983099 PGQ983028:PGQ983099 OWU983028:OWU983099 OMY983028:OMY983099 ODC983028:ODC983099 NTG983028:NTG983099 NJK983028:NJK983099 MZO983028:MZO983099 MPS983028:MPS983099 MFW983028:MFW983099 LWA983028:LWA983099 LME983028:LME983099 LCI983028:LCI983099 KSM983028:KSM983099 KIQ983028:KIQ983099 JYU983028:JYU983099 JOY983028:JOY983099 JFC983028:JFC983099 IVG983028:IVG983099 ILK983028:ILK983099 IBO983028:IBO983099 HRS983028:HRS983099 HHW983028:HHW983099 GYA983028:GYA983099 GOE983028:GOE983099 GEI983028:GEI983099 FUM983028:FUM983099 FKQ983028:FKQ983099 FAU983028:FAU983099 EQY983028:EQY983099 EHC983028:EHC983099 DXG983028:DXG983099 DNK983028:DNK983099 DDO983028:DDO983099 CTS983028:CTS983099 CJW983028:CJW983099 CAA983028:CAA983099 BQE983028:BQE983099 BGI983028:BGI983099 AWM983028:AWM983099 AMQ983028:AMQ983099 ACU983028:ACU983099 SY983028:SY983099 JC983028:JC983099 G983028:G983099 WVO917492:WVO917563 WLS917492:WLS917563 WBW917492:WBW917563 VSA917492:VSA917563 VIE917492:VIE917563 UYI917492:UYI917563 UOM917492:UOM917563 UEQ917492:UEQ917563 TUU917492:TUU917563 TKY917492:TKY917563 TBC917492:TBC917563 SRG917492:SRG917563 SHK917492:SHK917563 RXO917492:RXO917563 RNS917492:RNS917563 RDW917492:RDW917563 QUA917492:QUA917563 QKE917492:QKE917563 QAI917492:QAI917563 PQM917492:PQM917563 PGQ917492:PGQ917563 OWU917492:OWU917563 OMY917492:OMY917563 ODC917492:ODC917563 NTG917492:NTG917563 NJK917492:NJK917563 MZO917492:MZO917563 MPS917492:MPS917563 MFW917492:MFW917563 LWA917492:LWA917563 LME917492:LME917563 LCI917492:LCI917563 KSM917492:KSM917563 KIQ917492:KIQ917563 JYU917492:JYU917563 JOY917492:JOY917563 JFC917492:JFC917563 IVG917492:IVG917563 ILK917492:ILK917563 IBO917492:IBO917563 HRS917492:HRS917563 HHW917492:HHW917563 GYA917492:GYA917563 GOE917492:GOE917563 GEI917492:GEI917563 FUM917492:FUM917563 FKQ917492:FKQ917563 FAU917492:FAU917563 EQY917492:EQY917563 EHC917492:EHC917563 DXG917492:DXG917563 DNK917492:DNK917563 DDO917492:DDO917563 CTS917492:CTS917563 CJW917492:CJW917563 CAA917492:CAA917563 BQE917492:BQE917563 BGI917492:BGI917563 AWM917492:AWM917563 AMQ917492:AMQ917563 ACU917492:ACU917563 SY917492:SY917563 JC917492:JC917563 G917492:G917563 WVO851956:WVO852027 WLS851956:WLS852027 WBW851956:WBW852027 VSA851956:VSA852027 VIE851956:VIE852027 UYI851956:UYI852027 UOM851956:UOM852027 UEQ851956:UEQ852027 TUU851956:TUU852027 TKY851956:TKY852027 TBC851956:TBC852027 SRG851956:SRG852027 SHK851956:SHK852027 RXO851956:RXO852027 RNS851956:RNS852027 RDW851956:RDW852027 QUA851956:QUA852027 QKE851956:QKE852027 QAI851956:QAI852027 PQM851956:PQM852027 PGQ851956:PGQ852027 OWU851956:OWU852027 OMY851956:OMY852027 ODC851956:ODC852027 NTG851956:NTG852027 NJK851956:NJK852027 MZO851956:MZO852027 MPS851956:MPS852027 MFW851956:MFW852027 LWA851956:LWA852027 LME851956:LME852027 LCI851956:LCI852027 KSM851956:KSM852027 KIQ851956:KIQ852027 JYU851956:JYU852027 JOY851956:JOY852027 JFC851956:JFC852027 IVG851956:IVG852027 ILK851956:ILK852027 IBO851956:IBO852027 HRS851956:HRS852027 HHW851956:HHW852027 GYA851956:GYA852027 GOE851956:GOE852027 GEI851956:GEI852027 FUM851956:FUM852027 FKQ851956:FKQ852027 FAU851956:FAU852027 EQY851956:EQY852027 EHC851956:EHC852027 DXG851956:DXG852027 DNK851956:DNK852027 DDO851956:DDO852027 CTS851956:CTS852027 CJW851956:CJW852027 CAA851956:CAA852027 BQE851956:BQE852027 BGI851956:BGI852027 AWM851956:AWM852027 AMQ851956:AMQ852027 ACU851956:ACU852027 SY851956:SY852027 JC851956:JC852027 G851956:G852027 WVO786420:WVO786491 WLS786420:WLS786491 WBW786420:WBW786491 VSA786420:VSA786491 VIE786420:VIE786491 UYI786420:UYI786491 UOM786420:UOM786491 UEQ786420:UEQ786491 TUU786420:TUU786491 TKY786420:TKY786491 TBC786420:TBC786491 SRG786420:SRG786491 SHK786420:SHK786491 RXO786420:RXO786491 RNS786420:RNS786491 RDW786420:RDW786491 QUA786420:QUA786491 QKE786420:QKE786491 QAI786420:QAI786491 PQM786420:PQM786491 PGQ786420:PGQ786491 OWU786420:OWU786491 OMY786420:OMY786491 ODC786420:ODC786491 NTG786420:NTG786491 NJK786420:NJK786491 MZO786420:MZO786491 MPS786420:MPS786491 MFW786420:MFW786491 LWA786420:LWA786491 LME786420:LME786491 LCI786420:LCI786491 KSM786420:KSM786491 KIQ786420:KIQ786491 JYU786420:JYU786491 JOY786420:JOY786491 JFC786420:JFC786491 IVG786420:IVG786491 ILK786420:ILK786491 IBO786420:IBO786491 HRS786420:HRS786491 HHW786420:HHW786491 GYA786420:GYA786491 GOE786420:GOE786491 GEI786420:GEI786491 FUM786420:FUM786491 FKQ786420:FKQ786491 FAU786420:FAU786491 EQY786420:EQY786491 EHC786420:EHC786491 DXG786420:DXG786491 DNK786420:DNK786491 DDO786420:DDO786491 CTS786420:CTS786491 CJW786420:CJW786491 CAA786420:CAA786491 BQE786420:BQE786491 BGI786420:BGI786491 AWM786420:AWM786491 AMQ786420:AMQ786491 ACU786420:ACU786491 SY786420:SY786491 JC786420:JC786491 G786420:G786491 WVO720884:WVO720955 WLS720884:WLS720955 WBW720884:WBW720955 VSA720884:VSA720955 VIE720884:VIE720955 UYI720884:UYI720955 UOM720884:UOM720955 UEQ720884:UEQ720955 TUU720884:TUU720955 TKY720884:TKY720955 TBC720884:TBC720955 SRG720884:SRG720955 SHK720884:SHK720955 RXO720884:RXO720955 RNS720884:RNS720955 RDW720884:RDW720955 QUA720884:QUA720955 QKE720884:QKE720955 QAI720884:QAI720955 PQM720884:PQM720955 PGQ720884:PGQ720955 OWU720884:OWU720955 OMY720884:OMY720955 ODC720884:ODC720955 NTG720884:NTG720955 NJK720884:NJK720955 MZO720884:MZO720955 MPS720884:MPS720955 MFW720884:MFW720955 LWA720884:LWA720955 LME720884:LME720955 LCI720884:LCI720955 KSM720884:KSM720955 KIQ720884:KIQ720955 JYU720884:JYU720955 JOY720884:JOY720955 JFC720884:JFC720955 IVG720884:IVG720955 ILK720884:ILK720955 IBO720884:IBO720955 HRS720884:HRS720955 HHW720884:HHW720955 GYA720884:GYA720955 GOE720884:GOE720955 GEI720884:GEI720955 FUM720884:FUM720955 FKQ720884:FKQ720955 FAU720884:FAU720955 EQY720884:EQY720955 EHC720884:EHC720955 DXG720884:DXG720955 DNK720884:DNK720955 DDO720884:DDO720955 CTS720884:CTS720955 CJW720884:CJW720955 CAA720884:CAA720955 BQE720884:BQE720955 BGI720884:BGI720955 AWM720884:AWM720955 AMQ720884:AMQ720955 ACU720884:ACU720955 SY720884:SY720955 JC720884:JC720955 G720884:G720955 WVO655348:WVO655419 WLS655348:WLS655419 WBW655348:WBW655419 VSA655348:VSA655419 VIE655348:VIE655419 UYI655348:UYI655419 UOM655348:UOM655419 UEQ655348:UEQ655419 TUU655348:TUU655419 TKY655348:TKY655419 TBC655348:TBC655419 SRG655348:SRG655419 SHK655348:SHK655419 RXO655348:RXO655419 RNS655348:RNS655419 RDW655348:RDW655419 QUA655348:QUA655419 QKE655348:QKE655419 QAI655348:QAI655419 PQM655348:PQM655419 PGQ655348:PGQ655419 OWU655348:OWU655419 OMY655348:OMY655419 ODC655348:ODC655419 NTG655348:NTG655419 NJK655348:NJK655419 MZO655348:MZO655419 MPS655348:MPS655419 MFW655348:MFW655419 LWA655348:LWA655419 LME655348:LME655419 LCI655348:LCI655419 KSM655348:KSM655419 KIQ655348:KIQ655419 JYU655348:JYU655419 JOY655348:JOY655419 JFC655348:JFC655419 IVG655348:IVG655419 ILK655348:ILK655419 IBO655348:IBO655419 HRS655348:HRS655419 HHW655348:HHW655419 GYA655348:GYA655419 GOE655348:GOE655419 GEI655348:GEI655419 FUM655348:FUM655419 FKQ655348:FKQ655419 FAU655348:FAU655419 EQY655348:EQY655419 EHC655348:EHC655419 DXG655348:DXG655419 DNK655348:DNK655419 DDO655348:DDO655419 CTS655348:CTS655419 CJW655348:CJW655419 CAA655348:CAA655419 BQE655348:BQE655419 BGI655348:BGI655419 AWM655348:AWM655419 AMQ655348:AMQ655419 ACU655348:ACU655419 SY655348:SY655419 JC655348:JC655419 G655348:G655419 WVO589812:WVO589883 WLS589812:WLS589883 WBW589812:WBW589883 VSA589812:VSA589883 VIE589812:VIE589883 UYI589812:UYI589883 UOM589812:UOM589883 UEQ589812:UEQ589883 TUU589812:TUU589883 TKY589812:TKY589883 TBC589812:TBC589883 SRG589812:SRG589883 SHK589812:SHK589883 RXO589812:RXO589883 RNS589812:RNS589883 RDW589812:RDW589883 QUA589812:QUA589883 QKE589812:QKE589883 QAI589812:QAI589883 PQM589812:PQM589883 PGQ589812:PGQ589883 OWU589812:OWU589883 OMY589812:OMY589883 ODC589812:ODC589883 NTG589812:NTG589883 NJK589812:NJK589883 MZO589812:MZO589883 MPS589812:MPS589883 MFW589812:MFW589883 LWA589812:LWA589883 LME589812:LME589883 LCI589812:LCI589883 KSM589812:KSM589883 KIQ589812:KIQ589883 JYU589812:JYU589883 JOY589812:JOY589883 JFC589812:JFC589883 IVG589812:IVG589883 ILK589812:ILK589883 IBO589812:IBO589883 HRS589812:HRS589883 HHW589812:HHW589883 GYA589812:GYA589883 GOE589812:GOE589883 GEI589812:GEI589883 FUM589812:FUM589883 FKQ589812:FKQ589883 FAU589812:FAU589883 EQY589812:EQY589883 EHC589812:EHC589883 DXG589812:DXG589883 DNK589812:DNK589883 DDO589812:DDO589883 CTS589812:CTS589883 CJW589812:CJW589883 CAA589812:CAA589883 BQE589812:BQE589883 BGI589812:BGI589883 AWM589812:AWM589883 AMQ589812:AMQ589883 ACU589812:ACU589883 SY589812:SY589883 JC589812:JC589883 G589812:G589883 WVO524276:WVO524347 WLS524276:WLS524347 WBW524276:WBW524347 VSA524276:VSA524347 VIE524276:VIE524347 UYI524276:UYI524347 UOM524276:UOM524347 UEQ524276:UEQ524347 TUU524276:TUU524347 TKY524276:TKY524347 TBC524276:TBC524347 SRG524276:SRG524347 SHK524276:SHK524347 RXO524276:RXO524347 RNS524276:RNS524347 RDW524276:RDW524347 QUA524276:QUA524347 QKE524276:QKE524347 QAI524276:QAI524347 PQM524276:PQM524347 PGQ524276:PGQ524347 OWU524276:OWU524347 OMY524276:OMY524347 ODC524276:ODC524347 NTG524276:NTG524347 NJK524276:NJK524347 MZO524276:MZO524347 MPS524276:MPS524347 MFW524276:MFW524347 LWA524276:LWA524347 LME524276:LME524347 LCI524276:LCI524347 KSM524276:KSM524347 KIQ524276:KIQ524347 JYU524276:JYU524347 JOY524276:JOY524347 JFC524276:JFC524347 IVG524276:IVG524347 ILK524276:ILK524347 IBO524276:IBO524347 HRS524276:HRS524347 HHW524276:HHW524347 GYA524276:GYA524347 GOE524276:GOE524347 GEI524276:GEI524347 FUM524276:FUM524347 FKQ524276:FKQ524347 FAU524276:FAU524347 EQY524276:EQY524347 EHC524276:EHC524347 DXG524276:DXG524347 DNK524276:DNK524347 DDO524276:DDO524347 CTS524276:CTS524347 CJW524276:CJW524347 CAA524276:CAA524347 BQE524276:BQE524347 BGI524276:BGI524347 AWM524276:AWM524347 AMQ524276:AMQ524347 ACU524276:ACU524347 SY524276:SY524347 JC524276:JC524347 G524276:G524347 WVO458740:WVO458811 WLS458740:WLS458811 WBW458740:WBW458811 VSA458740:VSA458811 VIE458740:VIE458811 UYI458740:UYI458811 UOM458740:UOM458811 UEQ458740:UEQ458811 TUU458740:TUU458811 TKY458740:TKY458811 TBC458740:TBC458811 SRG458740:SRG458811 SHK458740:SHK458811 RXO458740:RXO458811 RNS458740:RNS458811 RDW458740:RDW458811 QUA458740:QUA458811 QKE458740:QKE458811 QAI458740:QAI458811 PQM458740:PQM458811 PGQ458740:PGQ458811 OWU458740:OWU458811 OMY458740:OMY458811 ODC458740:ODC458811 NTG458740:NTG458811 NJK458740:NJK458811 MZO458740:MZO458811 MPS458740:MPS458811 MFW458740:MFW458811 LWA458740:LWA458811 LME458740:LME458811 LCI458740:LCI458811 KSM458740:KSM458811 KIQ458740:KIQ458811 JYU458740:JYU458811 JOY458740:JOY458811 JFC458740:JFC458811 IVG458740:IVG458811 ILK458740:ILK458811 IBO458740:IBO458811 HRS458740:HRS458811 HHW458740:HHW458811 GYA458740:GYA458811 GOE458740:GOE458811 GEI458740:GEI458811 FUM458740:FUM458811 FKQ458740:FKQ458811 FAU458740:FAU458811 EQY458740:EQY458811 EHC458740:EHC458811 DXG458740:DXG458811 DNK458740:DNK458811 DDO458740:DDO458811 CTS458740:CTS458811 CJW458740:CJW458811 CAA458740:CAA458811 BQE458740:BQE458811 BGI458740:BGI458811 AWM458740:AWM458811 AMQ458740:AMQ458811 ACU458740:ACU458811 SY458740:SY458811 JC458740:JC458811 G458740:G458811 WVO393204:WVO393275 WLS393204:WLS393275 WBW393204:WBW393275 VSA393204:VSA393275 VIE393204:VIE393275 UYI393204:UYI393275 UOM393204:UOM393275 UEQ393204:UEQ393275 TUU393204:TUU393275 TKY393204:TKY393275 TBC393204:TBC393275 SRG393204:SRG393275 SHK393204:SHK393275 RXO393204:RXO393275 RNS393204:RNS393275 RDW393204:RDW393275 QUA393204:QUA393275 QKE393204:QKE393275 QAI393204:QAI393275 PQM393204:PQM393275 PGQ393204:PGQ393275 OWU393204:OWU393275 OMY393204:OMY393275 ODC393204:ODC393275 NTG393204:NTG393275 NJK393204:NJK393275 MZO393204:MZO393275 MPS393204:MPS393275 MFW393204:MFW393275 LWA393204:LWA393275 LME393204:LME393275 LCI393204:LCI393275 KSM393204:KSM393275 KIQ393204:KIQ393275 JYU393204:JYU393275 JOY393204:JOY393275 JFC393204:JFC393275 IVG393204:IVG393275 ILK393204:ILK393275 IBO393204:IBO393275 HRS393204:HRS393275 HHW393204:HHW393275 GYA393204:GYA393275 GOE393204:GOE393275 GEI393204:GEI393275 FUM393204:FUM393275 FKQ393204:FKQ393275 FAU393204:FAU393275 EQY393204:EQY393275 EHC393204:EHC393275 DXG393204:DXG393275 DNK393204:DNK393275 DDO393204:DDO393275 CTS393204:CTS393275 CJW393204:CJW393275 CAA393204:CAA393275 BQE393204:BQE393275 BGI393204:BGI393275 AWM393204:AWM393275 AMQ393204:AMQ393275 ACU393204:ACU393275 SY393204:SY393275 JC393204:JC393275 G393204:G393275 WVO327668:WVO327739 WLS327668:WLS327739 WBW327668:WBW327739 VSA327668:VSA327739 VIE327668:VIE327739 UYI327668:UYI327739 UOM327668:UOM327739 UEQ327668:UEQ327739 TUU327668:TUU327739 TKY327668:TKY327739 TBC327668:TBC327739 SRG327668:SRG327739 SHK327668:SHK327739 RXO327668:RXO327739 RNS327668:RNS327739 RDW327668:RDW327739 QUA327668:QUA327739 QKE327668:QKE327739 QAI327668:QAI327739 PQM327668:PQM327739 PGQ327668:PGQ327739 OWU327668:OWU327739 OMY327668:OMY327739 ODC327668:ODC327739 NTG327668:NTG327739 NJK327668:NJK327739 MZO327668:MZO327739 MPS327668:MPS327739 MFW327668:MFW327739 LWA327668:LWA327739 LME327668:LME327739 LCI327668:LCI327739 KSM327668:KSM327739 KIQ327668:KIQ327739 JYU327668:JYU327739 JOY327668:JOY327739 JFC327668:JFC327739 IVG327668:IVG327739 ILK327668:ILK327739 IBO327668:IBO327739 HRS327668:HRS327739 HHW327668:HHW327739 GYA327668:GYA327739 GOE327668:GOE327739 GEI327668:GEI327739 FUM327668:FUM327739 FKQ327668:FKQ327739 FAU327668:FAU327739 EQY327668:EQY327739 EHC327668:EHC327739 DXG327668:DXG327739 DNK327668:DNK327739 DDO327668:DDO327739 CTS327668:CTS327739 CJW327668:CJW327739 CAA327668:CAA327739 BQE327668:BQE327739 BGI327668:BGI327739 AWM327668:AWM327739 AMQ327668:AMQ327739 ACU327668:ACU327739 SY327668:SY327739 JC327668:JC327739 G327668:G327739 WVO262132:WVO262203 WLS262132:WLS262203 WBW262132:WBW262203 VSA262132:VSA262203 VIE262132:VIE262203 UYI262132:UYI262203 UOM262132:UOM262203 UEQ262132:UEQ262203 TUU262132:TUU262203 TKY262132:TKY262203 TBC262132:TBC262203 SRG262132:SRG262203 SHK262132:SHK262203 RXO262132:RXO262203 RNS262132:RNS262203 RDW262132:RDW262203 QUA262132:QUA262203 QKE262132:QKE262203 QAI262132:QAI262203 PQM262132:PQM262203 PGQ262132:PGQ262203 OWU262132:OWU262203 OMY262132:OMY262203 ODC262132:ODC262203 NTG262132:NTG262203 NJK262132:NJK262203 MZO262132:MZO262203 MPS262132:MPS262203 MFW262132:MFW262203 LWA262132:LWA262203 LME262132:LME262203 LCI262132:LCI262203 KSM262132:KSM262203 KIQ262132:KIQ262203 JYU262132:JYU262203 JOY262132:JOY262203 JFC262132:JFC262203 IVG262132:IVG262203 ILK262132:ILK262203 IBO262132:IBO262203 HRS262132:HRS262203 HHW262132:HHW262203 GYA262132:GYA262203 GOE262132:GOE262203 GEI262132:GEI262203 FUM262132:FUM262203 FKQ262132:FKQ262203 FAU262132:FAU262203 EQY262132:EQY262203 EHC262132:EHC262203 DXG262132:DXG262203 DNK262132:DNK262203 DDO262132:DDO262203 CTS262132:CTS262203 CJW262132:CJW262203 CAA262132:CAA262203 BQE262132:BQE262203 BGI262132:BGI262203 AWM262132:AWM262203 AMQ262132:AMQ262203 ACU262132:ACU262203 SY262132:SY262203 JC262132:JC262203 G262132:G262203 WVO196596:WVO196667 WLS196596:WLS196667 WBW196596:WBW196667 VSA196596:VSA196667 VIE196596:VIE196667 UYI196596:UYI196667 UOM196596:UOM196667 UEQ196596:UEQ196667 TUU196596:TUU196667 TKY196596:TKY196667 TBC196596:TBC196667 SRG196596:SRG196667 SHK196596:SHK196667 RXO196596:RXO196667 RNS196596:RNS196667 RDW196596:RDW196667 QUA196596:QUA196667 QKE196596:QKE196667 QAI196596:QAI196667 PQM196596:PQM196667 PGQ196596:PGQ196667 OWU196596:OWU196667 OMY196596:OMY196667 ODC196596:ODC196667 NTG196596:NTG196667 NJK196596:NJK196667 MZO196596:MZO196667 MPS196596:MPS196667 MFW196596:MFW196667 LWA196596:LWA196667 LME196596:LME196667 LCI196596:LCI196667 KSM196596:KSM196667 KIQ196596:KIQ196667 JYU196596:JYU196667 JOY196596:JOY196667 JFC196596:JFC196667 IVG196596:IVG196667 ILK196596:ILK196667 IBO196596:IBO196667 HRS196596:HRS196667 HHW196596:HHW196667 GYA196596:GYA196667 GOE196596:GOE196667 GEI196596:GEI196667 FUM196596:FUM196667 FKQ196596:FKQ196667 FAU196596:FAU196667 EQY196596:EQY196667 EHC196596:EHC196667 DXG196596:DXG196667 DNK196596:DNK196667 DDO196596:DDO196667 CTS196596:CTS196667 CJW196596:CJW196667 CAA196596:CAA196667 BQE196596:BQE196667 BGI196596:BGI196667 AWM196596:AWM196667 AMQ196596:AMQ196667 ACU196596:ACU196667 SY196596:SY196667 JC196596:JC196667 G196596:G196667 WVO131060:WVO131131 WLS131060:WLS131131 WBW131060:WBW131131 VSA131060:VSA131131 VIE131060:VIE131131 UYI131060:UYI131131 UOM131060:UOM131131 UEQ131060:UEQ131131 TUU131060:TUU131131 TKY131060:TKY131131 TBC131060:TBC131131 SRG131060:SRG131131 SHK131060:SHK131131 RXO131060:RXO131131 RNS131060:RNS131131 RDW131060:RDW131131 QUA131060:QUA131131 QKE131060:QKE131131 QAI131060:QAI131131 PQM131060:PQM131131 PGQ131060:PGQ131131 OWU131060:OWU131131 OMY131060:OMY131131 ODC131060:ODC131131 NTG131060:NTG131131 NJK131060:NJK131131 MZO131060:MZO131131 MPS131060:MPS131131 MFW131060:MFW131131 LWA131060:LWA131131 LME131060:LME131131 LCI131060:LCI131131 KSM131060:KSM131131 KIQ131060:KIQ131131 JYU131060:JYU131131 JOY131060:JOY131131 JFC131060:JFC131131 IVG131060:IVG131131 ILK131060:ILK131131 IBO131060:IBO131131 HRS131060:HRS131131 HHW131060:HHW131131 GYA131060:GYA131131 GOE131060:GOE131131 GEI131060:GEI131131 FUM131060:FUM131131 FKQ131060:FKQ131131 FAU131060:FAU131131 EQY131060:EQY131131 EHC131060:EHC131131 DXG131060:DXG131131 DNK131060:DNK131131 DDO131060:DDO131131 CTS131060:CTS131131 CJW131060:CJW131131 CAA131060:CAA131131 BQE131060:BQE131131 BGI131060:BGI131131 AWM131060:AWM131131 AMQ131060:AMQ131131 ACU131060:ACU131131 SY131060:SY131131 JC131060:JC131131 G131060:G131131 WVO65524:WVO65595 WLS65524:WLS65595 WBW65524:WBW65595 VSA65524:VSA65595 VIE65524:VIE65595 UYI65524:UYI65595 UOM65524:UOM65595 UEQ65524:UEQ65595 TUU65524:TUU65595 TKY65524:TKY65595 TBC65524:TBC65595 SRG65524:SRG65595 SHK65524:SHK65595 RXO65524:RXO65595 RNS65524:RNS65595 RDW65524:RDW65595 QUA65524:QUA65595 QKE65524:QKE65595 QAI65524:QAI65595 PQM65524:PQM65595 PGQ65524:PGQ65595 OWU65524:OWU65595 OMY65524:OMY65595 ODC65524:ODC65595 NTG65524:NTG65595 NJK65524:NJK65595 MZO65524:MZO65595 MPS65524:MPS65595 MFW65524:MFW65595 LWA65524:LWA65595 LME65524:LME65595 LCI65524:LCI65595 KSM65524:KSM65595 KIQ65524:KIQ65595 JYU65524:JYU65595 JOY65524:JOY65595 JFC65524:JFC65595 IVG65524:IVG65595 ILK65524:ILK65595 IBO65524:IBO65595 HRS65524:HRS65595 HHW65524:HHW65595 GYA65524:GYA65595 GOE65524:GOE65595 GEI65524:GEI65595 FUM65524:FUM65595 FKQ65524:FKQ65595 FAU65524:FAU65595 EQY65524:EQY65595 EHC65524:EHC65595 DXG65524:DXG65595 DNK65524:DNK65595 DDO65524:DDO65595 CTS65524:CTS65595 CJW65524:CJW65595 CAA65524:CAA65595 BQE65524:BQE65595 BGI65524:BGI65595 AWM65524:AWM65595 AMQ65524:AMQ65595 ACU65524:ACU65595 SY65524:SY65595 JC65524:JC65595 G65524:G65595 WVO983028:WVO983099 WVO1047389:WVO1047456 WLS1047389:WLS1047456 WBW1047389:WBW1047456 VSA1047389:VSA1047456 VIE1047389:VIE1047456 UYI1047389:UYI1047456 UOM1047389:UOM1047456 UEQ1047389:UEQ1047456 TUU1047389:TUU1047456 TKY1047389:TKY1047456 TBC1047389:TBC1047456 SRG1047389:SRG1047456 SHK1047389:SHK1047456 RXO1047389:RXO1047456 RNS1047389:RNS1047456 RDW1047389:RDW1047456 QUA1047389:QUA1047456 QKE1047389:QKE1047456 QAI1047389:QAI1047456 PQM1047389:PQM1047456 PGQ1047389:PGQ1047456 OWU1047389:OWU1047456 OMY1047389:OMY1047456 ODC1047389:ODC1047456 NTG1047389:NTG1047456 NJK1047389:NJK1047456 MZO1047389:MZO1047456 MPS1047389:MPS1047456 MFW1047389:MFW1047456 LWA1047389:LWA1047456 LME1047389:LME1047456 LCI1047389:LCI1047456 KSM1047389:KSM1047456 KIQ1047389:KIQ1047456 JYU1047389:JYU1047456 JOY1047389:JOY1047456 JFC1047389:JFC1047456 IVG1047389:IVG1047456 ILK1047389:ILK1047456 IBO1047389:IBO1047456 HRS1047389:HRS1047456 HHW1047389:HHW1047456 GYA1047389:GYA1047456 GOE1047389:GOE1047456 GEI1047389:GEI1047456 FUM1047389:FUM1047456 FKQ1047389:FKQ1047456 FAU1047389:FAU1047456 EQY1047389:EQY1047456 EHC1047389:EHC1047456 DXG1047389:DXG1047456 DNK1047389:DNK1047456 DDO1047389:DDO1047456 CTS1047389:CTS1047456 CJW1047389:CJW1047456 CAA1047389:CAA1047456 BQE1047389:BQE1047456 BGI1047389:BGI1047456 AWM1047389:AWM1047456 AMQ1047389:AMQ1047456 ACU1047389:ACU1047456 SY1047389:SY1047456 JC1047389:JC1047456 G1047389:G1047456 WVO981853:WVO981920 WLS981853:WLS981920 WBW981853:WBW981920 VSA981853:VSA981920 VIE981853:VIE981920 UYI981853:UYI981920 UOM981853:UOM981920 UEQ981853:UEQ981920 TUU981853:TUU981920 TKY981853:TKY981920 TBC981853:TBC981920 SRG981853:SRG981920 SHK981853:SHK981920 RXO981853:RXO981920 RNS981853:RNS981920 RDW981853:RDW981920 QUA981853:QUA981920 QKE981853:QKE981920 QAI981853:QAI981920 PQM981853:PQM981920 PGQ981853:PGQ981920 OWU981853:OWU981920 OMY981853:OMY981920 ODC981853:ODC981920 NTG981853:NTG981920 NJK981853:NJK981920 MZO981853:MZO981920 MPS981853:MPS981920 MFW981853:MFW981920 LWA981853:LWA981920 LME981853:LME981920 LCI981853:LCI981920 KSM981853:KSM981920 KIQ981853:KIQ981920 JYU981853:JYU981920 JOY981853:JOY981920 JFC981853:JFC981920 IVG981853:IVG981920 ILK981853:ILK981920 IBO981853:IBO981920 HRS981853:HRS981920 HHW981853:HHW981920 GYA981853:GYA981920 GOE981853:GOE981920 GEI981853:GEI981920 FUM981853:FUM981920 FKQ981853:FKQ981920 FAU981853:FAU981920 EQY981853:EQY981920 EHC981853:EHC981920 DXG981853:DXG981920 DNK981853:DNK981920 DDO981853:DDO981920 CTS981853:CTS981920 CJW981853:CJW981920 CAA981853:CAA981920 BQE981853:BQE981920 BGI981853:BGI981920 AWM981853:AWM981920 AMQ981853:AMQ981920 ACU981853:ACU981920 SY981853:SY981920 JC981853:JC981920 G981853:G981920 WVO916317:WVO916384 WLS916317:WLS916384 WBW916317:WBW916384 VSA916317:VSA916384 VIE916317:VIE916384 UYI916317:UYI916384 UOM916317:UOM916384 UEQ916317:UEQ916384 TUU916317:TUU916384 TKY916317:TKY916384 TBC916317:TBC916384 SRG916317:SRG916384 SHK916317:SHK916384 RXO916317:RXO916384 RNS916317:RNS916384 RDW916317:RDW916384 QUA916317:QUA916384 QKE916317:QKE916384 QAI916317:QAI916384 PQM916317:PQM916384 PGQ916317:PGQ916384 OWU916317:OWU916384 OMY916317:OMY916384 ODC916317:ODC916384 NTG916317:NTG916384 NJK916317:NJK916384 MZO916317:MZO916384 MPS916317:MPS916384 MFW916317:MFW916384 LWA916317:LWA916384 LME916317:LME916384 LCI916317:LCI916384 KSM916317:KSM916384 KIQ916317:KIQ916384 JYU916317:JYU916384 JOY916317:JOY916384 JFC916317:JFC916384 IVG916317:IVG916384 ILK916317:ILK916384 IBO916317:IBO916384 HRS916317:HRS916384 HHW916317:HHW916384 GYA916317:GYA916384 GOE916317:GOE916384 GEI916317:GEI916384 FUM916317:FUM916384 FKQ916317:FKQ916384 FAU916317:FAU916384 EQY916317:EQY916384 EHC916317:EHC916384 DXG916317:DXG916384 DNK916317:DNK916384 DDO916317:DDO916384 CTS916317:CTS916384 CJW916317:CJW916384 CAA916317:CAA916384 BQE916317:BQE916384 BGI916317:BGI916384 AWM916317:AWM916384 AMQ916317:AMQ916384 ACU916317:ACU916384 SY916317:SY916384 JC916317:JC916384 G916317:G916384 WVO850781:WVO850848 WLS850781:WLS850848 WBW850781:WBW850848 VSA850781:VSA850848 VIE850781:VIE850848 UYI850781:UYI850848 UOM850781:UOM850848 UEQ850781:UEQ850848 TUU850781:TUU850848 TKY850781:TKY850848 TBC850781:TBC850848 SRG850781:SRG850848 SHK850781:SHK850848 RXO850781:RXO850848 RNS850781:RNS850848 RDW850781:RDW850848 QUA850781:QUA850848 QKE850781:QKE850848 QAI850781:QAI850848 PQM850781:PQM850848 PGQ850781:PGQ850848 OWU850781:OWU850848 OMY850781:OMY850848 ODC850781:ODC850848 NTG850781:NTG850848 NJK850781:NJK850848 MZO850781:MZO850848 MPS850781:MPS850848 MFW850781:MFW850848 LWA850781:LWA850848 LME850781:LME850848 LCI850781:LCI850848 KSM850781:KSM850848 KIQ850781:KIQ850848 JYU850781:JYU850848 JOY850781:JOY850848 JFC850781:JFC850848 IVG850781:IVG850848 ILK850781:ILK850848 IBO850781:IBO850848 HRS850781:HRS850848 HHW850781:HHW850848 GYA850781:GYA850848 GOE850781:GOE850848 GEI850781:GEI850848 FUM850781:FUM850848 FKQ850781:FKQ850848 FAU850781:FAU850848 EQY850781:EQY850848 EHC850781:EHC850848 DXG850781:DXG850848 DNK850781:DNK850848 DDO850781:DDO850848 CTS850781:CTS850848 CJW850781:CJW850848 CAA850781:CAA850848 BQE850781:BQE850848 BGI850781:BGI850848 AWM850781:AWM850848 AMQ850781:AMQ850848 ACU850781:ACU850848 SY850781:SY850848 JC850781:JC850848 G850781:G850848 WVO785245:WVO785312 WLS785245:WLS785312 WBW785245:WBW785312 VSA785245:VSA785312 VIE785245:VIE785312 UYI785245:UYI785312 UOM785245:UOM785312 UEQ785245:UEQ785312 TUU785245:TUU785312 TKY785245:TKY785312 TBC785245:TBC785312 SRG785245:SRG785312 SHK785245:SHK785312 RXO785245:RXO785312 RNS785245:RNS785312 RDW785245:RDW785312 QUA785245:QUA785312 QKE785245:QKE785312 QAI785245:QAI785312 PQM785245:PQM785312 PGQ785245:PGQ785312 OWU785245:OWU785312 OMY785245:OMY785312 ODC785245:ODC785312 NTG785245:NTG785312 NJK785245:NJK785312 MZO785245:MZO785312 MPS785245:MPS785312 MFW785245:MFW785312 LWA785245:LWA785312 LME785245:LME785312 LCI785245:LCI785312 KSM785245:KSM785312 KIQ785245:KIQ785312 JYU785245:JYU785312 JOY785245:JOY785312 JFC785245:JFC785312 IVG785245:IVG785312 ILK785245:ILK785312 IBO785245:IBO785312 HRS785245:HRS785312 HHW785245:HHW785312 GYA785245:GYA785312 GOE785245:GOE785312 GEI785245:GEI785312 FUM785245:FUM785312 FKQ785245:FKQ785312 FAU785245:FAU785312 EQY785245:EQY785312 EHC785245:EHC785312 DXG785245:DXG785312 DNK785245:DNK785312 DDO785245:DDO785312 CTS785245:CTS785312 CJW785245:CJW785312 CAA785245:CAA785312 BQE785245:BQE785312 BGI785245:BGI785312 AWM785245:AWM785312 AMQ785245:AMQ785312 ACU785245:ACU785312 SY785245:SY785312 JC785245:JC785312 G785245:G785312 WVO719709:WVO719776 WLS719709:WLS719776 WBW719709:WBW719776 VSA719709:VSA719776 VIE719709:VIE719776 UYI719709:UYI719776 UOM719709:UOM719776 UEQ719709:UEQ719776 TUU719709:TUU719776 TKY719709:TKY719776 TBC719709:TBC719776 SRG719709:SRG719776 SHK719709:SHK719776 RXO719709:RXO719776 RNS719709:RNS719776 RDW719709:RDW719776 QUA719709:QUA719776 QKE719709:QKE719776 QAI719709:QAI719776 PQM719709:PQM719776 PGQ719709:PGQ719776 OWU719709:OWU719776 OMY719709:OMY719776 ODC719709:ODC719776 NTG719709:NTG719776 NJK719709:NJK719776 MZO719709:MZO719776 MPS719709:MPS719776 MFW719709:MFW719776 LWA719709:LWA719776 LME719709:LME719776 LCI719709:LCI719776 KSM719709:KSM719776 KIQ719709:KIQ719776 JYU719709:JYU719776 JOY719709:JOY719776 JFC719709:JFC719776 IVG719709:IVG719776 ILK719709:ILK719776 IBO719709:IBO719776 HRS719709:HRS719776 HHW719709:HHW719776 GYA719709:GYA719776 GOE719709:GOE719776 GEI719709:GEI719776 FUM719709:FUM719776 FKQ719709:FKQ719776 FAU719709:FAU719776 EQY719709:EQY719776 EHC719709:EHC719776 DXG719709:DXG719776 DNK719709:DNK719776 DDO719709:DDO719776 CTS719709:CTS719776 CJW719709:CJW719776 CAA719709:CAA719776 BQE719709:BQE719776 BGI719709:BGI719776 AWM719709:AWM719776 AMQ719709:AMQ719776 ACU719709:ACU719776 SY719709:SY719776 JC719709:JC719776 G719709:G719776 WVO654173:WVO654240 WLS654173:WLS654240 WBW654173:WBW654240 VSA654173:VSA654240 VIE654173:VIE654240 UYI654173:UYI654240 UOM654173:UOM654240 UEQ654173:UEQ654240 TUU654173:TUU654240 TKY654173:TKY654240 TBC654173:TBC654240 SRG654173:SRG654240 SHK654173:SHK654240 RXO654173:RXO654240 RNS654173:RNS654240 RDW654173:RDW654240 QUA654173:QUA654240 QKE654173:QKE654240 QAI654173:QAI654240 PQM654173:PQM654240 PGQ654173:PGQ654240 OWU654173:OWU654240 OMY654173:OMY654240 ODC654173:ODC654240 NTG654173:NTG654240 NJK654173:NJK654240 MZO654173:MZO654240 MPS654173:MPS654240 MFW654173:MFW654240 LWA654173:LWA654240 LME654173:LME654240 LCI654173:LCI654240 KSM654173:KSM654240 KIQ654173:KIQ654240 JYU654173:JYU654240 JOY654173:JOY654240 JFC654173:JFC654240 IVG654173:IVG654240 ILK654173:ILK654240 IBO654173:IBO654240 HRS654173:HRS654240 HHW654173:HHW654240 GYA654173:GYA654240 GOE654173:GOE654240 GEI654173:GEI654240 FUM654173:FUM654240 FKQ654173:FKQ654240 FAU654173:FAU654240 EQY654173:EQY654240 EHC654173:EHC654240 DXG654173:DXG654240 DNK654173:DNK654240 DDO654173:DDO654240 CTS654173:CTS654240 CJW654173:CJW654240 CAA654173:CAA654240 BQE654173:BQE654240 BGI654173:BGI654240 AWM654173:AWM654240 AMQ654173:AMQ654240 ACU654173:ACU654240 SY654173:SY654240 JC654173:JC654240 G654173:G654240 WVO588637:WVO588704 WLS588637:WLS588704 WBW588637:WBW588704 VSA588637:VSA588704 VIE588637:VIE588704 UYI588637:UYI588704 UOM588637:UOM588704 UEQ588637:UEQ588704 TUU588637:TUU588704 TKY588637:TKY588704 TBC588637:TBC588704 SRG588637:SRG588704 SHK588637:SHK588704 RXO588637:RXO588704 RNS588637:RNS588704 RDW588637:RDW588704 QUA588637:QUA588704 QKE588637:QKE588704 QAI588637:QAI588704 PQM588637:PQM588704 PGQ588637:PGQ588704 OWU588637:OWU588704 OMY588637:OMY588704 ODC588637:ODC588704 NTG588637:NTG588704 NJK588637:NJK588704 MZO588637:MZO588704 MPS588637:MPS588704 MFW588637:MFW588704 LWA588637:LWA588704 LME588637:LME588704 LCI588637:LCI588704 KSM588637:KSM588704 KIQ588637:KIQ588704 JYU588637:JYU588704 JOY588637:JOY588704 JFC588637:JFC588704 IVG588637:IVG588704 ILK588637:ILK588704 IBO588637:IBO588704 HRS588637:HRS588704 HHW588637:HHW588704 GYA588637:GYA588704 GOE588637:GOE588704 GEI588637:GEI588704 FUM588637:FUM588704 FKQ588637:FKQ588704 FAU588637:FAU588704 EQY588637:EQY588704 EHC588637:EHC588704 DXG588637:DXG588704 DNK588637:DNK588704 DDO588637:DDO588704 CTS588637:CTS588704 CJW588637:CJW588704 CAA588637:CAA588704 BQE588637:BQE588704 BGI588637:BGI588704 AWM588637:AWM588704 AMQ588637:AMQ588704 ACU588637:ACU588704 SY588637:SY588704 JC588637:JC588704 G588637:G588704 WVO523101:WVO523168 WLS523101:WLS523168 WBW523101:WBW523168 VSA523101:VSA523168 VIE523101:VIE523168 UYI523101:UYI523168 UOM523101:UOM523168 UEQ523101:UEQ523168 TUU523101:TUU523168 TKY523101:TKY523168 TBC523101:TBC523168 SRG523101:SRG523168 SHK523101:SHK523168 RXO523101:RXO523168 RNS523101:RNS523168 RDW523101:RDW523168 QUA523101:QUA523168 QKE523101:QKE523168 QAI523101:QAI523168 PQM523101:PQM523168 PGQ523101:PGQ523168 OWU523101:OWU523168 OMY523101:OMY523168 ODC523101:ODC523168 NTG523101:NTG523168 NJK523101:NJK523168 MZO523101:MZO523168 MPS523101:MPS523168 MFW523101:MFW523168 LWA523101:LWA523168 LME523101:LME523168 LCI523101:LCI523168 KSM523101:KSM523168 KIQ523101:KIQ523168 JYU523101:JYU523168 JOY523101:JOY523168 JFC523101:JFC523168 IVG523101:IVG523168 ILK523101:ILK523168 IBO523101:IBO523168 HRS523101:HRS523168 HHW523101:HHW523168 GYA523101:GYA523168 GOE523101:GOE523168 GEI523101:GEI523168 FUM523101:FUM523168 FKQ523101:FKQ523168 FAU523101:FAU523168 EQY523101:EQY523168 EHC523101:EHC523168 DXG523101:DXG523168 DNK523101:DNK523168 DDO523101:DDO523168 CTS523101:CTS523168 CJW523101:CJW523168 CAA523101:CAA523168 BQE523101:BQE523168 BGI523101:BGI523168 AWM523101:AWM523168 AMQ523101:AMQ523168 ACU523101:ACU523168 SY523101:SY523168 JC523101:JC523168 G523101:G523168 WVO457565:WVO457632 WLS457565:WLS457632 WBW457565:WBW457632 VSA457565:VSA457632 VIE457565:VIE457632 UYI457565:UYI457632 UOM457565:UOM457632 UEQ457565:UEQ457632 TUU457565:TUU457632 TKY457565:TKY457632 TBC457565:TBC457632 SRG457565:SRG457632 SHK457565:SHK457632 RXO457565:RXO457632 RNS457565:RNS457632 RDW457565:RDW457632 QUA457565:QUA457632 QKE457565:QKE457632 QAI457565:QAI457632 PQM457565:PQM457632 PGQ457565:PGQ457632 OWU457565:OWU457632 OMY457565:OMY457632 ODC457565:ODC457632 NTG457565:NTG457632 NJK457565:NJK457632 MZO457565:MZO457632 MPS457565:MPS457632 MFW457565:MFW457632 LWA457565:LWA457632 LME457565:LME457632 LCI457565:LCI457632 KSM457565:KSM457632 KIQ457565:KIQ457632 JYU457565:JYU457632 JOY457565:JOY457632 JFC457565:JFC457632 IVG457565:IVG457632 ILK457565:ILK457632 IBO457565:IBO457632 HRS457565:HRS457632 HHW457565:HHW457632 GYA457565:GYA457632 GOE457565:GOE457632 GEI457565:GEI457632 FUM457565:FUM457632 FKQ457565:FKQ457632 FAU457565:FAU457632 EQY457565:EQY457632 EHC457565:EHC457632 DXG457565:DXG457632 DNK457565:DNK457632 DDO457565:DDO457632 CTS457565:CTS457632 CJW457565:CJW457632 CAA457565:CAA457632 BQE457565:BQE457632 BGI457565:BGI457632 AWM457565:AWM457632 AMQ457565:AMQ457632 ACU457565:ACU457632 SY457565:SY457632 JC457565:JC457632 G457565:G457632 WVO392029:WVO392096 WLS392029:WLS392096 WBW392029:WBW392096 VSA392029:VSA392096 VIE392029:VIE392096 UYI392029:UYI392096 UOM392029:UOM392096 UEQ392029:UEQ392096 TUU392029:TUU392096 TKY392029:TKY392096 TBC392029:TBC392096 SRG392029:SRG392096 SHK392029:SHK392096 RXO392029:RXO392096 RNS392029:RNS392096 RDW392029:RDW392096 QUA392029:QUA392096 QKE392029:QKE392096 QAI392029:QAI392096 PQM392029:PQM392096 PGQ392029:PGQ392096 OWU392029:OWU392096 OMY392029:OMY392096 ODC392029:ODC392096 NTG392029:NTG392096 NJK392029:NJK392096 MZO392029:MZO392096 MPS392029:MPS392096 MFW392029:MFW392096 LWA392029:LWA392096 LME392029:LME392096 LCI392029:LCI392096 KSM392029:KSM392096 KIQ392029:KIQ392096 JYU392029:JYU392096 JOY392029:JOY392096 JFC392029:JFC392096 IVG392029:IVG392096 ILK392029:ILK392096 IBO392029:IBO392096 HRS392029:HRS392096 HHW392029:HHW392096 GYA392029:GYA392096 GOE392029:GOE392096 GEI392029:GEI392096 FUM392029:FUM392096 FKQ392029:FKQ392096 FAU392029:FAU392096 EQY392029:EQY392096 EHC392029:EHC392096 DXG392029:DXG392096 DNK392029:DNK392096 DDO392029:DDO392096 CTS392029:CTS392096 CJW392029:CJW392096 CAA392029:CAA392096 BQE392029:BQE392096 BGI392029:BGI392096 AWM392029:AWM392096 AMQ392029:AMQ392096 ACU392029:ACU392096 SY392029:SY392096 JC392029:JC392096 G392029:G392096 WVO326493:WVO326560 WLS326493:WLS326560 WBW326493:WBW326560 VSA326493:VSA326560 VIE326493:VIE326560 UYI326493:UYI326560 UOM326493:UOM326560 UEQ326493:UEQ326560 TUU326493:TUU326560 TKY326493:TKY326560 TBC326493:TBC326560 SRG326493:SRG326560 SHK326493:SHK326560 RXO326493:RXO326560 RNS326493:RNS326560 RDW326493:RDW326560 QUA326493:QUA326560 QKE326493:QKE326560 QAI326493:QAI326560 PQM326493:PQM326560 PGQ326493:PGQ326560 OWU326493:OWU326560 OMY326493:OMY326560 ODC326493:ODC326560 NTG326493:NTG326560 NJK326493:NJK326560 MZO326493:MZO326560 MPS326493:MPS326560 MFW326493:MFW326560 LWA326493:LWA326560 LME326493:LME326560 LCI326493:LCI326560 KSM326493:KSM326560 KIQ326493:KIQ326560 JYU326493:JYU326560 JOY326493:JOY326560 JFC326493:JFC326560 IVG326493:IVG326560 ILK326493:ILK326560 IBO326493:IBO326560 HRS326493:HRS326560 HHW326493:HHW326560 GYA326493:GYA326560 GOE326493:GOE326560 GEI326493:GEI326560 FUM326493:FUM326560 FKQ326493:FKQ326560 FAU326493:FAU326560 EQY326493:EQY326560 EHC326493:EHC326560 DXG326493:DXG326560 DNK326493:DNK326560 DDO326493:DDO326560 CTS326493:CTS326560 CJW326493:CJW326560 CAA326493:CAA326560 BQE326493:BQE326560 BGI326493:BGI326560 AWM326493:AWM326560 AMQ326493:AMQ326560 ACU326493:ACU326560 SY326493:SY326560 JC326493:JC326560 G326493:G326560 WVO260957:WVO261024 WLS260957:WLS261024 WBW260957:WBW261024 VSA260957:VSA261024 VIE260957:VIE261024 UYI260957:UYI261024 UOM260957:UOM261024 UEQ260957:UEQ261024 TUU260957:TUU261024 TKY260957:TKY261024 TBC260957:TBC261024 SRG260957:SRG261024 SHK260957:SHK261024 RXO260957:RXO261024 RNS260957:RNS261024 RDW260957:RDW261024 QUA260957:QUA261024 QKE260957:QKE261024 QAI260957:QAI261024 PQM260957:PQM261024 PGQ260957:PGQ261024 OWU260957:OWU261024 OMY260957:OMY261024 ODC260957:ODC261024 NTG260957:NTG261024 NJK260957:NJK261024 MZO260957:MZO261024 MPS260957:MPS261024 MFW260957:MFW261024 LWA260957:LWA261024 LME260957:LME261024 LCI260957:LCI261024 KSM260957:KSM261024 KIQ260957:KIQ261024 JYU260957:JYU261024 JOY260957:JOY261024 JFC260957:JFC261024 IVG260957:IVG261024 ILK260957:ILK261024 IBO260957:IBO261024 HRS260957:HRS261024 HHW260957:HHW261024 GYA260957:GYA261024 GOE260957:GOE261024 GEI260957:GEI261024 FUM260957:FUM261024 FKQ260957:FKQ261024 FAU260957:FAU261024 EQY260957:EQY261024 EHC260957:EHC261024 DXG260957:DXG261024 DNK260957:DNK261024 DDO260957:DDO261024 CTS260957:CTS261024 CJW260957:CJW261024 CAA260957:CAA261024 BQE260957:BQE261024 BGI260957:BGI261024 AWM260957:AWM261024 AMQ260957:AMQ261024 ACU260957:ACU261024 SY260957:SY261024 JC260957:JC261024 G260957:G261024 WVO195421:WVO195488 WLS195421:WLS195488 WBW195421:WBW195488 VSA195421:VSA195488 VIE195421:VIE195488 UYI195421:UYI195488 UOM195421:UOM195488 UEQ195421:UEQ195488 TUU195421:TUU195488 TKY195421:TKY195488 TBC195421:TBC195488 SRG195421:SRG195488 SHK195421:SHK195488 RXO195421:RXO195488 RNS195421:RNS195488 RDW195421:RDW195488 QUA195421:QUA195488 QKE195421:QKE195488 QAI195421:QAI195488 PQM195421:PQM195488 PGQ195421:PGQ195488 OWU195421:OWU195488 OMY195421:OMY195488 ODC195421:ODC195488 NTG195421:NTG195488 NJK195421:NJK195488 MZO195421:MZO195488 MPS195421:MPS195488 MFW195421:MFW195488 LWA195421:LWA195488 LME195421:LME195488 LCI195421:LCI195488 KSM195421:KSM195488 KIQ195421:KIQ195488 JYU195421:JYU195488 JOY195421:JOY195488 JFC195421:JFC195488 IVG195421:IVG195488 ILK195421:ILK195488 IBO195421:IBO195488 HRS195421:HRS195488 HHW195421:HHW195488 GYA195421:GYA195488 GOE195421:GOE195488 GEI195421:GEI195488 FUM195421:FUM195488 FKQ195421:FKQ195488 FAU195421:FAU195488 EQY195421:EQY195488 EHC195421:EHC195488 DXG195421:DXG195488 DNK195421:DNK195488 DDO195421:DDO195488 CTS195421:CTS195488 CJW195421:CJW195488 CAA195421:CAA195488 BQE195421:BQE195488 BGI195421:BGI195488 AWM195421:AWM195488 AMQ195421:AMQ195488 ACU195421:ACU195488 SY195421:SY195488 JC195421:JC195488 G195421:G195488 WVO129885:WVO129952 WLS129885:WLS129952 WBW129885:WBW129952 VSA129885:VSA129952 VIE129885:VIE129952 UYI129885:UYI129952 UOM129885:UOM129952 UEQ129885:UEQ129952 TUU129885:TUU129952 TKY129885:TKY129952 TBC129885:TBC129952 SRG129885:SRG129952 SHK129885:SHK129952 RXO129885:RXO129952 RNS129885:RNS129952 RDW129885:RDW129952 QUA129885:QUA129952 QKE129885:QKE129952 QAI129885:QAI129952 PQM129885:PQM129952 PGQ129885:PGQ129952 OWU129885:OWU129952 OMY129885:OMY129952 ODC129885:ODC129952 NTG129885:NTG129952 NJK129885:NJK129952 MZO129885:MZO129952 MPS129885:MPS129952 MFW129885:MFW129952 LWA129885:LWA129952 LME129885:LME129952 LCI129885:LCI129952 KSM129885:KSM129952 KIQ129885:KIQ129952 JYU129885:JYU129952 JOY129885:JOY129952 JFC129885:JFC129952 IVG129885:IVG129952 ILK129885:ILK129952 IBO129885:IBO129952 HRS129885:HRS129952 HHW129885:HHW129952 GYA129885:GYA129952 GOE129885:GOE129952 GEI129885:GEI129952 FUM129885:FUM129952 FKQ129885:FKQ129952 FAU129885:FAU129952 EQY129885:EQY129952 EHC129885:EHC129952 DXG129885:DXG129952 DNK129885:DNK129952 DDO129885:DDO129952 CTS129885:CTS129952 CJW129885:CJW129952 CAA129885:CAA129952 BQE129885:BQE129952 BGI129885:BGI129952 AWM129885:AWM129952 AMQ129885:AMQ129952 ACU129885:ACU129952 SY129885:SY129952 JC129885:JC129952 G129885:G129952 WVO64349:WVO64416 WLS64349:WLS64416 WBW64349:WBW64416 VSA64349:VSA64416 VIE64349:VIE64416 UYI64349:UYI64416 UOM64349:UOM64416 UEQ64349:UEQ64416 TUU64349:TUU64416 TKY64349:TKY64416 TBC64349:TBC64416 SRG64349:SRG64416 SHK64349:SHK64416 RXO64349:RXO64416 RNS64349:RNS64416 RDW64349:RDW64416 QUA64349:QUA64416 QKE64349:QKE64416 QAI64349:QAI64416 PQM64349:PQM64416 PGQ64349:PGQ64416 OWU64349:OWU64416 OMY64349:OMY64416 ODC64349:ODC64416 NTG64349:NTG64416 NJK64349:NJK64416 MZO64349:MZO64416 MPS64349:MPS64416 MFW64349:MFW64416 LWA64349:LWA64416 LME64349:LME64416 LCI64349:LCI64416 KSM64349:KSM64416 KIQ64349:KIQ64416 JYU64349:JYU64416 JOY64349:JOY64416 JFC64349:JFC64416 IVG64349:IVG64416 ILK64349:ILK64416 IBO64349:IBO64416 HRS64349:HRS64416 HHW64349:HHW64416 GYA64349:GYA64416 GOE64349:GOE64416 GEI64349:GEI64416 FUM64349:FUM64416 FKQ64349:FKQ64416 FAU64349:FAU64416 EQY64349:EQY64416 EHC64349:EHC64416 DXG64349:DXG64416 DNK64349:DNK64416 DDO64349:DDO64416 CTS64349:CTS64416 CJW64349:CJW64416 CAA64349:CAA64416 BQE64349:BQE64416 BGI64349:BGI64416 AWM64349:AWM64416 AMQ64349:AMQ64416 ACU64349:ACU64416 SY64349:SY64416 SY2:SY61 G2:G486 ACU2:ACU61 AMQ2:AMQ61 AWM2:AWM61 BGI2:BGI61 BQE2:BQE61 CAA2:CAA61 CJW2:CJW61 CTS2:CTS61 DDO2:DDO61 DNK2:DNK61 DXG2:DXG61 EHC2:EHC61 EQY2:EQY61 FAU2:FAU61 FKQ2:FKQ61 FUM2:FUM61 GEI2:GEI61 GOE2:GOE61 GYA2:GYA61 HHW2:HHW61 HRS2:HRS61 IBO2:IBO61 ILK2:ILK61 IVG2:IVG61 JFC2:JFC61 JOY2:JOY61 JYU2:JYU61 KIQ2:KIQ61 KSM2:KSM61 LCI2:LCI61 LME2:LME61 LWA2:LWA61 MFW2:MFW61 MPS2:MPS61 MZO2:MZO61 NJK2:NJK61 NTG2:NTG61 ODC2:ODC61 OMY2:OMY61 OWU2:OWU61 PGQ2:PGQ61 PQM2:PQM61 QAI2:QAI61 QKE2:QKE61 QUA2:QUA61 RDW2:RDW61 RNS2:RNS61 RXO2:RXO61 SHK2:SHK61 SRG2:SRG61 TBC2:TBC61 TKY2:TKY61 TUU2:TUU61 UEQ2:UEQ61 UOM2:UOM61 UYI2:UYI61 VIE2:VIE61 VSA2:VSA61 WBW2:WBW61 WLS2:WLS61 WVO2:WVO61 JC2:JC61">
      <formula1>$AJ$2:$AJ$4</formula1>
    </dataValidation>
    <dataValidation type="list" allowBlank="1" showInputMessage="1" showErrorMessage="1" sqref="I64349:I64414 JE64349:JE64414 WLU983028:WLU983093 WBY983028:WBY983093 VSC983028:VSC983093 VIG983028:VIG983093 UYK983028:UYK983093 UOO983028:UOO983093 UES983028:UES983093 TUW983028:TUW983093 TLA983028:TLA983093 TBE983028:TBE983093 SRI983028:SRI983093 SHM983028:SHM983093 RXQ983028:RXQ983093 RNU983028:RNU983093 RDY983028:RDY983093 QUC983028:QUC983093 QKG983028:QKG983093 QAK983028:QAK983093 PQO983028:PQO983093 PGS983028:PGS983093 OWW983028:OWW983093 ONA983028:ONA983093 ODE983028:ODE983093 NTI983028:NTI983093 NJM983028:NJM983093 MZQ983028:MZQ983093 MPU983028:MPU983093 MFY983028:MFY983093 LWC983028:LWC983093 LMG983028:LMG983093 LCK983028:LCK983093 KSO983028:KSO983093 KIS983028:KIS983093 JYW983028:JYW983093 JPA983028:JPA983093 JFE983028:JFE983093 IVI983028:IVI983093 ILM983028:ILM983093 IBQ983028:IBQ983093 HRU983028:HRU983093 HHY983028:HHY983093 GYC983028:GYC983093 GOG983028:GOG983093 GEK983028:GEK983093 FUO983028:FUO983093 FKS983028:FKS983093 FAW983028:FAW983093 ERA983028:ERA983093 EHE983028:EHE983093 DXI983028:DXI983093 DNM983028:DNM983093 DDQ983028:DDQ983093 CTU983028:CTU983093 CJY983028:CJY983093 CAC983028:CAC983093 BQG983028:BQG983093 BGK983028:BGK983093 AWO983028:AWO983093 AMS983028:AMS983093 ACW983028:ACW983093 TA983028:TA983093 JE983028:JE983093 I983028:I983093 WVQ917492:WVQ917557 WLU917492:WLU917557 WBY917492:WBY917557 VSC917492:VSC917557 VIG917492:VIG917557 UYK917492:UYK917557 UOO917492:UOO917557 UES917492:UES917557 TUW917492:TUW917557 TLA917492:TLA917557 TBE917492:TBE917557 SRI917492:SRI917557 SHM917492:SHM917557 RXQ917492:RXQ917557 RNU917492:RNU917557 RDY917492:RDY917557 QUC917492:QUC917557 QKG917492:QKG917557 QAK917492:QAK917557 PQO917492:PQO917557 PGS917492:PGS917557 OWW917492:OWW917557 ONA917492:ONA917557 ODE917492:ODE917557 NTI917492:NTI917557 NJM917492:NJM917557 MZQ917492:MZQ917557 MPU917492:MPU917557 MFY917492:MFY917557 LWC917492:LWC917557 LMG917492:LMG917557 LCK917492:LCK917557 KSO917492:KSO917557 KIS917492:KIS917557 JYW917492:JYW917557 JPA917492:JPA917557 JFE917492:JFE917557 IVI917492:IVI917557 ILM917492:ILM917557 IBQ917492:IBQ917557 HRU917492:HRU917557 HHY917492:HHY917557 GYC917492:GYC917557 GOG917492:GOG917557 GEK917492:GEK917557 FUO917492:FUO917557 FKS917492:FKS917557 FAW917492:FAW917557 ERA917492:ERA917557 EHE917492:EHE917557 DXI917492:DXI917557 DNM917492:DNM917557 DDQ917492:DDQ917557 CTU917492:CTU917557 CJY917492:CJY917557 CAC917492:CAC917557 BQG917492:BQG917557 BGK917492:BGK917557 AWO917492:AWO917557 AMS917492:AMS917557 ACW917492:ACW917557 TA917492:TA917557 JE917492:JE917557 I917492:I917557 WVQ851956:WVQ852021 WLU851956:WLU852021 WBY851956:WBY852021 VSC851956:VSC852021 VIG851956:VIG852021 UYK851956:UYK852021 UOO851956:UOO852021 UES851956:UES852021 TUW851956:TUW852021 TLA851956:TLA852021 TBE851956:TBE852021 SRI851956:SRI852021 SHM851956:SHM852021 RXQ851956:RXQ852021 RNU851956:RNU852021 RDY851956:RDY852021 QUC851956:QUC852021 QKG851956:QKG852021 QAK851956:QAK852021 PQO851956:PQO852021 PGS851956:PGS852021 OWW851956:OWW852021 ONA851956:ONA852021 ODE851956:ODE852021 NTI851956:NTI852021 NJM851956:NJM852021 MZQ851956:MZQ852021 MPU851956:MPU852021 MFY851956:MFY852021 LWC851956:LWC852021 LMG851956:LMG852021 LCK851956:LCK852021 KSO851956:KSO852021 KIS851956:KIS852021 JYW851956:JYW852021 JPA851956:JPA852021 JFE851956:JFE852021 IVI851956:IVI852021 ILM851956:ILM852021 IBQ851956:IBQ852021 HRU851956:HRU852021 HHY851956:HHY852021 GYC851956:GYC852021 GOG851956:GOG852021 GEK851956:GEK852021 FUO851956:FUO852021 FKS851956:FKS852021 FAW851956:FAW852021 ERA851956:ERA852021 EHE851956:EHE852021 DXI851956:DXI852021 DNM851956:DNM852021 DDQ851956:DDQ852021 CTU851956:CTU852021 CJY851956:CJY852021 CAC851956:CAC852021 BQG851956:BQG852021 BGK851956:BGK852021 AWO851956:AWO852021 AMS851956:AMS852021 ACW851956:ACW852021 TA851956:TA852021 JE851956:JE852021 I851956:I852021 WVQ786420:WVQ786485 WLU786420:WLU786485 WBY786420:WBY786485 VSC786420:VSC786485 VIG786420:VIG786485 UYK786420:UYK786485 UOO786420:UOO786485 UES786420:UES786485 TUW786420:TUW786485 TLA786420:TLA786485 TBE786420:TBE786485 SRI786420:SRI786485 SHM786420:SHM786485 RXQ786420:RXQ786485 RNU786420:RNU786485 RDY786420:RDY786485 QUC786420:QUC786485 QKG786420:QKG786485 QAK786420:QAK786485 PQO786420:PQO786485 PGS786420:PGS786485 OWW786420:OWW786485 ONA786420:ONA786485 ODE786420:ODE786485 NTI786420:NTI786485 NJM786420:NJM786485 MZQ786420:MZQ786485 MPU786420:MPU786485 MFY786420:MFY786485 LWC786420:LWC786485 LMG786420:LMG786485 LCK786420:LCK786485 KSO786420:KSO786485 KIS786420:KIS786485 JYW786420:JYW786485 JPA786420:JPA786485 JFE786420:JFE786485 IVI786420:IVI786485 ILM786420:ILM786485 IBQ786420:IBQ786485 HRU786420:HRU786485 HHY786420:HHY786485 GYC786420:GYC786485 GOG786420:GOG786485 GEK786420:GEK786485 FUO786420:FUO786485 FKS786420:FKS786485 FAW786420:FAW786485 ERA786420:ERA786485 EHE786420:EHE786485 DXI786420:DXI786485 DNM786420:DNM786485 DDQ786420:DDQ786485 CTU786420:CTU786485 CJY786420:CJY786485 CAC786420:CAC786485 BQG786420:BQG786485 BGK786420:BGK786485 AWO786420:AWO786485 AMS786420:AMS786485 ACW786420:ACW786485 TA786420:TA786485 JE786420:JE786485 I786420:I786485 WVQ720884:WVQ720949 WLU720884:WLU720949 WBY720884:WBY720949 VSC720884:VSC720949 VIG720884:VIG720949 UYK720884:UYK720949 UOO720884:UOO720949 UES720884:UES720949 TUW720884:TUW720949 TLA720884:TLA720949 TBE720884:TBE720949 SRI720884:SRI720949 SHM720884:SHM720949 RXQ720884:RXQ720949 RNU720884:RNU720949 RDY720884:RDY720949 QUC720884:QUC720949 QKG720884:QKG720949 QAK720884:QAK720949 PQO720884:PQO720949 PGS720884:PGS720949 OWW720884:OWW720949 ONA720884:ONA720949 ODE720884:ODE720949 NTI720884:NTI720949 NJM720884:NJM720949 MZQ720884:MZQ720949 MPU720884:MPU720949 MFY720884:MFY720949 LWC720884:LWC720949 LMG720884:LMG720949 LCK720884:LCK720949 KSO720884:KSO720949 KIS720884:KIS720949 JYW720884:JYW720949 JPA720884:JPA720949 JFE720884:JFE720949 IVI720884:IVI720949 ILM720884:ILM720949 IBQ720884:IBQ720949 HRU720884:HRU720949 HHY720884:HHY720949 GYC720884:GYC720949 GOG720884:GOG720949 GEK720884:GEK720949 FUO720884:FUO720949 FKS720884:FKS720949 FAW720884:FAW720949 ERA720884:ERA720949 EHE720884:EHE720949 DXI720884:DXI720949 DNM720884:DNM720949 DDQ720884:DDQ720949 CTU720884:CTU720949 CJY720884:CJY720949 CAC720884:CAC720949 BQG720884:BQG720949 BGK720884:BGK720949 AWO720884:AWO720949 AMS720884:AMS720949 ACW720884:ACW720949 TA720884:TA720949 JE720884:JE720949 I720884:I720949 WVQ655348:WVQ655413 WLU655348:WLU655413 WBY655348:WBY655413 VSC655348:VSC655413 VIG655348:VIG655413 UYK655348:UYK655413 UOO655348:UOO655413 UES655348:UES655413 TUW655348:TUW655413 TLA655348:TLA655413 TBE655348:TBE655413 SRI655348:SRI655413 SHM655348:SHM655413 RXQ655348:RXQ655413 RNU655348:RNU655413 RDY655348:RDY655413 QUC655348:QUC655413 QKG655348:QKG655413 QAK655348:QAK655413 PQO655348:PQO655413 PGS655348:PGS655413 OWW655348:OWW655413 ONA655348:ONA655413 ODE655348:ODE655413 NTI655348:NTI655413 NJM655348:NJM655413 MZQ655348:MZQ655413 MPU655348:MPU655413 MFY655348:MFY655413 LWC655348:LWC655413 LMG655348:LMG655413 LCK655348:LCK655413 KSO655348:KSO655413 KIS655348:KIS655413 JYW655348:JYW655413 JPA655348:JPA655413 JFE655348:JFE655413 IVI655348:IVI655413 ILM655348:ILM655413 IBQ655348:IBQ655413 HRU655348:HRU655413 HHY655348:HHY655413 GYC655348:GYC655413 GOG655348:GOG655413 GEK655348:GEK655413 FUO655348:FUO655413 FKS655348:FKS655413 FAW655348:FAW655413 ERA655348:ERA655413 EHE655348:EHE655413 DXI655348:DXI655413 DNM655348:DNM655413 DDQ655348:DDQ655413 CTU655348:CTU655413 CJY655348:CJY655413 CAC655348:CAC655413 BQG655348:BQG655413 BGK655348:BGK655413 AWO655348:AWO655413 AMS655348:AMS655413 ACW655348:ACW655413 TA655348:TA655413 JE655348:JE655413 I655348:I655413 WVQ589812:WVQ589877 WLU589812:WLU589877 WBY589812:WBY589877 VSC589812:VSC589877 VIG589812:VIG589877 UYK589812:UYK589877 UOO589812:UOO589877 UES589812:UES589877 TUW589812:TUW589877 TLA589812:TLA589877 TBE589812:TBE589877 SRI589812:SRI589877 SHM589812:SHM589877 RXQ589812:RXQ589877 RNU589812:RNU589877 RDY589812:RDY589877 QUC589812:QUC589877 QKG589812:QKG589877 QAK589812:QAK589877 PQO589812:PQO589877 PGS589812:PGS589877 OWW589812:OWW589877 ONA589812:ONA589877 ODE589812:ODE589877 NTI589812:NTI589877 NJM589812:NJM589877 MZQ589812:MZQ589877 MPU589812:MPU589877 MFY589812:MFY589877 LWC589812:LWC589877 LMG589812:LMG589877 LCK589812:LCK589877 KSO589812:KSO589877 KIS589812:KIS589877 JYW589812:JYW589877 JPA589812:JPA589877 JFE589812:JFE589877 IVI589812:IVI589877 ILM589812:ILM589877 IBQ589812:IBQ589877 HRU589812:HRU589877 HHY589812:HHY589877 GYC589812:GYC589877 GOG589812:GOG589877 GEK589812:GEK589877 FUO589812:FUO589877 FKS589812:FKS589877 FAW589812:FAW589877 ERA589812:ERA589877 EHE589812:EHE589877 DXI589812:DXI589877 DNM589812:DNM589877 DDQ589812:DDQ589877 CTU589812:CTU589877 CJY589812:CJY589877 CAC589812:CAC589877 BQG589812:BQG589877 BGK589812:BGK589877 AWO589812:AWO589877 AMS589812:AMS589877 ACW589812:ACW589877 TA589812:TA589877 JE589812:JE589877 I589812:I589877 WVQ524276:WVQ524341 WLU524276:WLU524341 WBY524276:WBY524341 VSC524276:VSC524341 VIG524276:VIG524341 UYK524276:UYK524341 UOO524276:UOO524341 UES524276:UES524341 TUW524276:TUW524341 TLA524276:TLA524341 TBE524276:TBE524341 SRI524276:SRI524341 SHM524276:SHM524341 RXQ524276:RXQ524341 RNU524276:RNU524341 RDY524276:RDY524341 QUC524276:QUC524341 QKG524276:QKG524341 QAK524276:QAK524341 PQO524276:PQO524341 PGS524276:PGS524341 OWW524276:OWW524341 ONA524276:ONA524341 ODE524276:ODE524341 NTI524276:NTI524341 NJM524276:NJM524341 MZQ524276:MZQ524341 MPU524276:MPU524341 MFY524276:MFY524341 LWC524276:LWC524341 LMG524276:LMG524341 LCK524276:LCK524341 KSO524276:KSO524341 KIS524276:KIS524341 JYW524276:JYW524341 JPA524276:JPA524341 JFE524276:JFE524341 IVI524276:IVI524341 ILM524276:ILM524341 IBQ524276:IBQ524341 HRU524276:HRU524341 HHY524276:HHY524341 GYC524276:GYC524341 GOG524276:GOG524341 GEK524276:GEK524341 FUO524276:FUO524341 FKS524276:FKS524341 FAW524276:FAW524341 ERA524276:ERA524341 EHE524276:EHE524341 DXI524276:DXI524341 DNM524276:DNM524341 DDQ524276:DDQ524341 CTU524276:CTU524341 CJY524276:CJY524341 CAC524276:CAC524341 BQG524276:BQG524341 BGK524276:BGK524341 AWO524276:AWO524341 AMS524276:AMS524341 ACW524276:ACW524341 TA524276:TA524341 JE524276:JE524341 I524276:I524341 WVQ458740:WVQ458805 WLU458740:WLU458805 WBY458740:WBY458805 VSC458740:VSC458805 VIG458740:VIG458805 UYK458740:UYK458805 UOO458740:UOO458805 UES458740:UES458805 TUW458740:TUW458805 TLA458740:TLA458805 TBE458740:TBE458805 SRI458740:SRI458805 SHM458740:SHM458805 RXQ458740:RXQ458805 RNU458740:RNU458805 RDY458740:RDY458805 QUC458740:QUC458805 QKG458740:QKG458805 QAK458740:QAK458805 PQO458740:PQO458805 PGS458740:PGS458805 OWW458740:OWW458805 ONA458740:ONA458805 ODE458740:ODE458805 NTI458740:NTI458805 NJM458740:NJM458805 MZQ458740:MZQ458805 MPU458740:MPU458805 MFY458740:MFY458805 LWC458740:LWC458805 LMG458740:LMG458805 LCK458740:LCK458805 KSO458740:KSO458805 KIS458740:KIS458805 JYW458740:JYW458805 JPA458740:JPA458805 JFE458740:JFE458805 IVI458740:IVI458805 ILM458740:ILM458805 IBQ458740:IBQ458805 HRU458740:HRU458805 HHY458740:HHY458805 GYC458740:GYC458805 GOG458740:GOG458805 GEK458740:GEK458805 FUO458740:FUO458805 FKS458740:FKS458805 FAW458740:FAW458805 ERA458740:ERA458805 EHE458740:EHE458805 DXI458740:DXI458805 DNM458740:DNM458805 DDQ458740:DDQ458805 CTU458740:CTU458805 CJY458740:CJY458805 CAC458740:CAC458805 BQG458740:BQG458805 BGK458740:BGK458805 AWO458740:AWO458805 AMS458740:AMS458805 ACW458740:ACW458805 TA458740:TA458805 JE458740:JE458805 I458740:I458805 WVQ393204:WVQ393269 WLU393204:WLU393269 WBY393204:WBY393269 VSC393204:VSC393269 VIG393204:VIG393269 UYK393204:UYK393269 UOO393204:UOO393269 UES393204:UES393269 TUW393204:TUW393269 TLA393204:TLA393269 TBE393204:TBE393269 SRI393204:SRI393269 SHM393204:SHM393269 RXQ393204:RXQ393269 RNU393204:RNU393269 RDY393204:RDY393269 QUC393204:QUC393269 QKG393204:QKG393269 QAK393204:QAK393269 PQO393204:PQO393269 PGS393204:PGS393269 OWW393204:OWW393269 ONA393204:ONA393269 ODE393204:ODE393269 NTI393204:NTI393269 NJM393204:NJM393269 MZQ393204:MZQ393269 MPU393204:MPU393269 MFY393204:MFY393269 LWC393204:LWC393269 LMG393204:LMG393269 LCK393204:LCK393269 KSO393204:KSO393269 KIS393204:KIS393269 JYW393204:JYW393269 JPA393204:JPA393269 JFE393204:JFE393269 IVI393204:IVI393269 ILM393204:ILM393269 IBQ393204:IBQ393269 HRU393204:HRU393269 HHY393204:HHY393269 GYC393204:GYC393269 GOG393204:GOG393269 GEK393204:GEK393269 FUO393204:FUO393269 FKS393204:FKS393269 FAW393204:FAW393269 ERA393204:ERA393269 EHE393204:EHE393269 DXI393204:DXI393269 DNM393204:DNM393269 DDQ393204:DDQ393269 CTU393204:CTU393269 CJY393204:CJY393269 CAC393204:CAC393269 BQG393204:BQG393269 BGK393204:BGK393269 AWO393204:AWO393269 AMS393204:AMS393269 ACW393204:ACW393269 TA393204:TA393269 JE393204:JE393269 I393204:I393269 WVQ327668:WVQ327733 WLU327668:WLU327733 WBY327668:WBY327733 VSC327668:VSC327733 VIG327668:VIG327733 UYK327668:UYK327733 UOO327668:UOO327733 UES327668:UES327733 TUW327668:TUW327733 TLA327668:TLA327733 TBE327668:TBE327733 SRI327668:SRI327733 SHM327668:SHM327733 RXQ327668:RXQ327733 RNU327668:RNU327733 RDY327668:RDY327733 QUC327668:QUC327733 QKG327668:QKG327733 QAK327668:QAK327733 PQO327668:PQO327733 PGS327668:PGS327733 OWW327668:OWW327733 ONA327668:ONA327733 ODE327668:ODE327733 NTI327668:NTI327733 NJM327668:NJM327733 MZQ327668:MZQ327733 MPU327668:MPU327733 MFY327668:MFY327733 LWC327668:LWC327733 LMG327668:LMG327733 LCK327668:LCK327733 KSO327668:KSO327733 KIS327668:KIS327733 JYW327668:JYW327733 JPA327668:JPA327733 JFE327668:JFE327733 IVI327668:IVI327733 ILM327668:ILM327733 IBQ327668:IBQ327733 HRU327668:HRU327733 HHY327668:HHY327733 GYC327668:GYC327733 GOG327668:GOG327733 GEK327668:GEK327733 FUO327668:FUO327733 FKS327668:FKS327733 FAW327668:FAW327733 ERA327668:ERA327733 EHE327668:EHE327733 DXI327668:DXI327733 DNM327668:DNM327733 DDQ327668:DDQ327733 CTU327668:CTU327733 CJY327668:CJY327733 CAC327668:CAC327733 BQG327668:BQG327733 BGK327668:BGK327733 AWO327668:AWO327733 AMS327668:AMS327733 ACW327668:ACW327733 TA327668:TA327733 JE327668:JE327733 I327668:I327733 WVQ262132:WVQ262197 WLU262132:WLU262197 WBY262132:WBY262197 VSC262132:VSC262197 VIG262132:VIG262197 UYK262132:UYK262197 UOO262132:UOO262197 UES262132:UES262197 TUW262132:TUW262197 TLA262132:TLA262197 TBE262132:TBE262197 SRI262132:SRI262197 SHM262132:SHM262197 RXQ262132:RXQ262197 RNU262132:RNU262197 RDY262132:RDY262197 QUC262132:QUC262197 QKG262132:QKG262197 QAK262132:QAK262197 PQO262132:PQO262197 PGS262132:PGS262197 OWW262132:OWW262197 ONA262132:ONA262197 ODE262132:ODE262197 NTI262132:NTI262197 NJM262132:NJM262197 MZQ262132:MZQ262197 MPU262132:MPU262197 MFY262132:MFY262197 LWC262132:LWC262197 LMG262132:LMG262197 LCK262132:LCK262197 KSO262132:KSO262197 KIS262132:KIS262197 JYW262132:JYW262197 JPA262132:JPA262197 JFE262132:JFE262197 IVI262132:IVI262197 ILM262132:ILM262197 IBQ262132:IBQ262197 HRU262132:HRU262197 HHY262132:HHY262197 GYC262132:GYC262197 GOG262132:GOG262197 GEK262132:GEK262197 FUO262132:FUO262197 FKS262132:FKS262197 FAW262132:FAW262197 ERA262132:ERA262197 EHE262132:EHE262197 DXI262132:DXI262197 DNM262132:DNM262197 DDQ262132:DDQ262197 CTU262132:CTU262197 CJY262132:CJY262197 CAC262132:CAC262197 BQG262132:BQG262197 BGK262132:BGK262197 AWO262132:AWO262197 AMS262132:AMS262197 ACW262132:ACW262197 TA262132:TA262197 JE262132:JE262197 I262132:I262197 WVQ196596:WVQ196661 WLU196596:WLU196661 WBY196596:WBY196661 VSC196596:VSC196661 VIG196596:VIG196661 UYK196596:UYK196661 UOO196596:UOO196661 UES196596:UES196661 TUW196596:TUW196661 TLA196596:TLA196661 TBE196596:TBE196661 SRI196596:SRI196661 SHM196596:SHM196661 RXQ196596:RXQ196661 RNU196596:RNU196661 RDY196596:RDY196661 QUC196596:QUC196661 QKG196596:QKG196661 QAK196596:QAK196661 PQO196596:PQO196661 PGS196596:PGS196661 OWW196596:OWW196661 ONA196596:ONA196661 ODE196596:ODE196661 NTI196596:NTI196661 NJM196596:NJM196661 MZQ196596:MZQ196661 MPU196596:MPU196661 MFY196596:MFY196661 LWC196596:LWC196661 LMG196596:LMG196661 LCK196596:LCK196661 KSO196596:KSO196661 KIS196596:KIS196661 JYW196596:JYW196661 JPA196596:JPA196661 JFE196596:JFE196661 IVI196596:IVI196661 ILM196596:ILM196661 IBQ196596:IBQ196661 HRU196596:HRU196661 HHY196596:HHY196661 GYC196596:GYC196661 GOG196596:GOG196661 GEK196596:GEK196661 FUO196596:FUO196661 FKS196596:FKS196661 FAW196596:FAW196661 ERA196596:ERA196661 EHE196596:EHE196661 DXI196596:DXI196661 DNM196596:DNM196661 DDQ196596:DDQ196661 CTU196596:CTU196661 CJY196596:CJY196661 CAC196596:CAC196661 BQG196596:BQG196661 BGK196596:BGK196661 AWO196596:AWO196661 AMS196596:AMS196661 ACW196596:ACW196661 TA196596:TA196661 JE196596:JE196661 I196596:I196661 WVQ131060:WVQ131125 WLU131060:WLU131125 WBY131060:WBY131125 VSC131060:VSC131125 VIG131060:VIG131125 UYK131060:UYK131125 UOO131060:UOO131125 UES131060:UES131125 TUW131060:TUW131125 TLA131060:TLA131125 TBE131060:TBE131125 SRI131060:SRI131125 SHM131060:SHM131125 RXQ131060:RXQ131125 RNU131060:RNU131125 RDY131060:RDY131125 QUC131060:QUC131125 QKG131060:QKG131125 QAK131060:QAK131125 PQO131060:PQO131125 PGS131060:PGS131125 OWW131060:OWW131125 ONA131060:ONA131125 ODE131060:ODE131125 NTI131060:NTI131125 NJM131060:NJM131125 MZQ131060:MZQ131125 MPU131060:MPU131125 MFY131060:MFY131125 LWC131060:LWC131125 LMG131060:LMG131125 LCK131060:LCK131125 KSO131060:KSO131125 KIS131060:KIS131125 JYW131060:JYW131125 JPA131060:JPA131125 JFE131060:JFE131125 IVI131060:IVI131125 ILM131060:ILM131125 IBQ131060:IBQ131125 HRU131060:HRU131125 HHY131060:HHY131125 GYC131060:GYC131125 GOG131060:GOG131125 GEK131060:GEK131125 FUO131060:FUO131125 FKS131060:FKS131125 FAW131060:FAW131125 ERA131060:ERA131125 EHE131060:EHE131125 DXI131060:DXI131125 DNM131060:DNM131125 DDQ131060:DDQ131125 CTU131060:CTU131125 CJY131060:CJY131125 CAC131060:CAC131125 BQG131060:BQG131125 BGK131060:BGK131125 AWO131060:AWO131125 AMS131060:AMS131125 ACW131060:ACW131125 TA131060:TA131125 JE131060:JE131125 I131060:I131125 WVQ65524:WVQ65589 WLU65524:WLU65589 WBY65524:WBY65589 VSC65524:VSC65589 VIG65524:VIG65589 UYK65524:UYK65589 UOO65524:UOO65589 UES65524:UES65589 TUW65524:TUW65589 TLA65524:TLA65589 TBE65524:TBE65589 SRI65524:SRI65589 SHM65524:SHM65589 RXQ65524:RXQ65589 RNU65524:RNU65589 RDY65524:RDY65589 QUC65524:QUC65589 QKG65524:QKG65589 QAK65524:QAK65589 PQO65524:PQO65589 PGS65524:PGS65589 OWW65524:OWW65589 ONA65524:ONA65589 ODE65524:ODE65589 NTI65524:NTI65589 NJM65524:NJM65589 MZQ65524:MZQ65589 MPU65524:MPU65589 MFY65524:MFY65589 LWC65524:LWC65589 LMG65524:LMG65589 LCK65524:LCK65589 KSO65524:KSO65589 KIS65524:KIS65589 JYW65524:JYW65589 JPA65524:JPA65589 JFE65524:JFE65589 IVI65524:IVI65589 ILM65524:ILM65589 IBQ65524:IBQ65589 HRU65524:HRU65589 HHY65524:HHY65589 GYC65524:GYC65589 GOG65524:GOG65589 GEK65524:GEK65589 FUO65524:FUO65589 FKS65524:FKS65589 FAW65524:FAW65589 ERA65524:ERA65589 EHE65524:EHE65589 DXI65524:DXI65589 DNM65524:DNM65589 DDQ65524:DDQ65589 CTU65524:CTU65589 CJY65524:CJY65589 CAC65524:CAC65589 BQG65524:BQG65589 BGK65524:BGK65589 AWO65524:AWO65589 AMS65524:AMS65589 ACW65524:ACW65589 TA65524:TA65589 JE65524:JE65589 I65524:I65589 WVQ983028:WVQ983093 WVQ1047389:WVQ1047454 WLU1047389:WLU1047454 WBY1047389:WBY1047454 VSC1047389:VSC1047454 VIG1047389:VIG1047454 UYK1047389:UYK1047454 UOO1047389:UOO1047454 UES1047389:UES1047454 TUW1047389:TUW1047454 TLA1047389:TLA1047454 TBE1047389:TBE1047454 SRI1047389:SRI1047454 SHM1047389:SHM1047454 RXQ1047389:RXQ1047454 RNU1047389:RNU1047454 RDY1047389:RDY1047454 QUC1047389:QUC1047454 QKG1047389:QKG1047454 QAK1047389:QAK1047454 PQO1047389:PQO1047454 PGS1047389:PGS1047454 OWW1047389:OWW1047454 ONA1047389:ONA1047454 ODE1047389:ODE1047454 NTI1047389:NTI1047454 NJM1047389:NJM1047454 MZQ1047389:MZQ1047454 MPU1047389:MPU1047454 MFY1047389:MFY1047454 LWC1047389:LWC1047454 LMG1047389:LMG1047454 LCK1047389:LCK1047454 KSO1047389:KSO1047454 KIS1047389:KIS1047454 JYW1047389:JYW1047454 JPA1047389:JPA1047454 JFE1047389:JFE1047454 IVI1047389:IVI1047454 ILM1047389:ILM1047454 IBQ1047389:IBQ1047454 HRU1047389:HRU1047454 HHY1047389:HHY1047454 GYC1047389:GYC1047454 GOG1047389:GOG1047454 GEK1047389:GEK1047454 FUO1047389:FUO1047454 FKS1047389:FKS1047454 FAW1047389:FAW1047454 ERA1047389:ERA1047454 EHE1047389:EHE1047454 DXI1047389:DXI1047454 DNM1047389:DNM1047454 DDQ1047389:DDQ1047454 CTU1047389:CTU1047454 CJY1047389:CJY1047454 CAC1047389:CAC1047454 BQG1047389:BQG1047454 BGK1047389:BGK1047454 AWO1047389:AWO1047454 AMS1047389:AMS1047454 ACW1047389:ACW1047454 TA1047389:TA1047454 JE1047389:JE1047454 I1047389:I1047454 WVQ981853:WVQ981918 WLU981853:WLU981918 WBY981853:WBY981918 VSC981853:VSC981918 VIG981853:VIG981918 UYK981853:UYK981918 UOO981853:UOO981918 UES981853:UES981918 TUW981853:TUW981918 TLA981853:TLA981918 TBE981853:TBE981918 SRI981853:SRI981918 SHM981853:SHM981918 RXQ981853:RXQ981918 RNU981853:RNU981918 RDY981853:RDY981918 QUC981853:QUC981918 QKG981853:QKG981918 QAK981853:QAK981918 PQO981853:PQO981918 PGS981853:PGS981918 OWW981853:OWW981918 ONA981853:ONA981918 ODE981853:ODE981918 NTI981853:NTI981918 NJM981853:NJM981918 MZQ981853:MZQ981918 MPU981853:MPU981918 MFY981853:MFY981918 LWC981853:LWC981918 LMG981853:LMG981918 LCK981853:LCK981918 KSO981853:KSO981918 KIS981853:KIS981918 JYW981853:JYW981918 JPA981853:JPA981918 JFE981853:JFE981918 IVI981853:IVI981918 ILM981853:ILM981918 IBQ981853:IBQ981918 HRU981853:HRU981918 HHY981853:HHY981918 GYC981853:GYC981918 GOG981853:GOG981918 GEK981853:GEK981918 FUO981853:FUO981918 FKS981853:FKS981918 FAW981853:FAW981918 ERA981853:ERA981918 EHE981853:EHE981918 DXI981853:DXI981918 DNM981853:DNM981918 DDQ981853:DDQ981918 CTU981853:CTU981918 CJY981853:CJY981918 CAC981853:CAC981918 BQG981853:BQG981918 BGK981853:BGK981918 AWO981853:AWO981918 AMS981853:AMS981918 ACW981853:ACW981918 TA981853:TA981918 JE981853:JE981918 I981853:I981918 WVQ916317:WVQ916382 WLU916317:WLU916382 WBY916317:WBY916382 VSC916317:VSC916382 VIG916317:VIG916382 UYK916317:UYK916382 UOO916317:UOO916382 UES916317:UES916382 TUW916317:TUW916382 TLA916317:TLA916382 TBE916317:TBE916382 SRI916317:SRI916382 SHM916317:SHM916382 RXQ916317:RXQ916382 RNU916317:RNU916382 RDY916317:RDY916382 QUC916317:QUC916382 QKG916317:QKG916382 QAK916317:QAK916382 PQO916317:PQO916382 PGS916317:PGS916382 OWW916317:OWW916382 ONA916317:ONA916382 ODE916317:ODE916382 NTI916317:NTI916382 NJM916317:NJM916382 MZQ916317:MZQ916382 MPU916317:MPU916382 MFY916317:MFY916382 LWC916317:LWC916382 LMG916317:LMG916382 LCK916317:LCK916382 KSO916317:KSO916382 KIS916317:KIS916382 JYW916317:JYW916382 JPA916317:JPA916382 JFE916317:JFE916382 IVI916317:IVI916382 ILM916317:ILM916382 IBQ916317:IBQ916382 HRU916317:HRU916382 HHY916317:HHY916382 GYC916317:GYC916382 GOG916317:GOG916382 GEK916317:GEK916382 FUO916317:FUO916382 FKS916317:FKS916382 FAW916317:FAW916382 ERA916317:ERA916382 EHE916317:EHE916382 DXI916317:DXI916382 DNM916317:DNM916382 DDQ916317:DDQ916382 CTU916317:CTU916382 CJY916317:CJY916382 CAC916317:CAC916382 BQG916317:BQG916382 BGK916317:BGK916382 AWO916317:AWO916382 AMS916317:AMS916382 ACW916317:ACW916382 TA916317:TA916382 JE916317:JE916382 I916317:I916382 WVQ850781:WVQ850846 WLU850781:WLU850846 WBY850781:WBY850846 VSC850781:VSC850846 VIG850781:VIG850846 UYK850781:UYK850846 UOO850781:UOO850846 UES850781:UES850846 TUW850781:TUW850846 TLA850781:TLA850846 TBE850781:TBE850846 SRI850781:SRI850846 SHM850781:SHM850846 RXQ850781:RXQ850846 RNU850781:RNU850846 RDY850781:RDY850846 QUC850781:QUC850846 QKG850781:QKG850846 QAK850781:QAK850846 PQO850781:PQO850846 PGS850781:PGS850846 OWW850781:OWW850846 ONA850781:ONA850846 ODE850781:ODE850846 NTI850781:NTI850846 NJM850781:NJM850846 MZQ850781:MZQ850846 MPU850781:MPU850846 MFY850781:MFY850846 LWC850781:LWC850846 LMG850781:LMG850846 LCK850781:LCK850846 KSO850781:KSO850846 KIS850781:KIS850846 JYW850781:JYW850846 JPA850781:JPA850846 JFE850781:JFE850846 IVI850781:IVI850846 ILM850781:ILM850846 IBQ850781:IBQ850846 HRU850781:HRU850846 HHY850781:HHY850846 GYC850781:GYC850846 GOG850781:GOG850846 GEK850781:GEK850846 FUO850781:FUO850846 FKS850781:FKS850846 FAW850781:FAW850846 ERA850781:ERA850846 EHE850781:EHE850846 DXI850781:DXI850846 DNM850781:DNM850846 DDQ850781:DDQ850846 CTU850781:CTU850846 CJY850781:CJY850846 CAC850781:CAC850846 BQG850781:BQG850846 BGK850781:BGK850846 AWO850781:AWO850846 AMS850781:AMS850846 ACW850781:ACW850846 TA850781:TA850846 JE850781:JE850846 I850781:I850846 WVQ785245:WVQ785310 WLU785245:WLU785310 WBY785245:WBY785310 VSC785245:VSC785310 VIG785245:VIG785310 UYK785245:UYK785310 UOO785245:UOO785310 UES785245:UES785310 TUW785245:TUW785310 TLA785245:TLA785310 TBE785245:TBE785310 SRI785245:SRI785310 SHM785245:SHM785310 RXQ785245:RXQ785310 RNU785245:RNU785310 RDY785245:RDY785310 QUC785245:QUC785310 QKG785245:QKG785310 QAK785245:QAK785310 PQO785245:PQO785310 PGS785245:PGS785310 OWW785245:OWW785310 ONA785245:ONA785310 ODE785245:ODE785310 NTI785245:NTI785310 NJM785245:NJM785310 MZQ785245:MZQ785310 MPU785245:MPU785310 MFY785245:MFY785310 LWC785245:LWC785310 LMG785245:LMG785310 LCK785245:LCK785310 KSO785245:KSO785310 KIS785245:KIS785310 JYW785245:JYW785310 JPA785245:JPA785310 JFE785245:JFE785310 IVI785245:IVI785310 ILM785245:ILM785310 IBQ785245:IBQ785310 HRU785245:HRU785310 HHY785245:HHY785310 GYC785245:GYC785310 GOG785245:GOG785310 GEK785245:GEK785310 FUO785245:FUO785310 FKS785245:FKS785310 FAW785245:FAW785310 ERA785245:ERA785310 EHE785245:EHE785310 DXI785245:DXI785310 DNM785245:DNM785310 DDQ785245:DDQ785310 CTU785245:CTU785310 CJY785245:CJY785310 CAC785245:CAC785310 BQG785245:BQG785310 BGK785245:BGK785310 AWO785245:AWO785310 AMS785245:AMS785310 ACW785245:ACW785310 TA785245:TA785310 JE785245:JE785310 I785245:I785310 WVQ719709:WVQ719774 WLU719709:WLU719774 WBY719709:WBY719774 VSC719709:VSC719774 VIG719709:VIG719774 UYK719709:UYK719774 UOO719709:UOO719774 UES719709:UES719774 TUW719709:TUW719774 TLA719709:TLA719774 TBE719709:TBE719774 SRI719709:SRI719774 SHM719709:SHM719774 RXQ719709:RXQ719774 RNU719709:RNU719774 RDY719709:RDY719774 QUC719709:QUC719774 QKG719709:QKG719774 QAK719709:QAK719774 PQO719709:PQO719774 PGS719709:PGS719774 OWW719709:OWW719774 ONA719709:ONA719774 ODE719709:ODE719774 NTI719709:NTI719774 NJM719709:NJM719774 MZQ719709:MZQ719774 MPU719709:MPU719774 MFY719709:MFY719774 LWC719709:LWC719774 LMG719709:LMG719774 LCK719709:LCK719774 KSO719709:KSO719774 KIS719709:KIS719774 JYW719709:JYW719774 JPA719709:JPA719774 JFE719709:JFE719774 IVI719709:IVI719774 ILM719709:ILM719774 IBQ719709:IBQ719774 HRU719709:HRU719774 HHY719709:HHY719774 GYC719709:GYC719774 GOG719709:GOG719774 GEK719709:GEK719774 FUO719709:FUO719774 FKS719709:FKS719774 FAW719709:FAW719774 ERA719709:ERA719774 EHE719709:EHE719774 DXI719709:DXI719774 DNM719709:DNM719774 DDQ719709:DDQ719774 CTU719709:CTU719774 CJY719709:CJY719774 CAC719709:CAC719774 BQG719709:BQG719774 BGK719709:BGK719774 AWO719709:AWO719774 AMS719709:AMS719774 ACW719709:ACW719774 TA719709:TA719774 JE719709:JE719774 I719709:I719774 WVQ654173:WVQ654238 WLU654173:WLU654238 WBY654173:WBY654238 VSC654173:VSC654238 VIG654173:VIG654238 UYK654173:UYK654238 UOO654173:UOO654238 UES654173:UES654238 TUW654173:TUW654238 TLA654173:TLA654238 TBE654173:TBE654238 SRI654173:SRI654238 SHM654173:SHM654238 RXQ654173:RXQ654238 RNU654173:RNU654238 RDY654173:RDY654238 QUC654173:QUC654238 QKG654173:QKG654238 QAK654173:QAK654238 PQO654173:PQO654238 PGS654173:PGS654238 OWW654173:OWW654238 ONA654173:ONA654238 ODE654173:ODE654238 NTI654173:NTI654238 NJM654173:NJM654238 MZQ654173:MZQ654238 MPU654173:MPU654238 MFY654173:MFY654238 LWC654173:LWC654238 LMG654173:LMG654238 LCK654173:LCK654238 KSO654173:KSO654238 KIS654173:KIS654238 JYW654173:JYW654238 JPA654173:JPA654238 JFE654173:JFE654238 IVI654173:IVI654238 ILM654173:ILM654238 IBQ654173:IBQ654238 HRU654173:HRU654238 HHY654173:HHY654238 GYC654173:GYC654238 GOG654173:GOG654238 GEK654173:GEK654238 FUO654173:FUO654238 FKS654173:FKS654238 FAW654173:FAW654238 ERA654173:ERA654238 EHE654173:EHE654238 DXI654173:DXI654238 DNM654173:DNM654238 DDQ654173:DDQ654238 CTU654173:CTU654238 CJY654173:CJY654238 CAC654173:CAC654238 BQG654173:BQG654238 BGK654173:BGK654238 AWO654173:AWO654238 AMS654173:AMS654238 ACW654173:ACW654238 TA654173:TA654238 JE654173:JE654238 I654173:I654238 WVQ588637:WVQ588702 WLU588637:WLU588702 WBY588637:WBY588702 VSC588637:VSC588702 VIG588637:VIG588702 UYK588637:UYK588702 UOO588637:UOO588702 UES588637:UES588702 TUW588637:TUW588702 TLA588637:TLA588702 TBE588637:TBE588702 SRI588637:SRI588702 SHM588637:SHM588702 RXQ588637:RXQ588702 RNU588637:RNU588702 RDY588637:RDY588702 QUC588637:QUC588702 QKG588637:QKG588702 QAK588637:QAK588702 PQO588637:PQO588702 PGS588637:PGS588702 OWW588637:OWW588702 ONA588637:ONA588702 ODE588637:ODE588702 NTI588637:NTI588702 NJM588637:NJM588702 MZQ588637:MZQ588702 MPU588637:MPU588702 MFY588637:MFY588702 LWC588637:LWC588702 LMG588637:LMG588702 LCK588637:LCK588702 KSO588637:KSO588702 KIS588637:KIS588702 JYW588637:JYW588702 JPA588637:JPA588702 JFE588637:JFE588702 IVI588637:IVI588702 ILM588637:ILM588702 IBQ588637:IBQ588702 HRU588637:HRU588702 HHY588637:HHY588702 GYC588637:GYC588702 GOG588637:GOG588702 GEK588637:GEK588702 FUO588637:FUO588702 FKS588637:FKS588702 FAW588637:FAW588702 ERA588637:ERA588702 EHE588637:EHE588702 DXI588637:DXI588702 DNM588637:DNM588702 DDQ588637:DDQ588702 CTU588637:CTU588702 CJY588637:CJY588702 CAC588637:CAC588702 BQG588637:BQG588702 BGK588637:BGK588702 AWO588637:AWO588702 AMS588637:AMS588702 ACW588637:ACW588702 TA588637:TA588702 JE588637:JE588702 I588637:I588702 WVQ523101:WVQ523166 WLU523101:WLU523166 WBY523101:WBY523166 VSC523101:VSC523166 VIG523101:VIG523166 UYK523101:UYK523166 UOO523101:UOO523166 UES523101:UES523166 TUW523101:TUW523166 TLA523101:TLA523166 TBE523101:TBE523166 SRI523101:SRI523166 SHM523101:SHM523166 RXQ523101:RXQ523166 RNU523101:RNU523166 RDY523101:RDY523166 QUC523101:QUC523166 QKG523101:QKG523166 QAK523101:QAK523166 PQO523101:PQO523166 PGS523101:PGS523166 OWW523101:OWW523166 ONA523101:ONA523166 ODE523101:ODE523166 NTI523101:NTI523166 NJM523101:NJM523166 MZQ523101:MZQ523166 MPU523101:MPU523166 MFY523101:MFY523166 LWC523101:LWC523166 LMG523101:LMG523166 LCK523101:LCK523166 KSO523101:KSO523166 KIS523101:KIS523166 JYW523101:JYW523166 JPA523101:JPA523166 JFE523101:JFE523166 IVI523101:IVI523166 ILM523101:ILM523166 IBQ523101:IBQ523166 HRU523101:HRU523166 HHY523101:HHY523166 GYC523101:GYC523166 GOG523101:GOG523166 GEK523101:GEK523166 FUO523101:FUO523166 FKS523101:FKS523166 FAW523101:FAW523166 ERA523101:ERA523166 EHE523101:EHE523166 DXI523101:DXI523166 DNM523101:DNM523166 DDQ523101:DDQ523166 CTU523101:CTU523166 CJY523101:CJY523166 CAC523101:CAC523166 BQG523101:BQG523166 BGK523101:BGK523166 AWO523101:AWO523166 AMS523101:AMS523166 ACW523101:ACW523166 TA523101:TA523166 JE523101:JE523166 I523101:I523166 WVQ457565:WVQ457630 WLU457565:WLU457630 WBY457565:WBY457630 VSC457565:VSC457630 VIG457565:VIG457630 UYK457565:UYK457630 UOO457565:UOO457630 UES457565:UES457630 TUW457565:TUW457630 TLA457565:TLA457630 TBE457565:TBE457630 SRI457565:SRI457630 SHM457565:SHM457630 RXQ457565:RXQ457630 RNU457565:RNU457630 RDY457565:RDY457630 QUC457565:QUC457630 QKG457565:QKG457630 QAK457565:QAK457630 PQO457565:PQO457630 PGS457565:PGS457630 OWW457565:OWW457630 ONA457565:ONA457630 ODE457565:ODE457630 NTI457565:NTI457630 NJM457565:NJM457630 MZQ457565:MZQ457630 MPU457565:MPU457630 MFY457565:MFY457630 LWC457565:LWC457630 LMG457565:LMG457630 LCK457565:LCK457630 KSO457565:KSO457630 KIS457565:KIS457630 JYW457565:JYW457630 JPA457565:JPA457630 JFE457565:JFE457630 IVI457565:IVI457630 ILM457565:ILM457630 IBQ457565:IBQ457630 HRU457565:HRU457630 HHY457565:HHY457630 GYC457565:GYC457630 GOG457565:GOG457630 GEK457565:GEK457630 FUO457565:FUO457630 FKS457565:FKS457630 FAW457565:FAW457630 ERA457565:ERA457630 EHE457565:EHE457630 DXI457565:DXI457630 DNM457565:DNM457630 DDQ457565:DDQ457630 CTU457565:CTU457630 CJY457565:CJY457630 CAC457565:CAC457630 BQG457565:BQG457630 BGK457565:BGK457630 AWO457565:AWO457630 AMS457565:AMS457630 ACW457565:ACW457630 TA457565:TA457630 JE457565:JE457630 I457565:I457630 WVQ392029:WVQ392094 WLU392029:WLU392094 WBY392029:WBY392094 VSC392029:VSC392094 VIG392029:VIG392094 UYK392029:UYK392094 UOO392029:UOO392094 UES392029:UES392094 TUW392029:TUW392094 TLA392029:TLA392094 TBE392029:TBE392094 SRI392029:SRI392094 SHM392029:SHM392094 RXQ392029:RXQ392094 RNU392029:RNU392094 RDY392029:RDY392094 QUC392029:QUC392094 QKG392029:QKG392094 QAK392029:QAK392094 PQO392029:PQO392094 PGS392029:PGS392094 OWW392029:OWW392094 ONA392029:ONA392094 ODE392029:ODE392094 NTI392029:NTI392094 NJM392029:NJM392094 MZQ392029:MZQ392094 MPU392029:MPU392094 MFY392029:MFY392094 LWC392029:LWC392094 LMG392029:LMG392094 LCK392029:LCK392094 KSO392029:KSO392094 KIS392029:KIS392094 JYW392029:JYW392094 JPA392029:JPA392094 JFE392029:JFE392094 IVI392029:IVI392094 ILM392029:ILM392094 IBQ392029:IBQ392094 HRU392029:HRU392094 HHY392029:HHY392094 GYC392029:GYC392094 GOG392029:GOG392094 GEK392029:GEK392094 FUO392029:FUO392094 FKS392029:FKS392094 FAW392029:FAW392094 ERA392029:ERA392094 EHE392029:EHE392094 DXI392029:DXI392094 DNM392029:DNM392094 DDQ392029:DDQ392094 CTU392029:CTU392094 CJY392029:CJY392094 CAC392029:CAC392094 BQG392029:BQG392094 BGK392029:BGK392094 AWO392029:AWO392094 AMS392029:AMS392094 ACW392029:ACW392094 TA392029:TA392094 JE392029:JE392094 I392029:I392094 WVQ326493:WVQ326558 WLU326493:WLU326558 WBY326493:WBY326558 VSC326493:VSC326558 VIG326493:VIG326558 UYK326493:UYK326558 UOO326493:UOO326558 UES326493:UES326558 TUW326493:TUW326558 TLA326493:TLA326558 TBE326493:TBE326558 SRI326493:SRI326558 SHM326493:SHM326558 RXQ326493:RXQ326558 RNU326493:RNU326558 RDY326493:RDY326558 QUC326493:QUC326558 QKG326493:QKG326558 QAK326493:QAK326558 PQO326493:PQO326558 PGS326493:PGS326558 OWW326493:OWW326558 ONA326493:ONA326558 ODE326493:ODE326558 NTI326493:NTI326558 NJM326493:NJM326558 MZQ326493:MZQ326558 MPU326493:MPU326558 MFY326493:MFY326558 LWC326493:LWC326558 LMG326493:LMG326558 LCK326493:LCK326558 KSO326493:KSO326558 KIS326493:KIS326558 JYW326493:JYW326558 JPA326493:JPA326558 JFE326493:JFE326558 IVI326493:IVI326558 ILM326493:ILM326558 IBQ326493:IBQ326558 HRU326493:HRU326558 HHY326493:HHY326558 GYC326493:GYC326558 GOG326493:GOG326558 GEK326493:GEK326558 FUO326493:FUO326558 FKS326493:FKS326558 FAW326493:FAW326558 ERA326493:ERA326558 EHE326493:EHE326558 DXI326493:DXI326558 DNM326493:DNM326558 DDQ326493:DDQ326558 CTU326493:CTU326558 CJY326493:CJY326558 CAC326493:CAC326558 BQG326493:BQG326558 BGK326493:BGK326558 AWO326493:AWO326558 AMS326493:AMS326558 ACW326493:ACW326558 TA326493:TA326558 JE326493:JE326558 I326493:I326558 WVQ260957:WVQ261022 WLU260957:WLU261022 WBY260957:WBY261022 VSC260957:VSC261022 VIG260957:VIG261022 UYK260957:UYK261022 UOO260957:UOO261022 UES260957:UES261022 TUW260957:TUW261022 TLA260957:TLA261022 TBE260957:TBE261022 SRI260957:SRI261022 SHM260957:SHM261022 RXQ260957:RXQ261022 RNU260957:RNU261022 RDY260957:RDY261022 QUC260957:QUC261022 QKG260957:QKG261022 QAK260957:QAK261022 PQO260957:PQO261022 PGS260957:PGS261022 OWW260957:OWW261022 ONA260957:ONA261022 ODE260957:ODE261022 NTI260957:NTI261022 NJM260957:NJM261022 MZQ260957:MZQ261022 MPU260957:MPU261022 MFY260957:MFY261022 LWC260957:LWC261022 LMG260957:LMG261022 LCK260957:LCK261022 KSO260957:KSO261022 KIS260957:KIS261022 JYW260957:JYW261022 JPA260957:JPA261022 JFE260957:JFE261022 IVI260957:IVI261022 ILM260957:ILM261022 IBQ260957:IBQ261022 HRU260957:HRU261022 HHY260957:HHY261022 GYC260957:GYC261022 GOG260957:GOG261022 GEK260957:GEK261022 FUO260957:FUO261022 FKS260957:FKS261022 FAW260957:FAW261022 ERA260957:ERA261022 EHE260957:EHE261022 DXI260957:DXI261022 DNM260957:DNM261022 DDQ260957:DDQ261022 CTU260957:CTU261022 CJY260957:CJY261022 CAC260957:CAC261022 BQG260957:BQG261022 BGK260957:BGK261022 AWO260957:AWO261022 AMS260957:AMS261022 ACW260957:ACW261022 TA260957:TA261022 JE260957:JE261022 I260957:I261022 WVQ195421:WVQ195486 WLU195421:WLU195486 WBY195421:WBY195486 VSC195421:VSC195486 VIG195421:VIG195486 UYK195421:UYK195486 UOO195421:UOO195486 UES195421:UES195486 TUW195421:TUW195486 TLA195421:TLA195486 TBE195421:TBE195486 SRI195421:SRI195486 SHM195421:SHM195486 RXQ195421:RXQ195486 RNU195421:RNU195486 RDY195421:RDY195486 QUC195421:QUC195486 QKG195421:QKG195486 QAK195421:QAK195486 PQO195421:PQO195486 PGS195421:PGS195486 OWW195421:OWW195486 ONA195421:ONA195486 ODE195421:ODE195486 NTI195421:NTI195486 NJM195421:NJM195486 MZQ195421:MZQ195486 MPU195421:MPU195486 MFY195421:MFY195486 LWC195421:LWC195486 LMG195421:LMG195486 LCK195421:LCK195486 KSO195421:KSO195486 KIS195421:KIS195486 JYW195421:JYW195486 JPA195421:JPA195486 JFE195421:JFE195486 IVI195421:IVI195486 ILM195421:ILM195486 IBQ195421:IBQ195486 HRU195421:HRU195486 HHY195421:HHY195486 GYC195421:GYC195486 GOG195421:GOG195486 GEK195421:GEK195486 FUO195421:FUO195486 FKS195421:FKS195486 FAW195421:FAW195486 ERA195421:ERA195486 EHE195421:EHE195486 DXI195421:DXI195486 DNM195421:DNM195486 DDQ195421:DDQ195486 CTU195421:CTU195486 CJY195421:CJY195486 CAC195421:CAC195486 BQG195421:BQG195486 BGK195421:BGK195486 AWO195421:AWO195486 AMS195421:AMS195486 ACW195421:ACW195486 TA195421:TA195486 JE195421:JE195486 I195421:I195486 WVQ129885:WVQ129950 WLU129885:WLU129950 WBY129885:WBY129950 VSC129885:VSC129950 VIG129885:VIG129950 UYK129885:UYK129950 UOO129885:UOO129950 UES129885:UES129950 TUW129885:TUW129950 TLA129885:TLA129950 TBE129885:TBE129950 SRI129885:SRI129950 SHM129885:SHM129950 RXQ129885:RXQ129950 RNU129885:RNU129950 RDY129885:RDY129950 QUC129885:QUC129950 QKG129885:QKG129950 QAK129885:QAK129950 PQO129885:PQO129950 PGS129885:PGS129950 OWW129885:OWW129950 ONA129885:ONA129950 ODE129885:ODE129950 NTI129885:NTI129950 NJM129885:NJM129950 MZQ129885:MZQ129950 MPU129885:MPU129950 MFY129885:MFY129950 LWC129885:LWC129950 LMG129885:LMG129950 LCK129885:LCK129950 KSO129885:KSO129950 KIS129885:KIS129950 JYW129885:JYW129950 JPA129885:JPA129950 JFE129885:JFE129950 IVI129885:IVI129950 ILM129885:ILM129950 IBQ129885:IBQ129950 HRU129885:HRU129950 HHY129885:HHY129950 GYC129885:GYC129950 GOG129885:GOG129950 GEK129885:GEK129950 FUO129885:FUO129950 FKS129885:FKS129950 FAW129885:FAW129950 ERA129885:ERA129950 EHE129885:EHE129950 DXI129885:DXI129950 DNM129885:DNM129950 DDQ129885:DDQ129950 CTU129885:CTU129950 CJY129885:CJY129950 CAC129885:CAC129950 BQG129885:BQG129950 BGK129885:BGK129950 AWO129885:AWO129950 AMS129885:AMS129950 ACW129885:ACW129950 TA129885:TA129950 JE129885:JE129950 I129885:I129950 WVQ64349:WVQ64414 WLU64349:WLU64414 WBY64349:WBY64414 VSC64349:VSC64414 VIG64349:VIG64414 UYK64349:UYK64414 UOO64349:UOO64414 UES64349:UES64414 TUW64349:TUW64414 TLA64349:TLA64414 TBE64349:TBE64414 SRI64349:SRI64414 SHM64349:SHM64414 RXQ64349:RXQ64414 RNU64349:RNU64414 RDY64349:RDY64414 QUC64349:QUC64414 QKG64349:QKG64414 QAK64349:QAK64414 PQO64349:PQO64414 PGS64349:PGS64414 OWW64349:OWW64414 ONA64349:ONA64414 ODE64349:ODE64414 NTI64349:NTI64414 NJM64349:NJM64414 MZQ64349:MZQ64414 MPU64349:MPU64414 MFY64349:MFY64414 LWC64349:LWC64414 LMG64349:LMG64414 LCK64349:LCK64414 KSO64349:KSO64414 KIS64349:KIS64414 JYW64349:JYW64414 JPA64349:JPA64414 JFE64349:JFE64414 IVI64349:IVI64414 ILM64349:ILM64414 IBQ64349:IBQ64414 HRU64349:HRU64414 HHY64349:HHY64414 GYC64349:GYC64414 GOG64349:GOG64414 GEK64349:GEK64414 FUO64349:FUO64414 FKS64349:FKS64414 FAW64349:FAW64414 ERA64349:ERA64414 EHE64349:EHE64414 DXI64349:DXI64414 DNM64349:DNM64414 DDQ64349:DDQ64414 CTU64349:CTU64414 CJY64349:CJY64414 CAC64349:CAC64414 BQG64349:BQG64414 BGK64349:BGK64414 AWO64349:AWO64414 AMS64349:AMS64414 ACW64349:ACW64414 TA64349:TA64414 I2:I486 TA2:TA61 JE2:JE61 WVQ2:WVQ61 WLU2:WLU61 WBY2:WBY61 VSC2:VSC61 VIG2:VIG61 UYK2:UYK61 UOO2:UOO61 UES2:UES61 TUW2:TUW61 TLA2:TLA61 TBE2:TBE61 SRI2:SRI61 SHM2:SHM61 RXQ2:RXQ61 RNU2:RNU61 RDY2:RDY61 QUC2:QUC61 QKG2:QKG61 QAK2:QAK61 PQO2:PQO61 PGS2:PGS61 OWW2:OWW61 ONA2:ONA61 ODE2:ODE61 NTI2:NTI61 NJM2:NJM61 MZQ2:MZQ61 MPU2:MPU61 MFY2:MFY61 LWC2:LWC61 LMG2:LMG61 LCK2:LCK61 KSO2:KSO61 KIS2:KIS61 JYW2:JYW61 JPA2:JPA61 JFE2:JFE61 IVI2:IVI61 ILM2:ILM61 IBQ2:IBQ61 HRU2:HRU61 HHY2:HHY61 GYC2:GYC61 GOG2:GOG61 GEK2:GEK61 FUO2:FUO61 FKS2:FKS61 FAW2:FAW61 ERA2:ERA61 EHE2:EHE61 DXI2:DXI61 DNM2:DNM61 DDQ2:DDQ61 CTU2:CTU61 CJY2:CJY61 CAC2:CAC61 BQG2:BQG61 BGK2:BGK61 AWO2:AWO61 AMS2:AMS61 ACW2:ACW61">
      <formula1>$AN$5:$AN$6</formula1>
    </dataValidation>
    <dataValidation type="list" allowBlank="1" showInputMessage="1" showErrorMessage="1" sqref="J64349:J64414 WVR1047389:WVR1047454 WLV1047389:WLV1047454 WBZ1047389:WBZ1047454 VSD1047389:VSD1047454 VIH1047389:VIH1047454 UYL1047389:UYL1047454 UOP1047389:UOP1047454 UET1047389:UET1047454 TUX1047389:TUX1047454 TLB1047389:TLB1047454 TBF1047389:TBF1047454 SRJ1047389:SRJ1047454 SHN1047389:SHN1047454 RXR1047389:RXR1047454 RNV1047389:RNV1047454 RDZ1047389:RDZ1047454 QUD1047389:QUD1047454 QKH1047389:QKH1047454 QAL1047389:QAL1047454 PQP1047389:PQP1047454 PGT1047389:PGT1047454 OWX1047389:OWX1047454 ONB1047389:ONB1047454 ODF1047389:ODF1047454 NTJ1047389:NTJ1047454 NJN1047389:NJN1047454 MZR1047389:MZR1047454 MPV1047389:MPV1047454 MFZ1047389:MFZ1047454 LWD1047389:LWD1047454 LMH1047389:LMH1047454 LCL1047389:LCL1047454 KSP1047389:KSP1047454 KIT1047389:KIT1047454 JYX1047389:JYX1047454 JPB1047389:JPB1047454 JFF1047389:JFF1047454 IVJ1047389:IVJ1047454 ILN1047389:ILN1047454 IBR1047389:IBR1047454 HRV1047389:HRV1047454 HHZ1047389:HHZ1047454 GYD1047389:GYD1047454 GOH1047389:GOH1047454 GEL1047389:GEL1047454 FUP1047389:FUP1047454 FKT1047389:FKT1047454 FAX1047389:FAX1047454 ERB1047389:ERB1047454 EHF1047389:EHF1047454 DXJ1047389:DXJ1047454 DNN1047389:DNN1047454 DDR1047389:DDR1047454 CTV1047389:CTV1047454 CJZ1047389:CJZ1047454 CAD1047389:CAD1047454 BQH1047389:BQH1047454 BGL1047389:BGL1047454 AWP1047389:AWP1047454 AMT1047389:AMT1047454 ACX1047389:ACX1047454 TB1047389:TB1047454 JF1047389:JF1047454 J1047389:J1047454 WVR981853:WVR981918 WLV981853:WLV981918 WBZ981853:WBZ981918 VSD981853:VSD981918 VIH981853:VIH981918 UYL981853:UYL981918 UOP981853:UOP981918 UET981853:UET981918 TUX981853:TUX981918 TLB981853:TLB981918 TBF981853:TBF981918 SRJ981853:SRJ981918 SHN981853:SHN981918 RXR981853:RXR981918 RNV981853:RNV981918 RDZ981853:RDZ981918 QUD981853:QUD981918 QKH981853:QKH981918 QAL981853:QAL981918 PQP981853:PQP981918 PGT981853:PGT981918 OWX981853:OWX981918 ONB981853:ONB981918 ODF981853:ODF981918 NTJ981853:NTJ981918 NJN981853:NJN981918 MZR981853:MZR981918 MPV981853:MPV981918 MFZ981853:MFZ981918 LWD981853:LWD981918 LMH981853:LMH981918 LCL981853:LCL981918 KSP981853:KSP981918 KIT981853:KIT981918 JYX981853:JYX981918 JPB981853:JPB981918 JFF981853:JFF981918 IVJ981853:IVJ981918 ILN981853:ILN981918 IBR981853:IBR981918 HRV981853:HRV981918 HHZ981853:HHZ981918 GYD981853:GYD981918 GOH981853:GOH981918 GEL981853:GEL981918 FUP981853:FUP981918 FKT981853:FKT981918 FAX981853:FAX981918 ERB981853:ERB981918 EHF981853:EHF981918 DXJ981853:DXJ981918 DNN981853:DNN981918 DDR981853:DDR981918 CTV981853:CTV981918 CJZ981853:CJZ981918 CAD981853:CAD981918 BQH981853:BQH981918 BGL981853:BGL981918 AWP981853:AWP981918 AMT981853:AMT981918 ACX981853:ACX981918 TB981853:TB981918 JF981853:JF981918 J981853:J981918 WVR916317:WVR916382 WLV916317:WLV916382 WBZ916317:WBZ916382 VSD916317:VSD916382 VIH916317:VIH916382 UYL916317:UYL916382 UOP916317:UOP916382 UET916317:UET916382 TUX916317:TUX916382 TLB916317:TLB916382 TBF916317:TBF916382 SRJ916317:SRJ916382 SHN916317:SHN916382 RXR916317:RXR916382 RNV916317:RNV916382 RDZ916317:RDZ916382 QUD916317:QUD916382 QKH916317:QKH916382 QAL916317:QAL916382 PQP916317:PQP916382 PGT916317:PGT916382 OWX916317:OWX916382 ONB916317:ONB916382 ODF916317:ODF916382 NTJ916317:NTJ916382 NJN916317:NJN916382 MZR916317:MZR916382 MPV916317:MPV916382 MFZ916317:MFZ916382 LWD916317:LWD916382 LMH916317:LMH916382 LCL916317:LCL916382 KSP916317:KSP916382 KIT916317:KIT916382 JYX916317:JYX916382 JPB916317:JPB916382 JFF916317:JFF916382 IVJ916317:IVJ916382 ILN916317:ILN916382 IBR916317:IBR916382 HRV916317:HRV916382 HHZ916317:HHZ916382 GYD916317:GYD916382 GOH916317:GOH916382 GEL916317:GEL916382 FUP916317:FUP916382 FKT916317:FKT916382 FAX916317:FAX916382 ERB916317:ERB916382 EHF916317:EHF916382 DXJ916317:DXJ916382 DNN916317:DNN916382 DDR916317:DDR916382 CTV916317:CTV916382 CJZ916317:CJZ916382 CAD916317:CAD916382 BQH916317:BQH916382 BGL916317:BGL916382 AWP916317:AWP916382 AMT916317:AMT916382 ACX916317:ACX916382 TB916317:TB916382 JF916317:JF916382 J916317:J916382 WVR850781:WVR850846 WLV850781:WLV850846 WBZ850781:WBZ850846 VSD850781:VSD850846 VIH850781:VIH850846 UYL850781:UYL850846 UOP850781:UOP850846 UET850781:UET850846 TUX850781:TUX850846 TLB850781:TLB850846 TBF850781:TBF850846 SRJ850781:SRJ850846 SHN850781:SHN850846 RXR850781:RXR850846 RNV850781:RNV850846 RDZ850781:RDZ850846 QUD850781:QUD850846 QKH850781:QKH850846 QAL850781:QAL850846 PQP850781:PQP850846 PGT850781:PGT850846 OWX850781:OWX850846 ONB850781:ONB850846 ODF850781:ODF850846 NTJ850781:NTJ850846 NJN850781:NJN850846 MZR850781:MZR850846 MPV850781:MPV850846 MFZ850781:MFZ850846 LWD850781:LWD850846 LMH850781:LMH850846 LCL850781:LCL850846 KSP850781:KSP850846 KIT850781:KIT850846 JYX850781:JYX850846 JPB850781:JPB850846 JFF850781:JFF850846 IVJ850781:IVJ850846 ILN850781:ILN850846 IBR850781:IBR850846 HRV850781:HRV850846 HHZ850781:HHZ850846 GYD850781:GYD850846 GOH850781:GOH850846 GEL850781:GEL850846 FUP850781:FUP850846 FKT850781:FKT850846 FAX850781:FAX850846 ERB850781:ERB850846 EHF850781:EHF850846 DXJ850781:DXJ850846 DNN850781:DNN850846 DDR850781:DDR850846 CTV850781:CTV850846 CJZ850781:CJZ850846 CAD850781:CAD850846 BQH850781:BQH850846 BGL850781:BGL850846 AWP850781:AWP850846 AMT850781:AMT850846 ACX850781:ACX850846 TB850781:TB850846 JF850781:JF850846 J850781:J850846 WVR785245:WVR785310 WLV785245:WLV785310 WBZ785245:WBZ785310 VSD785245:VSD785310 VIH785245:VIH785310 UYL785245:UYL785310 UOP785245:UOP785310 UET785245:UET785310 TUX785245:TUX785310 TLB785245:TLB785310 TBF785245:TBF785310 SRJ785245:SRJ785310 SHN785245:SHN785310 RXR785245:RXR785310 RNV785245:RNV785310 RDZ785245:RDZ785310 QUD785245:QUD785310 QKH785245:QKH785310 QAL785245:QAL785310 PQP785245:PQP785310 PGT785245:PGT785310 OWX785245:OWX785310 ONB785245:ONB785310 ODF785245:ODF785310 NTJ785245:NTJ785310 NJN785245:NJN785310 MZR785245:MZR785310 MPV785245:MPV785310 MFZ785245:MFZ785310 LWD785245:LWD785310 LMH785245:LMH785310 LCL785245:LCL785310 KSP785245:KSP785310 KIT785245:KIT785310 JYX785245:JYX785310 JPB785245:JPB785310 JFF785245:JFF785310 IVJ785245:IVJ785310 ILN785245:ILN785310 IBR785245:IBR785310 HRV785245:HRV785310 HHZ785245:HHZ785310 GYD785245:GYD785310 GOH785245:GOH785310 GEL785245:GEL785310 FUP785245:FUP785310 FKT785245:FKT785310 FAX785245:FAX785310 ERB785245:ERB785310 EHF785245:EHF785310 DXJ785245:DXJ785310 DNN785245:DNN785310 DDR785245:DDR785310 CTV785245:CTV785310 CJZ785245:CJZ785310 CAD785245:CAD785310 BQH785245:BQH785310 BGL785245:BGL785310 AWP785245:AWP785310 AMT785245:AMT785310 ACX785245:ACX785310 TB785245:TB785310 JF785245:JF785310 J785245:J785310 WVR719709:WVR719774 WLV719709:WLV719774 WBZ719709:WBZ719774 VSD719709:VSD719774 VIH719709:VIH719774 UYL719709:UYL719774 UOP719709:UOP719774 UET719709:UET719774 TUX719709:TUX719774 TLB719709:TLB719774 TBF719709:TBF719774 SRJ719709:SRJ719774 SHN719709:SHN719774 RXR719709:RXR719774 RNV719709:RNV719774 RDZ719709:RDZ719774 QUD719709:QUD719774 QKH719709:QKH719774 QAL719709:QAL719774 PQP719709:PQP719774 PGT719709:PGT719774 OWX719709:OWX719774 ONB719709:ONB719774 ODF719709:ODF719774 NTJ719709:NTJ719774 NJN719709:NJN719774 MZR719709:MZR719774 MPV719709:MPV719774 MFZ719709:MFZ719774 LWD719709:LWD719774 LMH719709:LMH719774 LCL719709:LCL719774 KSP719709:KSP719774 KIT719709:KIT719774 JYX719709:JYX719774 JPB719709:JPB719774 JFF719709:JFF719774 IVJ719709:IVJ719774 ILN719709:ILN719774 IBR719709:IBR719774 HRV719709:HRV719774 HHZ719709:HHZ719774 GYD719709:GYD719774 GOH719709:GOH719774 GEL719709:GEL719774 FUP719709:FUP719774 FKT719709:FKT719774 FAX719709:FAX719774 ERB719709:ERB719774 EHF719709:EHF719774 DXJ719709:DXJ719774 DNN719709:DNN719774 DDR719709:DDR719774 CTV719709:CTV719774 CJZ719709:CJZ719774 CAD719709:CAD719774 BQH719709:BQH719774 BGL719709:BGL719774 AWP719709:AWP719774 AMT719709:AMT719774 ACX719709:ACX719774 TB719709:TB719774 JF719709:JF719774 J719709:J719774 WVR654173:WVR654238 WLV654173:WLV654238 WBZ654173:WBZ654238 VSD654173:VSD654238 VIH654173:VIH654238 UYL654173:UYL654238 UOP654173:UOP654238 UET654173:UET654238 TUX654173:TUX654238 TLB654173:TLB654238 TBF654173:TBF654238 SRJ654173:SRJ654238 SHN654173:SHN654238 RXR654173:RXR654238 RNV654173:RNV654238 RDZ654173:RDZ654238 QUD654173:QUD654238 QKH654173:QKH654238 QAL654173:QAL654238 PQP654173:PQP654238 PGT654173:PGT654238 OWX654173:OWX654238 ONB654173:ONB654238 ODF654173:ODF654238 NTJ654173:NTJ654238 NJN654173:NJN654238 MZR654173:MZR654238 MPV654173:MPV654238 MFZ654173:MFZ654238 LWD654173:LWD654238 LMH654173:LMH654238 LCL654173:LCL654238 KSP654173:KSP654238 KIT654173:KIT654238 JYX654173:JYX654238 JPB654173:JPB654238 JFF654173:JFF654238 IVJ654173:IVJ654238 ILN654173:ILN654238 IBR654173:IBR654238 HRV654173:HRV654238 HHZ654173:HHZ654238 GYD654173:GYD654238 GOH654173:GOH654238 GEL654173:GEL654238 FUP654173:FUP654238 FKT654173:FKT654238 FAX654173:FAX654238 ERB654173:ERB654238 EHF654173:EHF654238 DXJ654173:DXJ654238 DNN654173:DNN654238 DDR654173:DDR654238 CTV654173:CTV654238 CJZ654173:CJZ654238 CAD654173:CAD654238 BQH654173:BQH654238 BGL654173:BGL654238 AWP654173:AWP654238 AMT654173:AMT654238 ACX654173:ACX654238 TB654173:TB654238 JF654173:JF654238 J654173:J654238 WVR588637:WVR588702 WLV588637:WLV588702 WBZ588637:WBZ588702 VSD588637:VSD588702 VIH588637:VIH588702 UYL588637:UYL588702 UOP588637:UOP588702 UET588637:UET588702 TUX588637:TUX588702 TLB588637:TLB588702 TBF588637:TBF588702 SRJ588637:SRJ588702 SHN588637:SHN588702 RXR588637:RXR588702 RNV588637:RNV588702 RDZ588637:RDZ588702 QUD588637:QUD588702 QKH588637:QKH588702 QAL588637:QAL588702 PQP588637:PQP588702 PGT588637:PGT588702 OWX588637:OWX588702 ONB588637:ONB588702 ODF588637:ODF588702 NTJ588637:NTJ588702 NJN588637:NJN588702 MZR588637:MZR588702 MPV588637:MPV588702 MFZ588637:MFZ588702 LWD588637:LWD588702 LMH588637:LMH588702 LCL588637:LCL588702 KSP588637:KSP588702 KIT588637:KIT588702 JYX588637:JYX588702 JPB588637:JPB588702 JFF588637:JFF588702 IVJ588637:IVJ588702 ILN588637:ILN588702 IBR588637:IBR588702 HRV588637:HRV588702 HHZ588637:HHZ588702 GYD588637:GYD588702 GOH588637:GOH588702 GEL588637:GEL588702 FUP588637:FUP588702 FKT588637:FKT588702 FAX588637:FAX588702 ERB588637:ERB588702 EHF588637:EHF588702 DXJ588637:DXJ588702 DNN588637:DNN588702 DDR588637:DDR588702 CTV588637:CTV588702 CJZ588637:CJZ588702 CAD588637:CAD588702 BQH588637:BQH588702 BGL588637:BGL588702 AWP588637:AWP588702 AMT588637:AMT588702 ACX588637:ACX588702 TB588637:TB588702 JF588637:JF588702 J588637:J588702 WVR523101:WVR523166 WLV523101:WLV523166 WBZ523101:WBZ523166 VSD523101:VSD523166 VIH523101:VIH523166 UYL523101:UYL523166 UOP523101:UOP523166 UET523101:UET523166 TUX523101:TUX523166 TLB523101:TLB523166 TBF523101:TBF523166 SRJ523101:SRJ523166 SHN523101:SHN523166 RXR523101:RXR523166 RNV523101:RNV523166 RDZ523101:RDZ523166 QUD523101:QUD523166 QKH523101:QKH523166 QAL523101:QAL523166 PQP523101:PQP523166 PGT523101:PGT523166 OWX523101:OWX523166 ONB523101:ONB523166 ODF523101:ODF523166 NTJ523101:NTJ523166 NJN523101:NJN523166 MZR523101:MZR523166 MPV523101:MPV523166 MFZ523101:MFZ523166 LWD523101:LWD523166 LMH523101:LMH523166 LCL523101:LCL523166 KSP523101:KSP523166 KIT523101:KIT523166 JYX523101:JYX523166 JPB523101:JPB523166 JFF523101:JFF523166 IVJ523101:IVJ523166 ILN523101:ILN523166 IBR523101:IBR523166 HRV523101:HRV523166 HHZ523101:HHZ523166 GYD523101:GYD523166 GOH523101:GOH523166 GEL523101:GEL523166 FUP523101:FUP523166 FKT523101:FKT523166 FAX523101:FAX523166 ERB523101:ERB523166 EHF523101:EHF523166 DXJ523101:DXJ523166 DNN523101:DNN523166 DDR523101:DDR523166 CTV523101:CTV523166 CJZ523101:CJZ523166 CAD523101:CAD523166 BQH523101:BQH523166 BGL523101:BGL523166 AWP523101:AWP523166 AMT523101:AMT523166 ACX523101:ACX523166 TB523101:TB523166 JF523101:JF523166 J523101:J523166 WVR457565:WVR457630 WLV457565:WLV457630 WBZ457565:WBZ457630 VSD457565:VSD457630 VIH457565:VIH457630 UYL457565:UYL457630 UOP457565:UOP457630 UET457565:UET457630 TUX457565:TUX457630 TLB457565:TLB457630 TBF457565:TBF457630 SRJ457565:SRJ457630 SHN457565:SHN457630 RXR457565:RXR457630 RNV457565:RNV457630 RDZ457565:RDZ457630 QUD457565:QUD457630 QKH457565:QKH457630 QAL457565:QAL457630 PQP457565:PQP457630 PGT457565:PGT457630 OWX457565:OWX457630 ONB457565:ONB457630 ODF457565:ODF457630 NTJ457565:NTJ457630 NJN457565:NJN457630 MZR457565:MZR457630 MPV457565:MPV457630 MFZ457565:MFZ457630 LWD457565:LWD457630 LMH457565:LMH457630 LCL457565:LCL457630 KSP457565:KSP457630 KIT457565:KIT457630 JYX457565:JYX457630 JPB457565:JPB457630 JFF457565:JFF457630 IVJ457565:IVJ457630 ILN457565:ILN457630 IBR457565:IBR457630 HRV457565:HRV457630 HHZ457565:HHZ457630 GYD457565:GYD457630 GOH457565:GOH457630 GEL457565:GEL457630 FUP457565:FUP457630 FKT457565:FKT457630 FAX457565:FAX457630 ERB457565:ERB457630 EHF457565:EHF457630 DXJ457565:DXJ457630 DNN457565:DNN457630 DDR457565:DDR457630 CTV457565:CTV457630 CJZ457565:CJZ457630 CAD457565:CAD457630 BQH457565:BQH457630 BGL457565:BGL457630 AWP457565:AWP457630 AMT457565:AMT457630 ACX457565:ACX457630 TB457565:TB457630 JF457565:JF457630 J457565:J457630 WVR392029:WVR392094 WLV392029:WLV392094 WBZ392029:WBZ392094 VSD392029:VSD392094 VIH392029:VIH392094 UYL392029:UYL392094 UOP392029:UOP392094 UET392029:UET392094 TUX392029:TUX392094 TLB392029:TLB392094 TBF392029:TBF392094 SRJ392029:SRJ392094 SHN392029:SHN392094 RXR392029:RXR392094 RNV392029:RNV392094 RDZ392029:RDZ392094 QUD392029:QUD392094 QKH392029:QKH392094 QAL392029:QAL392094 PQP392029:PQP392094 PGT392029:PGT392094 OWX392029:OWX392094 ONB392029:ONB392094 ODF392029:ODF392094 NTJ392029:NTJ392094 NJN392029:NJN392094 MZR392029:MZR392094 MPV392029:MPV392094 MFZ392029:MFZ392094 LWD392029:LWD392094 LMH392029:LMH392094 LCL392029:LCL392094 KSP392029:KSP392094 KIT392029:KIT392094 JYX392029:JYX392094 JPB392029:JPB392094 JFF392029:JFF392094 IVJ392029:IVJ392094 ILN392029:ILN392094 IBR392029:IBR392094 HRV392029:HRV392094 HHZ392029:HHZ392094 GYD392029:GYD392094 GOH392029:GOH392094 GEL392029:GEL392094 FUP392029:FUP392094 FKT392029:FKT392094 FAX392029:FAX392094 ERB392029:ERB392094 EHF392029:EHF392094 DXJ392029:DXJ392094 DNN392029:DNN392094 DDR392029:DDR392094 CTV392029:CTV392094 CJZ392029:CJZ392094 CAD392029:CAD392094 BQH392029:BQH392094 BGL392029:BGL392094 AWP392029:AWP392094 AMT392029:AMT392094 ACX392029:ACX392094 TB392029:TB392094 JF392029:JF392094 J392029:J392094 WVR326493:WVR326558 WLV326493:WLV326558 WBZ326493:WBZ326558 VSD326493:VSD326558 VIH326493:VIH326558 UYL326493:UYL326558 UOP326493:UOP326558 UET326493:UET326558 TUX326493:TUX326558 TLB326493:TLB326558 TBF326493:TBF326558 SRJ326493:SRJ326558 SHN326493:SHN326558 RXR326493:RXR326558 RNV326493:RNV326558 RDZ326493:RDZ326558 QUD326493:QUD326558 QKH326493:QKH326558 QAL326493:QAL326558 PQP326493:PQP326558 PGT326493:PGT326558 OWX326493:OWX326558 ONB326493:ONB326558 ODF326493:ODF326558 NTJ326493:NTJ326558 NJN326493:NJN326558 MZR326493:MZR326558 MPV326493:MPV326558 MFZ326493:MFZ326558 LWD326493:LWD326558 LMH326493:LMH326558 LCL326493:LCL326558 KSP326493:KSP326558 KIT326493:KIT326558 JYX326493:JYX326558 JPB326493:JPB326558 JFF326493:JFF326558 IVJ326493:IVJ326558 ILN326493:ILN326558 IBR326493:IBR326558 HRV326493:HRV326558 HHZ326493:HHZ326558 GYD326493:GYD326558 GOH326493:GOH326558 GEL326493:GEL326558 FUP326493:FUP326558 FKT326493:FKT326558 FAX326493:FAX326558 ERB326493:ERB326558 EHF326493:EHF326558 DXJ326493:DXJ326558 DNN326493:DNN326558 DDR326493:DDR326558 CTV326493:CTV326558 CJZ326493:CJZ326558 CAD326493:CAD326558 BQH326493:BQH326558 BGL326493:BGL326558 AWP326493:AWP326558 AMT326493:AMT326558 ACX326493:ACX326558 TB326493:TB326558 JF326493:JF326558 J326493:J326558 WVR260957:WVR261022 WLV260957:WLV261022 WBZ260957:WBZ261022 VSD260957:VSD261022 VIH260957:VIH261022 UYL260957:UYL261022 UOP260957:UOP261022 UET260957:UET261022 TUX260957:TUX261022 TLB260957:TLB261022 TBF260957:TBF261022 SRJ260957:SRJ261022 SHN260957:SHN261022 RXR260957:RXR261022 RNV260957:RNV261022 RDZ260957:RDZ261022 QUD260957:QUD261022 QKH260957:QKH261022 QAL260957:QAL261022 PQP260957:PQP261022 PGT260957:PGT261022 OWX260957:OWX261022 ONB260957:ONB261022 ODF260957:ODF261022 NTJ260957:NTJ261022 NJN260957:NJN261022 MZR260957:MZR261022 MPV260957:MPV261022 MFZ260957:MFZ261022 LWD260957:LWD261022 LMH260957:LMH261022 LCL260957:LCL261022 KSP260957:KSP261022 KIT260957:KIT261022 JYX260957:JYX261022 JPB260957:JPB261022 JFF260957:JFF261022 IVJ260957:IVJ261022 ILN260957:ILN261022 IBR260957:IBR261022 HRV260957:HRV261022 HHZ260957:HHZ261022 GYD260957:GYD261022 GOH260957:GOH261022 GEL260957:GEL261022 FUP260957:FUP261022 FKT260957:FKT261022 FAX260957:FAX261022 ERB260957:ERB261022 EHF260957:EHF261022 DXJ260957:DXJ261022 DNN260957:DNN261022 DDR260957:DDR261022 CTV260957:CTV261022 CJZ260957:CJZ261022 CAD260957:CAD261022 BQH260957:BQH261022 BGL260957:BGL261022 AWP260957:AWP261022 AMT260957:AMT261022 ACX260957:ACX261022 TB260957:TB261022 JF260957:JF261022 J260957:J261022 WVR195421:WVR195486 WLV195421:WLV195486 WBZ195421:WBZ195486 VSD195421:VSD195486 VIH195421:VIH195486 UYL195421:UYL195486 UOP195421:UOP195486 UET195421:UET195486 TUX195421:TUX195486 TLB195421:TLB195486 TBF195421:TBF195486 SRJ195421:SRJ195486 SHN195421:SHN195486 RXR195421:RXR195486 RNV195421:RNV195486 RDZ195421:RDZ195486 QUD195421:QUD195486 QKH195421:QKH195486 QAL195421:QAL195486 PQP195421:PQP195486 PGT195421:PGT195486 OWX195421:OWX195486 ONB195421:ONB195486 ODF195421:ODF195486 NTJ195421:NTJ195486 NJN195421:NJN195486 MZR195421:MZR195486 MPV195421:MPV195486 MFZ195421:MFZ195486 LWD195421:LWD195486 LMH195421:LMH195486 LCL195421:LCL195486 KSP195421:KSP195486 KIT195421:KIT195486 JYX195421:JYX195486 JPB195421:JPB195486 JFF195421:JFF195486 IVJ195421:IVJ195486 ILN195421:ILN195486 IBR195421:IBR195486 HRV195421:HRV195486 HHZ195421:HHZ195486 GYD195421:GYD195486 GOH195421:GOH195486 GEL195421:GEL195486 FUP195421:FUP195486 FKT195421:FKT195486 FAX195421:FAX195486 ERB195421:ERB195486 EHF195421:EHF195486 DXJ195421:DXJ195486 DNN195421:DNN195486 DDR195421:DDR195486 CTV195421:CTV195486 CJZ195421:CJZ195486 CAD195421:CAD195486 BQH195421:BQH195486 BGL195421:BGL195486 AWP195421:AWP195486 AMT195421:AMT195486 ACX195421:ACX195486 TB195421:TB195486 JF195421:JF195486 J195421:J195486 WVR129885:WVR129950 WLV129885:WLV129950 WBZ129885:WBZ129950 VSD129885:VSD129950 VIH129885:VIH129950 UYL129885:UYL129950 UOP129885:UOP129950 UET129885:UET129950 TUX129885:TUX129950 TLB129885:TLB129950 TBF129885:TBF129950 SRJ129885:SRJ129950 SHN129885:SHN129950 RXR129885:RXR129950 RNV129885:RNV129950 RDZ129885:RDZ129950 QUD129885:QUD129950 QKH129885:QKH129950 QAL129885:QAL129950 PQP129885:PQP129950 PGT129885:PGT129950 OWX129885:OWX129950 ONB129885:ONB129950 ODF129885:ODF129950 NTJ129885:NTJ129950 NJN129885:NJN129950 MZR129885:MZR129950 MPV129885:MPV129950 MFZ129885:MFZ129950 LWD129885:LWD129950 LMH129885:LMH129950 LCL129885:LCL129950 KSP129885:KSP129950 KIT129885:KIT129950 JYX129885:JYX129950 JPB129885:JPB129950 JFF129885:JFF129950 IVJ129885:IVJ129950 ILN129885:ILN129950 IBR129885:IBR129950 HRV129885:HRV129950 HHZ129885:HHZ129950 GYD129885:GYD129950 GOH129885:GOH129950 GEL129885:GEL129950 FUP129885:FUP129950 FKT129885:FKT129950 FAX129885:FAX129950 ERB129885:ERB129950 EHF129885:EHF129950 DXJ129885:DXJ129950 DNN129885:DNN129950 DDR129885:DDR129950 CTV129885:CTV129950 CJZ129885:CJZ129950 CAD129885:CAD129950 BQH129885:BQH129950 BGL129885:BGL129950 AWP129885:AWP129950 AMT129885:AMT129950 ACX129885:ACX129950 TB129885:TB129950 JF129885:JF129950 J129885:J129950 WVR64349:WVR64414 WLV64349:WLV64414 WBZ64349:WBZ64414 VSD64349:VSD64414 VIH64349:VIH64414 UYL64349:UYL64414 UOP64349:UOP64414 UET64349:UET64414 TUX64349:TUX64414 TLB64349:TLB64414 TBF64349:TBF64414 SRJ64349:SRJ64414 SHN64349:SHN64414 RXR64349:RXR64414 RNV64349:RNV64414 RDZ64349:RDZ64414 QUD64349:QUD64414 QKH64349:QKH64414 QAL64349:QAL64414 PQP64349:PQP64414 PGT64349:PGT64414 OWX64349:OWX64414 ONB64349:ONB64414 ODF64349:ODF64414 NTJ64349:NTJ64414 NJN64349:NJN64414 MZR64349:MZR64414 MPV64349:MPV64414 MFZ64349:MFZ64414 LWD64349:LWD64414 LMH64349:LMH64414 LCL64349:LCL64414 KSP64349:KSP64414 KIT64349:KIT64414 JYX64349:JYX64414 JPB64349:JPB64414 JFF64349:JFF64414 IVJ64349:IVJ64414 ILN64349:ILN64414 IBR64349:IBR64414 HRV64349:HRV64414 HHZ64349:HHZ64414 GYD64349:GYD64414 GOH64349:GOH64414 GEL64349:GEL64414 FUP64349:FUP64414 FKT64349:FKT64414 FAX64349:FAX64414 ERB64349:ERB64414 EHF64349:EHF64414 DXJ64349:DXJ64414 DNN64349:DNN64414 DDR64349:DDR64414 CTV64349:CTV64414 CJZ64349:CJZ64414 CAD64349:CAD64414 BQH64349:BQH64414 BGL64349:BGL64414 AWP64349:AWP64414 AMT64349:AMT64414 ACX64349:ACX64414 TB64349:TB64414 JF64349:JF64414">
      <formula1>$AP$2:$AP$15</formula1>
    </dataValidation>
    <dataValidation type="list" allowBlank="1" showInputMessage="1" showErrorMessage="1" sqref="K64349:K64414 WVS1047389:WVS1047454 WLW1047389:WLW1047454 WCA1047389:WCA1047454 VSE1047389:VSE1047454 VII1047389:VII1047454 UYM1047389:UYM1047454 UOQ1047389:UOQ1047454 UEU1047389:UEU1047454 TUY1047389:TUY1047454 TLC1047389:TLC1047454 TBG1047389:TBG1047454 SRK1047389:SRK1047454 SHO1047389:SHO1047454 RXS1047389:RXS1047454 RNW1047389:RNW1047454 REA1047389:REA1047454 QUE1047389:QUE1047454 QKI1047389:QKI1047454 QAM1047389:QAM1047454 PQQ1047389:PQQ1047454 PGU1047389:PGU1047454 OWY1047389:OWY1047454 ONC1047389:ONC1047454 ODG1047389:ODG1047454 NTK1047389:NTK1047454 NJO1047389:NJO1047454 MZS1047389:MZS1047454 MPW1047389:MPW1047454 MGA1047389:MGA1047454 LWE1047389:LWE1047454 LMI1047389:LMI1047454 LCM1047389:LCM1047454 KSQ1047389:KSQ1047454 KIU1047389:KIU1047454 JYY1047389:JYY1047454 JPC1047389:JPC1047454 JFG1047389:JFG1047454 IVK1047389:IVK1047454 ILO1047389:ILO1047454 IBS1047389:IBS1047454 HRW1047389:HRW1047454 HIA1047389:HIA1047454 GYE1047389:GYE1047454 GOI1047389:GOI1047454 GEM1047389:GEM1047454 FUQ1047389:FUQ1047454 FKU1047389:FKU1047454 FAY1047389:FAY1047454 ERC1047389:ERC1047454 EHG1047389:EHG1047454 DXK1047389:DXK1047454 DNO1047389:DNO1047454 DDS1047389:DDS1047454 CTW1047389:CTW1047454 CKA1047389:CKA1047454 CAE1047389:CAE1047454 BQI1047389:BQI1047454 BGM1047389:BGM1047454 AWQ1047389:AWQ1047454 AMU1047389:AMU1047454 ACY1047389:ACY1047454 TC1047389:TC1047454 JG1047389:JG1047454 K1047389:K1047454 WVS981853:WVS981918 WLW981853:WLW981918 WCA981853:WCA981918 VSE981853:VSE981918 VII981853:VII981918 UYM981853:UYM981918 UOQ981853:UOQ981918 UEU981853:UEU981918 TUY981853:TUY981918 TLC981853:TLC981918 TBG981853:TBG981918 SRK981853:SRK981918 SHO981853:SHO981918 RXS981853:RXS981918 RNW981853:RNW981918 REA981853:REA981918 QUE981853:QUE981918 QKI981853:QKI981918 QAM981853:QAM981918 PQQ981853:PQQ981918 PGU981853:PGU981918 OWY981853:OWY981918 ONC981853:ONC981918 ODG981853:ODG981918 NTK981853:NTK981918 NJO981853:NJO981918 MZS981853:MZS981918 MPW981853:MPW981918 MGA981853:MGA981918 LWE981853:LWE981918 LMI981853:LMI981918 LCM981853:LCM981918 KSQ981853:KSQ981918 KIU981853:KIU981918 JYY981853:JYY981918 JPC981853:JPC981918 JFG981853:JFG981918 IVK981853:IVK981918 ILO981853:ILO981918 IBS981853:IBS981918 HRW981853:HRW981918 HIA981853:HIA981918 GYE981853:GYE981918 GOI981853:GOI981918 GEM981853:GEM981918 FUQ981853:FUQ981918 FKU981853:FKU981918 FAY981853:FAY981918 ERC981853:ERC981918 EHG981853:EHG981918 DXK981853:DXK981918 DNO981853:DNO981918 DDS981853:DDS981918 CTW981853:CTW981918 CKA981853:CKA981918 CAE981853:CAE981918 BQI981853:BQI981918 BGM981853:BGM981918 AWQ981853:AWQ981918 AMU981853:AMU981918 ACY981853:ACY981918 TC981853:TC981918 JG981853:JG981918 K981853:K981918 WVS916317:WVS916382 WLW916317:WLW916382 WCA916317:WCA916382 VSE916317:VSE916382 VII916317:VII916382 UYM916317:UYM916382 UOQ916317:UOQ916382 UEU916317:UEU916382 TUY916317:TUY916382 TLC916317:TLC916382 TBG916317:TBG916382 SRK916317:SRK916382 SHO916317:SHO916382 RXS916317:RXS916382 RNW916317:RNW916382 REA916317:REA916382 QUE916317:QUE916382 QKI916317:QKI916382 QAM916317:QAM916382 PQQ916317:PQQ916382 PGU916317:PGU916382 OWY916317:OWY916382 ONC916317:ONC916382 ODG916317:ODG916382 NTK916317:NTK916382 NJO916317:NJO916382 MZS916317:MZS916382 MPW916317:MPW916382 MGA916317:MGA916382 LWE916317:LWE916382 LMI916317:LMI916382 LCM916317:LCM916382 KSQ916317:KSQ916382 KIU916317:KIU916382 JYY916317:JYY916382 JPC916317:JPC916382 JFG916317:JFG916382 IVK916317:IVK916382 ILO916317:ILO916382 IBS916317:IBS916382 HRW916317:HRW916382 HIA916317:HIA916382 GYE916317:GYE916382 GOI916317:GOI916382 GEM916317:GEM916382 FUQ916317:FUQ916382 FKU916317:FKU916382 FAY916317:FAY916382 ERC916317:ERC916382 EHG916317:EHG916382 DXK916317:DXK916382 DNO916317:DNO916382 DDS916317:DDS916382 CTW916317:CTW916382 CKA916317:CKA916382 CAE916317:CAE916382 BQI916317:BQI916382 BGM916317:BGM916382 AWQ916317:AWQ916382 AMU916317:AMU916382 ACY916317:ACY916382 TC916317:TC916382 JG916317:JG916382 K916317:K916382 WVS850781:WVS850846 WLW850781:WLW850846 WCA850781:WCA850846 VSE850781:VSE850846 VII850781:VII850846 UYM850781:UYM850846 UOQ850781:UOQ850846 UEU850781:UEU850846 TUY850781:TUY850846 TLC850781:TLC850846 TBG850781:TBG850846 SRK850781:SRK850846 SHO850781:SHO850846 RXS850781:RXS850846 RNW850781:RNW850846 REA850781:REA850846 QUE850781:QUE850846 QKI850781:QKI850846 QAM850781:QAM850846 PQQ850781:PQQ850846 PGU850781:PGU850846 OWY850781:OWY850846 ONC850781:ONC850846 ODG850781:ODG850846 NTK850781:NTK850846 NJO850781:NJO850846 MZS850781:MZS850846 MPW850781:MPW850846 MGA850781:MGA850846 LWE850781:LWE850846 LMI850781:LMI850846 LCM850781:LCM850846 KSQ850781:KSQ850846 KIU850781:KIU850846 JYY850781:JYY850846 JPC850781:JPC850846 JFG850781:JFG850846 IVK850781:IVK850846 ILO850781:ILO850846 IBS850781:IBS850846 HRW850781:HRW850846 HIA850781:HIA850846 GYE850781:GYE850846 GOI850781:GOI850846 GEM850781:GEM850846 FUQ850781:FUQ850846 FKU850781:FKU850846 FAY850781:FAY850846 ERC850781:ERC850846 EHG850781:EHG850846 DXK850781:DXK850846 DNO850781:DNO850846 DDS850781:DDS850846 CTW850781:CTW850846 CKA850781:CKA850846 CAE850781:CAE850846 BQI850781:BQI850846 BGM850781:BGM850846 AWQ850781:AWQ850846 AMU850781:AMU850846 ACY850781:ACY850846 TC850781:TC850846 JG850781:JG850846 K850781:K850846 WVS785245:WVS785310 WLW785245:WLW785310 WCA785245:WCA785310 VSE785245:VSE785310 VII785245:VII785310 UYM785245:UYM785310 UOQ785245:UOQ785310 UEU785245:UEU785310 TUY785245:TUY785310 TLC785245:TLC785310 TBG785245:TBG785310 SRK785245:SRK785310 SHO785245:SHO785310 RXS785245:RXS785310 RNW785245:RNW785310 REA785245:REA785310 QUE785245:QUE785310 QKI785245:QKI785310 QAM785245:QAM785310 PQQ785245:PQQ785310 PGU785245:PGU785310 OWY785245:OWY785310 ONC785245:ONC785310 ODG785245:ODG785310 NTK785245:NTK785310 NJO785245:NJO785310 MZS785245:MZS785310 MPW785245:MPW785310 MGA785245:MGA785310 LWE785245:LWE785310 LMI785245:LMI785310 LCM785245:LCM785310 KSQ785245:KSQ785310 KIU785245:KIU785310 JYY785245:JYY785310 JPC785245:JPC785310 JFG785245:JFG785310 IVK785245:IVK785310 ILO785245:ILO785310 IBS785245:IBS785310 HRW785245:HRW785310 HIA785245:HIA785310 GYE785245:GYE785310 GOI785245:GOI785310 GEM785245:GEM785310 FUQ785245:FUQ785310 FKU785245:FKU785310 FAY785245:FAY785310 ERC785245:ERC785310 EHG785245:EHG785310 DXK785245:DXK785310 DNO785245:DNO785310 DDS785245:DDS785310 CTW785245:CTW785310 CKA785245:CKA785310 CAE785245:CAE785310 BQI785245:BQI785310 BGM785245:BGM785310 AWQ785245:AWQ785310 AMU785245:AMU785310 ACY785245:ACY785310 TC785245:TC785310 JG785245:JG785310 K785245:K785310 WVS719709:WVS719774 WLW719709:WLW719774 WCA719709:WCA719774 VSE719709:VSE719774 VII719709:VII719774 UYM719709:UYM719774 UOQ719709:UOQ719774 UEU719709:UEU719774 TUY719709:TUY719774 TLC719709:TLC719774 TBG719709:TBG719774 SRK719709:SRK719774 SHO719709:SHO719774 RXS719709:RXS719774 RNW719709:RNW719774 REA719709:REA719774 QUE719709:QUE719774 QKI719709:QKI719774 QAM719709:QAM719774 PQQ719709:PQQ719774 PGU719709:PGU719774 OWY719709:OWY719774 ONC719709:ONC719774 ODG719709:ODG719774 NTK719709:NTK719774 NJO719709:NJO719774 MZS719709:MZS719774 MPW719709:MPW719774 MGA719709:MGA719774 LWE719709:LWE719774 LMI719709:LMI719774 LCM719709:LCM719774 KSQ719709:KSQ719774 KIU719709:KIU719774 JYY719709:JYY719774 JPC719709:JPC719774 JFG719709:JFG719774 IVK719709:IVK719774 ILO719709:ILO719774 IBS719709:IBS719774 HRW719709:HRW719774 HIA719709:HIA719774 GYE719709:GYE719774 GOI719709:GOI719774 GEM719709:GEM719774 FUQ719709:FUQ719774 FKU719709:FKU719774 FAY719709:FAY719774 ERC719709:ERC719774 EHG719709:EHG719774 DXK719709:DXK719774 DNO719709:DNO719774 DDS719709:DDS719774 CTW719709:CTW719774 CKA719709:CKA719774 CAE719709:CAE719774 BQI719709:BQI719774 BGM719709:BGM719774 AWQ719709:AWQ719774 AMU719709:AMU719774 ACY719709:ACY719774 TC719709:TC719774 JG719709:JG719774 K719709:K719774 WVS654173:WVS654238 WLW654173:WLW654238 WCA654173:WCA654238 VSE654173:VSE654238 VII654173:VII654238 UYM654173:UYM654238 UOQ654173:UOQ654238 UEU654173:UEU654238 TUY654173:TUY654238 TLC654173:TLC654238 TBG654173:TBG654238 SRK654173:SRK654238 SHO654173:SHO654238 RXS654173:RXS654238 RNW654173:RNW654238 REA654173:REA654238 QUE654173:QUE654238 QKI654173:QKI654238 QAM654173:QAM654238 PQQ654173:PQQ654238 PGU654173:PGU654238 OWY654173:OWY654238 ONC654173:ONC654238 ODG654173:ODG654238 NTK654173:NTK654238 NJO654173:NJO654238 MZS654173:MZS654238 MPW654173:MPW654238 MGA654173:MGA654238 LWE654173:LWE654238 LMI654173:LMI654238 LCM654173:LCM654238 KSQ654173:KSQ654238 KIU654173:KIU654238 JYY654173:JYY654238 JPC654173:JPC654238 JFG654173:JFG654238 IVK654173:IVK654238 ILO654173:ILO654238 IBS654173:IBS654238 HRW654173:HRW654238 HIA654173:HIA654238 GYE654173:GYE654238 GOI654173:GOI654238 GEM654173:GEM654238 FUQ654173:FUQ654238 FKU654173:FKU654238 FAY654173:FAY654238 ERC654173:ERC654238 EHG654173:EHG654238 DXK654173:DXK654238 DNO654173:DNO654238 DDS654173:DDS654238 CTW654173:CTW654238 CKA654173:CKA654238 CAE654173:CAE654238 BQI654173:BQI654238 BGM654173:BGM654238 AWQ654173:AWQ654238 AMU654173:AMU654238 ACY654173:ACY654238 TC654173:TC654238 JG654173:JG654238 K654173:K654238 WVS588637:WVS588702 WLW588637:WLW588702 WCA588637:WCA588702 VSE588637:VSE588702 VII588637:VII588702 UYM588637:UYM588702 UOQ588637:UOQ588702 UEU588637:UEU588702 TUY588637:TUY588702 TLC588637:TLC588702 TBG588637:TBG588702 SRK588637:SRK588702 SHO588637:SHO588702 RXS588637:RXS588702 RNW588637:RNW588702 REA588637:REA588702 QUE588637:QUE588702 QKI588637:QKI588702 QAM588637:QAM588702 PQQ588637:PQQ588702 PGU588637:PGU588702 OWY588637:OWY588702 ONC588637:ONC588702 ODG588637:ODG588702 NTK588637:NTK588702 NJO588637:NJO588702 MZS588637:MZS588702 MPW588637:MPW588702 MGA588637:MGA588702 LWE588637:LWE588702 LMI588637:LMI588702 LCM588637:LCM588702 KSQ588637:KSQ588702 KIU588637:KIU588702 JYY588637:JYY588702 JPC588637:JPC588702 JFG588637:JFG588702 IVK588637:IVK588702 ILO588637:ILO588702 IBS588637:IBS588702 HRW588637:HRW588702 HIA588637:HIA588702 GYE588637:GYE588702 GOI588637:GOI588702 GEM588637:GEM588702 FUQ588637:FUQ588702 FKU588637:FKU588702 FAY588637:FAY588702 ERC588637:ERC588702 EHG588637:EHG588702 DXK588637:DXK588702 DNO588637:DNO588702 DDS588637:DDS588702 CTW588637:CTW588702 CKA588637:CKA588702 CAE588637:CAE588702 BQI588637:BQI588702 BGM588637:BGM588702 AWQ588637:AWQ588702 AMU588637:AMU588702 ACY588637:ACY588702 TC588637:TC588702 JG588637:JG588702 K588637:K588702 WVS523101:WVS523166 WLW523101:WLW523166 WCA523101:WCA523166 VSE523101:VSE523166 VII523101:VII523166 UYM523101:UYM523166 UOQ523101:UOQ523166 UEU523101:UEU523166 TUY523101:TUY523166 TLC523101:TLC523166 TBG523101:TBG523166 SRK523101:SRK523166 SHO523101:SHO523166 RXS523101:RXS523166 RNW523101:RNW523166 REA523101:REA523166 QUE523101:QUE523166 QKI523101:QKI523166 QAM523101:QAM523166 PQQ523101:PQQ523166 PGU523101:PGU523166 OWY523101:OWY523166 ONC523101:ONC523166 ODG523101:ODG523166 NTK523101:NTK523166 NJO523101:NJO523166 MZS523101:MZS523166 MPW523101:MPW523166 MGA523101:MGA523166 LWE523101:LWE523166 LMI523101:LMI523166 LCM523101:LCM523166 KSQ523101:KSQ523166 KIU523101:KIU523166 JYY523101:JYY523166 JPC523101:JPC523166 JFG523101:JFG523166 IVK523101:IVK523166 ILO523101:ILO523166 IBS523101:IBS523166 HRW523101:HRW523166 HIA523101:HIA523166 GYE523101:GYE523166 GOI523101:GOI523166 GEM523101:GEM523166 FUQ523101:FUQ523166 FKU523101:FKU523166 FAY523101:FAY523166 ERC523101:ERC523166 EHG523101:EHG523166 DXK523101:DXK523166 DNO523101:DNO523166 DDS523101:DDS523166 CTW523101:CTW523166 CKA523101:CKA523166 CAE523101:CAE523166 BQI523101:BQI523166 BGM523101:BGM523166 AWQ523101:AWQ523166 AMU523101:AMU523166 ACY523101:ACY523166 TC523101:TC523166 JG523101:JG523166 K523101:K523166 WVS457565:WVS457630 WLW457565:WLW457630 WCA457565:WCA457630 VSE457565:VSE457630 VII457565:VII457630 UYM457565:UYM457630 UOQ457565:UOQ457630 UEU457565:UEU457630 TUY457565:TUY457630 TLC457565:TLC457630 TBG457565:TBG457630 SRK457565:SRK457630 SHO457565:SHO457630 RXS457565:RXS457630 RNW457565:RNW457630 REA457565:REA457630 QUE457565:QUE457630 QKI457565:QKI457630 QAM457565:QAM457630 PQQ457565:PQQ457630 PGU457565:PGU457630 OWY457565:OWY457630 ONC457565:ONC457630 ODG457565:ODG457630 NTK457565:NTK457630 NJO457565:NJO457630 MZS457565:MZS457630 MPW457565:MPW457630 MGA457565:MGA457630 LWE457565:LWE457630 LMI457565:LMI457630 LCM457565:LCM457630 KSQ457565:KSQ457630 KIU457565:KIU457630 JYY457565:JYY457630 JPC457565:JPC457630 JFG457565:JFG457630 IVK457565:IVK457630 ILO457565:ILO457630 IBS457565:IBS457630 HRW457565:HRW457630 HIA457565:HIA457630 GYE457565:GYE457630 GOI457565:GOI457630 GEM457565:GEM457630 FUQ457565:FUQ457630 FKU457565:FKU457630 FAY457565:FAY457630 ERC457565:ERC457630 EHG457565:EHG457630 DXK457565:DXK457630 DNO457565:DNO457630 DDS457565:DDS457630 CTW457565:CTW457630 CKA457565:CKA457630 CAE457565:CAE457630 BQI457565:BQI457630 BGM457565:BGM457630 AWQ457565:AWQ457630 AMU457565:AMU457630 ACY457565:ACY457630 TC457565:TC457630 JG457565:JG457630 K457565:K457630 WVS392029:WVS392094 WLW392029:WLW392094 WCA392029:WCA392094 VSE392029:VSE392094 VII392029:VII392094 UYM392029:UYM392094 UOQ392029:UOQ392094 UEU392029:UEU392094 TUY392029:TUY392094 TLC392029:TLC392094 TBG392029:TBG392094 SRK392029:SRK392094 SHO392029:SHO392094 RXS392029:RXS392094 RNW392029:RNW392094 REA392029:REA392094 QUE392029:QUE392094 QKI392029:QKI392094 QAM392029:QAM392094 PQQ392029:PQQ392094 PGU392029:PGU392094 OWY392029:OWY392094 ONC392029:ONC392094 ODG392029:ODG392094 NTK392029:NTK392094 NJO392029:NJO392094 MZS392029:MZS392094 MPW392029:MPW392094 MGA392029:MGA392094 LWE392029:LWE392094 LMI392029:LMI392094 LCM392029:LCM392094 KSQ392029:KSQ392094 KIU392029:KIU392094 JYY392029:JYY392094 JPC392029:JPC392094 JFG392029:JFG392094 IVK392029:IVK392094 ILO392029:ILO392094 IBS392029:IBS392094 HRW392029:HRW392094 HIA392029:HIA392094 GYE392029:GYE392094 GOI392029:GOI392094 GEM392029:GEM392094 FUQ392029:FUQ392094 FKU392029:FKU392094 FAY392029:FAY392094 ERC392029:ERC392094 EHG392029:EHG392094 DXK392029:DXK392094 DNO392029:DNO392094 DDS392029:DDS392094 CTW392029:CTW392094 CKA392029:CKA392094 CAE392029:CAE392094 BQI392029:BQI392094 BGM392029:BGM392094 AWQ392029:AWQ392094 AMU392029:AMU392094 ACY392029:ACY392094 TC392029:TC392094 JG392029:JG392094 K392029:K392094 WVS326493:WVS326558 WLW326493:WLW326558 WCA326493:WCA326558 VSE326493:VSE326558 VII326493:VII326558 UYM326493:UYM326558 UOQ326493:UOQ326558 UEU326493:UEU326558 TUY326493:TUY326558 TLC326493:TLC326558 TBG326493:TBG326558 SRK326493:SRK326558 SHO326493:SHO326558 RXS326493:RXS326558 RNW326493:RNW326558 REA326493:REA326558 QUE326493:QUE326558 QKI326493:QKI326558 QAM326493:QAM326558 PQQ326493:PQQ326558 PGU326493:PGU326558 OWY326493:OWY326558 ONC326493:ONC326558 ODG326493:ODG326558 NTK326493:NTK326558 NJO326493:NJO326558 MZS326493:MZS326558 MPW326493:MPW326558 MGA326493:MGA326558 LWE326493:LWE326558 LMI326493:LMI326558 LCM326493:LCM326558 KSQ326493:KSQ326558 KIU326493:KIU326558 JYY326493:JYY326558 JPC326493:JPC326558 JFG326493:JFG326558 IVK326493:IVK326558 ILO326493:ILO326558 IBS326493:IBS326558 HRW326493:HRW326558 HIA326493:HIA326558 GYE326493:GYE326558 GOI326493:GOI326558 GEM326493:GEM326558 FUQ326493:FUQ326558 FKU326493:FKU326558 FAY326493:FAY326558 ERC326493:ERC326558 EHG326493:EHG326558 DXK326493:DXK326558 DNO326493:DNO326558 DDS326493:DDS326558 CTW326493:CTW326558 CKA326493:CKA326558 CAE326493:CAE326558 BQI326493:BQI326558 BGM326493:BGM326558 AWQ326493:AWQ326558 AMU326493:AMU326558 ACY326493:ACY326558 TC326493:TC326558 JG326493:JG326558 K326493:K326558 WVS260957:WVS261022 WLW260957:WLW261022 WCA260957:WCA261022 VSE260957:VSE261022 VII260957:VII261022 UYM260957:UYM261022 UOQ260957:UOQ261022 UEU260957:UEU261022 TUY260957:TUY261022 TLC260957:TLC261022 TBG260957:TBG261022 SRK260957:SRK261022 SHO260957:SHO261022 RXS260957:RXS261022 RNW260957:RNW261022 REA260957:REA261022 QUE260957:QUE261022 QKI260957:QKI261022 QAM260957:QAM261022 PQQ260957:PQQ261022 PGU260957:PGU261022 OWY260957:OWY261022 ONC260957:ONC261022 ODG260957:ODG261022 NTK260957:NTK261022 NJO260957:NJO261022 MZS260957:MZS261022 MPW260957:MPW261022 MGA260957:MGA261022 LWE260957:LWE261022 LMI260957:LMI261022 LCM260957:LCM261022 KSQ260957:KSQ261022 KIU260957:KIU261022 JYY260957:JYY261022 JPC260957:JPC261022 JFG260957:JFG261022 IVK260957:IVK261022 ILO260957:ILO261022 IBS260957:IBS261022 HRW260957:HRW261022 HIA260957:HIA261022 GYE260957:GYE261022 GOI260957:GOI261022 GEM260957:GEM261022 FUQ260957:FUQ261022 FKU260957:FKU261022 FAY260957:FAY261022 ERC260957:ERC261022 EHG260957:EHG261022 DXK260957:DXK261022 DNO260957:DNO261022 DDS260957:DDS261022 CTW260957:CTW261022 CKA260957:CKA261022 CAE260957:CAE261022 BQI260957:BQI261022 BGM260957:BGM261022 AWQ260957:AWQ261022 AMU260957:AMU261022 ACY260957:ACY261022 TC260957:TC261022 JG260957:JG261022 K260957:K261022 WVS195421:WVS195486 WLW195421:WLW195486 WCA195421:WCA195486 VSE195421:VSE195486 VII195421:VII195486 UYM195421:UYM195486 UOQ195421:UOQ195486 UEU195421:UEU195486 TUY195421:TUY195486 TLC195421:TLC195486 TBG195421:TBG195486 SRK195421:SRK195486 SHO195421:SHO195486 RXS195421:RXS195486 RNW195421:RNW195486 REA195421:REA195486 QUE195421:QUE195486 QKI195421:QKI195486 QAM195421:QAM195486 PQQ195421:PQQ195486 PGU195421:PGU195486 OWY195421:OWY195486 ONC195421:ONC195486 ODG195421:ODG195486 NTK195421:NTK195486 NJO195421:NJO195486 MZS195421:MZS195486 MPW195421:MPW195486 MGA195421:MGA195486 LWE195421:LWE195486 LMI195421:LMI195486 LCM195421:LCM195486 KSQ195421:KSQ195486 KIU195421:KIU195486 JYY195421:JYY195486 JPC195421:JPC195486 JFG195421:JFG195486 IVK195421:IVK195486 ILO195421:ILO195486 IBS195421:IBS195486 HRW195421:HRW195486 HIA195421:HIA195486 GYE195421:GYE195486 GOI195421:GOI195486 GEM195421:GEM195486 FUQ195421:FUQ195486 FKU195421:FKU195486 FAY195421:FAY195486 ERC195421:ERC195486 EHG195421:EHG195486 DXK195421:DXK195486 DNO195421:DNO195486 DDS195421:DDS195486 CTW195421:CTW195486 CKA195421:CKA195486 CAE195421:CAE195486 BQI195421:BQI195486 BGM195421:BGM195486 AWQ195421:AWQ195486 AMU195421:AMU195486 ACY195421:ACY195486 TC195421:TC195486 JG195421:JG195486 K195421:K195486 WVS129885:WVS129950 WLW129885:WLW129950 WCA129885:WCA129950 VSE129885:VSE129950 VII129885:VII129950 UYM129885:UYM129950 UOQ129885:UOQ129950 UEU129885:UEU129950 TUY129885:TUY129950 TLC129885:TLC129950 TBG129885:TBG129950 SRK129885:SRK129950 SHO129885:SHO129950 RXS129885:RXS129950 RNW129885:RNW129950 REA129885:REA129950 QUE129885:QUE129950 QKI129885:QKI129950 QAM129885:QAM129950 PQQ129885:PQQ129950 PGU129885:PGU129950 OWY129885:OWY129950 ONC129885:ONC129950 ODG129885:ODG129950 NTK129885:NTK129950 NJO129885:NJO129950 MZS129885:MZS129950 MPW129885:MPW129950 MGA129885:MGA129950 LWE129885:LWE129950 LMI129885:LMI129950 LCM129885:LCM129950 KSQ129885:KSQ129950 KIU129885:KIU129950 JYY129885:JYY129950 JPC129885:JPC129950 JFG129885:JFG129950 IVK129885:IVK129950 ILO129885:ILO129950 IBS129885:IBS129950 HRW129885:HRW129950 HIA129885:HIA129950 GYE129885:GYE129950 GOI129885:GOI129950 GEM129885:GEM129950 FUQ129885:FUQ129950 FKU129885:FKU129950 FAY129885:FAY129950 ERC129885:ERC129950 EHG129885:EHG129950 DXK129885:DXK129950 DNO129885:DNO129950 DDS129885:DDS129950 CTW129885:CTW129950 CKA129885:CKA129950 CAE129885:CAE129950 BQI129885:BQI129950 BGM129885:BGM129950 AWQ129885:AWQ129950 AMU129885:AMU129950 ACY129885:ACY129950 TC129885:TC129950 JG129885:JG129950 K129885:K129950 WVS64349:WVS64414 WLW64349:WLW64414 WCA64349:WCA64414 VSE64349:VSE64414 VII64349:VII64414 UYM64349:UYM64414 UOQ64349:UOQ64414 UEU64349:UEU64414 TUY64349:TUY64414 TLC64349:TLC64414 TBG64349:TBG64414 SRK64349:SRK64414 SHO64349:SHO64414 RXS64349:RXS64414 RNW64349:RNW64414 REA64349:REA64414 QUE64349:QUE64414 QKI64349:QKI64414 QAM64349:QAM64414 PQQ64349:PQQ64414 PGU64349:PGU64414 OWY64349:OWY64414 ONC64349:ONC64414 ODG64349:ODG64414 NTK64349:NTK64414 NJO64349:NJO64414 MZS64349:MZS64414 MPW64349:MPW64414 MGA64349:MGA64414 LWE64349:LWE64414 LMI64349:LMI64414 LCM64349:LCM64414 KSQ64349:KSQ64414 KIU64349:KIU64414 JYY64349:JYY64414 JPC64349:JPC64414 JFG64349:JFG64414 IVK64349:IVK64414 ILO64349:ILO64414 IBS64349:IBS64414 HRW64349:HRW64414 HIA64349:HIA64414 GYE64349:GYE64414 GOI64349:GOI64414 GEM64349:GEM64414 FUQ64349:FUQ64414 FKU64349:FKU64414 FAY64349:FAY64414 ERC64349:ERC64414 EHG64349:EHG64414 DXK64349:DXK64414 DNO64349:DNO64414 DDS64349:DDS64414 CTW64349:CTW64414 CKA64349:CKA64414 CAE64349:CAE64414 BQI64349:BQI64414 BGM64349:BGM64414 AWQ64349:AWQ64414 AMU64349:AMU64414 ACY64349:ACY64414 TC64349:TC64414 JG64349:JG64414">
      <formula1>$AR$2:$AR$24</formula1>
    </dataValidation>
    <dataValidation type="list" allowBlank="1" showInputMessage="1" showErrorMessage="1" sqref="Y64349:AA64414 JU64349:JW64414 WMK983028:WMM983093 WCO983028:WCQ983093 VSS983028:VSU983093 VIW983028:VIY983093 UZA983028:UZC983093 UPE983028:UPG983093 UFI983028:UFK983093 TVM983028:TVO983093 TLQ983028:TLS983093 TBU983028:TBW983093 SRY983028:SSA983093 SIC983028:SIE983093 RYG983028:RYI983093 ROK983028:ROM983093 REO983028:REQ983093 QUS983028:QUU983093 QKW983028:QKY983093 QBA983028:QBC983093 PRE983028:PRG983093 PHI983028:PHK983093 OXM983028:OXO983093 ONQ983028:ONS983093 ODU983028:ODW983093 NTY983028:NUA983093 NKC983028:NKE983093 NAG983028:NAI983093 MQK983028:MQM983093 MGO983028:MGQ983093 LWS983028:LWU983093 LMW983028:LMY983093 LDA983028:LDC983093 KTE983028:KTG983093 KJI983028:KJK983093 JZM983028:JZO983093 JPQ983028:JPS983093 JFU983028:JFW983093 IVY983028:IWA983093 IMC983028:IME983093 ICG983028:ICI983093 HSK983028:HSM983093 HIO983028:HIQ983093 GYS983028:GYU983093 GOW983028:GOY983093 GFA983028:GFC983093 FVE983028:FVG983093 FLI983028:FLK983093 FBM983028:FBO983093 ERQ983028:ERS983093 EHU983028:EHW983093 DXY983028:DYA983093 DOC983028:DOE983093 DEG983028:DEI983093 CUK983028:CUM983093 CKO983028:CKQ983093 CAS983028:CAU983093 BQW983028:BQY983093 BHA983028:BHC983093 AXE983028:AXG983093 ANI983028:ANK983093 ADM983028:ADO983093 TQ983028:TS983093 JU983028:JW983093 Y983028:AA983093 WWG917492:WWI917557 WMK917492:WMM917557 WCO917492:WCQ917557 VSS917492:VSU917557 VIW917492:VIY917557 UZA917492:UZC917557 UPE917492:UPG917557 UFI917492:UFK917557 TVM917492:TVO917557 TLQ917492:TLS917557 TBU917492:TBW917557 SRY917492:SSA917557 SIC917492:SIE917557 RYG917492:RYI917557 ROK917492:ROM917557 REO917492:REQ917557 QUS917492:QUU917557 QKW917492:QKY917557 QBA917492:QBC917557 PRE917492:PRG917557 PHI917492:PHK917557 OXM917492:OXO917557 ONQ917492:ONS917557 ODU917492:ODW917557 NTY917492:NUA917557 NKC917492:NKE917557 NAG917492:NAI917557 MQK917492:MQM917557 MGO917492:MGQ917557 LWS917492:LWU917557 LMW917492:LMY917557 LDA917492:LDC917557 KTE917492:KTG917557 KJI917492:KJK917557 JZM917492:JZO917557 JPQ917492:JPS917557 JFU917492:JFW917557 IVY917492:IWA917557 IMC917492:IME917557 ICG917492:ICI917557 HSK917492:HSM917557 HIO917492:HIQ917557 GYS917492:GYU917557 GOW917492:GOY917557 GFA917492:GFC917557 FVE917492:FVG917557 FLI917492:FLK917557 FBM917492:FBO917557 ERQ917492:ERS917557 EHU917492:EHW917557 DXY917492:DYA917557 DOC917492:DOE917557 DEG917492:DEI917557 CUK917492:CUM917557 CKO917492:CKQ917557 CAS917492:CAU917557 BQW917492:BQY917557 BHA917492:BHC917557 AXE917492:AXG917557 ANI917492:ANK917557 ADM917492:ADO917557 TQ917492:TS917557 JU917492:JW917557 Y917492:AA917557 WWG851956:WWI852021 WMK851956:WMM852021 WCO851956:WCQ852021 VSS851956:VSU852021 VIW851956:VIY852021 UZA851956:UZC852021 UPE851956:UPG852021 UFI851956:UFK852021 TVM851956:TVO852021 TLQ851956:TLS852021 TBU851956:TBW852021 SRY851956:SSA852021 SIC851956:SIE852021 RYG851956:RYI852021 ROK851956:ROM852021 REO851956:REQ852021 QUS851956:QUU852021 QKW851956:QKY852021 QBA851956:QBC852021 PRE851956:PRG852021 PHI851956:PHK852021 OXM851956:OXO852021 ONQ851956:ONS852021 ODU851956:ODW852021 NTY851956:NUA852021 NKC851956:NKE852021 NAG851956:NAI852021 MQK851956:MQM852021 MGO851956:MGQ852021 LWS851956:LWU852021 LMW851956:LMY852021 LDA851956:LDC852021 KTE851956:KTG852021 KJI851956:KJK852021 JZM851956:JZO852021 JPQ851956:JPS852021 JFU851956:JFW852021 IVY851956:IWA852021 IMC851956:IME852021 ICG851956:ICI852021 HSK851956:HSM852021 HIO851956:HIQ852021 GYS851956:GYU852021 GOW851956:GOY852021 GFA851956:GFC852021 FVE851956:FVG852021 FLI851956:FLK852021 FBM851956:FBO852021 ERQ851956:ERS852021 EHU851956:EHW852021 DXY851956:DYA852021 DOC851956:DOE852021 DEG851956:DEI852021 CUK851956:CUM852021 CKO851956:CKQ852021 CAS851956:CAU852021 BQW851956:BQY852021 BHA851956:BHC852021 AXE851956:AXG852021 ANI851956:ANK852021 ADM851956:ADO852021 TQ851956:TS852021 JU851956:JW852021 Y851956:AA852021 WWG786420:WWI786485 WMK786420:WMM786485 WCO786420:WCQ786485 VSS786420:VSU786485 VIW786420:VIY786485 UZA786420:UZC786485 UPE786420:UPG786485 UFI786420:UFK786485 TVM786420:TVO786485 TLQ786420:TLS786485 TBU786420:TBW786485 SRY786420:SSA786485 SIC786420:SIE786485 RYG786420:RYI786485 ROK786420:ROM786485 REO786420:REQ786485 QUS786420:QUU786485 QKW786420:QKY786485 QBA786420:QBC786485 PRE786420:PRG786485 PHI786420:PHK786485 OXM786420:OXO786485 ONQ786420:ONS786485 ODU786420:ODW786485 NTY786420:NUA786485 NKC786420:NKE786485 NAG786420:NAI786485 MQK786420:MQM786485 MGO786420:MGQ786485 LWS786420:LWU786485 LMW786420:LMY786485 LDA786420:LDC786485 KTE786420:KTG786485 KJI786420:KJK786485 JZM786420:JZO786485 JPQ786420:JPS786485 JFU786420:JFW786485 IVY786420:IWA786485 IMC786420:IME786485 ICG786420:ICI786485 HSK786420:HSM786485 HIO786420:HIQ786485 GYS786420:GYU786485 GOW786420:GOY786485 GFA786420:GFC786485 FVE786420:FVG786485 FLI786420:FLK786485 FBM786420:FBO786485 ERQ786420:ERS786485 EHU786420:EHW786485 DXY786420:DYA786485 DOC786420:DOE786485 DEG786420:DEI786485 CUK786420:CUM786485 CKO786420:CKQ786485 CAS786420:CAU786485 BQW786420:BQY786485 BHA786420:BHC786485 AXE786420:AXG786485 ANI786420:ANK786485 ADM786420:ADO786485 TQ786420:TS786485 JU786420:JW786485 Y786420:AA786485 WWG720884:WWI720949 WMK720884:WMM720949 WCO720884:WCQ720949 VSS720884:VSU720949 VIW720884:VIY720949 UZA720884:UZC720949 UPE720884:UPG720949 UFI720884:UFK720949 TVM720884:TVO720949 TLQ720884:TLS720949 TBU720884:TBW720949 SRY720884:SSA720949 SIC720884:SIE720949 RYG720884:RYI720949 ROK720884:ROM720949 REO720884:REQ720949 QUS720884:QUU720949 QKW720884:QKY720949 QBA720884:QBC720949 PRE720884:PRG720949 PHI720884:PHK720949 OXM720884:OXO720949 ONQ720884:ONS720949 ODU720884:ODW720949 NTY720884:NUA720949 NKC720884:NKE720949 NAG720884:NAI720949 MQK720884:MQM720949 MGO720884:MGQ720949 LWS720884:LWU720949 LMW720884:LMY720949 LDA720884:LDC720949 KTE720884:KTG720949 KJI720884:KJK720949 JZM720884:JZO720949 JPQ720884:JPS720949 JFU720884:JFW720949 IVY720884:IWA720949 IMC720884:IME720949 ICG720884:ICI720949 HSK720884:HSM720949 HIO720884:HIQ720949 GYS720884:GYU720949 GOW720884:GOY720949 GFA720884:GFC720949 FVE720884:FVG720949 FLI720884:FLK720949 FBM720884:FBO720949 ERQ720884:ERS720949 EHU720884:EHW720949 DXY720884:DYA720949 DOC720884:DOE720949 DEG720884:DEI720949 CUK720884:CUM720949 CKO720884:CKQ720949 CAS720884:CAU720949 BQW720884:BQY720949 BHA720884:BHC720949 AXE720884:AXG720949 ANI720884:ANK720949 ADM720884:ADO720949 TQ720884:TS720949 JU720884:JW720949 Y720884:AA720949 WWG655348:WWI655413 WMK655348:WMM655413 WCO655348:WCQ655413 VSS655348:VSU655413 VIW655348:VIY655413 UZA655348:UZC655413 UPE655348:UPG655413 UFI655348:UFK655413 TVM655348:TVO655413 TLQ655348:TLS655413 TBU655348:TBW655413 SRY655348:SSA655413 SIC655348:SIE655413 RYG655348:RYI655413 ROK655348:ROM655413 REO655348:REQ655413 QUS655348:QUU655413 QKW655348:QKY655413 QBA655348:QBC655413 PRE655348:PRG655413 PHI655348:PHK655413 OXM655348:OXO655413 ONQ655348:ONS655413 ODU655348:ODW655413 NTY655348:NUA655413 NKC655348:NKE655413 NAG655348:NAI655413 MQK655348:MQM655413 MGO655348:MGQ655413 LWS655348:LWU655413 LMW655348:LMY655413 LDA655348:LDC655413 KTE655348:KTG655413 KJI655348:KJK655413 JZM655348:JZO655413 JPQ655348:JPS655413 JFU655348:JFW655413 IVY655348:IWA655413 IMC655348:IME655413 ICG655348:ICI655413 HSK655348:HSM655413 HIO655348:HIQ655413 GYS655348:GYU655413 GOW655348:GOY655413 GFA655348:GFC655413 FVE655348:FVG655413 FLI655348:FLK655413 FBM655348:FBO655413 ERQ655348:ERS655413 EHU655348:EHW655413 DXY655348:DYA655413 DOC655348:DOE655413 DEG655348:DEI655413 CUK655348:CUM655413 CKO655348:CKQ655413 CAS655348:CAU655413 BQW655348:BQY655413 BHA655348:BHC655413 AXE655348:AXG655413 ANI655348:ANK655413 ADM655348:ADO655413 TQ655348:TS655413 JU655348:JW655413 Y655348:AA655413 WWG589812:WWI589877 WMK589812:WMM589877 WCO589812:WCQ589877 VSS589812:VSU589877 VIW589812:VIY589877 UZA589812:UZC589877 UPE589812:UPG589877 UFI589812:UFK589877 TVM589812:TVO589877 TLQ589812:TLS589877 TBU589812:TBW589877 SRY589812:SSA589877 SIC589812:SIE589877 RYG589812:RYI589877 ROK589812:ROM589877 REO589812:REQ589877 QUS589812:QUU589877 QKW589812:QKY589877 QBA589812:QBC589877 PRE589812:PRG589877 PHI589812:PHK589877 OXM589812:OXO589877 ONQ589812:ONS589877 ODU589812:ODW589877 NTY589812:NUA589877 NKC589812:NKE589877 NAG589812:NAI589877 MQK589812:MQM589877 MGO589812:MGQ589877 LWS589812:LWU589877 LMW589812:LMY589877 LDA589812:LDC589877 KTE589812:KTG589877 KJI589812:KJK589877 JZM589812:JZO589877 JPQ589812:JPS589877 JFU589812:JFW589877 IVY589812:IWA589877 IMC589812:IME589877 ICG589812:ICI589877 HSK589812:HSM589877 HIO589812:HIQ589877 GYS589812:GYU589877 GOW589812:GOY589877 GFA589812:GFC589877 FVE589812:FVG589877 FLI589812:FLK589877 FBM589812:FBO589877 ERQ589812:ERS589877 EHU589812:EHW589877 DXY589812:DYA589877 DOC589812:DOE589877 DEG589812:DEI589877 CUK589812:CUM589877 CKO589812:CKQ589877 CAS589812:CAU589877 BQW589812:BQY589877 BHA589812:BHC589877 AXE589812:AXG589877 ANI589812:ANK589877 ADM589812:ADO589877 TQ589812:TS589877 JU589812:JW589877 Y589812:AA589877 WWG524276:WWI524341 WMK524276:WMM524341 WCO524276:WCQ524341 VSS524276:VSU524341 VIW524276:VIY524341 UZA524276:UZC524341 UPE524276:UPG524341 UFI524276:UFK524341 TVM524276:TVO524341 TLQ524276:TLS524341 TBU524276:TBW524341 SRY524276:SSA524341 SIC524276:SIE524341 RYG524276:RYI524341 ROK524276:ROM524341 REO524276:REQ524341 QUS524276:QUU524341 QKW524276:QKY524341 QBA524276:QBC524341 PRE524276:PRG524341 PHI524276:PHK524341 OXM524276:OXO524341 ONQ524276:ONS524341 ODU524276:ODW524341 NTY524276:NUA524341 NKC524276:NKE524341 NAG524276:NAI524341 MQK524276:MQM524341 MGO524276:MGQ524341 LWS524276:LWU524341 LMW524276:LMY524341 LDA524276:LDC524341 KTE524276:KTG524341 KJI524276:KJK524341 JZM524276:JZO524341 JPQ524276:JPS524341 JFU524276:JFW524341 IVY524276:IWA524341 IMC524276:IME524341 ICG524276:ICI524341 HSK524276:HSM524341 HIO524276:HIQ524341 GYS524276:GYU524341 GOW524276:GOY524341 GFA524276:GFC524341 FVE524276:FVG524341 FLI524276:FLK524341 FBM524276:FBO524341 ERQ524276:ERS524341 EHU524276:EHW524341 DXY524276:DYA524341 DOC524276:DOE524341 DEG524276:DEI524341 CUK524276:CUM524341 CKO524276:CKQ524341 CAS524276:CAU524341 BQW524276:BQY524341 BHA524276:BHC524341 AXE524276:AXG524341 ANI524276:ANK524341 ADM524276:ADO524341 TQ524276:TS524341 JU524276:JW524341 Y524276:AA524341 WWG458740:WWI458805 WMK458740:WMM458805 WCO458740:WCQ458805 VSS458740:VSU458805 VIW458740:VIY458805 UZA458740:UZC458805 UPE458740:UPG458805 UFI458740:UFK458805 TVM458740:TVO458805 TLQ458740:TLS458805 TBU458740:TBW458805 SRY458740:SSA458805 SIC458740:SIE458805 RYG458740:RYI458805 ROK458740:ROM458805 REO458740:REQ458805 QUS458740:QUU458805 QKW458740:QKY458805 QBA458740:QBC458805 PRE458740:PRG458805 PHI458740:PHK458805 OXM458740:OXO458805 ONQ458740:ONS458805 ODU458740:ODW458805 NTY458740:NUA458805 NKC458740:NKE458805 NAG458740:NAI458805 MQK458740:MQM458805 MGO458740:MGQ458805 LWS458740:LWU458805 LMW458740:LMY458805 LDA458740:LDC458805 KTE458740:KTG458805 KJI458740:KJK458805 JZM458740:JZO458805 JPQ458740:JPS458805 JFU458740:JFW458805 IVY458740:IWA458805 IMC458740:IME458805 ICG458740:ICI458805 HSK458740:HSM458805 HIO458740:HIQ458805 GYS458740:GYU458805 GOW458740:GOY458805 GFA458740:GFC458805 FVE458740:FVG458805 FLI458740:FLK458805 FBM458740:FBO458805 ERQ458740:ERS458805 EHU458740:EHW458805 DXY458740:DYA458805 DOC458740:DOE458805 DEG458740:DEI458805 CUK458740:CUM458805 CKO458740:CKQ458805 CAS458740:CAU458805 BQW458740:BQY458805 BHA458740:BHC458805 AXE458740:AXG458805 ANI458740:ANK458805 ADM458740:ADO458805 TQ458740:TS458805 JU458740:JW458805 Y458740:AA458805 WWG393204:WWI393269 WMK393204:WMM393269 WCO393204:WCQ393269 VSS393204:VSU393269 VIW393204:VIY393269 UZA393204:UZC393269 UPE393204:UPG393269 UFI393204:UFK393269 TVM393204:TVO393269 TLQ393204:TLS393269 TBU393204:TBW393269 SRY393204:SSA393269 SIC393204:SIE393269 RYG393204:RYI393269 ROK393204:ROM393269 REO393204:REQ393269 QUS393204:QUU393269 QKW393204:QKY393269 QBA393204:QBC393269 PRE393204:PRG393269 PHI393204:PHK393269 OXM393204:OXO393269 ONQ393204:ONS393269 ODU393204:ODW393269 NTY393204:NUA393269 NKC393204:NKE393269 NAG393204:NAI393269 MQK393204:MQM393269 MGO393204:MGQ393269 LWS393204:LWU393269 LMW393204:LMY393269 LDA393204:LDC393269 KTE393204:KTG393269 KJI393204:KJK393269 JZM393204:JZO393269 JPQ393204:JPS393269 JFU393204:JFW393269 IVY393204:IWA393269 IMC393204:IME393269 ICG393204:ICI393269 HSK393204:HSM393269 HIO393204:HIQ393269 GYS393204:GYU393269 GOW393204:GOY393269 GFA393204:GFC393269 FVE393204:FVG393269 FLI393204:FLK393269 FBM393204:FBO393269 ERQ393204:ERS393269 EHU393204:EHW393269 DXY393204:DYA393269 DOC393204:DOE393269 DEG393204:DEI393269 CUK393204:CUM393269 CKO393204:CKQ393269 CAS393204:CAU393269 BQW393204:BQY393269 BHA393204:BHC393269 AXE393204:AXG393269 ANI393204:ANK393269 ADM393204:ADO393269 TQ393204:TS393269 JU393204:JW393269 Y393204:AA393269 WWG327668:WWI327733 WMK327668:WMM327733 WCO327668:WCQ327733 VSS327668:VSU327733 VIW327668:VIY327733 UZA327668:UZC327733 UPE327668:UPG327733 UFI327668:UFK327733 TVM327668:TVO327733 TLQ327668:TLS327733 TBU327668:TBW327733 SRY327668:SSA327733 SIC327668:SIE327733 RYG327668:RYI327733 ROK327668:ROM327733 REO327668:REQ327733 QUS327668:QUU327733 QKW327668:QKY327733 QBA327668:QBC327733 PRE327668:PRG327733 PHI327668:PHK327733 OXM327668:OXO327733 ONQ327668:ONS327733 ODU327668:ODW327733 NTY327668:NUA327733 NKC327668:NKE327733 NAG327668:NAI327733 MQK327668:MQM327733 MGO327668:MGQ327733 LWS327668:LWU327733 LMW327668:LMY327733 LDA327668:LDC327733 KTE327668:KTG327733 KJI327668:KJK327733 JZM327668:JZO327733 JPQ327668:JPS327733 JFU327668:JFW327733 IVY327668:IWA327733 IMC327668:IME327733 ICG327668:ICI327733 HSK327668:HSM327733 HIO327668:HIQ327733 GYS327668:GYU327733 GOW327668:GOY327733 GFA327668:GFC327733 FVE327668:FVG327733 FLI327668:FLK327733 FBM327668:FBO327733 ERQ327668:ERS327733 EHU327668:EHW327733 DXY327668:DYA327733 DOC327668:DOE327733 DEG327668:DEI327733 CUK327668:CUM327733 CKO327668:CKQ327733 CAS327668:CAU327733 BQW327668:BQY327733 BHA327668:BHC327733 AXE327668:AXG327733 ANI327668:ANK327733 ADM327668:ADO327733 TQ327668:TS327733 JU327668:JW327733 Y327668:AA327733 WWG262132:WWI262197 WMK262132:WMM262197 WCO262132:WCQ262197 VSS262132:VSU262197 VIW262132:VIY262197 UZA262132:UZC262197 UPE262132:UPG262197 UFI262132:UFK262197 TVM262132:TVO262197 TLQ262132:TLS262197 TBU262132:TBW262197 SRY262132:SSA262197 SIC262132:SIE262197 RYG262132:RYI262197 ROK262132:ROM262197 REO262132:REQ262197 QUS262132:QUU262197 QKW262132:QKY262197 QBA262132:QBC262197 PRE262132:PRG262197 PHI262132:PHK262197 OXM262132:OXO262197 ONQ262132:ONS262197 ODU262132:ODW262197 NTY262132:NUA262197 NKC262132:NKE262197 NAG262132:NAI262197 MQK262132:MQM262197 MGO262132:MGQ262197 LWS262132:LWU262197 LMW262132:LMY262197 LDA262132:LDC262197 KTE262132:KTG262197 KJI262132:KJK262197 JZM262132:JZO262197 JPQ262132:JPS262197 JFU262132:JFW262197 IVY262132:IWA262197 IMC262132:IME262197 ICG262132:ICI262197 HSK262132:HSM262197 HIO262132:HIQ262197 GYS262132:GYU262197 GOW262132:GOY262197 GFA262132:GFC262197 FVE262132:FVG262197 FLI262132:FLK262197 FBM262132:FBO262197 ERQ262132:ERS262197 EHU262132:EHW262197 DXY262132:DYA262197 DOC262132:DOE262197 DEG262132:DEI262197 CUK262132:CUM262197 CKO262132:CKQ262197 CAS262132:CAU262197 BQW262132:BQY262197 BHA262132:BHC262197 AXE262132:AXG262197 ANI262132:ANK262197 ADM262132:ADO262197 TQ262132:TS262197 JU262132:JW262197 Y262132:AA262197 WWG196596:WWI196661 WMK196596:WMM196661 WCO196596:WCQ196661 VSS196596:VSU196661 VIW196596:VIY196661 UZA196596:UZC196661 UPE196596:UPG196661 UFI196596:UFK196661 TVM196596:TVO196661 TLQ196596:TLS196661 TBU196596:TBW196661 SRY196596:SSA196661 SIC196596:SIE196661 RYG196596:RYI196661 ROK196596:ROM196661 REO196596:REQ196661 QUS196596:QUU196661 QKW196596:QKY196661 QBA196596:QBC196661 PRE196596:PRG196661 PHI196596:PHK196661 OXM196596:OXO196661 ONQ196596:ONS196661 ODU196596:ODW196661 NTY196596:NUA196661 NKC196596:NKE196661 NAG196596:NAI196661 MQK196596:MQM196661 MGO196596:MGQ196661 LWS196596:LWU196661 LMW196596:LMY196661 LDA196596:LDC196661 KTE196596:KTG196661 KJI196596:KJK196661 JZM196596:JZO196661 JPQ196596:JPS196661 JFU196596:JFW196661 IVY196596:IWA196661 IMC196596:IME196661 ICG196596:ICI196661 HSK196596:HSM196661 HIO196596:HIQ196661 GYS196596:GYU196661 GOW196596:GOY196661 GFA196596:GFC196661 FVE196596:FVG196661 FLI196596:FLK196661 FBM196596:FBO196661 ERQ196596:ERS196661 EHU196596:EHW196661 DXY196596:DYA196661 DOC196596:DOE196661 DEG196596:DEI196661 CUK196596:CUM196661 CKO196596:CKQ196661 CAS196596:CAU196661 BQW196596:BQY196661 BHA196596:BHC196661 AXE196596:AXG196661 ANI196596:ANK196661 ADM196596:ADO196661 TQ196596:TS196661 JU196596:JW196661 Y196596:AA196661 WWG131060:WWI131125 WMK131060:WMM131125 WCO131060:WCQ131125 VSS131060:VSU131125 VIW131060:VIY131125 UZA131060:UZC131125 UPE131060:UPG131125 UFI131060:UFK131125 TVM131060:TVO131125 TLQ131060:TLS131125 TBU131060:TBW131125 SRY131060:SSA131125 SIC131060:SIE131125 RYG131060:RYI131125 ROK131060:ROM131125 REO131060:REQ131125 QUS131060:QUU131125 QKW131060:QKY131125 QBA131060:QBC131125 PRE131060:PRG131125 PHI131060:PHK131125 OXM131060:OXO131125 ONQ131060:ONS131125 ODU131060:ODW131125 NTY131060:NUA131125 NKC131060:NKE131125 NAG131060:NAI131125 MQK131060:MQM131125 MGO131060:MGQ131125 LWS131060:LWU131125 LMW131060:LMY131125 LDA131060:LDC131125 KTE131060:KTG131125 KJI131060:KJK131125 JZM131060:JZO131125 JPQ131060:JPS131125 JFU131060:JFW131125 IVY131060:IWA131125 IMC131060:IME131125 ICG131060:ICI131125 HSK131060:HSM131125 HIO131060:HIQ131125 GYS131060:GYU131125 GOW131060:GOY131125 GFA131060:GFC131125 FVE131060:FVG131125 FLI131060:FLK131125 FBM131060:FBO131125 ERQ131060:ERS131125 EHU131060:EHW131125 DXY131060:DYA131125 DOC131060:DOE131125 DEG131060:DEI131125 CUK131060:CUM131125 CKO131060:CKQ131125 CAS131060:CAU131125 BQW131060:BQY131125 BHA131060:BHC131125 AXE131060:AXG131125 ANI131060:ANK131125 ADM131060:ADO131125 TQ131060:TS131125 JU131060:JW131125 Y131060:AA131125 WWG65524:WWI65589 WMK65524:WMM65589 WCO65524:WCQ65589 VSS65524:VSU65589 VIW65524:VIY65589 UZA65524:UZC65589 UPE65524:UPG65589 UFI65524:UFK65589 TVM65524:TVO65589 TLQ65524:TLS65589 TBU65524:TBW65589 SRY65524:SSA65589 SIC65524:SIE65589 RYG65524:RYI65589 ROK65524:ROM65589 REO65524:REQ65589 QUS65524:QUU65589 QKW65524:QKY65589 QBA65524:QBC65589 PRE65524:PRG65589 PHI65524:PHK65589 OXM65524:OXO65589 ONQ65524:ONS65589 ODU65524:ODW65589 NTY65524:NUA65589 NKC65524:NKE65589 NAG65524:NAI65589 MQK65524:MQM65589 MGO65524:MGQ65589 LWS65524:LWU65589 LMW65524:LMY65589 LDA65524:LDC65589 KTE65524:KTG65589 KJI65524:KJK65589 JZM65524:JZO65589 JPQ65524:JPS65589 JFU65524:JFW65589 IVY65524:IWA65589 IMC65524:IME65589 ICG65524:ICI65589 HSK65524:HSM65589 HIO65524:HIQ65589 GYS65524:GYU65589 GOW65524:GOY65589 GFA65524:GFC65589 FVE65524:FVG65589 FLI65524:FLK65589 FBM65524:FBO65589 ERQ65524:ERS65589 EHU65524:EHW65589 DXY65524:DYA65589 DOC65524:DOE65589 DEG65524:DEI65589 CUK65524:CUM65589 CKO65524:CKQ65589 CAS65524:CAU65589 BQW65524:BQY65589 BHA65524:BHC65589 AXE65524:AXG65589 ANI65524:ANK65589 ADM65524:ADO65589 TQ65524:TS65589 JU65524:JW65589 Y65524:AA65589 WWG983028:WWI983093 WWG1047389:WWI1047454 WMK1047389:WMM1047454 WCO1047389:WCQ1047454 VSS1047389:VSU1047454 VIW1047389:VIY1047454 UZA1047389:UZC1047454 UPE1047389:UPG1047454 UFI1047389:UFK1047454 TVM1047389:TVO1047454 TLQ1047389:TLS1047454 TBU1047389:TBW1047454 SRY1047389:SSA1047454 SIC1047389:SIE1047454 RYG1047389:RYI1047454 ROK1047389:ROM1047454 REO1047389:REQ1047454 QUS1047389:QUU1047454 QKW1047389:QKY1047454 QBA1047389:QBC1047454 PRE1047389:PRG1047454 PHI1047389:PHK1047454 OXM1047389:OXO1047454 ONQ1047389:ONS1047454 ODU1047389:ODW1047454 NTY1047389:NUA1047454 NKC1047389:NKE1047454 NAG1047389:NAI1047454 MQK1047389:MQM1047454 MGO1047389:MGQ1047454 LWS1047389:LWU1047454 LMW1047389:LMY1047454 LDA1047389:LDC1047454 KTE1047389:KTG1047454 KJI1047389:KJK1047454 JZM1047389:JZO1047454 JPQ1047389:JPS1047454 JFU1047389:JFW1047454 IVY1047389:IWA1047454 IMC1047389:IME1047454 ICG1047389:ICI1047454 HSK1047389:HSM1047454 HIO1047389:HIQ1047454 GYS1047389:GYU1047454 GOW1047389:GOY1047454 GFA1047389:GFC1047454 FVE1047389:FVG1047454 FLI1047389:FLK1047454 FBM1047389:FBO1047454 ERQ1047389:ERS1047454 EHU1047389:EHW1047454 DXY1047389:DYA1047454 DOC1047389:DOE1047454 DEG1047389:DEI1047454 CUK1047389:CUM1047454 CKO1047389:CKQ1047454 CAS1047389:CAU1047454 BQW1047389:BQY1047454 BHA1047389:BHC1047454 AXE1047389:AXG1047454 ANI1047389:ANK1047454 ADM1047389:ADO1047454 TQ1047389:TS1047454 JU1047389:JW1047454 Y1047389:AA1047454 WWG981853:WWI981918 WMK981853:WMM981918 WCO981853:WCQ981918 VSS981853:VSU981918 VIW981853:VIY981918 UZA981853:UZC981918 UPE981853:UPG981918 UFI981853:UFK981918 TVM981853:TVO981918 TLQ981853:TLS981918 TBU981853:TBW981918 SRY981853:SSA981918 SIC981853:SIE981918 RYG981853:RYI981918 ROK981853:ROM981918 REO981853:REQ981918 QUS981853:QUU981918 QKW981853:QKY981918 QBA981853:QBC981918 PRE981853:PRG981918 PHI981853:PHK981918 OXM981853:OXO981918 ONQ981853:ONS981918 ODU981853:ODW981918 NTY981853:NUA981918 NKC981853:NKE981918 NAG981853:NAI981918 MQK981853:MQM981918 MGO981853:MGQ981918 LWS981853:LWU981918 LMW981853:LMY981918 LDA981853:LDC981918 KTE981853:KTG981918 KJI981853:KJK981918 JZM981853:JZO981918 JPQ981853:JPS981918 JFU981853:JFW981918 IVY981853:IWA981918 IMC981853:IME981918 ICG981853:ICI981918 HSK981853:HSM981918 HIO981853:HIQ981918 GYS981853:GYU981918 GOW981853:GOY981918 GFA981853:GFC981918 FVE981853:FVG981918 FLI981853:FLK981918 FBM981853:FBO981918 ERQ981853:ERS981918 EHU981853:EHW981918 DXY981853:DYA981918 DOC981853:DOE981918 DEG981853:DEI981918 CUK981853:CUM981918 CKO981853:CKQ981918 CAS981853:CAU981918 BQW981853:BQY981918 BHA981853:BHC981918 AXE981853:AXG981918 ANI981853:ANK981918 ADM981853:ADO981918 TQ981853:TS981918 JU981853:JW981918 Y981853:AA981918 WWG916317:WWI916382 WMK916317:WMM916382 WCO916317:WCQ916382 VSS916317:VSU916382 VIW916317:VIY916382 UZA916317:UZC916382 UPE916317:UPG916382 UFI916317:UFK916382 TVM916317:TVO916382 TLQ916317:TLS916382 TBU916317:TBW916382 SRY916317:SSA916382 SIC916317:SIE916382 RYG916317:RYI916382 ROK916317:ROM916382 REO916317:REQ916382 QUS916317:QUU916382 QKW916317:QKY916382 QBA916317:QBC916382 PRE916317:PRG916382 PHI916317:PHK916382 OXM916317:OXO916382 ONQ916317:ONS916382 ODU916317:ODW916382 NTY916317:NUA916382 NKC916317:NKE916382 NAG916317:NAI916382 MQK916317:MQM916382 MGO916317:MGQ916382 LWS916317:LWU916382 LMW916317:LMY916382 LDA916317:LDC916382 KTE916317:KTG916382 KJI916317:KJK916382 JZM916317:JZO916382 JPQ916317:JPS916382 JFU916317:JFW916382 IVY916317:IWA916382 IMC916317:IME916382 ICG916317:ICI916382 HSK916317:HSM916382 HIO916317:HIQ916382 GYS916317:GYU916382 GOW916317:GOY916382 GFA916317:GFC916382 FVE916317:FVG916382 FLI916317:FLK916382 FBM916317:FBO916382 ERQ916317:ERS916382 EHU916317:EHW916382 DXY916317:DYA916382 DOC916317:DOE916382 DEG916317:DEI916382 CUK916317:CUM916382 CKO916317:CKQ916382 CAS916317:CAU916382 BQW916317:BQY916382 BHA916317:BHC916382 AXE916317:AXG916382 ANI916317:ANK916382 ADM916317:ADO916382 TQ916317:TS916382 JU916317:JW916382 Y916317:AA916382 WWG850781:WWI850846 WMK850781:WMM850846 WCO850781:WCQ850846 VSS850781:VSU850846 VIW850781:VIY850846 UZA850781:UZC850846 UPE850781:UPG850846 UFI850781:UFK850846 TVM850781:TVO850846 TLQ850781:TLS850846 TBU850781:TBW850846 SRY850781:SSA850846 SIC850781:SIE850846 RYG850781:RYI850846 ROK850781:ROM850846 REO850781:REQ850846 QUS850781:QUU850846 QKW850781:QKY850846 QBA850781:QBC850846 PRE850781:PRG850846 PHI850781:PHK850846 OXM850781:OXO850846 ONQ850781:ONS850846 ODU850781:ODW850846 NTY850781:NUA850846 NKC850781:NKE850846 NAG850781:NAI850846 MQK850781:MQM850846 MGO850781:MGQ850846 LWS850781:LWU850846 LMW850781:LMY850846 LDA850781:LDC850846 KTE850781:KTG850846 KJI850781:KJK850846 JZM850781:JZO850846 JPQ850781:JPS850846 JFU850781:JFW850846 IVY850781:IWA850846 IMC850781:IME850846 ICG850781:ICI850846 HSK850781:HSM850846 HIO850781:HIQ850846 GYS850781:GYU850846 GOW850781:GOY850846 GFA850781:GFC850846 FVE850781:FVG850846 FLI850781:FLK850846 FBM850781:FBO850846 ERQ850781:ERS850846 EHU850781:EHW850846 DXY850781:DYA850846 DOC850781:DOE850846 DEG850781:DEI850846 CUK850781:CUM850846 CKO850781:CKQ850846 CAS850781:CAU850846 BQW850781:BQY850846 BHA850781:BHC850846 AXE850781:AXG850846 ANI850781:ANK850846 ADM850781:ADO850846 TQ850781:TS850846 JU850781:JW850846 Y850781:AA850846 WWG785245:WWI785310 WMK785245:WMM785310 WCO785245:WCQ785310 VSS785245:VSU785310 VIW785245:VIY785310 UZA785245:UZC785310 UPE785245:UPG785310 UFI785245:UFK785310 TVM785245:TVO785310 TLQ785245:TLS785310 TBU785245:TBW785310 SRY785245:SSA785310 SIC785245:SIE785310 RYG785245:RYI785310 ROK785245:ROM785310 REO785245:REQ785310 QUS785245:QUU785310 QKW785245:QKY785310 QBA785245:QBC785310 PRE785245:PRG785310 PHI785245:PHK785310 OXM785245:OXO785310 ONQ785245:ONS785310 ODU785245:ODW785310 NTY785245:NUA785310 NKC785245:NKE785310 NAG785245:NAI785310 MQK785245:MQM785310 MGO785245:MGQ785310 LWS785245:LWU785310 LMW785245:LMY785310 LDA785245:LDC785310 KTE785245:KTG785310 KJI785245:KJK785310 JZM785245:JZO785310 JPQ785245:JPS785310 JFU785245:JFW785310 IVY785245:IWA785310 IMC785245:IME785310 ICG785245:ICI785310 HSK785245:HSM785310 HIO785245:HIQ785310 GYS785245:GYU785310 GOW785245:GOY785310 GFA785245:GFC785310 FVE785245:FVG785310 FLI785245:FLK785310 FBM785245:FBO785310 ERQ785245:ERS785310 EHU785245:EHW785310 DXY785245:DYA785310 DOC785245:DOE785310 DEG785245:DEI785310 CUK785245:CUM785310 CKO785245:CKQ785310 CAS785245:CAU785310 BQW785245:BQY785310 BHA785245:BHC785310 AXE785245:AXG785310 ANI785245:ANK785310 ADM785245:ADO785310 TQ785245:TS785310 JU785245:JW785310 Y785245:AA785310 WWG719709:WWI719774 WMK719709:WMM719774 WCO719709:WCQ719774 VSS719709:VSU719774 VIW719709:VIY719774 UZA719709:UZC719774 UPE719709:UPG719774 UFI719709:UFK719774 TVM719709:TVO719774 TLQ719709:TLS719774 TBU719709:TBW719774 SRY719709:SSA719774 SIC719709:SIE719774 RYG719709:RYI719774 ROK719709:ROM719774 REO719709:REQ719774 QUS719709:QUU719774 QKW719709:QKY719774 QBA719709:QBC719774 PRE719709:PRG719774 PHI719709:PHK719774 OXM719709:OXO719774 ONQ719709:ONS719774 ODU719709:ODW719774 NTY719709:NUA719774 NKC719709:NKE719774 NAG719709:NAI719774 MQK719709:MQM719774 MGO719709:MGQ719774 LWS719709:LWU719774 LMW719709:LMY719774 LDA719709:LDC719774 KTE719709:KTG719774 KJI719709:KJK719774 JZM719709:JZO719774 JPQ719709:JPS719774 JFU719709:JFW719774 IVY719709:IWA719774 IMC719709:IME719774 ICG719709:ICI719774 HSK719709:HSM719774 HIO719709:HIQ719774 GYS719709:GYU719774 GOW719709:GOY719774 GFA719709:GFC719774 FVE719709:FVG719774 FLI719709:FLK719774 FBM719709:FBO719774 ERQ719709:ERS719774 EHU719709:EHW719774 DXY719709:DYA719774 DOC719709:DOE719774 DEG719709:DEI719774 CUK719709:CUM719774 CKO719709:CKQ719774 CAS719709:CAU719774 BQW719709:BQY719774 BHA719709:BHC719774 AXE719709:AXG719774 ANI719709:ANK719774 ADM719709:ADO719774 TQ719709:TS719774 JU719709:JW719774 Y719709:AA719774 WWG654173:WWI654238 WMK654173:WMM654238 WCO654173:WCQ654238 VSS654173:VSU654238 VIW654173:VIY654238 UZA654173:UZC654238 UPE654173:UPG654238 UFI654173:UFK654238 TVM654173:TVO654238 TLQ654173:TLS654238 TBU654173:TBW654238 SRY654173:SSA654238 SIC654173:SIE654238 RYG654173:RYI654238 ROK654173:ROM654238 REO654173:REQ654238 QUS654173:QUU654238 QKW654173:QKY654238 QBA654173:QBC654238 PRE654173:PRG654238 PHI654173:PHK654238 OXM654173:OXO654238 ONQ654173:ONS654238 ODU654173:ODW654238 NTY654173:NUA654238 NKC654173:NKE654238 NAG654173:NAI654238 MQK654173:MQM654238 MGO654173:MGQ654238 LWS654173:LWU654238 LMW654173:LMY654238 LDA654173:LDC654238 KTE654173:KTG654238 KJI654173:KJK654238 JZM654173:JZO654238 JPQ654173:JPS654238 JFU654173:JFW654238 IVY654173:IWA654238 IMC654173:IME654238 ICG654173:ICI654238 HSK654173:HSM654238 HIO654173:HIQ654238 GYS654173:GYU654238 GOW654173:GOY654238 GFA654173:GFC654238 FVE654173:FVG654238 FLI654173:FLK654238 FBM654173:FBO654238 ERQ654173:ERS654238 EHU654173:EHW654238 DXY654173:DYA654238 DOC654173:DOE654238 DEG654173:DEI654238 CUK654173:CUM654238 CKO654173:CKQ654238 CAS654173:CAU654238 BQW654173:BQY654238 BHA654173:BHC654238 AXE654173:AXG654238 ANI654173:ANK654238 ADM654173:ADO654238 TQ654173:TS654238 JU654173:JW654238 Y654173:AA654238 WWG588637:WWI588702 WMK588637:WMM588702 WCO588637:WCQ588702 VSS588637:VSU588702 VIW588637:VIY588702 UZA588637:UZC588702 UPE588637:UPG588702 UFI588637:UFK588702 TVM588637:TVO588702 TLQ588637:TLS588702 TBU588637:TBW588702 SRY588637:SSA588702 SIC588637:SIE588702 RYG588637:RYI588702 ROK588637:ROM588702 REO588637:REQ588702 QUS588637:QUU588702 QKW588637:QKY588702 QBA588637:QBC588702 PRE588637:PRG588702 PHI588637:PHK588702 OXM588637:OXO588702 ONQ588637:ONS588702 ODU588637:ODW588702 NTY588637:NUA588702 NKC588637:NKE588702 NAG588637:NAI588702 MQK588637:MQM588702 MGO588637:MGQ588702 LWS588637:LWU588702 LMW588637:LMY588702 LDA588637:LDC588702 KTE588637:KTG588702 KJI588637:KJK588702 JZM588637:JZO588702 JPQ588637:JPS588702 JFU588637:JFW588702 IVY588637:IWA588702 IMC588637:IME588702 ICG588637:ICI588702 HSK588637:HSM588702 HIO588637:HIQ588702 GYS588637:GYU588702 GOW588637:GOY588702 GFA588637:GFC588702 FVE588637:FVG588702 FLI588637:FLK588702 FBM588637:FBO588702 ERQ588637:ERS588702 EHU588637:EHW588702 DXY588637:DYA588702 DOC588637:DOE588702 DEG588637:DEI588702 CUK588637:CUM588702 CKO588637:CKQ588702 CAS588637:CAU588702 BQW588637:BQY588702 BHA588637:BHC588702 AXE588637:AXG588702 ANI588637:ANK588702 ADM588637:ADO588702 TQ588637:TS588702 JU588637:JW588702 Y588637:AA588702 WWG523101:WWI523166 WMK523101:WMM523166 WCO523101:WCQ523166 VSS523101:VSU523166 VIW523101:VIY523166 UZA523101:UZC523166 UPE523101:UPG523166 UFI523101:UFK523166 TVM523101:TVO523166 TLQ523101:TLS523166 TBU523101:TBW523166 SRY523101:SSA523166 SIC523101:SIE523166 RYG523101:RYI523166 ROK523101:ROM523166 REO523101:REQ523166 QUS523101:QUU523166 QKW523101:QKY523166 QBA523101:QBC523166 PRE523101:PRG523166 PHI523101:PHK523166 OXM523101:OXO523166 ONQ523101:ONS523166 ODU523101:ODW523166 NTY523101:NUA523166 NKC523101:NKE523166 NAG523101:NAI523166 MQK523101:MQM523166 MGO523101:MGQ523166 LWS523101:LWU523166 LMW523101:LMY523166 LDA523101:LDC523166 KTE523101:KTG523166 KJI523101:KJK523166 JZM523101:JZO523166 JPQ523101:JPS523166 JFU523101:JFW523166 IVY523101:IWA523166 IMC523101:IME523166 ICG523101:ICI523166 HSK523101:HSM523166 HIO523101:HIQ523166 GYS523101:GYU523166 GOW523101:GOY523166 GFA523101:GFC523166 FVE523101:FVG523166 FLI523101:FLK523166 FBM523101:FBO523166 ERQ523101:ERS523166 EHU523101:EHW523166 DXY523101:DYA523166 DOC523101:DOE523166 DEG523101:DEI523166 CUK523101:CUM523166 CKO523101:CKQ523166 CAS523101:CAU523166 BQW523101:BQY523166 BHA523101:BHC523166 AXE523101:AXG523166 ANI523101:ANK523166 ADM523101:ADO523166 TQ523101:TS523166 JU523101:JW523166 Y523101:AA523166 WWG457565:WWI457630 WMK457565:WMM457630 WCO457565:WCQ457630 VSS457565:VSU457630 VIW457565:VIY457630 UZA457565:UZC457630 UPE457565:UPG457630 UFI457565:UFK457630 TVM457565:TVO457630 TLQ457565:TLS457630 TBU457565:TBW457630 SRY457565:SSA457630 SIC457565:SIE457630 RYG457565:RYI457630 ROK457565:ROM457630 REO457565:REQ457630 QUS457565:QUU457630 QKW457565:QKY457630 QBA457565:QBC457630 PRE457565:PRG457630 PHI457565:PHK457630 OXM457565:OXO457630 ONQ457565:ONS457630 ODU457565:ODW457630 NTY457565:NUA457630 NKC457565:NKE457630 NAG457565:NAI457630 MQK457565:MQM457630 MGO457565:MGQ457630 LWS457565:LWU457630 LMW457565:LMY457630 LDA457565:LDC457630 KTE457565:KTG457630 KJI457565:KJK457630 JZM457565:JZO457630 JPQ457565:JPS457630 JFU457565:JFW457630 IVY457565:IWA457630 IMC457565:IME457630 ICG457565:ICI457630 HSK457565:HSM457630 HIO457565:HIQ457630 GYS457565:GYU457630 GOW457565:GOY457630 GFA457565:GFC457630 FVE457565:FVG457630 FLI457565:FLK457630 FBM457565:FBO457630 ERQ457565:ERS457630 EHU457565:EHW457630 DXY457565:DYA457630 DOC457565:DOE457630 DEG457565:DEI457630 CUK457565:CUM457630 CKO457565:CKQ457630 CAS457565:CAU457630 BQW457565:BQY457630 BHA457565:BHC457630 AXE457565:AXG457630 ANI457565:ANK457630 ADM457565:ADO457630 TQ457565:TS457630 JU457565:JW457630 Y457565:AA457630 WWG392029:WWI392094 WMK392029:WMM392094 WCO392029:WCQ392094 VSS392029:VSU392094 VIW392029:VIY392094 UZA392029:UZC392094 UPE392029:UPG392094 UFI392029:UFK392094 TVM392029:TVO392094 TLQ392029:TLS392094 TBU392029:TBW392094 SRY392029:SSA392094 SIC392029:SIE392094 RYG392029:RYI392094 ROK392029:ROM392094 REO392029:REQ392094 QUS392029:QUU392094 QKW392029:QKY392094 QBA392029:QBC392094 PRE392029:PRG392094 PHI392029:PHK392094 OXM392029:OXO392094 ONQ392029:ONS392094 ODU392029:ODW392094 NTY392029:NUA392094 NKC392029:NKE392094 NAG392029:NAI392094 MQK392029:MQM392094 MGO392029:MGQ392094 LWS392029:LWU392094 LMW392029:LMY392094 LDA392029:LDC392094 KTE392029:KTG392094 KJI392029:KJK392094 JZM392029:JZO392094 JPQ392029:JPS392094 JFU392029:JFW392094 IVY392029:IWA392094 IMC392029:IME392094 ICG392029:ICI392094 HSK392029:HSM392094 HIO392029:HIQ392094 GYS392029:GYU392094 GOW392029:GOY392094 GFA392029:GFC392094 FVE392029:FVG392094 FLI392029:FLK392094 FBM392029:FBO392094 ERQ392029:ERS392094 EHU392029:EHW392094 DXY392029:DYA392094 DOC392029:DOE392094 DEG392029:DEI392094 CUK392029:CUM392094 CKO392029:CKQ392094 CAS392029:CAU392094 BQW392029:BQY392094 BHA392029:BHC392094 AXE392029:AXG392094 ANI392029:ANK392094 ADM392029:ADO392094 TQ392029:TS392094 JU392029:JW392094 Y392029:AA392094 WWG326493:WWI326558 WMK326493:WMM326558 WCO326493:WCQ326558 VSS326493:VSU326558 VIW326493:VIY326558 UZA326493:UZC326558 UPE326493:UPG326558 UFI326493:UFK326558 TVM326493:TVO326558 TLQ326493:TLS326558 TBU326493:TBW326558 SRY326493:SSA326558 SIC326493:SIE326558 RYG326493:RYI326558 ROK326493:ROM326558 REO326493:REQ326558 QUS326493:QUU326558 QKW326493:QKY326558 QBA326493:QBC326558 PRE326493:PRG326558 PHI326493:PHK326558 OXM326493:OXO326558 ONQ326493:ONS326558 ODU326493:ODW326558 NTY326493:NUA326558 NKC326493:NKE326558 NAG326493:NAI326558 MQK326493:MQM326558 MGO326493:MGQ326558 LWS326493:LWU326558 LMW326493:LMY326558 LDA326493:LDC326558 KTE326493:KTG326558 KJI326493:KJK326558 JZM326493:JZO326558 JPQ326493:JPS326558 JFU326493:JFW326558 IVY326493:IWA326558 IMC326493:IME326558 ICG326493:ICI326558 HSK326493:HSM326558 HIO326493:HIQ326558 GYS326493:GYU326558 GOW326493:GOY326558 GFA326493:GFC326558 FVE326493:FVG326558 FLI326493:FLK326558 FBM326493:FBO326558 ERQ326493:ERS326558 EHU326493:EHW326558 DXY326493:DYA326558 DOC326493:DOE326558 DEG326493:DEI326558 CUK326493:CUM326558 CKO326493:CKQ326558 CAS326493:CAU326558 BQW326493:BQY326558 BHA326493:BHC326558 AXE326493:AXG326558 ANI326493:ANK326558 ADM326493:ADO326558 TQ326493:TS326558 JU326493:JW326558 Y326493:AA326558 WWG260957:WWI261022 WMK260957:WMM261022 WCO260957:WCQ261022 VSS260957:VSU261022 VIW260957:VIY261022 UZA260957:UZC261022 UPE260957:UPG261022 UFI260957:UFK261022 TVM260957:TVO261022 TLQ260957:TLS261022 TBU260957:TBW261022 SRY260957:SSA261022 SIC260957:SIE261022 RYG260957:RYI261022 ROK260957:ROM261022 REO260957:REQ261022 QUS260957:QUU261022 QKW260957:QKY261022 QBA260957:QBC261022 PRE260957:PRG261022 PHI260957:PHK261022 OXM260957:OXO261022 ONQ260957:ONS261022 ODU260957:ODW261022 NTY260957:NUA261022 NKC260957:NKE261022 NAG260957:NAI261022 MQK260957:MQM261022 MGO260957:MGQ261022 LWS260957:LWU261022 LMW260957:LMY261022 LDA260957:LDC261022 KTE260957:KTG261022 KJI260957:KJK261022 JZM260957:JZO261022 JPQ260957:JPS261022 JFU260957:JFW261022 IVY260957:IWA261022 IMC260957:IME261022 ICG260957:ICI261022 HSK260957:HSM261022 HIO260957:HIQ261022 GYS260957:GYU261022 GOW260957:GOY261022 GFA260957:GFC261022 FVE260957:FVG261022 FLI260957:FLK261022 FBM260957:FBO261022 ERQ260957:ERS261022 EHU260957:EHW261022 DXY260957:DYA261022 DOC260957:DOE261022 DEG260957:DEI261022 CUK260957:CUM261022 CKO260957:CKQ261022 CAS260957:CAU261022 BQW260957:BQY261022 BHA260957:BHC261022 AXE260957:AXG261022 ANI260957:ANK261022 ADM260957:ADO261022 TQ260957:TS261022 JU260957:JW261022 Y260957:AA261022 WWG195421:WWI195486 WMK195421:WMM195486 WCO195421:WCQ195486 VSS195421:VSU195486 VIW195421:VIY195486 UZA195421:UZC195486 UPE195421:UPG195486 UFI195421:UFK195486 TVM195421:TVO195486 TLQ195421:TLS195486 TBU195421:TBW195486 SRY195421:SSA195486 SIC195421:SIE195486 RYG195421:RYI195486 ROK195421:ROM195486 REO195421:REQ195486 QUS195421:QUU195486 QKW195421:QKY195486 QBA195421:QBC195486 PRE195421:PRG195486 PHI195421:PHK195486 OXM195421:OXO195486 ONQ195421:ONS195486 ODU195421:ODW195486 NTY195421:NUA195486 NKC195421:NKE195486 NAG195421:NAI195486 MQK195421:MQM195486 MGO195421:MGQ195486 LWS195421:LWU195486 LMW195421:LMY195486 LDA195421:LDC195486 KTE195421:KTG195486 KJI195421:KJK195486 JZM195421:JZO195486 JPQ195421:JPS195486 JFU195421:JFW195486 IVY195421:IWA195486 IMC195421:IME195486 ICG195421:ICI195486 HSK195421:HSM195486 HIO195421:HIQ195486 GYS195421:GYU195486 GOW195421:GOY195486 GFA195421:GFC195486 FVE195421:FVG195486 FLI195421:FLK195486 FBM195421:FBO195486 ERQ195421:ERS195486 EHU195421:EHW195486 DXY195421:DYA195486 DOC195421:DOE195486 DEG195421:DEI195486 CUK195421:CUM195486 CKO195421:CKQ195486 CAS195421:CAU195486 BQW195421:BQY195486 BHA195421:BHC195486 AXE195421:AXG195486 ANI195421:ANK195486 ADM195421:ADO195486 TQ195421:TS195486 JU195421:JW195486 Y195421:AA195486 WWG129885:WWI129950 WMK129885:WMM129950 WCO129885:WCQ129950 VSS129885:VSU129950 VIW129885:VIY129950 UZA129885:UZC129950 UPE129885:UPG129950 UFI129885:UFK129950 TVM129885:TVO129950 TLQ129885:TLS129950 TBU129885:TBW129950 SRY129885:SSA129950 SIC129885:SIE129950 RYG129885:RYI129950 ROK129885:ROM129950 REO129885:REQ129950 QUS129885:QUU129950 QKW129885:QKY129950 QBA129885:QBC129950 PRE129885:PRG129950 PHI129885:PHK129950 OXM129885:OXO129950 ONQ129885:ONS129950 ODU129885:ODW129950 NTY129885:NUA129950 NKC129885:NKE129950 NAG129885:NAI129950 MQK129885:MQM129950 MGO129885:MGQ129950 LWS129885:LWU129950 LMW129885:LMY129950 LDA129885:LDC129950 KTE129885:KTG129950 KJI129885:KJK129950 JZM129885:JZO129950 JPQ129885:JPS129950 JFU129885:JFW129950 IVY129885:IWA129950 IMC129885:IME129950 ICG129885:ICI129950 HSK129885:HSM129950 HIO129885:HIQ129950 GYS129885:GYU129950 GOW129885:GOY129950 GFA129885:GFC129950 FVE129885:FVG129950 FLI129885:FLK129950 FBM129885:FBO129950 ERQ129885:ERS129950 EHU129885:EHW129950 DXY129885:DYA129950 DOC129885:DOE129950 DEG129885:DEI129950 CUK129885:CUM129950 CKO129885:CKQ129950 CAS129885:CAU129950 BQW129885:BQY129950 BHA129885:BHC129950 AXE129885:AXG129950 ANI129885:ANK129950 ADM129885:ADO129950 TQ129885:TS129950 JU129885:JW129950 Y129885:AA129950 WWG64349:WWI64414 WMK64349:WMM64414 WCO64349:WCQ64414 VSS64349:VSU64414 VIW64349:VIY64414 UZA64349:UZC64414 UPE64349:UPG64414 UFI64349:UFK64414 TVM64349:TVO64414 TLQ64349:TLS64414 TBU64349:TBW64414 SRY64349:SSA64414 SIC64349:SIE64414 RYG64349:RYI64414 ROK64349:ROM64414 REO64349:REQ64414 QUS64349:QUU64414 QKW64349:QKY64414 QBA64349:QBC64414 PRE64349:PRG64414 PHI64349:PHK64414 OXM64349:OXO64414 ONQ64349:ONS64414 ODU64349:ODW64414 NTY64349:NUA64414 NKC64349:NKE64414 NAG64349:NAI64414 MQK64349:MQM64414 MGO64349:MGQ64414 LWS64349:LWU64414 LMW64349:LMY64414 LDA64349:LDC64414 KTE64349:KTG64414 KJI64349:KJK64414 JZM64349:JZO64414 JPQ64349:JPS64414 JFU64349:JFW64414 IVY64349:IWA64414 IMC64349:IME64414 ICG64349:ICI64414 HSK64349:HSM64414 HIO64349:HIQ64414 GYS64349:GYU64414 GOW64349:GOY64414 GFA64349:GFC64414 FVE64349:FVG64414 FLI64349:FLK64414 FBM64349:FBO64414 ERQ64349:ERS64414 EHU64349:EHW64414 DXY64349:DYA64414 DOC64349:DOE64414 DEG64349:DEI64414 CUK64349:CUM64414 CKO64349:CKQ64414 CAS64349:CAU64414 BQW64349:BQY64414 BHA64349:BHC64414 AXE64349:AXG64414 ANI64349:ANK64414 ADM64349:ADO64414 TQ64349:TS64414 JU2:JW61 WWG2:WWI61 WMK2:WMM61 WCO2:WCQ61 VSS2:VSU61 VIW2:VIY61 UZA2:UZC61 UPE2:UPG61 UFI2:UFK61 TVM2:TVO61 TLQ2:TLS61 TBU2:TBW61 SRY2:SSA61 SIC2:SIE61 RYG2:RYI61 ROK2:ROM61 REO2:REQ61 QUS2:QUU61 QKW2:QKY61 QBA2:QBC61 PRE2:PRG61 PHI2:PHK61 OXM2:OXO61 ONQ2:ONS61 ODU2:ODW61 NTY2:NUA61 NKC2:NKE61 NAG2:NAI61 MQK2:MQM61 MGO2:MGQ61 LWS2:LWU61 LMW2:LMY61 LDA2:LDC61 KTE2:KTG61 KJI2:KJK61 JZM2:JZO61 JPQ2:JPS61 JFU2:JFW61 IVY2:IWA61 IMC2:IME61 ICG2:ICI61 HSK2:HSM61 HIO2:HIQ61 GYS2:GYU61 GOW2:GOY61 GFA2:GFC61 FVE2:FVG61 FLI2:FLK61 FBM2:FBO61 ERQ2:ERS61 EHU2:EHW61 DXY2:DYA61 DOC2:DOE61 DEG2:DEI61 CUK2:CUM61 CKO2:CKQ61 CAS2:CAU61 BQW2:BQY61 BHA2:BHC61 AXE2:AXG61 ANI2:ANK61 ADM2:ADO61 TQ2:TS61">
      <formula1>$AV$2:$AV$20</formula1>
    </dataValidation>
    <dataValidation type="list" allowBlank="1" showInputMessage="1" showErrorMessage="1" sqref="H64349:H64414 WVP1047389:WVP1047454 WLT1047389:WLT1047454 WBX1047389:WBX1047454 VSB1047389:VSB1047454 VIF1047389:VIF1047454 UYJ1047389:UYJ1047454 UON1047389:UON1047454 UER1047389:UER1047454 TUV1047389:TUV1047454 TKZ1047389:TKZ1047454 TBD1047389:TBD1047454 SRH1047389:SRH1047454 SHL1047389:SHL1047454 RXP1047389:RXP1047454 RNT1047389:RNT1047454 RDX1047389:RDX1047454 QUB1047389:QUB1047454 QKF1047389:QKF1047454 QAJ1047389:QAJ1047454 PQN1047389:PQN1047454 PGR1047389:PGR1047454 OWV1047389:OWV1047454 OMZ1047389:OMZ1047454 ODD1047389:ODD1047454 NTH1047389:NTH1047454 NJL1047389:NJL1047454 MZP1047389:MZP1047454 MPT1047389:MPT1047454 MFX1047389:MFX1047454 LWB1047389:LWB1047454 LMF1047389:LMF1047454 LCJ1047389:LCJ1047454 KSN1047389:KSN1047454 KIR1047389:KIR1047454 JYV1047389:JYV1047454 JOZ1047389:JOZ1047454 JFD1047389:JFD1047454 IVH1047389:IVH1047454 ILL1047389:ILL1047454 IBP1047389:IBP1047454 HRT1047389:HRT1047454 HHX1047389:HHX1047454 GYB1047389:GYB1047454 GOF1047389:GOF1047454 GEJ1047389:GEJ1047454 FUN1047389:FUN1047454 FKR1047389:FKR1047454 FAV1047389:FAV1047454 EQZ1047389:EQZ1047454 EHD1047389:EHD1047454 DXH1047389:DXH1047454 DNL1047389:DNL1047454 DDP1047389:DDP1047454 CTT1047389:CTT1047454 CJX1047389:CJX1047454 CAB1047389:CAB1047454 BQF1047389:BQF1047454 BGJ1047389:BGJ1047454 AWN1047389:AWN1047454 AMR1047389:AMR1047454 ACV1047389:ACV1047454 SZ1047389:SZ1047454 JD1047389:JD1047454 H1047389:H1047454 WVP981853:WVP981918 WLT981853:WLT981918 WBX981853:WBX981918 VSB981853:VSB981918 VIF981853:VIF981918 UYJ981853:UYJ981918 UON981853:UON981918 UER981853:UER981918 TUV981853:TUV981918 TKZ981853:TKZ981918 TBD981853:TBD981918 SRH981853:SRH981918 SHL981853:SHL981918 RXP981853:RXP981918 RNT981853:RNT981918 RDX981853:RDX981918 QUB981853:QUB981918 QKF981853:QKF981918 QAJ981853:QAJ981918 PQN981853:PQN981918 PGR981853:PGR981918 OWV981853:OWV981918 OMZ981853:OMZ981918 ODD981853:ODD981918 NTH981853:NTH981918 NJL981853:NJL981918 MZP981853:MZP981918 MPT981853:MPT981918 MFX981853:MFX981918 LWB981853:LWB981918 LMF981853:LMF981918 LCJ981853:LCJ981918 KSN981853:KSN981918 KIR981853:KIR981918 JYV981853:JYV981918 JOZ981853:JOZ981918 JFD981853:JFD981918 IVH981853:IVH981918 ILL981853:ILL981918 IBP981853:IBP981918 HRT981853:HRT981918 HHX981853:HHX981918 GYB981853:GYB981918 GOF981853:GOF981918 GEJ981853:GEJ981918 FUN981853:FUN981918 FKR981853:FKR981918 FAV981853:FAV981918 EQZ981853:EQZ981918 EHD981853:EHD981918 DXH981853:DXH981918 DNL981853:DNL981918 DDP981853:DDP981918 CTT981853:CTT981918 CJX981853:CJX981918 CAB981853:CAB981918 BQF981853:BQF981918 BGJ981853:BGJ981918 AWN981853:AWN981918 AMR981853:AMR981918 ACV981853:ACV981918 SZ981853:SZ981918 JD981853:JD981918 H981853:H981918 WVP916317:WVP916382 WLT916317:WLT916382 WBX916317:WBX916382 VSB916317:VSB916382 VIF916317:VIF916382 UYJ916317:UYJ916382 UON916317:UON916382 UER916317:UER916382 TUV916317:TUV916382 TKZ916317:TKZ916382 TBD916317:TBD916382 SRH916317:SRH916382 SHL916317:SHL916382 RXP916317:RXP916382 RNT916317:RNT916382 RDX916317:RDX916382 QUB916317:QUB916382 QKF916317:QKF916382 QAJ916317:QAJ916382 PQN916317:PQN916382 PGR916317:PGR916382 OWV916317:OWV916382 OMZ916317:OMZ916382 ODD916317:ODD916382 NTH916317:NTH916382 NJL916317:NJL916382 MZP916317:MZP916382 MPT916317:MPT916382 MFX916317:MFX916382 LWB916317:LWB916382 LMF916317:LMF916382 LCJ916317:LCJ916382 KSN916317:KSN916382 KIR916317:KIR916382 JYV916317:JYV916382 JOZ916317:JOZ916382 JFD916317:JFD916382 IVH916317:IVH916382 ILL916317:ILL916382 IBP916317:IBP916382 HRT916317:HRT916382 HHX916317:HHX916382 GYB916317:GYB916382 GOF916317:GOF916382 GEJ916317:GEJ916382 FUN916317:FUN916382 FKR916317:FKR916382 FAV916317:FAV916382 EQZ916317:EQZ916382 EHD916317:EHD916382 DXH916317:DXH916382 DNL916317:DNL916382 DDP916317:DDP916382 CTT916317:CTT916382 CJX916317:CJX916382 CAB916317:CAB916382 BQF916317:BQF916382 BGJ916317:BGJ916382 AWN916317:AWN916382 AMR916317:AMR916382 ACV916317:ACV916382 SZ916317:SZ916382 JD916317:JD916382 H916317:H916382 WVP850781:WVP850846 WLT850781:WLT850846 WBX850781:WBX850846 VSB850781:VSB850846 VIF850781:VIF850846 UYJ850781:UYJ850846 UON850781:UON850846 UER850781:UER850846 TUV850781:TUV850846 TKZ850781:TKZ850846 TBD850781:TBD850846 SRH850781:SRH850846 SHL850781:SHL850846 RXP850781:RXP850846 RNT850781:RNT850846 RDX850781:RDX850846 QUB850781:QUB850846 QKF850781:QKF850846 QAJ850781:QAJ850846 PQN850781:PQN850846 PGR850781:PGR850846 OWV850781:OWV850846 OMZ850781:OMZ850846 ODD850781:ODD850846 NTH850781:NTH850846 NJL850781:NJL850846 MZP850781:MZP850846 MPT850781:MPT850846 MFX850781:MFX850846 LWB850781:LWB850846 LMF850781:LMF850846 LCJ850781:LCJ850846 KSN850781:KSN850846 KIR850781:KIR850846 JYV850781:JYV850846 JOZ850781:JOZ850846 JFD850781:JFD850846 IVH850781:IVH850846 ILL850781:ILL850846 IBP850781:IBP850846 HRT850781:HRT850846 HHX850781:HHX850846 GYB850781:GYB850846 GOF850781:GOF850846 GEJ850781:GEJ850846 FUN850781:FUN850846 FKR850781:FKR850846 FAV850781:FAV850846 EQZ850781:EQZ850846 EHD850781:EHD850846 DXH850781:DXH850846 DNL850781:DNL850846 DDP850781:DDP850846 CTT850781:CTT850846 CJX850781:CJX850846 CAB850781:CAB850846 BQF850781:BQF850846 BGJ850781:BGJ850846 AWN850781:AWN850846 AMR850781:AMR850846 ACV850781:ACV850846 SZ850781:SZ850846 JD850781:JD850846 H850781:H850846 WVP785245:WVP785310 WLT785245:WLT785310 WBX785245:WBX785310 VSB785245:VSB785310 VIF785245:VIF785310 UYJ785245:UYJ785310 UON785245:UON785310 UER785245:UER785310 TUV785245:TUV785310 TKZ785245:TKZ785310 TBD785245:TBD785310 SRH785245:SRH785310 SHL785245:SHL785310 RXP785245:RXP785310 RNT785245:RNT785310 RDX785245:RDX785310 QUB785245:QUB785310 QKF785245:QKF785310 QAJ785245:QAJ785310 PQN785245:PQN785310 PGR785245:PGR785310 OWV785245:OWV785310 OMZ785245:OMZ785310 ODD785245:ODD785310 NTH785245:NTH785310 NJL785245:NJL785310 MZP785245:MZP785310 MPT785245:MPT785310 MFX785245:MFX785310 LWB785245:LWB785310 LMF785245:LMF785310 LCJ785245:LCJ785310 KSN785245:KSN785310 KIR785245:KIR785310 JYV785245:JYV785310 JOZ785245:JOZ785310 JFD785245:JFD785310 IVH785245:IVH785310 ILL785245:ILL785310 IBP785245:IBP785310 HRT785245:HRT785310 HHX785245:HHX785310 GYB785245:GYB785310 GOF785245:GOF785310 GEJ785245:GEJ785310 FUN785245:FUN785310 FKR785245:FKR785310 FAV785245:FAV785310 EQZ785245:EQZ785310 EHD785245:EHD785310 DXH785245:DXH785310 DNL785245:DNL785310 DDP785245:DDP785310 CTT785245:CTT785310 CJX785245:CJX785310 CAB785245:CAB785310 BQF785245:BQF785310 BGJ785245:BGJ785310 AWN785245:AWN785310 AMR785245:AMR785310 ACV785245:ACV785310 SZ785245:SZ785310 JD785245:JD785310 H785245:H785310 WVP719709:WVP719774 WLT719709:WLT719774 WBX719709:WBX719774 VSB719709:VSB719774 VIF719709:VIF719774 UYJ719709:UYJ719774 UON719709:UON719774 UER719709:UER719774 TUV719709:TUV719774 TKZ719709:TKZ719774 TBD719709:TBD719774 SRH719709:SRH719774 SHL719709:SHL719774 RXP719709:RXP719774 RNT719709:RNT719774 RDX719709:RDX719774 QUB719709:QUB719774 QKF719709:QKF719774 QAJ719709:QAJ719774 PQN719709:PQN719774 PGR719709:PGR719774 OWV719709:OWV719774 OMZ719709:OMZ719774 ODD719709:ODD719774 NTH719709:NTH719774 NJL719709:NJL719774 MZP719709:MZP719774 MPT719709:MPT719774 MFX719709:MFX719774 LWB719709:LWB719774 LMF719709:LMF719774 LCJ719709:LCJ719774 KSN719709:KSN719774 KIR719709:KIR719774 JYV719709:JYV719774 JOZ719709:JOZ719774 JFD719709:JFD719774 IVH719709:IVH719774 ILL719709:ILL719774 IBP719709:IBP719774 HRT719709:HRT719774 HHX719709:HHX719774 GYB719709:GYB719774 GOF719709:GOF719774 GEJ719709:GEJ719774 FUN719709:FUN719774 FKR719709:FKR719774 FAV719709:FAV719774 EQZ719709:EQZ719774 EHD719709:EHD719774 DXH719709:DXH719774 DNL719709:DNL719774 DDP719709:DDP719774 CTT719709:CTT719774 CJX719709:CJX719774 CAB719709:CAB719774 BQF719709:BQF719774 BGJ719709:BGJ719774 AWN719709:AWN719774 AMR719709:AMR719774 ACV719709:ACV719774 SZ719709:SZ719774 JD719709:JD719774 H719709:H719774 WVP654173:WVP654238 WLT654173:WLT654238 WBX654173:WBX654238 VSB654173:VSB654238 VIF654173:VIF654238 UYJ654173:UYJ654238 UON654173:UON654238 UER654173:UER654238 TUV654173:TUV654238 TKZ654173:TKZ654238 TBD654173:TBD654238 SRH654173:SRH654238 SHL654173:SHL654238 RXP654173:RXP654238 RNT654173:RNT654238 RDX654173:RDX654238 QUB654173:QUB654238 QKF654173:QKF654238 QAJ654173:QAJ654238 PQN654173:PQN654238 PGR654173:PGR654238 OWV654173:OWV654238 OMZ654173:OMZ654238 ODD654173:ODD654238 NTH654173:NTH654238 NJL654173:NJL654238 MZP654173:MZP654238 MPT654173:MPT654238 MFX654173:MFX654238 LWB654173:LWB654238 LMF654173:LMF654238 LCJ654173:LCJ654238 KSN654173:KSN654238 KIR654173:KIR654238 JYV654173:JYV654238 JOZ654173:JOZ654238 JFD654173:JFD654238 IVH654173:IVH654238 ILL654173:ILL654238 IBP654173:IBP654238 HRT654173:HRT654238 HHX654173:HHX654238 GYB654173:GYB654238 GOF654173:GOF654238 GEJ654173:GEJ654238 FUN654173:FUN654238 FKR654173:FKR654238 FAV654173:FAV654238 EQZ654173:EQZ654238 EHD654173:EHD654238 DXH654173:DXH654238 DNL654173:DNL654238 DDP654173:DDP654238 CTT654173:CTT654238 CJX654173:CJX654238 CAB654173:CAB654238 BQF654173:BQF654238 BGJ654173:BGJ654238 AWN654173:AWN654238 AMR654173:AMR654238 ACV654173:ACV654238 SZ654173:SZ654238 JD654173:JD654238 H654173:H654238 WVP588637:WVP588702 WLT588637:WLT588702 WBX588637:WBX588702 VSB588637:VSB588702 VIF588637:VIF588702 UYJ588637:UYJ588702 UON588637:UON588702 UER588637:UER588702 TUV588637:TUV588702 TKZ588637:TKZ588702 TBD588637:TBD588702 SRH588637:SRH588702 SHL588637:SHL588702 RXP588637:RXP588702 RNT588637:RNT588702 RDX588637:RDX588702 QUB588637:QUB588702 QKF588637:QKF588702 QAJ588637:QAJ588702 PQN588637:PQN588702 PGR588637:PGR588702 OWV588637:OWV588702 OMZ588637:OMZ588702 ODD588637:ODD588702 NTH588637:NTH588702 NJL588637:NJL588702 MZP588637:MZP588702 MPT588637:MPT588702 MFX588637:MFX588702 LWB588637:LWB588702 LMF588637:LMF588702 LCJ588637:LCJ588702 KSN588637:KSN588702 KIR588637:KIR588702 JYV588637:JYV588702 JOZ588637:JOZ588702 JFD588637:JFD588702 IVH588637:IVH588702 ILL588637:ILL588702 IBP588637:IBP588702 HRT588637:HRT588702 HHX588637:HHX588702 GYB588637:GYB588702 GOF588637:GOF588702 GEJ588637:GEJ588702 FUN588637:FUN588702 FKR588637:FKR588702 FAV588637:FAV588702 EQZ588637:EQZ588702 EHD588637:EHD588702 DXH588637:DXH588702 DNL588637:DNL588702 DDP588637:DDP588702 CTT588637:CTT588702 CJX588637:CJX588702 CAB588637:CAB588702 BQF588637:BQF588702 BGJ588637:BGJ588702 AWN588637:AWN588702 AMR588637:AMR588702 ACV588637:ACV588702 SZ588637:SZ588702 JD588637:JD588702 H588637:H588702 WVP523101:WVP523166 WLT523101:WLT523166 WBX523101:WBX523166 VSB523101:VSB523166 VIF523101:VIF523166 UYJ523101:UYJ523166 UON523101:UON523166 UER523101:UER523166 TUV523101:TUV523166 TKZ523101:TKZ523166 TBD523101:TBD523166 SRH523101:SRH523166 SHL523101:SHL523166 RXP523101:RXP523166 RNT523101:RNT523166 RDX523101:RDX523166 QUB523101:QUB523166 QKF523101:QKF523166 QAJ523101:QAJ523166 PQN523101:PQN523166 PGR523101:PGR523166 OWV523101:OWV523166 OMZ523101:OMZ523166 ODD523101:ODD523166 NTH523101:NTH523166 NJL523101:NJL523166 MZP523101:MZP523166 MPT523101:MPT523166 MFX523101:MFX523166 LWB523101:LWB523166 LMF523101:LMF523166 LCJ523101:LCJ523166 KSN523101:KSN523166 KIR523101:KIR523166 JYV523101:JYV523166 JOZ523101:JOZ523166 JFD523101:JFD523166 IVH523101:IVH523166 ILL523101:ILL523166 IBP523101:IBP523166 HRT523101:HRT523166 HHX523101:HHX523166 GYB523101:GYB523166 GOF523101:GOF523166 GEJ523101:GEJ523166 FUN523101:FUN523166 FKR523101:FKR523166 FAV523101:FAV523166 EQZ523101:EQZ523166 EHD523101:EHD523166 DXH523101:DXH523166 DNL523101:DNL523166 DDP523101:DDP523166 CTT523101:CTT523166 CJX523101:CJX523166 CAB523101:CAB523166 BQF523101:BQF523166 BGJ523101:BGJ523166 AWN523101:AWN523166 AMR523101:AMR523166 ACV523101:ACV523166 SZ523101:SZ523166 JD523101:JD523166 H523101:H523166 WVP457565:WVP457630 WLT457565:WLT457630 WBX457565:WBX457630 VSB457565:VSB457630 VIF457565:VIF457630 UYJ457565:UYJ457630 UON457565:UON457630 UER457565:UER457630 TUV457565:TUV457630 TKZ457565:TKZ457630 TBD457565:TBD457630 SRH457565:SRH457630 SHL457565:SHL457630 RXP457565:RXP457630 RNT457565:RNT457630 RDX457565:RDX457630 QUB457565:QUB457630 QKF457565:QKF457630 QAJ457565:QAJ457630 PQN457565:PQN457630 PGR457565:PGR457630 OWV457565:OWV457630 OMZ457565:OMZ457630 ODD457565:ODD457630 NTH457565:NTH457630 NJL457565:NJL457630 MZP457565:MZP457630 MPT457565:MPT457630 MFX457565:MFX457630 LWB457565:LWB457630 LMF457565:LMF457630 LCJ457565:LCJ457630 KSN457565:KSN457630 KIR457565:KIR457630 JYV457565:JYV457630 JOZ457565:JOZ457630 JFD457565:JFD457630 IVH457565:IVH457630 ILL457565:ILL457630 IBP457565:IBP457630 HRT457565:HRT457630 HHX457565:HHX457630 GYB457565:GYB457630 GOF457565:GOF457630 GEJ457565:GEJ457630 FUN457565:FUN457630 FKR457565:FKR457630 FAV457565:FAV457630 EQZ457565:EQZ457630 EHD457565:EHD457630 DXH457565:DXH457630 DNL457565:DNL457630 DDP457565:DDP457630 CTT457565:CTT457630 CJX457565:CJX457630 CAB457565:CAB457630 BQF457565:BQF457630 BGJ457565:BGJ457630 AWN457565:AWN457630 AMR457565:AMR457630 ACV457565:ACV457630 SZ457565:SZ457630 JD457565:JD457630 H457565:H457630 WVP392029:WVP392094 WLT392029:WLT392094 WBX392029:WBX392094 VSB392029:VSB392094 VIF392029:VIF392094 UYJ392029:UYJ392094 UON392029:UON392094 UER392029:UER392094 TUV392029:TUV392094 TKZ392029:TKZ392094 TBD392029:TBD392094 SRH392029:SRH392094 SHL392029:SHL392094 RXP392029:RXP392094 RNT392029:RNT392094 RDX392029:RDX392094 QUB392029:QUB392094 QKF392029:QKF392094 QAJ392029:QAJ392094 PQN392029:PQN392094 PGR392029:PGR392094 OWV392029:OWV392094 OMZ392029:OMZ392094 ODD392029:ODD392094 NTH392029:NTH392094 NJL392029:NJL392094 MZP392029:MZP392094 MPT392029:MPT392094 MFX392029:MFX392094 LWB392029:LWB392094 LMF392029:LMF392094 LCJ392029:LCJ392094 KSN392029:KSN392094 KIR392029:KIR392094 JYV392029:JYV392094 JOZ392029:JOZ392094 JFD392029:JFD392094 IVH392029:IVH392094 ILL392029:ILL392094 IBP392029:IBP392094 HRT392029:HRT392094 HHX392029:HHX392094 GYB392029:GYB392094 GOF392029:GOF392094 GEJ392029:GEJ392094 FUN392029:FUN392094 FKR392029:FKR392094 FAV392029:FAV392094 EQZ392029:EQZ392094 EHD392029:EHD392094 DXH392029:DXH392094 DNL392029:DNL392094 DDP392029:DDP392094 CTT392029:CTT392094 CJX392029:CJX392094 CAB392029:CAB392094 BQF392029:BQF392094 BGJ392029:BGJ392094 AWN392029:AWN392094 AMR392029:AMR392094 ACV392029:ACV392094 SZ392029:SZ392094 JD392029:JD392094 H392029:H392094 WVP326493:WVP326558 WLT326493:WLT326558 WBX326493:WBX326558 VSB326493:VSB326558 VIF326493:VIF326558 UYJ326493:UYJ326558 UON326493:UON326558 UER326493:UER326558 TUV326493:TUV326558 TKZ326493:TKZ326558 TBD326493:TBD326558 SRH326493:SRH326558 SHL326493:SHL326558 RXP326493:RXP326558 RNT326493:RNT326558 RDX326493:RDX326558 QUB326493:QUB326558 QKF326493:QKF326558 QAJ326493:QAJ326558 PQN326493:PQN326558 PGR326493:PGR326558 OWV326493:OWV326558 OMZ326493:OMZ326558 ODD326493:ODD326558 NTH326493:NTH326558 NJL326493:NJL326558 MZP326493:MZP326558 MPT326493:MPT326558 MFX326493:MFX326558 LWB326493:LWB326558 LMF326493:LMF326558 LCJ326493:LCJ326558 KSN326493:KSN326558 KIR326493:KIR326558 JYV326493:JYV326558 JOZ326493:JOZ326558 JFD326493:JFD326558 IVH326493:IVH326558 ILL326493:ILL326558 IBP326493:IBP326558 HRT326493:HRT326558 HHX326493:HHX326558 GYB326493:GYB326558 GOF326493:GOF326558 GEJ326493:GEJ326558 FUN326493:FUN326558 FKR326493:FKR326558 FAV326493:FAV326558 EQZ326493:EQZ326558 EHD326493:EHD326558 DXH326493:DXH326558 DNL326493:DNL326558 DDP326493:DDP326558 CTT326493:CTT326558 CJX326493:CJX326558 CAB326493:CAB326558 BQF326493:BQF326558 BGJ326493:BGJ326558 AWN326493:AWN326558 AMR326493:AMR326558 ACV326493:ACV326558 SZ326493:SZ326558 JD326493:JD326558 H326493:H326558 WVP260957:WVP261022 WLT260957:WLT261022 WBX260957:WBX261022 VSB260957:VSB261022 VIF260957:VIF261022 UYJ260957:UYJ261022 UON260957:UON261022 UER260957:UER261022 TUV260957:TUV261022 TKZ260957:TKZ261022 TBD260957:TBD261022 SRH260957:SRH261022 SHL260957:SHL261022 RXP260957:RXP261022 RNT260957:RNT261022 RDX260957:RDX261022 QUB260957:QUB261022 QKF260957:QKF261022 QAJ260957:QAJ261022 PQN260957:PQN261022 PGR260957:PGR261022 OWV260957:OWV261022 OMZ260957:OMZ261022 ODD260957:ODD261022 NTH260957:NTH261022 NJL260957:NJL261022 MZP260957:MZP261022 MPT260957:MPT261022 MFX260957:MFX261022 LWB260957:LWB261022 LMF260957:LMF261022 LCJ260957:LCJ261022 KSN260957:KSN261022 KIR260957:KIR261022 JYV260957:JYV261022 JOZ260957:JOZ261022 JFD260957:JFD261022 IVH260957:IVH261022 ILL260957:ILL261022 IBP260957:IBP261022 HRT260957:HRT261022 HHX260957:HHX261022 GYB260957:GYB261022 GOF260957:GOF261022 GEJ260957:GEJ261022 FUN260957:FUN261022 FKR260957:FKR261022 FAV260957:FAV261022 EQZ260957:EQZ261022 EHD260957:EHD261022 DXH260957:DXH261022 DNL260957:DNL261022 DDP260957:DDP261022 CTT260957:CTT261022 CJX260957:CJX261022 CAB260957:CAB261022 BQF260957:BQF261022 BGJ260957:BGJ261022 AWN260957:AWN261022 AMR260957:AMR261022 ACV260957:ACV261022 SZ260957:SZ261022 JD260957:JD261022 H260957:H261022 WVP195421:WVP195486 WLT195421:WLT195486 WBX195421:WBX195486 VSB195421:VSB195486 VIF195421:VIF195486 UYJ195421:UYJ195486 UON195421:UON195486 UER195421:UER195486 TUV195421:TUV195486 TKZ195421:TKZ195486 TBD195421:TBD195486 SRH195421:SRH195486 SHL195421:SHL195486 RXP195421:RXP195486 RNT195421:RNT195486 RDX195421:RDX195486 QUB195421:QUB195486 QKF195421:QKF195486 QAJ195421:QAJ195486 PQN195421:PQN195486 PGR195421:PGR195486 OWV195421:OWV195486 OMZ195421:OMZ195486 ODD195421:ODD195486 NTH195421:NTH195486 NJL195421:NJL195486 MZP195421:MZP195486 MPT195421:MPT195486 MFX195421:MFX195486 LWB195421:LWB195486 LMF195421:LMF195486 LCJ195421:LCJ195486 KSN195421:KSN195486 KIR195421:KIR195486 JYV195421:JYV195486 JOZ195421:JOZ195486 JFD195421:JFD195486 IVH195421:IVH195486 ILL195421:ILL195486 IBP195421:IBP195486 HRT195421:HRT195486 HHX195421:HHX195486 GYB195421:GYB195486 GOF195421:GOF195486 GEJ195421:GEJ195486 FUN195421:FUN195486 FKR195421:FKR195486 FAV195421:FAV195486 EQZ195421:EQZ195486 EHD195421:EHD195486 DXH195421:DXH195486 DNL195421:DNL195486 DDP195421:DDP195486 CTT195421:CTT195486 CJX195421:CJX195486 CAB195421:CAB195486 BQF195421:BQF195486 BGJ195421:BGJ195486 AWN195421:AWN195486 AMR195421:AMR195486 ACV195421:ACV195486 SZ195421:SZ195486 JD195421:JD195486 H195421:H195486 WVP129885:WVP129950 WLT129885:WLT129950 WBX129885:WBX129950 VSB129885:VSB129950 VIF129885:VIF129950 UYJ129885:UYJ129950 UON129885:UON129950 UER129885:UER129950 TUV129885:TUV129950 TKZ129885:TKZ129950 TBD129885:TBD129950 SRH129885:SRH129950 SHL129885:SHL129950 RXP129885:RXP129950 RNT129885:RNT129950 RDX129885:RDX129950 QUB129885:QUB129950 QKF129885:QKF129950 QAJ129885:QAJ129950 PQN129885:PQN129950 PGR129885:PGR129950 OWV129885:OWV129950 OMZ129885:OMZ129950 ODD129885:ODD129950 NTH129885:NTH129950 NJL129885:NJL129950 MZP129885:MZP129950 MPT129885:MPT129950 MFX129885:MFX129950 LWB129885:LWB129950 LMF129885:LMF129950 LCJ129885:LCJ129950 KSN129885:KSN129950 KIR129885:KIR129950 JYV129885:JYV129950 JOZ129885:JOZ129950 JFD129885:JFD129950 IVH129885:IVH129950 ILL129885:ILL129950 IBP129885:IBP129950 HRT129885:HRT129950 HHX129885:HHX129950 GYB129885:GYB129950 GOF129885:GOF129950 GEJ129885:GEJ129950 FUN129885:FUN129950 FKR129885:FKR129950 FAV129885:FAV129950 EQZ129885:EQZ129950 EHD129885:EHD129950 DXH129885:DXH129950 DNL129885:DNL129950 DDP129885:DDP129950 CTT129885:CTT129950 CJX129885:CJX129950 CAB129885:CAB129950 BQF129885:BQF129950 BGJ129885:BGJ129950 AWN129885:AWN129950 AMR129885:AMR129950 ACV129885:ACV129950 SZ129885:SZ129950 JD129885:JD129950 H129885:H129950 WVP64349:WVP64414 WLT64349:WLT64414 WBX64349:WBX64414 VSB64349:VSB64414 VIF64349:VIF64414 UYJ64349:UYJ64414 UON64349:UON64414 UER64349:UER64414 TUV64349:TUV64414 TKZ64349:TKZ64414 TBD64349:TBD64414 SRH64349:SRH64414 SHL64349:SHL64414 RXP64349:RXP64414 RNT64349:RNT64414 RDX64349:RDX64414 QUB64349:QUB64414 QKF64349:QKF64414 QAJ64349:QAJ64414 PQN64349:PQN64414 PGR64349:PGR64414 OWV64349:OWV64414 OMZ64349:OMZ64414 ODD64349:ODD64414 NTH64349:NTH64414 NJL64349:NJL64414 MZP64349:MZP64414 MPT64349:MPT64414 MFX64349:MFX64414 LWB64349:LWB64414 LMF64349:LMF64414 LCJ64349:LCJ64414 KSN64349:KSN64414 KIR64349:KIR64414 JYV64349:JYV64414 JOZ64349:JOZ64414 JFD64349:JFD64414 IVH64349:IVH64414 ILL64349:ILL64414 IBP64349:IBP64414 HRT64349:HRT64414 HHX64349:HHX64414 GYB64349:GYB64414 GOF64349:GOF64414 GEJ64349:GEJ64414 FUN64349:FUN64414 FKR64349:FKR64414 FAV64349:FAV64414 EQZ64349:EQZ64414 EHD64349:EHD64414 DXH64349:DXH64414 DNL64349:DNL64414 DDP64349:DDP64414 CTT64349:CTT64414 CJX64349:CJX64414 CAB64349:CAB64414 BQF64349:BQF64414 BGJ64349:BGJ64414 AWN64349:AWN64414 AMR64349:AMR64414 ACV64349:ACV64414 SZ64349:SZ64414 JD64349:JD64414">
      <formula1>$AL$5:$AL$12</formula1>
    </dataValidation>
    <dataValidation type="list" allowBlank="1" showInputMessage="1" showErrorMessage="1" sqref="E64349:F64414 WVM983028:WVN983099 SW64349:SX64414 ACS64349:ACT64414 AMO64349:AMP64414 AWK64349:AWL64414 BGG64349:BGH64414 BQC64349:BQD64414 BZY64349:BZZ64414 CJU64349:CJV64414 CTQ64349:CTR64414 DDM64349:DDN64414 DNI64349:DNJ64414 DXE64349:DXF64414 EHA64349:EHB64414 EQW64349:EQX64414 FAS64349:FAT64414 FKO64349:FKP64414 FUK64349:FUL64414 GEG64349:GEH64414 GOC64349:GOD64414 GXY64349:GXZ64414 HHU64349:HHV64414 HRQ64349:HRR64414 IBM64349:IBN64414 ILI64349:ILJ64414 IVE64349:IVF64414 JFA64349:JFB64414 JOW64349:JOX64414 JYS64349:JYT64414 KIO64349:KIP64414 KSK64349:KSL64414 LCG64349:LCH64414 LMC64349:LMD64414 LVY64349:LVZ64414 MFU64349:MFV64414 MPQ64349:MPR64414 MZM64349:MZN64414 NJI64349:NJJ64414 NTE64349:NTF64414 ODA64349:ODB64414 OMW64349:OMX64414 OWS64349:OWT64414 PGO64349:PGP64414 PQK64349:PQL64414 QAG64349:QAH64414 QKC64349:QKD64414 QTY64349:QTZ64414 RDU64349:RDV64414 RNQ64349:RNR64414 RXM64349:RXN64414 SHI64349:SHJ64414 SRE64349:SRF64414 TBA64349:TBB64414 TKW64349:TKX64414 TUS64349:TUT64414 UEO64349:UEP64414 UOK64349:UOL64414 UYG64349:UYH64414 VIC64349:VID64414 VRY64349:VRZ64414 WBU64349:WBV64414 WLQ64349:WLR64414 WVM64349:WVN64414 E129885:F129950 JA129885:JB129950 SW129885:SX129950 ACS129885:ACT129950 AMO129885:AMP129950 AWK129885:AWL129950 BGG129885:BGH129950 BQC129885:BQD129950 BZY129885:BZZ129950 CJU129885:CJV129950 CTQ129885:CTR129950 DDM129885:DDN129950 DNI129885:DNJ129950 DXE129885:DXF129950 EHA129885:EHB129950 EQW129885:EQX129950 FAS129885:FAT129950 FKO129885:FKP129950 FUK129885:FUL129950 GEG129885:GEH129950 GOC129885:GOD129950 GXY129885:GXZ129950 HHU129885:HHV129950 HRQ129885:HRR129950 IBM129885:IBN129950 ILI129885:ILJ129950 IVE129885:IVF129950 JFA129885:JFB129950 JOW129885:JOX129950 JYS129885:JYT129950 KIO129885:KIP129950 KSK129885:KSL129950 LCG129885:LCH129950 LMC129885:LMD129950 LVY129885:LVZ129950 MFU129885:MFV129950 MPQ129885:MPR129950 MZM129885:MZN129950 NJI129885:NJJ129950 NTE129885:NTF129950 ODA129885:ODB129950 OMW129885:OMX129950 OWS129885:OWT129950 PGO129885:PGP129950 PQK129885:PQL129950 QAG129885:QAH129950 QKC129885:QKD129950 QTY129885:QTZ129950 RDU129885:RDV129950 RNQ129885:RNR129950 RXM129885:RXN129950 SHI129885:SHJ129950 SRE129885:SRF129950 TBA129885:TBB129950 TKW129885:TKX129950 TUS129885:TUT129950 UEO129885:UEP129950 UOK129885:UOL129950 UYG129885:UYH129950 VIC129885:VID129950 VRY129885:VRZ129950 WBU129885:WBV129950 WLQ129885:WLR129950 WVM129885:WVN129950 E195421:F195486 JA195421:JB195486 SW195421:SX195486 ACS195421:ACT195486 AMO195421:AMP195486 AWK195421:AWL195486 BGG195421:BGH195486 BQC195421:BQD195486 BZY195421:BZZ195486 CJU195421:CJV195486 CTQ195421:CTR195486 DDM195421:DDN195486 DNI195421:DNJ195486 DXE195421:DXF195486 EHA195421:EHB195486 EQW195421:EQX195486 FAS195421:FAT195486 FKO195421:FKP195486 FUK195421:FUL195486 GEG195421:GEH195486 GOC195421:GOD195486 GXY195421:GXZ195486 HHU195421:HHV195486 HRQ195421:HRR195486 IBM195421:IBN195486 ILI195421:ILJ195486 IVE195421:IVF195486 JFA195421:JFB195486 JOW195421:JOX195486 JYS195421:JYT195486 KIO195421:KIP195486 KSK195421:KSL195486 LCG195421:LCH195486 LMC195421:LMD195486 LVY195421:LVZ195486 MFU195421:MFV195486 MPQ195421:MPR195486 MZM195421:MZN195486 NJI195421:NJJ195486 NTE195421:NTF195486 ODA195421:ODB195486 OMW195421:OMX195486 OWS195421:OWT195486 PGO195421:PGP195486 PQK195421:PQL195486 QAG195421:QAH195486 QKC195421:QKD195486 QTY195421:QTZ195486 RDU195421:RDV195486 RNQ195421:RNR195486 RXM195421:RXN195486 SHI195421:SHJ195486 SRE195421:SRF195486 TBA195421:TBB195486 TKW195421:TKX195486 TUS195421:TUT195486 UEO195421:UEP195486 UOK195421:UOL195486 UYG195421:UYH195486 VIC195421:VID195486 VRY195421:VRZ195486 WBU195421:WBV195486 WLQ195421:WLR195486 WVM195421:WVN195486 E260957:F261022 JA260957:JB261022 SW260957:SX261022 ACS260957:ACT261022 AMO260957:AMP261022 AWK260957:AWL261022 BGG260957:BGH261022 BQC260957:BQD261022 BZY260957:BZZ261022 CJU260957:CJV261022 CTQ260957:CTR261022 DDM260957:DDN261022 DNI260957:DNJ261022 DXE260957:DXF261022 EHA260957:EHB261022 EQW260957:EQX261022 FAS260957:FAT261022 FKO260957:FKP261022 FUK260957:FUL261022 GEG260957:GEH261022 GOC260957:GOD261022 GXY260957:GXZ261022 HHU260957:HHV261022 HRQ260957:HRR261022 IBM260957:IBN261022 ILI260957:ILJ261022 IVE260957:IVF261022 JFA260957:JFB261022 JOW260957:JOX261022 JYS260957:JYT261022 KIO260957:KIP261022 KSK260957:KSL261022 LCG260957:LCH261022 LMC260957:LMD261022 LVY260957:LVZ261022 MFU260957:MFV261022 MPQ260957:MPR261022 MZM260957:MZN261022 NJI260957:NJJ261022 NTE260957:NTF261022 ODA260957:ODB261022 OMW260957:OMX261022 OWS260957:OWT261022 PGO260957:PGP261022 PQK260957:PQL261022 QAG260957:QAH261022 QKC260957:QKD261022 QTY260957:QTZ261022 RDU260957:RDV261022 RNQ260957:RNR261022 RXM260957:RXN261022 SHI260957:SHJ261022 SRE260957:SRF261022 TBA260957:TBB261022 TKW260957:TKX261022 TUS260957:TUT261022 UEO260957:UEP261022 UOK260957:UOL261022 UYG260957:UYH261022 VIC260957:VID261022 VRY260957:VRZ261022 WBU260957:WBV261022 WLQ260957:WLR261022 WVM260957:WVN261022 E326493:F326558 JA326493:JB326558 SW326493:SX326558 ACS326493:ACT326558 AMO326493:AMP326558 AWK326493:AWL326558 BGG326493:BGH326558 BQC326493:BQD326558 BZY326493:BZZ326558 CJU326493:CJV326558 CTQ326493:CTR326558 DDM326493:DDN326558 DNI326493:DNJ326558 DXE326493:DXF326558 EHA326493:EHB326558 EQW326493:EQX326558 FAS326493:FAT326558 FKO326493:FKP326558 FUK326493:FUL326558 GEG326493:GEH326558 GOC326493:GOD326558 GXY326493:GXZ326558 HHU326493:HHV326558 HRQ326493:HRR326558 IBM326493:IBN326558 ILI326493:ILJ326558 IVE326493:IVF326558 JFA326493:JFB326558 JOW326493:JOX326558 JYS326493:JYT326558 KIO326493:KIP326558 KSK326493:KSL326558 LCG326493:LCH326558 LMC326493:LMD326558 LVY326493:LVZ326558 MFU326493:MFV326558 MPQ326493:MPR326558 MZM326493:MZN326558 NJI326493:NJJ326558 NTE326493:NTF326558 ODA326493:ODB326558 OMW326493:OMX326558 OWS326493:OWT326558 PGO326493:PGP326558 PQK326493:PQL326558 QAG326493:QAH326558 QKC326493:QKD326558 QTY326493:QTZ326558 RDU326493:RDV326558 RNQ326493:RNR326558 RXM326493:RXN326558 SHI326493:SHJ326558 SRE326493:SRF326558 TBA326493:TBB326558 TKW326493:TKX326558 TUS326493:TUT326558 UEO326493:UEP326558 UOK326493:UOL326558 UYG326493:UYH326558 VIC326493:VID326558 VRY326493:VRZ326558 WBU326493:WBV326558 WLQ326493:WLR326558 WVM326493:WVN326558 E392029:F392094 JA392029:JB392094 SW392029:SX392094 ACS392029:ACT392094 AMO392029:AMP392094 AWK392029:AWL392094 BGG392029:BGH392094 BQC392029:BQD392094 BZY392029:BZZ392094 CJU392029:CJV392094 CTQ392029:CTR392094 DDM392029:DDN392094 DNI392029:DNJ392094 DXE392029:DXF392094 EHA392029:EHB392094 EQW392029:EQX392094 FAS392029:FAT392094 FKO392029:FKP392094 FUK392029:FUL392094 GEG392029:GEH392094 GOC392029:GOD392094 GXY392029:GXZ392094 HHU392029:HHV392094 HRQ392029:HRR392094 IBM392029:IBN392094 ILI392029:ILJ392094 IVE392029:IVF392094 JFA392029:JFB392094 JOW392029:JOX392094 JYS392029:JYT392094 KIO392029:KIP392094 KSK392029:KSL392094 LCG392029:LCH392094 LMC392029:LMD392094 LVY392029:LVZ392094 MFU392029:MFV392094 MPQ392029:MPR392094 MZM392029:MZN392094 NJI392029:NJJ392094 NTE392029:NTF392094 ODA392029:ODB392094 OMW392029:OMX392094 OWS392029:OWT392094 PGO392029:PGP392094 PQK392029:PQL392094 QAG392029:QAH392094 QKC392029:QKD392094 QTY392029:QTZ392094 RDU392029:RDV392094 RNQ392029:RNR392094 RXM392029:RXN392094 SHI392029:SHJ392094 SRE392029:SRF392094 TBA392029:TBB392094 TKW392029:TKX392094 TUS392029:TUT392094 UEO392029:UEP392094 UOK392029:UOL392094 UYG392029:UYH392094 VIC392029:VID392094 VRY392029:VRZ392094 WBU392029:WBV392094 WLQ392029:WLR392094 WVM392029:WVN392094 E457565:F457630 JA457565:JB457630 SW457565:SX457630 ACS457565:ACT457630 AMO457565:AMP457630 AWK457565:AWL457630 BGG457565:BGH457630 BQC457565:BQD457630 BZY457565:BZZ457630 CJU457565:CJV457630 CTQ457565:CTR457630 DDM457565:DDN457630 DNI457565:DNJ457630 DXE457565:DXF457630 EHA457565:EHB457630 EQW457565:EQX457630 FAS457565:FAT457630 FKO457565:FKP457630 FUK457565:FUL457630 GEG457565:GEH457630 GOC457565:GOD457630 GXY457565:GXZ457630 HHU457565:HHV457630 HRQ457565:HRR457630 IBM457565:IBN457630 ILI457565:ILJ457630 IVE457565:IVF457630 JFA457565:JFB457630 JOW457565:JOX457630 JYS457565:JYT457630 KIO457565:KIP457630 KSK457565:KSL457630 LCG457565:LCH457630 LMC457565:LMD457630 LVY457565:LVZ457630 MFU457565:MFV457630 MPQ457565:MPR457630 MZM457565:MZN457630 NJI457565:NJJ457630 NTE457565:NTF457630 ODA457565:ODB457630 OMW457565:OMX457630 OWS457565:OWT457630 PGO457565:PGP457630 PQK457565:PQL457630 QAG457565:QAH457630 QKC457565:QKD457630 QTY457565:QTZ457630 RDU457565:RDV457630 RNQ457565:RNR457630 RXM457565:RXN457630 SHI457565:SHJ457630 SRE457565:SRF457630 TBA457565:TBB457630 TKW457565:TKX457630 TUS457565:TUT457630 UEO457565:UEP457630 UOK457565:UOL457630 UYG457565:UYH457630 VIC457565:VID457630 VRY457565:VRZ457630 WBU457565:WBV457630 WLQ457565:WLR457630 WVM457565:WVN457630 E523101:F523166 JA523101:JB523166 SW523101:SX523166 ACS523101:ACT523166 AMO523101:AMP523166 AWK523101:AWL523166 BGG523101:BGH523166 BQC523101:BQD523166 BZY523101:BZZ523166 CJU523101:CJV523166 CTQ523101:CTR523166 DDM523101:DDN523166 DNI523101:DNJ523166 DXE523101:DXF523166 EHA523101:EHB523166 EQW523101:EQX523166 FAS523101:FAT523166 FKO523101:FKP523166 FUK523101:FUL523166 GEG523101:GEH523166 GOC523101:GOD523166 GXY523101:GXZ523166 HHU523101:HHV523166 HRQ523101:HRR523166 IBM523101:IBN523166 ILI523101:ILJ523166 IVE523101:IVF523166 JFA523101:JFB523166 JOW523101:JOX523166 JYS523101:JYT523166 KIO523101:KIP523166 KSK523101:KSL523166 LCG523101:LCH523166 LMC523101:LMD523166 LVY523101:LVZ523166 MFU523101:MFV523166 MPQ523101:MPR523166 MZM523101:MZN523166 NJI523101:NJJ523166 NTE523101:NTF523166 ODA523101:ODB523166 OMW523101:OMX523166 OWS523101:OWT523166 PGO523101:PGP523166 PQK523101:PQL523166 QAG523101:QAH523166 QKC523101:QKD523166 QTY523101:QTZ523166 RDU523101:RDV523166 RNQ523101:RNR523166 RXM523101:RXN523166 SHI523101:SHJ523166 SRE523101:SRF523166 TBA523101:TBB523166 TKW523101:TKX523166 TUS523101:TUT523166 UEO523101:UEP523166 UOK523101:UOL523166 UYG523101:UYH523166 VIC523101:VID523166 VRY523101:VRZ523166 WBU523101:WBV523166 WLQ523101:WLR523166 WVM523101:WVN523166 E588637:F588702 JA588637:JB588702 SW588637:SX588702 ACS588637:ACT588702 AMO588637:AMP588702 AWK588637:AWL588702 BGG588637:BGH588702 BQC588637:BQD588702 BZY588637:BZZ588702 CJU588637:CJV588702 CTQ588637:CTR588702 DDM588637:DDN588702 DNI588637:DNJ588702 DXE588637:DXF588702 EHA588637:EHB588702 EQW588637:EQX588702 FAS588637:FAT588702 FKO588637:FKP588702 FUK588637:FUL588702 GEG588637:GEH588702 GOC588637:GOD588702 GXY588637:GXZ588702 HHU588637:HHV588702 HRQ588637:HRR588702 IBM588637:IBN588702 ILI588637:ILJ588702 IVE588637:IVF588702 JFA588637:JFB588702 JOW588637:JOX588702 JYS588637:JYT588702 KIO588637:KIP588702 KSK588637:KSL588702 LCG588637:LCH588702 LMC588637:LMD588702 LVY588637:LVZ588702 MFU588637:MFV588702 MPQ588637:MPR588702 MZM588637:MZN588702 NJI588637:NJJ588702 NTE588637:NTF588702 ODA588637:ODB588702 OMW588637:OMX588702 OWS588637:OWT588702 PGO588637:PGP588702 PQK588637:PQL588702 QAG588637:QAH588702 QKC588637:QKD588702 QTY588637:QTZ588702 RDU588637:RDV588702 RNQ588637:RNR588702 RXM588637:RXN588702 SHI588637:SHJ588702 SRE588637:SRF588702 TBA588637:TBB588702 TKW588637:TKX588702 TUS588637:TUT588702 UEO588637:UEP588702 UOK588637:UOL588702 UYG588637:UYH588702 VIC588637:VID588702 VRY588637:VRZ588702 WBU588637:WBV588702 WLQ588637:WLR588702 WVM588637:WVN588702 E654173:F654238 JA654173:JB654238 SW654173:SX654238 ACS654173:ACT654238 AMO654173:AMP654238 AWK654173:AWL654238 BGG654173:BGH654238 BQC654173:BQD654238 BZY654173:BZZ654238 CJU654173:CJV654238 CTQ654173:CTR654238 DDM654173:DDN654238 DNI654173:DNJ654238 DXE654173:DXF654238 EHA654173:EHB654238 EQW654173:EQX654238 FAS654173:FAT654238 FKO654173:FKP654238 FUK654173:FUL654238 GEG654173:GEH654238 GOC654173:GOD654238 GXY654173:GXZ654238 HHU654173:HHV654238 HRQ654173:HRR654238 IBM654173:IBN654238 ILI654173:ILJ654238 IVE654173:IVF654238 JFA654173:JFB654238 JOW654173:JOX654238 JYS654173:JYT654238 KIO654173:KIP654238 KSK654173:KSL654238 LCG654173:LCH654238 LMC654173:LMD654238 LVY654173:LVZ654238 MFU654173:MFV654238 MPQ654173:MPR654238 MZM654173:MZN654238 NJI654173:NJJ654238 NTE654173:NTF654238 ODA654173:ODB654238 OMW654173:OMX654238 OWS654173:OWT654238 PGO654173:PGP654238 PQK654173:PQL654238 QAG654173:QAH654238 QKC654173:QKD654238 QTY654173:QTZ654238 RDU654173:RDV654238 RNQ654173:RNR654238 RXM654173:RXN654238 SHI654173:SHJ654238 SRE654173:SRF654238 TBA654173:TBB654238 TKW654173:TKX654238 TUS654173:TUT654238 UEO654173:UEP654238 UOK654173:UOL654238 UYG654173:UYH654238 VIC654173:VID654238 VRY654173:VRZ654238 WBU654173:WBV654238 WLQ654173:WLR654238 WVM654173:WVN654238 E719709:F719774 JA719709:JB719774 SW719709:SX719774 ACS719709:ACT719774 AMO719709:AMP719774 AWK719709:AWL719774 BGG719709:BGH719774 BQC719709:BQD719774 BZY719709:BZZ719774 CJU719709:CJV719774 CTQ719709:CTR719774 DDM719709:DDN719774 DNI719709:DNJ719774 DXE719709:DXF719774 EHA719709:EHB719774 EQW719709:EQX719774 FAS719709:FAT719774 FKO719709:FKP719774 FUK719709:FUL719774 GEG719709:GEH719774 GOC719709:GOD719774 GXY719709:GXZ719774 HHU719709:HHV719774 HRQ719709:HRR719774 IBM719709:IBN719774 ILI719709:ILJ719774 IVE719709:IVF719774 JFA719709:JFB719774 JOW719709:JOX719774 JYS719709:JYT719774 KIO719709:KIP719774 KSK719709:KSL719774 LCG719709:LCH719774 LMC719709:LMD719774 LVY719709:LVZ719774 MFU719709:MFV719774 MPQ719709:MPR719774 MZM719709:MZN719774 NJI719709:NJJ719774 NTE719709:NTF719774 ODA719709:ODB719774 OMW719709:OMX719774 OWS719709:OWT719774 PGO719709:PGP719774 PQK719709:PQL719774 QAG719709:QAH719774 QKC719709:QKD719774 QTY719709:QTZ719774 RDU719709:RDV719774 RNQ719709:RNR719774 RXM719709:RXN719774 SHI719709:SHJ719774 SRE719709:SRF719774 TBA719709:TBB719774 TKW719709:TKX719774 TUS719709:TUT719774 UEO719709:UEP719774 UOK719709:UOL719774 UYG719709:UYH719774 VIC719709:VID719774 VRY719709:VRZ719774 WBU719709:WBV719774 WLQ719709:WLR719774 WVM719709:WVN719774 E785245:F785310 JA785245:JB785310 SW785245:SX785310 ACS785245:ACT785310 AMO785245:AMP785310 AWK785245:AWL785310 BGG785245:BGH785310 BQC785245:BQD785310 BZY785245:BZZ785310 CJU785245:CJV785310 CTQ785245:CTR785310 DDM785245:DDN785310 DNI785245:DNJ785310 DXE785245:DXF785310 EHA785245:EHB785310 EQW785245:EQX785310 FAS785245:FAT785310 FKO785245:FKP785310 FUK785245:FUL785310 GEG785245:GEH785310 GOC785245:GOD785310 GXY785245:GXZ785310 HHU785245:HHV785310 HRQ785245:HRR785310 IBM785245:IBN785310 ILI785245:ILJ785310 IVE785245:IVF785310 JFA785245:JFB785310 JOW785245:JOX785310 JYS785245:JYT785310 KIO785245:KIP785310 KSK785245:KSL785310 LCG785245:LCH785310 LMC785245:LMD785310 LVY785245:LVZ785310 MFU785245:MFV785310 MPQ785245:MPR785310 MZM785245:MZN785310 NJI785245:NJJ785310 NTE785245:NTF785310 ODA785245:ODB785310 OMW785245:OMX785310 OWS785245:OWT785310 PGO785245:PGP785310 PQK785245:PQL785310 QAG785245:QAH785310 QKC785245:QKD785310 QTY785245:QTZ785310 RDU785245:RDV785310 RNQ785245:RNR785310 RXM785245:RXN785310 SHI785245:SHJ785310 SRE785245:SRF785310 TBA785245:TBB785310 TKW785245:TKX785310 TUS785245:TUT785310 UEO785245:UEP785310 UOK785245:UOL785310 UYG785245:UYH785310 VIC785245:VID785310 VRY785245:VRZ785310 WBU785245:WBV785310 WLQ785245:WLR785310 WVM785245:WVN785310 E850781:F850846 JA850781:JB850846 SW850781:SX850846 ACS850781:ACT850846 AMO850781:AMP850846 AWK850781:AWL850846 BGG850781:BGH850846 BQC850781:BQD850846 BZY850781:BZZ850846 CJU850781:CJV850846 CTQ850781:CTR850846 DDM850781:DDN850846 DNI850781:DNJ850846 DXE850781:DXF850846 EHA850781:EHB850846 EQW850781:EQX850846 FAS850781:FAT850846 FKO850781:FKP850846 FUK850781:FUL850846 GEG850781:GEH850846 GOC850781:GOD850846 GXY850781:GXZ850846 HHU850781:HHV850846 HRQ850781:HRR850846 IBM850781:IBN850846 ILI850781:ILJ850846 IVE850781:IVF850846 JFA850781:JFB850846 JOW850781:JOX850846 JYS850781:JYT850846 KIO850781:KIP850846 KSK850781:KSL850846 LCG850781:LCH850846 LMC850781:LMD850846 LVY850781:LVZ850846 MFU850781:MFV850846 MPQ850781:MPR850846 MZM850781:MZN850846 NJI850781:NJJ850846 NTE850781:NTF850846 ODA850781:ODB850846 OMW850781:OMX850846 OWS850781:OWT850846 PGO850781:PGP850846 PQK850781:PQL850846 QAG850781:QAH850846 QKC850781:QKD850846 QTY850781:QTZ850846 RDU850781:RDV850846 RNQ850781:RNR850846 RXM850781:RXN850846 SHI850781:SHJ850846 SRE850781:SRF850846 TBA850781:TBB850846 TKW850781:TKX850846 TUS850781:TUT850846 UEO850781:UEP850846 UOK850781:UOL850846 UYG850781:UYH850846 VIC850781:VID850846 VRY850781:VRZ850846 WBU850781:WBV850846 WLQ850781:WLR850846 WVM850781:WVN850846 E916317:F916382 JA916317:JB916382 SW916317:SX916382 ACS916317:ACT916382 AMO916317:AMP916382 AWK916317:AWL916382 BGG916317:BGH916382 BQC916317:BQD916382 BZY916317:BZZ916382 CJU916317:CJV916382 CTQ916317:CTR916382 DDM916317:DDN916382 DNI916317:DNJ916382 DXE916317:DXF916382 EHA916317:EHB916382 EQW916317:EQX916382 FAS916317:FAT916382 FKO916317:FKP916382 FUK916317:FUL916382 GEG916317:GEH916382 GOC916317:GOD916382 GXY916317:GXZ916382 HHU916317:HHV916382 HRQ916317:HRR916382 IBM916317:IBN916382 ILI916317:ILJ916382 IVE916317:IVF916382 JFA916317:JFB916382 JOW916317:JOX916382 JYS916317:JYT916382 KIO916317:KIP916382 KSK916317:KSL916382 LCG916317:LCH916382 LMC916317:LMD916382 LVY916317:LVZ916382 MFU916317:MFV916382 MPQ916317:MPR916382 MZM916317:MZN916382 NJI916317:NJJ916382 NTE916317:NTF916382 ODA916317:ODB916382 OMW916317:OMX916382 OWS916317:OWT916382 PGO916317:PGP916382 PQK916317:PQL916382 QAG916317:QAH916382 QKC916317:QKD916382 QTY916317:QTZ916382 RDU916317:RDV916382 RNQ916317:RNR916382 RXM916317:RXN916382 SHI916317:SHJ916382 SRE916317:SRF916382 TBA916317:TBB916382 TKW916317:TKX916382 TUS916317:TUT916382 UEO916317:UEP916382 UOK916317:UOL916382 UYG916317:UYH916382 VIC916317:VID916382 VRY916317:VRZ916382 WBU916317:WBV916382 WLQ916317:WLR916382 WVM916317:WVN916382 E981853:F981918 JA981853:JB981918 SW981853:SX981918 ACS981853:ACT981918 AMO981853:AMP981918 AWK981853:AWL981918 BGG981853:BGH981918 BQC981853:BQD981918 BZY981853:BZZ981918 CJU981853:CJV981918 CTQ981853:CTR981918 DDM981853:DDN981918 DNI981853:DNJ981918 DXE981853:DXF981918 EHA981853:EHB981918 EQW981853:EQX981918 FAS981853:FAT981918 FKO981853:FKP981918 FUK981853:FUL981918 GEG981853:GEH981918 GOC981853:GOD981918 GXY981853:GXZ981918 HHU981853:HHV981918 HRQ981853:HRR981918 IBM981853:IBN981918 ILI981853:ILJ981918 IVE981853:IVF981918 JFA981853:JFB981918 JOW981853:JOX981918 JYS981853:JYT981918 KIO981853:KIP981918 KSK981853:KSL981918 LCG981853:LCH981918 LMC981853:LMD981918 LVY981853:LVZ981918 MFU981853:MFV981918 MPQ981853:MPR981918 MZM981853:MZN981918 NJI981853:NJJ981918 NTE981853:NTF981918 ODA981853:ODB981918 OMW981853:OMX981918 OWS981853:OWT981918 PGO981853:PGP981918 PQK981853:PQL981918 QAG981853:QAH981918 QKC981853:QKD981918 QTY981853:QTZ981918 RDU981853:RDV981918 RNQ981853:RNR981918 RXM981853:RXN981918 SHI981853:SHJ981918 SRE981853:SRF981918 TBA981853:TBB981918 TKW981853:TKX981918 TUS981853:TUT981918 UEO981853:UEP981918 UOK981853:UOL981918 UYG981853:UYH981918 VIC981853:VID981918 VRY981853:VRZ981918 WBU981853:WBV981918 WLQ981853:WLR981918 WVM981853:WVN981918 E1047389:F1047454 JA1047389:JB1047454 SW1047389:SX1047454 ACS1047389:ACT1047454 AMO1047389:AMP1047454 AWK1047389:AWL1047454 BGG1047389:BGH1047454 BQC1047389:BQD1047454 BZY1047389:BZZ1047454 CJU1047389:CJV1047454 CTQ1047389:CTR1047454 DDM1047389:DDN1047454 DNI1047389:DNJ1047454 DXE1047389:DXF1047454 EHA1047389:EHB1047454 EQW1047389:EQX1047454 FAS1047389:FAT1047454 FKO1047389:FKP1047454 FUK1047389:FUL1047454 GEG1047389:GEH1047454 GOC1047389:GOD1047454 GXY1047389:GXZ1047454 HHU1047389:HHV1047454 HRQ1047389:HRR1047454 IBM1047389:IBN1047454 ILI1047389:ILJ1047454 IVE1047389:IVF1047454 JFA1047389:JFB1047454 JOW1047389:JOX1047454 JYS1047389:JYT1047454 KIO1047389:KIP1047454 KSK1047389:KSL1047454 LCG1047389:LCH1047454 LMC1047389:LMD1047454 LVY1047389:LVZ1047454 MFU1047389:MFV1047454 MPQ1047389:MPR1047454 MZM1047389:MZN1047454 NJI1047389:NJJ1047454 NTE1047389:NTF1047454 ODA1047389:ODB1047454 OMW1047389:OMX1047454 OWS1047389:OWT1047454 PGO1047389:PGP1047454 PQK1047389:PQL1047454 QAG1047389:QAH1047454 QKC1047389:QKD1047454 QTY1047389:QTZ1047454 RDU1047389:RDV1047454 RNQ1047389:RNR1047454 RXM1047389:RXN1047454 SHI1047389:SHJ1047454 SRE1047389:SRF1047454 TBA1047389:TBB1047454 TKW1047389:TKX1047454 TUS1047389:TUT1047454 UEO1047389:UEP1047454 UOK1047389:UOL1047454 UYG1047389:UYH1047454 VIC1047389:VID1047454 VRY1047389:VRZ1047454 WBU1047389:WBV1047454 WLQ1047389:WLR1047454 WVM1047389:WVN1047454 JA64349:JB64414 E65524:F65595 JA65524:JB65595 SW65524:SX65595 ACS65524:ACT65595 AMO65524:AMP65595 AWK65524:AWL65595 BGG65524:BGH65595 BQC65524:BQD65595 BZY65524:BZZ65595 CJU65524:CJV65595 CTQ65524:CTR65595 DDM65524:DDN65595 DNI65524:DNJ65595 DXE65524:DXF65595 EHA65524:EHB65595 EQW65524:EQX65595 FAS65524:FAT65595 FKO65524:FKP65595 FUK65524:FUL65595 GEG65524:GEH65595 GOC65524:GOD65595 GXY65524:GXZ65595 HHU65524:HHV65595 HRQ65524:HRR65595 IBM65524:IBN65595 ILI65524:ILJ65595 IVE65524:IVF65595 JFA65524:JFB65595 JOW65524:JOX65595 JYS65524:JYT65595 KIO65524:KIP65595 KSK65524:KSL65595 LCG65524:LCH65595 LMC65524:LMD65595 LVY65524:LVZ65595 MFU65524:MFV65595 MPQ65524:MPR65595 MZM65524:MZN65595 NJI65524:NJJ65595 NTE65524:NTF65595 ODA65524:ODB65595 OMW65524:OMX65595 OWS65524:OWT65595 PGO65524:PGP65595 PQK65524:PQL65595 QAG65524:QAH65595 QKC65524:QKD65595 QTY65524:QTZ65595 RDU65524:RDV65595 RNQ65524:RNR65595 RXM65524:RXN65595 SHI65524:SHJ65595 SRE65524:SRF65595 TBA65524:TBB65595 TKW65524:TKX65595 TUS65524:TUT65595 UEO65524:UEP65595 UOK65524:UOL65595 UYG65524:UYH65595 VIC65524:VID65595 VRY65524:VRZ65595 WBU65524:WBV65595 WLQ65524:WLR65595 WVM65524:WVN65595 E131060:F131131 JA131060:JB131131 SW131060:SX131131 ACS131060:ACT131131 AMO131060:AMP131131 AWK131060:AWL131131 BGG131060:BGH131131 BQC131060:BQD131131 BZY131060:BZZ131131 CJU131060:CJV131131 CTQ131060:CTR131131 DDM131060:DDN131131 DNI131060:DNJ131131 DXE131060:DXF131131 EHA131060:EHB131131 EQW131060:EQX131131 FAS131060:FAT131131 FKO131060:FKP131131 FUK131060:FUL131131 GEG131060:GEH131131 GOC131060:GOD131131 GXY131060:GXZ131131 HHU131060:HHV131131 HRQ131060:HRR131131 IBM131060:IBN131131 ILI131060:ILJ131131 IVE131060:IVF131131 JFA131060:JFB131131 JOW131060:JOX131131 JYS131060:JYT131131 KIO131060:KIP131131 KSK131060:KSL131131 LCG131060:LCH131131 LMC131060:LMD131131 LVY131060:LVZ131131 MFU131060:MFV131131 MPQ131060:MPR131131 MZM131060:MZN131131 NJI131060:NJJ131131 NTE131060:NTF131131 ODA131060:ODB131131 OMW131060:OMX131131 OWS131060:OWT131131 PGO131060:PGP131131 PQK131060:PQL131131 QAG131060:QAH131131 QKC131060:QKD131131 QTY131060:QTZ131131 RDU131060:RDV131131 RNQ131060:RNR131131 RXM131060:RXN131131 SHI131060:SHJ131131 SRE131060:SRF131131 TBA131060:TBB131131 TKW131060:TKX131131 TUS131060:TUT131131 UEO131060:UEP131131 UOK131060:UOL131131 UYG131060:UYH131131 VIC131060:VID131131 VRY131060:VRZ131131 WBU131060:WBV131131 WLQ131060:WLR131131 WVM131060:WVN131131 E196596:F196667 JA196596:JB196667 SW196596:SX196667 ACS196596:ACT196667 AMO196596:AMP196667 AWK196596:AWL196667 BGG196596:BGH196667 BQC196596:BQD196667 BZY196596:BZZ196667 CJU196596:CJV196667 CTQ196596:CTR196667 DDM196596:DDN196667 DNI196596:DNJ196667 DXE196596:DXF196667 EHA196596:EHB196667 EQW196596:EQX196667 FAS196596:FAT196667 FKO196596:FKP196667 FUK196596:FUL196667 GEG196596:GEH196667 GOC196596:GOD196667 GXY196596:GXZ196667 HHU196596:HHV196667 HRQ196596:HRR196667 IBM196596:IBN196667 ILI196596:ILJ196667 IVE196596:IVF196667 JFA196596:JFB196667 JOW196596:JOX196667 JYS196596:JYT196667 KIO196596:KIP196667 KSK196596:KSL196667 LCG196596:LCH196667 LMC196596:LMD196667 LVY196596:LVZ196667 MFU196596:MFV196667 MPQ196596:MPR196667 MZM196596:MZN196667 NJI196596:NJJ196667 NTE196596:NTF196667 ODA196596:ODB196667 OMW196596:OMX196667 OWS196596:OWT196667 PGO196596:PGP196667 PQK196596:PQL196667 QAG196596:QAH196667 QKC196596:QKD196667 QTY196596:QTZ196667 RDU196596:RDV196667 RNQ196596:RNR196667 RXM196596:RXN196667 SHI196596:SHJ196667 SRE196596:SRF196667 TBA196596:TBB196667 TKW196596:TKX196667 TUS196596:TUT196667 UEO196596:UEP196667 UOK196596:UOL196667 UYG196596:UYH196667 VIC196596:VID196667 VRY196596:VRZ196667 WBU196596:WBV196667 WLQ196596:WLR196667 WVM196596:WVN196667 E262132:F262203 JA262132:JB262203 SW262132:SX262203 ACS262132:ACT262203 AMO262132:AMP262203 AWK262132:AWL262203 BGG262132:BGH262203 BQC262132:BQD262203 BZY262132:BZZ262203 CJU262132:CJV262203 CTQ262132:CTR262203 DDM262132:DDN262203 DNI262132:DNJ262203 DXE262132:DXF262203 EHA262132:EHB262203 EQW262132:EQX262203 FAS262132:FAT262203 FKO262132:FKP262203 FUK262132:FUL262203 GEG262132:GEH262203 GOC262132:GOD262203 GXY262132:GXZ262203 HHU262132:HHV262203 HRQ262132:HRR262203 IBM262132:IBN262203 ILI262132:ILJ262203 IVE262132:IVF262203 JFA262132:JFB262203 JOW262132:JOX262203 JYS262132:JYT262203 KIO262132:KIP262203 KSK262132:KSL262203 LCG262132:LCH262203 LMC262132:LMD262203 LVY262132:LVZ262203 MFU262132:MFV262203 MPQ262132:MPR262203 MZM262132:MZN262203 NJI262132:NJJ262203 NTE262132:NTF262203 ODA262132:ODB262203 OMW262132:OMX262203 OWS262132:OWT262203 PGO262132:PGP262203 PQK262132:PQL262203 QAG262132:QAH262203 QKC262132:QKD262203 QTY262132:QTZ262203 RDU262132:RDV262203 RNQ262132:RNR262203 RXM262132:RXN262203 SHI262132:SHJ262203 SRE262132:SRF262203 TBA262132:TBB262203 TKW262132:TKX262203 TUS262132:TUT262203 UEO262132:UEP262203 UOK262132:UOL262203 UYG262132:UYH262203 VIC262132:VID262203 VRY262132:VRZ262203 WBU262132:WBV262203 WLQ262132:WLR262203 WVM262132:WVN262203 E327668:F327739 JA327668:JB327739 SW327668:SX327739 ACS327668:ACT327739 AMO327668:AMP327739 AWK327668:AWL327739 BGG327668:BGH327739 BQC327668:BQD327739 BZY327668:BZZ327739 CJU327668:CJV327739 CTQ327668:CTR327739 DDM327668:DDN327739 DNI327668:DNJ327739 DXE327668:DXF327739 EHA327668:EHB327739 EQW327668:EQX327739 FAS327668:FAT327739 FKO327668:FKP327739 FUK327668:FUL327739 GEG327668:GEH327739 GOC327668:GOD327739 GXY327668:GXZ327739 HHU327668:HHV327739 HRQ327668:HRR327739 IBM327668:IBN327739 ILI327668:ILJ327739 IVE327668:IVF327739 JFA327668:JFB327739 JOW327668:JOX327739 JYS327668:JYT327739 KIO327668:KIP327739 KSK327668:KSL327739 LCG327668:LCH327739 LMC327668:LMD327739 LVY327668:LVZ327739 MFU327668:MFV327739 MPQ327668:MPR327739 MZM327668:MZN327739 NJI327668:NJJ327739 NTE327668:NTF327739 ODA327668:ODB327739 OMW327668:OMX327739 OWS327668:OWT327739 PGO327668:PGP327739 PQK327668:PQL327739 QAG327668:QAH327739 QKC327668:QKD327739 QTY327668:QTZ327739 RDU327668:RDV327739 RNQ327668:RNR327739 RXM327668:RXN327739 SHI327668:SHJ327739 SRE327668:SRF327739 TBA327668:TBB327739 TKW327668:TKX327739 TUS327668:TUT327739 UEO327668:UEP327739 UOK327668:UOL327739 UYG327668:UYH327739 VIC327668:VID327739 VRY327668:VRZ327739 WBU327668:WBV327739 WLQ327668:WLR327739 WVM327668:WVN327739 E393204:F393275 JA393204:JB393275 SW393204:SX393275 ACS393204:ACT393275 AMO393204:AMP393275 AWK393204:AWL393275 BGG393204:BGH393275 BQC393204:BQD393275 BZY393204:BZZ393275 CJU393204:CJV393275 CTQ393204:CTR393275 DDM393204:DDN393275 DNI393204:DNJ393275 DXE393204:DXF393275 EHA393204:EHB393275 EQW393204:EQX393275 FAS393204:FAT393275 FKO393204:FKP393275 FUK393204:FUL393275 GEG393204:GEH393275 GOC393204:GOD393275 GXY393204:GXZ393275 HHU393204:HHV393275 HRQ393204:HRR393275 IBM393204:IBN393275 ILI393204:ILJ393275 IVE393204:IVF393275 JFA393204:JFB393275 JOW393204:JOX393275 JYS393204:JYT393275 KIO393204:KIP393275 KSK393204:KSL393275 LCG393204:LCH393275 LMC393204:LMD393275 LVY393204:LVZ393275 MFU393204:MFV393275 MPQ393204:MPR393275 MZM393204:MZN393275 NJI393204:NJJ393275 NTE393204:NTF393275 ODA393204:ODB393275 OMW393204:OMX393275 OWS393204:OWT393275 PGO393204:PGP393275 PQK393204:PQL393275 QAG393204:QAH393275 QKC393204:QKD393275 QTY393204:QTZ393275 RDU393204:RDV393275 RNQ393204:RNR393275 RXM393204:RXN393275 SHI393204:SHJ393275 SRE393204:SRF393275 TBA393204:TBB393275 TKW393204:TKX393275 TUS393204:TUT393275 UEO393204:UEP393275 UOK393204:UOL393275 UYG393204:UYH393275 VIC393204:VID393275 VRY393204:VRZ393275 WBU393204:WBV393275 WLQ393204:WLR393275 WVM393204:WVN393275 E458740:F458811 JA458740:JB458811 SW458740:SX458811 ACS458740:ACT458811 AMO458740:AMP458811 AWK458740:AWL458811 BGG458740:BGH458811 BQC458740:BQD458811 BZY458740:BZZ458811 CJU458740:CJV458811 CTQ458740:CTR458811 DDM458740:DDN458811 DNI458740:DNJ458811 DXE458740:DXF458811 EHA458740:EHB458811 EQW458740:EQX458811 FAS458740:FAT458811 FKO458740:FKP458811 FUK458740:FUL458811 GEG458740:GEH458811 GOC458740:GOD458811 GXY458740:GXZ458811 HHU458740:HHV458811 HRQ458740:HRR458811 IBM458740:IBN458811 ILI458740:ILJ458811 IVE458740:IVF458811 JFA458740:JFB458811 JOW458740:JOX458811 JYS458740:JYT458811 KIO458740:KIP458811 KSK458740:KSL458811 LCG458740:LCH458811 LMC458740:LMD458811 LVY458740:LVZ458811 MFU458740:MFV458811 MPQ458740:MPR458811 MZM458740:MZN458811 NJI458740:NJJ458811 NTE458740:NTF458811 ODA458740:ODB458811 OMW458740:OMX458811 OWS458740:OWT458811 PGO458740:PGP458811 PQK458740:PQL458811 QAG458740:QAH458811 QKC458740:QKD458811 QTY458740:QTZ458811 RDU458740:RDV458811 RNQ458740:RNR458811 RXM458740:RXN458811 SHI458740:SHJ458811 SRE458740:SRF458811 TBA458740:TBB458811 TKW458740:TKX458811 TUS458740:TUT458811 UEO458740:UEP458811 UOK458740:UOL458811 UYG458740:UYH458811 VIC458740:VID458811 VRY458740:VRZ458811 WBU458740:WBV458811 WLQ458740:WLR458811 WVM458740:WVN458811 E524276:F524347 JA524276:JB524347 SW524276:SX524347 ACS524276:ACT524347 AMO524276:AMP524347 AWK524276:AWL524347 BGG524276:BGH524347 BQC524276:BQD524347 BZY524276:BZZ524347 CJU524276:CJV524347 CTQ524276:CTR524347 DDM524276:DDN524347 DNI524276:DNJ524347 DXE524276:DXF524347 EHA524276:EHB524347 EQW524276:EQX524347 FAS524276:FAT524347 FKO524276:FKP524347 FUK524276:FUL524347 GEG524276:GEH524347 GOC524276:GOD524347 GXY524276:GXZ524347 HHU524276:HHV524347 HRQ524276:HRR524347 IBM524276:IBN524347 ILI524276:ILJ524347 IVE524276:IVF524347 JFA524276:JFB524347 JOW524276:JOX524347 JYS524276:JYT524347 KIO524276:KIP524347 KSK524276:KSL524347 LCG524276:LCH524347 LMC524276:LMD524347 LVY524276:LVZ524347 MFU524276:MFV524347 MPQ524276:MPR524347 MZM524276:MZN524347 NJI524276:NJJ524347 NTE524276:NTF524347 ODA524276:ODB524347 OMW524276:OMX524347 OWS524276:OWT524347 PGO524276:PGP524347 PQK524276:PQL524347 QAG524276:QAH524347 QKC524276:QKD524347 QTY524276:QTZ524347 RDU524276:RDV524347 RNQ524276:RNR524347 RXM524276:RXN524347 SHI524276:SHJ524347 SRE524276:SRF524347 TBA524276:TBB524347 TKW524276:TKX524347 TUS524276:TUT524347 UEO524276:UEP524347 UOK524276:UOL524347 UYG524276:UYH524347 VIC524276:VID524347 VRY524276:VRZ524347 WBU524276:WBV524347 WLQ524276:WLR524347 WVM524276:WVN524347 E589812:F589883 JA589812:JB589883 SW589812:SX589883 ACS589812:ACT589883 AMO589812:AMP589883 AWK589812:AWL589883 BGG589812:BGH589883 BQC589812:BQD589883 BZY589812:BZZ589883 CJU589812:CJV589883 CTQ589812:CTR589883 DDM589812:DDN589883 DNI589812:DNJ589883 DXE589812:DXF589883 EHA589812:EHB589883 EQW589812:EQX589883 FAS589812:FAT589883 FKO589812:FKP589883 FUK589812:FUL589883 GEG589812:GEH589883 GOC589812:GOD589883 GXY589812:GXZ589883 HHU589812:HHV589883 HRQ589812:HRR589883 IBM589812:IBN589883 ILI589812:ILJ589883 IVE589812:IVF589883 JFA589812:JFB589883 JOW589812:JOX589883 JYS589812:JYT589883 KIO589812:KIP589883 KSK589812:KSL589883 LCG589812:LCH589883 LMC589812:LMD589883 LVY589812:LVZ589883 MFU589812:MFV589883 MPQ589812:MPR589883 MZM589812:MZN589883 NJI589812:NJJ589883 NTE589812:NTF589883 ODA589812:ODB589883 OMW589812:OMX589883 OWS589812:OWT589883 PGO589812:PGP589883 PQK589812:PQL589883 QAG589812:QAH589883 QKC589812:QKD589883 QTY589812:QTZ589883 RDU589812:RDV589883 RNQ589812:RNR589883 RXM589812:RXN589883 SHI589812:SHJ589883 SRE589812:SRF589883 TBA589812:TBB589883 TKW589812:TKX589883 TUS589812:TUT589883 UEO589812:UEP589883 UOK589812:UOL589883 UYG589812:UYH589883 VIC589812:VID589883 VRY589812:VRZ589883 WBU589812:WBV589883 WLQ589812:WLR589883 WVM589812:WVN589883 E655348:F655419 JA655348:JB655419 SW655348:SX655419 ACS655348:ACT655419 AMO655348:AMP655419 AWK655348:AWL655419 BGG655348:BGH655419 BQC655348:BQD655419 BZY655348:BZZ655419 CJU655348:CJV655419 CTQ655348:CTR655419 DDM655348:DDN655419 DNI655348:DNJ655419 DXE655348:DXF655419 EHA655348:EHB655419 EQW655348:EQX655419 FAS655348:FAT655419 FKO655348:FKP655419 FUK655348:FUL655419 GEG655348:GEH655419 GOC655348:GOD655419 GXY655348:GXZ655419 HHU655348:HHV655419 HRQ655348:HRR655419 IBM655348:IBN655419 ILI655348:ILJ655419 IVE655348:IVF655419 JFA655348:JFB655419 JOW655348:JOX655419 JYS655348:JYT655419 KIO655348:KIP655419 KSK655348:KSL655419 LCG655348:LCH655419 LMC655348:LMD655419 LVY655348:LVZ655419 MFU655348:MFV655419 MPQ655348:MPR655419 MZM655348:MZN655419 NJI655348:NJJ655419 NTE655348:NTF655419 ODA655348:ODB655419 OMW655348:OMX655419 OWS655348:OWT655419 PGO655348:PGP655419 PQK655348:PQL655419 QAG655348:QAH655419 QKC655348:QKD655419 QTY655348:QTZ655419 RDU655348:RDV655419 RNQ655348:RNR655419 RXM655348:RXN655419 SHI655348:SHJ655419 SRE655348:SRF655419 TBA655348:TBB655419 TKW655348:TKX655419 TUS655348:TUT655419 UEO655348:UEP655419 UOK655348:UOL655419 UYG655348:UYH655419 VIC655348:VID655419 VRY655348:VRZ655419 WBU655348:WBV655419 WLQ655348:WLR655419 WVM655348:WVN655419 E720884:F720955 JA720884:JB720955 SW720884:SX720955 ACS720884:ACT720955 AMO720884:AMP720955 AWK720884:AWL720955 BGG720884:BGH720955 BQC720884:BQD720955 BZY720884:BZZ720955 CJU720884:CJV720955 CTQ720884:CTR720955 DDM720884:DDN720955 DNI720884:DNJ720955 DXE720884:DXF720955 EHA720884:EHB720955 EQW720884:EQX720955 FAS720884:FAT720955 FKO720884:FKP720955 FUK720884:FUL720955 GEG720884:GEH720955 GOC720884:GOD720955 GXY720884:GXZ720955 HHU720884:HHV720955 HRQ720884:HRR720955 IBM720884:IBN720955 ILI720884:ILJ720955 IVE720884:IVF720955 JFA720884:JFB720955 JOW720884:JOX720955 JYS720884:JYT720955 KIO720884:KIP720955 KSK720884:KSL720955 LCG720884:LCH720955 LMC720884:LMD720955 LVY720884:LVZ720955 MFU720884:MFV720955 MPQ720884:MPR720955 MZM720884:MZN720955 NJI720884:NJJ720955 NTE720884:NTF720955 ODA720884:ODB720955 OMW720884:OMX720955 OWS720884:OWT720955 PGO720884:PGP720955 PQK720884:PQL720955 QAG720884:QAH720955 QKC720884:QKD720955 QTY720884:QTZ720955 RDU720884:RDV720955 RNQ720884:RNR720955 RXM720884:RXN720955 SHI720884:SHJ720955 SRE720884:SRF720955 TBA720884:TBB720955 TKW720884:TKX720955 TUS720884:TUT720955 UEO720884:UEP720955 UOK720884:UOL720955 UYG720884:UYH720955 VIC720884:VID720955 VRY720884:VRZ720955 WBU720884:WBV720955 WLQ720884:WLR720955 WVM720884:WVN720955 E786420:F786491 JA786420:JB786491 SW786420:SX786491 ACS786420:ACT786491 AMO786420:AMP786491 AWK786420:AWL786491 BGG786420:BGH786491 BQC786420:BQD786491 BZY786420:BZZ786491 CJU786420:CJV786491 CTQ786420:CTR786491 DDM786420:DDN786491 DNI786420:DNJ786491 DXE786420:DXF786491 EHA786420:EHB786491 EQW786420:EQX786491 FAS786420:FAT786491 FKO786420:FKP786491 FUK786420:FUL786491 GEG786420:GEH786491 GOC786420:GOD786491 GXY786420:GXZ786491 HHU786420:HHV786491 HRQ786420:HRR786491 IBM786420:IBN786491 ILI786420:ILJ786491 IVE786420:IVF786491 JFA786420:JFB786491 JOW786420:JOX786491 JYS786420:JYT786491 KIO786420:KIP786491 KSK786420:KSL786491 LCG786420:LCH786491 LMC786420:LMD786491 LVY786420:LVZ786491 MFU786420:MFV786491 MPQ786420:MPR786491 MZM786420:MZN786491 NJI786420:NJJ786491 NTE786420:NTF786491 ODA786420:ODB786491 OMW786420:OMX786491 OWS786420:OWT786491 PGO786420:PGP786491 PQK786420:PQL786491 QAG786420:QAH786491 QKC786420:QKD786491 QTY786420:QTZ786491 RDU786420:RDV786491 RNQ786420:RNR786491 RXM786420:RXN786491 SHI786420:SHJ786491 SRE786420:SRF786491 TBA786420:TBB786491 TKW786420:TKX786491 TUS786420:TUT786491 UEO786420:UEP786491 UOK786420:UOL786491 UYG786420:UYH786491 VIC786420:VID786491 VRY786420:VRZ786491 WBU786420:WBV786491 WLQ786420:WLR786491 WVM786420:WVN786491 E851956:F852027 JA851956:JB852027 SW851956:SX852027 ACS851956:ACT852027 AMO851956:AMP852027 AWK851956:AWL852027 BGG851956:BGH852027 BQC851956:BQD852027 BZY851956:BZZ852027 CJU851956:CJV852027 CTQ851956:CTR852027 DDM851956:DDN852027 DNI851956:DNJ852027 DXE851956:DXF852027 EHA851956:EHB852027 EQW851956:EQX852027 FAS851956:FAT852027 FKO851956:FKP852027 FUK851956:FUL852027 GEG851956:GEH852027 GOC851956:GOD852027 GXY851956:GXZ852027 HHU851956:HHV852027 HRQ851956:HRR852027 IBM851956:IBN852027 ILI851956:ILJ852027 IVE851956:IVF852027 JFA851956:JFB852027 JOW851956:JOX852027 JYS851956:JYT852027 KIO851956:KIP852027 KSK851956:KSL852027 LCG851956:LCH852027 LMC851956:LMD852027 LVY851956:LVZ852027 MFU851956:MFV852027 MPQ851956:MPR852027 MZM851956:MZN852027 NJI851956:NJJ852027 NTE851956:NTF852027 ODA851956:ODB852027 OMW851956:OMX852027 OWS851956:OWT852027 PGO851956:PGP852027 PQK851956:PQL852027 QAG851956:QAH852027 QKC851956:QKD852027 QTY851956:QTZ852027 RDU851956:RDV852027 RNQ851956:RNR852027 RXM851956:RXN852027 SHI851956:SHJ852027 SRE851956:SRF852027 TBA851956:TBB852027 TKW851956:TKX852027 TUS851956:TUT852027 UEO851956:UEP852027 UOK851956:UOL852027 UYG851956:UYH852027 VIC851956:VID852027 VRY851956:VRZ852027 WBU851956:WBV852027 WLQ851956:WLR852027 WVM851956:WVN852027 E917492:F917563 JA917492:JB917563 SW917492:SX917563 ACS917492:ACT917563 AMO917492:AMP917563 AWK917492:AWL917563 BGG917492:BGH917563 BQC917492:BQD917563 BZY917492:BZZ917563 CJU917492:CJV917563 CTQ917492:CTR917563 DDM917492:DDN917563 DNI917492:DNJ917563 DXE917492:DXF917563 EHA917492:EHB917563 EQW917492:EQX917563 FAS917492:FAT917563 FKO917492:FKP917563 FUK917492:FUL917563 GEG917492:GEH917563 GOC917492:GOD917563 GXY917492:GXZ917563 HHU917492:HHV917563 HRQ917492:HRR917563 IBM917492:IBN917563 ILI917492:ILJ917563 IVE917492:IVF917563 JFA917492:JFB917563 JOW917492:JOX917563 JYS917492:JYT917563 KIO917492:KIP917563 KSK917492:KSL917563 LCG917492:LCH917563 LMC917492:LMD917563 LVY917492:LVZ917563 MFU917492:MFV917563 MPQ917492:MPR917563 MZM917492:MZN917563 NJI917492:NJJ917563 NTE917492:NTF917563 ODA917492:ODB917563 OMW917492:OMX917563 OWS917492:OWT917563 PGO917492:PGP917563 PQK917492:PQL917563 QAG917492:QAH917563 QKC917492:QKD917563 QTY917492:QTZ917563 RDU917492:RDV917563 RNQ917492:RNR917563 RXM917492:RXN917563 SHI917492:SHJ917563 SRE917492:SRF917563 TBA917492:TBB917563 TKW917492:TKX917563 TUS917492:TUT917563 UEO917492:UEP917563 UOK917492:UOL917563 UYG917492:UYH917563 VIC917492:VID917563 VRY917492:VRZ917563 WBU917492:WBV917563 WLQ917492:WLR917563 WVM917492:WVN917563 E983028:F983099 JA983028:JB983099 SW983028:SX983099 ACS983028:ACT983099 AMO983028:AMP983099 AWK983028:AWL983099 BGG983028:BGH983099 BQC983028:BQD983099 BZY983028:BZZ983099 CJU983028:CJV983099 CTQ983028:CTR983099 DDM983028:DDN983099 DNI983028:DNJ983099 DXE983028:DXF983099 EHA983028:EHB983099 EQW983028:EQX983099 FAS983028:FAT983099 FKO983028:FKP983099 FUK983028:FUL983099 GEG983028:GEH983099 GOC983028:GOD983099 GXY983028:GXZ983099 HHU983028:HHV983099 HRQ983028:HRR983099 IBM983028:IBN983099 ILI983028:ILJ983099 IVE983028:IVF983099 JFA983028:JFB983099 JOW983028:JOX983099 JYS983028:JYT983099 KIO983028:KIP983099 KSK983028:KSL983099 LCG983028:LCH983099 LMC983028:LMD983099 LVY983028:LVZ983099 MFU983028:MFV983099 MPQ983028:MPR983099 MZM983028:MZN983099 NJI983028:NJJ983099 NTE983028:NTF983099 ODA983028:ODB983099 OMW983028:OMX983099 OWS983028:OWT983099 PGO983028:PGP983099 PQK983028:PQL983099 QAG983028:QAH983099 QKC983028:QKD983099 QTY983028:QTZ983099 RDU983028:RDV983099 RNQ983028:RNR983099 RXM983028:RXN983099 SHI983028:SHJ983099 SRE983028:SRF983099 TBA983028:TBB983099 TKW983028:TKX983099 TUS983028:TUT983099 UEO983028:UEP983099 UOK983028:UOL983099 UYG983028:UYH983099 VIC983028:VID983099 VRY983028:VRZ983099 WBU983028:WBV983099 WLQ983028:WLR983099 JA2:JB61 WVM2:WVN61 WLQ2:WLR61 WBU2:WBV61 VRY2:VRZ61 VIC2:VID61 UYG2:UYH61 UOK2:UOL61 UEO2:UEP61 TUS2:TUT61 TKW2:TKX61 TBA2:TBB61 SRE2:SRF61 SHI2:SHJ61 RXM2:RXN61 RNQ2:RNR61 RDU2:RDV61 QTY2:QTZ61 QKC2:QKD61 QAG2:QAH61 PQK2:PQL61 PGO2:PGP61 OWS2:OWT61 OMW2:OMX61 ODA2:ODB61 NTE2:NTF61 NJI2:NJJ61 MZM2:MZN61 MPQ2:MPR61 MFU2:MFV61 LVY2:LVZ61 LMC2:LMD61 LCG2:LCH61 KSK2:KSL61 KIO2:KIP61 JYS2:JYT61 JOW2:JOX61 JFA2:JFB61 IVE2:IVF61 ILI2:ILJ61 IBM2:IBN61 HRQ2:HRR61 HHU2:HHV61 GXY2:GXZ61 GOC2:GOD61 GEG2:GEH61 FUK2:FUL61 FKO2:FKP61 FAS2:FAT61 EQW2:EQX61 EHA2:EHB61 DXE2:DXF61 DNI2:DNJ61 DDM2:DDN61 CTQ2:CTR61 CJU2:CJV61 BZY2:BZZ61 BQC2:BQD61 BGG2:BGH61 AWK2:AWL61 AMO2:AMP61 ACS2:ACT61 SW2:SX61">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zoomScale="85" zoomScaleNormal="85" zoomScaleSheetLayoutView="100" workbookViewId="0">
      <selection activeCell="I26" sqref="I26"/>
    </sheetView>
  </sheetViews>
  <sheetFormatPr defaultRowHeight="13.5" x14ac:dyDescent="0.15"/>
  <cols>
    <col min="1" max="3" width="9" style="208"/>
    <col min="4" max="4" width="10.5" style="208" bestFit="1" customWidth="1"/>
    <col min="5" max="16" width="9" style="208"/>
    <col min="17" max="17" width="9" style="217"/>
    <col min="18" max="19" width="9" style="208"/>
    <col min="20" max="20" width="9" style="217"/>
    <col min="21" max="21" width="9" style="208"/>
    <col min="22" max="22" width="9" style="217"/>
    <col min="23" max="32" width="9" style="208"/>
    <col min="33" max="33" width="16.875" style="208" bestFit="1" customWidth="1"/>
    <col min="34" max="34" width="15.625" style="208" customWidth="1"/>
    <col min="35" max="39" width="9" style="143"/>
    <col min="40" max="16384" width="9" style="208"/>
  </cols>
  <sheetData>
    <row r="1" spans="1:53" ht="45" x14ac:dyDescent="0.15">
      <c r="A1" s="240" t="s">
        <v>0</v>
      </c>
      <c r="B1" s="202" t="s">
        <v>1</v>
      </c>
      <c r="C1" s="202" t="s">
        <v>456</v>
      </c>
      <c r="D1" s="203" t="s">
        <v>3</v>
      </c>
      <c r="E1" s="241" t="s">
        <v>4</v>
      </c>
      <c r="F1" s="241" t="s">
        <v>5</v>
      </c>
      <c r="G1" s="241" t="s">
        <v>6</v>
      </c>
      <c r="H1" s="241" t="s">
        <v>7</v>
      </c>
      <c r="I1" s="241" t="s">
        <v>8</v>
      </c>
      <c r="J1" s="241" t="s">
        <v>9</v>
      </c>
      <c r="K1" s="201" t="s">
        <v>10</v>
      </c>
      <c r="L1" s="203" t="s">
        <v>457</v>
      </c>
      <c r="M1" s="203" t="s">
        <v>12</v>
      </c>
      <c r="N1" s="203" t="s">
        <v>13</v>
      </c>
      <c r="O1" s="203" t="s">
        <v>458</v>
      </c>
      <c r="P1" s="203" t="s">
        <v>459</v>
      </c>
      <c r="Q1" s="204" t="s">
        <v>16</v>
      </c>
      <c r="R1" s="203" t="s">
        <v>460</v>
      </c>
      <c r="S1" s="203" t="s">
        <v>461</v>
      </c>
      <c r="T1" s="204" t="s">
        <v>19</v>
      </c>
      <c r="U1" s="205" t="s">
        <v>108</v>
      </c>
      <c r="V1" s="206" t="s">
        <v>20</v>
      </c>
      <c r="W1" s="203" t="s">
        <v>21</v>
      </c>
      <c r="X1" s="241" t="s">
        <v>22</v>
      </c>
      <c r="Y1" s="241" t="s">
        <v>23</v>
      </c>
      <c r="Z1" s="241" t="s">
        <v>24</v>
      </c>
      <c r="AA1" s="242" t="s">
        <v>25</v>
      </c>
      <c r="AB1" s="207" t="s">
        <v>462</v>
      </c>
      <c r="AE1" s="209" t="s">
        <v>0</v>
      </c>
      <c r="AF1" s="210"/>
      <c r="AG1" s="209" t="s">
        <v>4</v>
      </c>
      <c r="AH1" s="209" t="s">
        <v>5</v>
      </c>
      <c r="AI1" s="162"/>
      <c r="AJ1" s="163" t="s">
        <v>6</v>
      </c>
      <c r="AK1" s="162"/>
      <c r="AL1" s="164" t="s">
        <v>7</v>
      </c>
      <c r="AM1" s="162"/>
      <c r="AN1" s="211" t="s">
        <v>8</v>
      </c>
      <c r="AO1" s="210"/>
      <c r="AP1" s="211" t="s">
        <v>27</v>
      </c>
      <c r="AQ1" s="210"/>
      <c r="AR1" s="211" t="s">
        <v>10</v>
      </c>
      <c r="AS1" s="210"/>
      <c r="AT1" s="212" t="s">
        <v>28</v>
      </c>
      <c r="AU1" s="210"/>
      <c r="AV1" s="211" t="s">
        <v>29</v>
      </c>
      <c r="AX1" s="213" t="s">
        <v>463</v>
      </c>
      <c r="AY1" s="214" t="s">
        <v>464</v>
      </c>
      <c r="AZ1" s="214" t="s">
        <v>465</v>
      </c>
      <c r="BA1" s="215" t="s">
        <v>466</v>
      </c>
    </row>
    <row r="2" spans="1:53" x14ac:dyDescent="0.15">
      <c r="A2" s="165" t="s">
        <v>34</v>
      </c>
      <c r="B2" s="165" t="s">
        <v>467</v>
      </c>
      <c r="C2" s="165">
        <v>2018</v>
      </c>
      <c r="D2" s="166" t="s">
        <v>468</v>
      </c>
      <c r="E2" s="165" t="s">
        <v>469</v>
      </c>
      <c r="F2" s="165" t="s">
        <v>262</v>
      </c>
      <c r="G2" s="167" t="s">
        <v>36</v>
      </c>
      <c r="H2" s="168" t="s">
        <v>155</v>
      </c>
      <c r="I2" s="137" t="s">
        <v>153</v>
      </c>
      <c r="J2" s="200" t="s">
        <v>38</v>
      </c>
      <c r="K2" s="137" t="s">
        <v>154</v>
      </c>
      <c r="L2" s="169">
        <v>1</v>
      </c>
      <c r="M2" s="170"/>
      <c r="N2" s="170">
        <v>1</v>
      </c>
      <c r="O2" s="170">
        <v>1.1000000000000001</v>
      </c>
      <c r="P2" s="170">
        <v>0.9</v>
      </c>
      <c r="Q2" s="171">
        <f t="shared" ref="Q2:Q65" si="0">IF(OR(O2="",P2=""),"",AVERAGE(O2,P2))</f>
        <v>1</v>
      </c>
      <c r="R2" s="172">
        <v>12.7</v>
      </c>
      <c r="S2" s="168">
        <v>118</v>
      </c>
      <c r="T2" s="173">
        <f t="shared" ref="T2:T65" si="1">IF(H2="","",IF(OR(H2="GREEN",H2="GK"),IF(S2&gt;=$AX$2,VLOOKUP(S2,$AX$2:$AY$7,2,1),""),IF(S2&gt;=$AZ$2,VLOOKUP(S2,$AZ$2:$BA$7,2,1),"")))</f>
        <v>30</v>
      </c>
      <c r="U2" s="137">
        <v>128</v>
      </c>
      <c r="V2" s="173">
        <f t="shared" ref="V2:V65" si="2">IF(OR(N2="",U2="",T2=""),"",U2/N2*T2)</f>
        <v>3840</v>
      </c>
      <c r="W2" s="174">
        <v>4</v>
      </c>
      <c r="X2" s="175" t="s">
        <v>39</v>
      </c>
      <c r="Y2" s="175" t="s">
        <v>90</v>
      </c>
      <c r="Z2" s="175" t="s">
        <v>50</v>
      </c>
      <c r="AA2" s="176" t="s">
        <v>84</v>
      </c>
      <c r="AB2" s="55" t="s">
        <v>470</v>
      </c>
      <c r="AE2" s="218" t="s">
        <v>35</v>
      </c>
      <c r="AG2" s="243" t="s">
        <v>471</v>
      </c>
      <c r="AH2" s="243" t="s">
        <v>263</v>
      </c>
      <c r="AJ2" s="144" t="s">
        <v>36</v>
      </c>
      <c r="AL2" s="219" t="s">
        <v>127</v>
      </c>
      <c r="AN2" s="219" t="s">
        <v>37</v>
      </c>
      <c r="AO2" s="216"/>
      <c r="AP2" s="219" t="s">
        <v>38</v>
      </c>
      <c r="AQ2" s="216"/>
      <c r="AR2" s="219" t="s">
        <v>472</v>
      </c>
      <c r="AS2" s="216"/>
      <c r="AT2" s="219" t="s">
        <v>39</v>
      </c>
      <c r="AU2" s="216"/>
      <c r="AV2" s="248" t="s">
        <v>40</v>
      </c>
      <c r="AW2" s="216"/>
      <c r="AX2" s="220">
        <v>1</v>
      </c>
      <c r="AY2" s="221">
        <v>50</v>
      </c>
      <c r="AZ2" s="221">
        <v>1</v>
      </c>
      <c r="BA2" s="222">
        <v>50</v>
      </c>
    </row>
    <row r="3" spans="1:53" x14ac:dyDescent="0.15">
      <c r="A3" s="177" t="s">
        <v>34</v>
      </c>
      <c r="B3" s="177" t="s">
        <v>308</v>
      </c>
      <c r="C3" s="178">
        <v>2018</v>
      </c>
      <c r="D3" s="255" t="s">
        <v>468</v>
      </c>
      <c r="E3" s="177" t="s">
        <v>469</v>
      </c>
      <c r="F3" s="177" t="s">
        <v>262</v>
      </c>
      <c r="G3" s="180" t="s">
        <v>36</v>
      </c>
      <c r="H3" s="137" t="s">
        <v>155</v>
      </c>
      <c r="I3" s="137" t="s">
        <v>153</v>
      </c>
      <c r="J3" s="137" t="s">
        <v>38</v>
      </c>
      <c r="K3" s="137" t="s">
        <v>154</v>
      </c>
      <c r="L3" s="208">
        <v>2</v>
      </c>
      <c r="N3" s="208">
        <v>1</v>
      </c>
      <c r="O3" s="208">
        <v>0.65</v>
      </c>
      <c r="P3" s="235">
        <v>0.7</v>
      </c>
      <c r="Q3" s="181">
        <f t="shared" si="0"/>
        <v>0.67500000000000004</v>
      </c>
      <c r="R3" s="182">
        <v>13.6</v>
      </c>
      <c r="S3" s="182">
        <v>120</v>
      </c>
      <c r="T3" s="217">
        <f t="shared" si="1"/>
        <v>30</v>
      </c>
      <c r="U3" s="183">
        <v>128</v>
      </c>
      <c r="V3" s="184">
        <f t="shared" si="2"/>
        <v>3840</v>
      </c>
      <c r="W3" s="185">
        <v>4</v>
      </c>
      <c r="X3" s="186" t="s">
        <v>39</v>
      </c>
      <c r="Y3" s="186" t="s">
        <v>90</v>
      </c>
      <c r="Z3" s="186" t="s">
        <v>50</v>
      </c>
      <c r="AA3" s="176" t="s">
        <v>84</v>
      </c>
      <c r="AB3" s="55" t="s">
        <v>310</v>
      </c>
      <c r="AE3" s="223" t="s">
        <v>41</v>
      </c>
      <c r="AG3" s="243" t="s">
        <v>264</v>
      </c>
      <c r="AH3" s="243" t="s">
        <v>265</v>
      </c>
      <c r="AJ3" s="187" t="s">
        <v>42</v>
      </c>
      <c r="AL3" s="224" t="s">
        <v>128</v>
      </c>
      <c r="AN3" s="224" t="s">
        <v>43</v>
      </c>
      <c r="AP3" s="224" t="s">
        <v>44</v>
      </c>
      <c r="AR3" s="238" t="s">
        <v>45</v>
      </c>
      <c r="AT3" s="224" t="s">
        <v>46</v>
      </c>
      <c r="AV3" s="224" t="s">
        <v>47</v>
      </c>
      <c r="AX3" s="225">
        <v>72</v>
      </c>
      <c r="AY3" s="226">
        <v>46</v>
      </c>
      <c r="AZ3" s="226">
        <v>71</v>
      </c>
      <c r="BA3" s="227">
        <v>42</v>
      </c>
    </row>
    <row r="4" spans="1:53" x14ac:dyDescent="0.15">
      <c r="A4" s="177" t="s">
        <v>34</v>
      </c>
      <c r="B4" s="177" t="s">
        <v>308</v>
      </c>
      <c r="C4" s="177">
        <v>2018</v>
      </c>
      <c r="D4" s="179" t="s">
        <v>473</v>
      </c>
      <c r="E4" s="177" t="s">
        <v>469</v>
      </c>
      <c r="F4" s="177" t="s">
        <v>262</v>
      </c>
      <c r="G4" s="180" t="s">
        <v>36</v>
      </c>
      <c r="H4" s="137" t="s">
        <v>155</v>
      </c>
      <c r="I4" s="137" t="s">
        <v>153</v>
      </c>
      <c r="J4" s="137" t="s">
        <v>38</v>
      </c>
      <c r="K4" s="137" t="s">
        <v>154</v>
      </c>
      <c r="L4" s="208">
        <v>3</v>
      </c>
      <c r="N4" s="208">
        <v>1</v>
      </c>
      <c r="O4" s="208">
        <v>0.8</v>
      </c>
      <c r="P4" s="235">
        <v>0.75</v>
      </c>
      <c r="Q4" s="245">
        <f t="shared" si="0"/>
        <v>0.77500000000000002</v>
      </c>
      <c r="R4" s="188">
        <v>13.3</v>
      </c>
      <c r="S4" s="188">
        <v>124</v>
      </c>
      <c r="T4" s="217">
        <f t="shared" si="1"/>
        <v>30</v>
      </c>
      <c r="U4" s="189">
        <v>128</v>
      </c>
      <c r="V4" s="184">
        <f t="shared" si="2"/>
        <v>3840</v>
      </c>
      <c r="W4" s="190">
        <v>4</v>
      </c>
      <c r="X4" s="186" t="s">
        <v>39</v>
      </c>
      <c r="Y4" s="186" t="s">
        <v>90</v>
      </c>
      <c r="Z4" s="186" t="s">
        <v>50</v>
      </c>
      <c r="AA4" s="176" t="s">
        <v>84</v>
      </c>
      <c r="AB4" s="55" t="s">
        <v>310</v>
      </c>
      <c r="AE4" s="223" t="s">
        <v>34</v>
      </c>
      <c r="AG4" s="243" t="s">
        <v>474</v>
      </c>
      <c r="AH4" s="243" t="s">
        <v>266</v>
      </c>
      <c r="AJ4" s="191" t="s">
        <v>48</v>
      </c>
      <c r="AL4" s="228" t="s">
        <v>129</v>
      </c>
      <c r="AN4" s="229" t="s">
        <v>49</v>
      </c>
      <c r="AP4" s="224" t="s">
        <v>475</v>
      </c>
      <c r="AR4" s="238" t="s">
        <v>476</v>
      </c>
      <c r="AT4" s="229"/>
      <c r="AV4" s="224" t="s">
        <v>50</v>
      </c>
      <c r="AX4" s="225">
        <v>75</v>
      </c>
      <c r="AY4" s="226">
        <v>42</v>
      </c>
      <c r="AZ4" s="226">
        <v>76</v>
      </c>
      <c r="BA4" s="227">
        <v>39</v>
      </c>
    </row>
    <row r="5" spans="1:53" x14ac:dyDescent="0.15">
      <c r="A5" s="177" t="s">
        <v>34</v>
      </c>
      <c r="B5" s="177" t="s">
        <v>308</v>
      </c>
      <c r="C5" s="178">
        <v>2018</v>
      </c>
      <c r="D5" s="179" t="s">
        <v>473</v>
      </c>
      <c r="E5" s="177" t="s">
        <v>469</v>
      </c>
      <c r="F5" s="177" t="s">
        <v>262</v>
      </c>
      <c r="G5" s="180" t="s">
        <v>36</v>
      </c>
      <c r="H5" s="137" t="s">
        <v>157</v>
      </c>
      <c r="I5" s="137" t="s">
        <v>153</v>
      </c>
      <c r="J5" s="137" t="s">
        <v>38</v>
      </c>
      <c r="K5" s="137" t="s">
        <v>154</v>
      </c>
      <c r="L5" s="208">
        <v>1</v>
      </c>
      <c r="N5" s="208">
        <v>1</v>
      </c>
      <c r="O5" s="208">
        <v>0.65</v>
      </c>
      <c r="P5" s="237">
        <v>0.6</v>
      </c>
      <c r="Q5" s="245">
        <f t="shared" si="0"/>
        <v>0.625</v>
      </c>
      <c r="R5" s="188">
        <v>14.8</v>
      </c>
      <c r="S5" s="188">
        <v>154</v>
      </c>
      <c r="T5" s="217">
        <f t="shared" si="1"/>
        <v>30</v>
      </c>
      <c r="U5" s="189">
        <v>138</v>
      </c>
      <c r="V5" s="184">
        <f t="shared" si="2"/>
        <v>4140</v>
      </c>
      <c r="W5" s="190">
        <v>4</v>
      </c>
      <c r="X5" s="186" t="s">
        <v>39</v>
      </c>
      <c r="Y5" s="186" t="s">
        <v>90</v>
      </c>
      <c r="Z5" s="186" t="s">
        <v>50</v>
      </c>
      <c r="AA5" s="176" t="s">
        <v>84</v>
      </c>
      <c r="AB5" s="55" t="s">
        <v>310</v>
      </c>
      <c r="AE5" s="223" t="s">
        <v>51</v>
      </c>
      <c r="AG5" s="243" t="s">
        <v>477</v>
      </c>
      <c r="AH5" s="243" t="s">
        <v>269</v>
      </c>
      <c r="AJ5" s="192"/>
      <c r="AL5" s="230" t="s">
        <v>478</v>
      </c>
      <c r="AN5" s="230" t="s">
        <v>479</v>
      </c>
      <c r="AP5" s="224" t="s">
        <v>480</v>
      </c>
      <c r="AR5" s="238" t="s">
        <v>54</v>
      </c>
      <c r="AT5" s="247"/>
      <c r="AV5" s="224" t="s">
        <v>55</v>
      </c>
      <c r="AX5" s="225">
        <v>84</v>
      </c>
      <c r="AY5" s="226">
        <v>39</v>
      </c>
      <c r="AZ5" s="226">
        <v>84</v>
      </c>
      <c r="BA5" s="227">
        <v>36</v>
      </c>
    </row>
    <row r="6" spans="1:53" x14ac:dyDescent="0.15">
      <c r="A6" s="177" t="s">
        <v>34</v>
      </c>
      <c r="B6" s="177" t="s">
        <v>308</v>
      </c>
      <c r="C6" s="177">
        <v>2018</v>
      </c>
      <c r="D6" s="179" t="s">
        <v>473</v>
      </c>
      <c r="E6" s="177" t="s">
        <v>469</v>
      </c>
      <c r="F6" s="177" t="s">
        <v>262</v>
      </c>
      <c r="G6" s="180" t="s">
        <v>36</v>
      </c>
      <c r="H6" s="137" t="s">
        <v>157</v>
      </c>
      <c r="I6" s="137" t="s">
        <v>153</v>
      </c>
      <c r="J6" s="137" t="s">
        <v>38</v>
      </c>
      <c r="K6" s="137" t="s">
        <v>154</v>
      </c>
      <c r="L6" s="208">
        <v>2</v>
      </c>
      <c r="N6" s="208">
        <v>1</v>
      </c>
      <c r="O6" s="208">
        <v>0.55000000000000004</v>
      </c>
      <c r="P6" s="237">
        <v>0.6</v>
      </c>
      <c r="Q6" s="245">
        <f t="shared" si="0"/>
        <v>0.57499999999999996</v>
      </c>
      <c r="R6" s="188">
        <v>15.2</v>
      </c>
      <c r="S6" s="188">
        <v>151</v>
      </c>
      <c r="T6" s="217">
        <f t="shared" si="1"/>
        <v>30</v>
      </c>
      <c r="U6" s="189">
        <v>138</v>
      </c>
      <c r="V6" s="184">
        <f t="shared" si="2"/>
        <v>4140</v>
      </c>
      <c r="W6" s="190">
        <v>4</v>
      </c>
      <c r="X6" s="186" t="s">
        <v>39</v>
      </c>
      <c r="Y6" s="186" t="s">
        <v>90</v>
      </c>
      <c r="Z6" s="186" t="s">
        <v>50</v>
      </c>
      <c r="AA6" s="176" t="s">
        <v>84</v>
      </c>
      <c r="AB6" s="55" t="s">
        <v>310</v>
      </c>
      <c r="AE6" s="223" t="s">
        <v>56</v>
      </c>
      <c r="AG6" s="243" t="s">
        <v>481</v>
      </c>
      <c r="AH6" s="243" t="s">
        <v>268</v>
      </c>
      <c r="AL6" s="230" t="s">
        <v>482</v>
      </c>
      <c r="AN6" s="230" t="s">
        <v>483</v>
      </c>
      <c r="AP6" s="224" t="s">
        <v>53</v>
      </c>
      <c r="AR6" s="238" t="s">
        <v>59</v>
      </c>
      <c r="AV6" s="224" t="s">
        <v>60</v>
      </c>
      <c r="AX6" s="225">
        <v>97</v>
      </c>
      <c r="AY6" s="226">
        <v>36</v>
      </c>
      <c r="AZ6" s="226">
        <v>99</v>
      </c>
      <c r="BA6" s="227">
        <v>33</v>
      </c>
    </row>
    <row r="7" spans="1:53" x14ac:dyDescent="0.15">
      <c r="A7" s="177" t="s">
        <v>34</v>
      </c>
      <c r="B7" s="177" t="s">
        <v>308</v>
      </c>
      <c r="C7" s="178">
        <v>2018</v>
      </c>
      <c r="D7" s="179" t="s">
        <v>473</v>
      </c>
      <c r="E7" s="177" t="s">
        <v>469</v>
      </c>
      <c r="F7" s="177" t="s">
        <v>262</v>
      </c>
      <c r="G7" s="180" t="s">
        <v>36</v>
      </c>
      <c r="H7" s="137" t="s">
        <v>157</v>
      </c>
      <c r="I7" s="137" t="s">
        <v>153</v>
      </c>
      <c r="J7" s="137" t="s">
        <v>38</v>
      </c>
      <c r="K7" s="137" t="s">
        <v>154</v>
      </c>
      <c r="L7" s="208">
        <v>3</v>
      </c>
      <c r="N7" s="208">
        <v>1</v>
      </c>
      <c r="O7" s="208">
        <v>0.6</v>
      </c>
      <c r="P7" s="237">
        <v>0.55000000000000004</v>
      </c>
      <c r="Q7" s="245">
        <f t="shared" si="0"/>
        <v>0.57499999999999996</v>
      </c>
      <c r="R7" s="188">
        <v>15.5</v>
      </c>
      <c r="S7" s="188">
        <v>150</v>
      </c>
      <c r="T7" s="217">
        <f t="shared" si="1"/>
        <v>30</v>
      </c>
      <c r="U7" s="189">
        <v>138</v>
      </c>
      <c r="V7" s="184">
        <f t="shared" si="2"/>
        <v>4140</v>
      </c>
      <c r="W7" s="190">
        <v>4</v>
      </c>
      <c r="X7" s="186" t="s">
        <v>39</v>
      </c>
      <c r="Y7" s="186" t="s">
        <v>90</v>
      </c>
      <c r="Z7" s="186" t="s">
        <v>50</v>
      </c>
      <c r="AA7" s="176" t="s">
        <v>84</v>
      </c>
      <c r="AB7" s="55" t="s">
        <v>310</v>
      </c>
      <c r="AE7" s="223" t="s">
        <v>61</v>
      </c>
      <c r="AG7" s="243" t="s">
        <v>267</v>
      </c>
      <c r="AH7" s="243" t="s">
        <v>262</v>
      </c>
      <c r="AL7" s="235" t="s">
        <v>484</v>
      </c>
      <c r="AP7" s="224" t="s">
        <v>58</v>
      </c>
      <c r="AR7" s="231" t="s">
        <v>122</v>
      </c>
      <c r="AV7" s="224" t="s">
        <v>64</v>
      </c>
      <c r="AX7" s="225">
        <v>109</v>
      </c>
      <c r="AY7" s="226">
        <v>33</v>
      </c>
      <c r="AZ7" s="226">
        <v>113</v>
      </c>
      <c r="BA7" s="227">
        <v>30</v>
      </c>
    </row>
    <row r="8" spans="1:53" x14ac:dyDescent="0.15">
      <c r="A8" s="177" t="s">
        <v>34</v>
      </c>
      <c r="B8" s="177" t="s">
        <v>308</v>
      </c>
      <c r="C8" s="177">
        <v>2018</v>
      </c>
      <c r="D8" s="179" t="s">
        <v>473</v>
      </c>
      <c r="E8" s="178" t="s">
        <v>267</v>
      </c>
      <c r="F8" s="177" t="s">
        <v>268</v>
      </c>
      <c r="G8" s="180" t="s">
        <v>36</v>
      </c>
      <c r="H8" s="137" t="s">
        <v>155</v>
      </c>
      <c r="I8" s="137" t="s">
        <v>153</v>
      </c>
      <c r="J8" s="137" t="s">
        <v>38</v>
      </c>
      <c r="K8" s="137" t="s">
        <v>154</v>
      </c>
      <c r="L8" s="208">
        <v>1</v>
      </c>
      <c r="N8" s="208">
        <v>1</v>
      </c>
      <c r="O8" s="208">
        <v>0.5</v>
      </c>
      <c r="P8" s="208">
        <v>0.45</v>
      </c>
      <c r="Q8" s="245">
        <f t="shared" si="0"/>
        <v>0.47499999999999998</v>
      </c>
      <c r="R8" s="188">
        <v>14.8</v>
      </c>
      <c r="S8" s="188">
        <v>121</v>
      </c>
      <c r="T8" s="217">
        <f t="shared" si="1"/>
        <v>30</v>
      </c>
      <c r="U8" s="193">
        <v>98</v>
      </c>
      <c r="V8" s="184">
        <f t="shared" si="2"/>
        <v>2940</v>
      </c>
      <c r="W8" s="190">
        <v>4</v>
      </c>
      <c r="X8" s="186" t="s">
        <v>46</v>
      </c>
      <c r="Y8" s="194" t="s">
        <v>90</v>
      </c>
      <c r="Z8" s="186" t="s">
        <v>50</v>
      </c>
      <c r="AA8" s="176" t="s">
        <v>84</v>
      </c>
      <c r="AB8" s="55" t="s">
        <v>310</v>
      </c>
      <c r="AE8" s="223" t="s">
        <v>59</v>
      </c>
      <c r="AG8" s="243" t="s">
        <v>485</v>
      </c>
      <c r="AH8" s="243" t="s">
        <v>271</v>
      </c>
      <c r="AL8" s="235" t="s">
        <v>339</v>
      </c>
      <c r="AP8" s="224" t="s">
        <v>62</v>
      </c>
      <c r="AR8" s="238" t="s">
        <v>81</v>
      </c>
      <c r="AV8" s="224" t="s">
        <v>97</v>
      </c>
      <c r="AX8" s="225">
        <v>151</v>
      </c>
      <c r="AY8" s="226">
        <v>22</v>
      </c>
      <c r="AZ8" s="226">
        <v>152</v>
      </c>
      <c r="BA8" s="227">
        <v>18</v>
      </c>
    </row>
    <row r="9" spans="1:53" x14ac:dyDescent="0.15">
      <c r="A9" s="177" t="s">
        <v>34</v>
      </c>
      <c r="B9" s="177" t="s">
        <v>308</v>
      </c>
      <c r="C9" s="178">
        <v>2018</v>
      </c>
      <c r="D9" s="179" t="s">
        <v>473</v>
      </c>
      <c r="E9" s="178" t="s">
        <v>267</v>
      </c>
      <c r="F9" s="177" t="s">
        <v>268</v>
      </c>
      <c r="G9" s="180" t="s">
        <v>36</v>
      </c>
      <c r="H9" s="137" t="s">
        <v>155</v>
      </c>
      <c r="I9" s="137" t="s">
        <v>153</v>
      </c>
      <c r="J9" s="137" t="s">
        <v>38</v>
      </c>
      <c r="K9" s="137" t="s">
        <v>154</v>
      </c>
      <c r="L9" s="208">
        <v>2</v>
      </c>
      <c r="N9" s="208">
        <v>1</v>
      </c>
      <c r="O9" s="208">
        <v>0.6</v>
      </c>
      <c r="P9" s="208">
        <v>0.55000000000000004</v>
      </c>
      <c r="Q9" s="245">
        <f t="shared" si="0"/>
        <v>0.57499999999999996</v>
      </c>
      <c r="R9" s="188">
        <v>14.5</v>
      </c>
      <c r="S9" s="188">
        <v>117</v>
      </c>
      <c r="T9" s="217">
        <f t="shared" si="1"/>
        <v>30</v>
      </c>
      <c r="U9" s="193">
        <v>98</v>
      </c>
      <c r="V9" s="184">
        <f t="shared" si="2"/>
        <v>2940</v>
      </c>
      <c r="W9" s="190">
        <v>4</v>
      </c>
      <c r="X9" s="186" t="s">
        <v>46</v>
      </c>
      <c r="Y9" s="194" t="s">
        <v>90</v>
      </c>
      <c r="Z9" s="186" t="s">
        <v>50</v>
      </c>
      <c r="AA9" s="176" t="s">
        <v>84</v>
      </c>
      <c r="AB9" s="55" t="s">
        <v>310</v>
      </c>
      <c r="AE9" s="223" t="s">
        <v>98</v>
      </c>
      <c r="AG9" s="243" t="s">
        <v>486</v>
      </c>
      <c r="AH9" s="243" t="s">
        <v>272</v>
      </c>
      <c r="AL9" s="230"/>
      <c r="AP9" s="224" t="s">
        <v>95</v>
      </c>
      <c r="AR9" s="231" t="s">
        <v>89</v>
      </c>
      <c r="AV9" s="224" t="s">
        <v>102</v>
      </c>
      <c r="AX9" s="232">
        <v>180</v>
      </c>
      <c r="AY9" s="233">
        <v>18</v>
      </c>
      <c r="AZ9" s="233">
        <v>181</v>
      </c>
      <c r="BA9" s="234">
        <v>16</v>
      </c>
    </row>
    <row r="10" spans="1:53" x14ac:dyDescent="0.15">
      <c r="A10" s="177" t="s">
        <v>34</v>
      </c>
      <c r="B10" s="177" t="s">
        <v>308</v>
      </c>
      <c r="C10" s="177">
        <v>2018</v>
      </c>
      <c r="D10" s="179" t="s">
        <v>473</v>
      </c>
      <c r="E10" s="178" t="s">
        <v>267</v>
      </c>
      <c r="F10" s="177" t="s">
        <v>268</v>
      </c>
      <c r="G10" s="180" t="s">
        <v>36</v>
      </c>
      <c r="H10" s="137" t="s">
        <v>155</v>
      </c>
      <c r="I10" s="137" t="s">
        <v>153</v>
      </c>
      <c r="J10" s="137" t="s">
        <v>38</v>
      </c>
      <c r="K10" s="137" t="s">
        <v>154</v>
      </c>
      <c r="L10" s="208">
        <v>3</v>
      </c>
      <c r="N10" s="208">
        <v>1</v>
      </c>
      <c r="O10" s="208">
        <v>0.55000000000000004</v>
      </c>
      <c r="P10" s="208">
        <v>0.6</v>
      </c>
      <c r="Q10" s="245">
        <f t="shared" si="0"/>
        <v>0.57499999999999996</v>
      </c>
      <c r="R10" s="188">
        <v>14.2</v>
      </c>
      <c r="S10" s="188">
        <v>119</v>
      </c>
      <c r="T10" s="217">
        <f t="shared" si="1"/>
        <v>30</v>
      </c>
      <c r="U10" s="193">
        <v>98</v>
      </c>
      <c r="V10" s="184">
        <f t="shared" si="2"/>
        <v>2940</v>
      </c>
      <c r="W10" s="190">
        <v>4</v>
      </c>
      <c r="X10" s="186" t="s">
        <v>46</v>
      </c>
      <c r="Y10" s="194" t="s">
        <v>90</v>
      </c>
      <c r="Z10" s="186" t="s">
        <v>50</v>
      </c>
      <c r="AA10" s="176" t="s">
        <v>84</v>
      </c>
      <c r="AB10" s="55" t="s">
        <v>310</v>
      </c>
      <c r="AE10" s="223" t="s">
        <v>103</v>
      </c>
      <c r="AG10" s="243" t="s">
        <v>487</v>
      </c>
      <c r="AH10" s="243" t="s">
        <v>488</v>
      </c>
      <c r="AL10" s="235"/>
      <c r="AP10" s="224" t="s">
        <v>100</v>
      </c>
      <c r="AR10" s="231" t="s">
        <v>123</v>
      </c>
      <c r="AV10" s="224" t="s">
        <v>106</v>
      </c>
    </row>
    <row r="11" spans="1:53" x14ac:dyDescent="0.15">
      <c r="A11" s="177" t="s">
        <v>34</v>
      </c>
      <c r="B11" s="177" t="s">
        <v>359</v>
      </c>
      <c r="C11" s="178">
        <v>2018</v>
      </c>
      <c r="D11" s="179" t="s">
        <v>473</v>
      </c>
      <c r="E11" s="178" t="s">
        <v>267</v>
      </c>
      <c r="F11" s="177" t="s">
        <v>268</v>
      </c>
      <c r="G11" s="180" t="s">
        <v>36</v>
      </c>
      <c r="H11" s="137" t="s">
        <v>157</v>
      </c>
      <c r="I11" s="137" t="s">
        <v>153</v>
      </c>
      <c r="J11" s="137" t="s">
        <v>38</v>
      </c>
      <c r="K11" s="137" t="s">
        <v>154</v>
      </c>
      <c r="L11" s="208">
        <v>1</v>
      </c>
      <c r="N11" s="208">
        <v>4</v>
      </c>
      <c r="O11" s="208">
        <v>0.85</v>
      </c>
      <c r="P11" s="208">
        <v>0.9</v>
      </c>
      <c r="Q11" s="245">
        <f t="shared" si="0"/>
        <v>0.875</v>
      </c>
      <c r="R11" s="188">
        <v>13.8</v>
      </c>
      <c r="S11" s="188">
        <v>105</v>
      </c>
      <c r="T11" s="217">
        <f t="shared" si="1"/>
        <v>33</v>
      </c>
      <c r="U11" s="193">
        <v>498</v>
      </c>
      <c r="V11" s="184">
        <f t="shared" si="2"/>
        <v>4108.5</v>
      </c>
      <c r="W11" s="190">
        <v>4</v>
      </c>
      <c r="X11" s="186" t="s">
        <v>46</v>
      </c>
      <c r="Y11" s="194" t="s">
        <v>90</v>
      </c>
      <c r="Z11" s="186" t="s">
        <v>50</v>
      </c>
      <c r="AA11" s="195" t="s">
        <v>84</v>
      </c>
      <c r="AB11" s="55" t="s">
        <v>310</v>
      </c>
      <c r="AE11" s="223" t="s">
        <v>65</v>
      </c>
      <c r="AG11" s="238"/>
      <c r="AH11" s="238"/>
      <c r="AL11" s="235"/>
      <c r="AP11" s="224" t="s">
        <v>104</v>
      </c>
      <c r="AR11" s="231" t="s">
        <v>87</v>
      </c>
      <c r="AV11" s="224" t="s">
        <v>69</v>
      </c>
    </row>
    <row r="12" spans="1:53" x14ac:dyDescent="0.15">
      <c r="A12" s="177" t="s">
        <v>34</v>
      </c>
      <c r="B12" s="177" t="s">
        <v>308</v>
      </c>
      <c r="C12" s="177">
        <v>2018</v>
      </c>
      <c r="D12" s="179" t="s">
        <v>473</v>
      </c>
      <c r="E12" s="178" t="s">
        <v>267</v>
      </c>
      <c r="F12" s="177" t="s">
        <v>268</v>
      </c>
      <c r="G12" s="180" t="s">
        <v>36</v>
      </c>
      <c r="H12" s="137" t="s">
        <v>157</v>
      </c>
      <c r="I12" s="137" t="s">
        <v>153</v>
      </c>
      <c r="J12" s="137" t="s">
        <v>38</v>
      </c>
      <c r="K12" s="137" t="s">
        <v>154</v>
      </c>
      <c r="L12" s="208">
        <v>2</v>
      </c>
      <c r="N12" s="208">
        <v>4</v>
      </c>
      <c r="O12" s="208">
        <v>0.6</v>
      </c>
      <c r="P12" s="208">
        <v>0.55000000000000004</v>
      </c>
      <c r="Q12" s="245">
        <f t="shared" si="0"/>
        <v>0.57499999999999996</v>
      </c>
      <c r="R12" s="188">
        <v>14.7</v>
      </c>
      <c r="S12" s="188">
        <v>98</v>
      </c>
      <c r="T12" s="217">
        <f t="shared" si="1"/>
        <v>36</v>
      </c>
      <c r="U12" s="193">
        <v>498</v>
      </c>
      <c r="V12" s="184">
        <f t="shared" si="2"/>
        <v>4482</v>
      </c>
      <c r="W12" s="190">
        <v>4</v>
      </c>
      <c r="X12" s="186" t="s">
        <v>46</v>
      </c>
      <c r="Y12" s="194" t="s">
        <v>90</v>
      </c>
      <c r="Z12" s="186" t="s">
        <v>50</v>
      </c>
      <c r="AA12" s="195" t="s">
        <v>84</v>
      </c>
      <c r="AB12" s="55" t="s">
        <v>310</v>
      </c>
      <c r="AE12" s="223" t="s">
        <v>70</v>
      </c>
      <c r="AG12" s="238"/>
      <c r="AH12" s="238"/>
      <c r="AL12" s="235"/>
      <c r="AP12" s="224" t="s">
        <v>67</v>
      </c>
      <c r="AR12" s="231" t="s">
        <v>124</v>
      </c>
      <c r="AV12" s="224" t="s">
        <v>72</v>
      </c>
    </row>
    <row r="13" spans="1:53" x14ac:dyDescent="0.15">
      <c r="A13" s="177" t="s">
        <v>34</v>
      </c>
      <c r="B13" s="177" t="s">
        <v>308</v>
      </c>
      <c r="C13" s="178">
        <v>2018</v>
      </c>
      <c r="D13" s="179" t="s">
        <v>473</v>
      </c>
      <c r="E13" s="178" t="s">
        <v>267</v>
      </c>
      <c r="F13" s="177" t="s">
        <v>268</v>
      </c>
      <c r="G13" s="180" t="s">
        <v>36</v>
      </c>
      <c r="H13" s="137" t="s">
        <v>157</v>
      </c>
      <c r="I13" s="137" t="s">
        <v>153</v>
      </c>
      <c r="J13" s="137" t="s">
        <v>38</v>
      </c>
      <c r="K13" s="137" t="s">
        <v>154</v>
      </c>
      <c r="L13" s="208">
        <v>3</v>
      </c>
      <c r="N13" s="208">
        <v>4</v>
      </c>
      <c r="O13" s="208">
        <v>0.65</v>
      </c>
      <c r="P13" s="208">
        <v>0.6</v>
      </c>
      <c r="Q13" s="245">
        <f t="shared" si="0"/>
        <v>0.625</v>
      </c>
      <c r="R13" s="188">
        <v>13.7</v>
      </c>
      <c r="S13" s="188">
        <v>97</v>
      </c>
      <c r="T13" s="217">
        <f t="shared" si="1"/>
        <v>36</v>
      </c>
      <c r="U13" s="193">
        <v>498</v>
      </c>
      <c r="V13" s="184">
        <f t="shared" si="2"/>
        <v>4482</v>
      </c>
      <c r="W13" s="190">
        <v>4</v>
      </c>
      <c r="X13" s="186" t="s">
        <v>46</v>
      </c>
      <c r="Y13" s="194" t="s">
        <v>90</v>
      </c>
      <c r="Z13" s="186" t="s">
        <v>50</v>
      </c>
      <c r="AA13" s="195" t="s">
        <v>84</v>
      </c>
      <c r="AB13" s="55" t="s">
        <v>310</v>
      </c>
      <c r="AE13" s="223" t="s">
        <v>73</v>
      </c>
      <c r="AG13" s="196"/>
      <c r="AH13" s="196"/>
      <c r="AP13" s="224" t="s">
        <v>71</v>
      </c>
      <c r="AR13" s="231" t="s">
        <v>103</v>
      </c>
      <c r="AV13" s="224" t="s">
        <v>75</v>
      </c>
    </row>
    <row r="14" spans="1:53" x14ac:dyDescent="0.15">
      <c r="A14" s="177" t="s">
        <v>34</v>
      </c>
      <c r="B14" s="177" t="s">
        <v>308</v>
      </c>
      <c r="C14" s="177">
        <v>2018</v>
      </c>
      <c r="D14" s="179" t="s">
        <v>473</v>
      </c>
      <c r="E14" s="178" t="s">
        <v>270</v>
      </c>
      <c r="F14" s="177" t="s">
        <v>268</v>
      </c>
      <c r="G14" s="180" t="s">
        <v>36</v>
      </c>
      <c r="H14" s="137" t="s">
        <v>155</v>
      </c>
      <c r="I14" s="137" t="s">
        <v>153</v>
      </c>
      <c r="J14" s="137" t="s">
        <v>38</v>
      </c>
      <c r="K14" s="137" t="s">
        <v>154</v>
      </c>
      <c r="L14" s="208">
        <v>1</v>
      </c>
      <c r="N14" s="208">
        <v>1</v>
      </c>
      <c r="O14" s="208">
        <v>0.95</v>
      </c>
      <c r="P14" s="208">
        <v>0.85</v>
      </c>
      <c r="Q14" s="245">
        <f t="shared" si="0"/>
        <v>0.89999999999999991</v>
      </c>
      <c r="R14" s="188">
        <v>15.4</v>
      </c>
      <c r="S14" s="188">
        <v>144</v>
      </c>
      <c r="T14" s="217">
        <f t="shared" si="1"/>
        <v>30</v>
      </c>
      <c r="U14" s="193">
        <v>98</v>
      </c>
      <c r="V14" s="184">
        <v>3582</v>
      </c>
      <c r="W14" s="190">
        <v>3</v>
      </c>
      <c r="X14" s="186" t="s">
        <v>46</v>
      </c>
      <c r="Y14" s="194" t="s">
        <v>84</v>
      </c>
      <c r="Z14" s="194" t="s">
        <v>78</v>
      </c>
      <c r="AA14" s="195" t="s">
        <v>90</v>
      </c>
      <c r="AB14" s="55" t="s">
        <v>310</v>
      </c>
      <c r="AC14" s="235"/>
      <c r="AE14" s="223" t="s">
        <v>76</v>
      </c>
      <c r="AG14" s="247"/>
      <c r="AH14" s="247"/>
      <c r="AP14" s="224" t="s">
        <v>74</v>
      </c>
      <c r="AR14" s="231" t="s">
        <v>125</v>
      </c>
      <c r="AV14" s="224" t="s">
        <v>78</v>
      </c>
    </row>
    <row r="15" spans="1:53" x14ac:dyDescent="0.15">
      <c r="A15" s="177" t="s">
        <v>34</v>
      </c>
      <c r="B15" s="177" t="s">
        <v>308</v>
      </c>
      <c r="C15" s="178">
        <v>2018</v>
      </c>
      <c r="D15" s="179" t="s">
        <v>473</v>
      </c>
      <c r="E15" s="178" t="s">
        <v>270</v>
      </c>
      <c r="F15" s="177" t="s">
        <v>268</v>
      </c>
      <c r="G15" s="180" t="s">
        <v>36</v>
      </c>
      <c r="H15" s="137" t="s">
        <v>155</v>
      </c>
      <c r="I15" s="137" t="s">
        <v>153</v>
      </c>
      <c r="J15" s="137" t="s">
        <v>38</v>
      </c>
      <c r="K15" s="137" t="s">
        <v>154</v>
      </c>
      <c r="L15" s="208">
        <v>2</v>
      </c>
      <c r="N15" s="208">
        <v>1</v>
      </c>
      <c r="O15" s="208">
        <v>0.8</v>
      </c>
      <c r="P15" s="208">
        <v>0.7</v>
      </c>
      <c r="Q15" s="245">
        <f t="shared" si="0"/>
        <v>0.75</v>
      </c>
      <c r="R15" s="188">
        <v>15.1</v>
      </c>
      <c r="S15" s="188">
        <v>147</v>
      </c>
      <c r="T15" s="217">
        <f t="shared" si="1"/>
        <v>30</v>
      </c>
      <c r="U15" s="193">
        <v>98</v>
      </c>
      <c r="V15" s="184">
        <f t="shared" si="2"/>
        <v>2940</v>
      </c>
      <c r="W15" s="190">
        <v>3</v>
      </c>
      <c r="X15" s="186" t="s">
        <v>46</v>
      </c>
      <c r="Y15" s="194" t="s">
        <v>84</v>
      </c>
      <c r="Z15" s="194" t="s">
        <v>78</v>
      </c>
      <c r="AA15" s="195" t="s">
        <v>90</v>
      </c>
      <c r="AB15" s="55" t="s">
        <v>310</v>
      </c>
      <c r="AC15" s="235"/>
      <c r="AE15" s="223" t="s">
        <v>79</v>
      </c>
      <c r="AP15" s="224" t="s">
        <v>77</v>
      </c>
      <c r="AR15" s="231" t="s">
        <v>94</v>
      </c>
      <c r="AV15" s="224" t="s">
        <v>107</v>
      </c>
    </row>
    <row r="16" spans="1:53" x14ac:dyDescent="0.15">
      <c r="A16" s="177" t="s">
        <v>34</v>
      </c>
      <c r="B16" s="177" t="s">
        <v>308</v>
      </c>
      <c r="C16" s="177">
        <v>2018</v>
      </c>
      <c r="D16" s="179" t="s">
        <v>473</v>
      </c>
      <c r="E16" s="178" t="s">
        <v>270</v>
      </c>
      <c r="F16" s="177" t="s">
        <v>268</v>
      </c>
      <c r="G16" s="180" t="s">
        <v>36</v>
      </c>
      <c r="H16" s="137" t="s">
        <v>155</v>
      </c>
      <c r="I16" s="137" t="s">
        <v>153</v>
      </c>
      <c r="J16" s="137" t="s">
        <v>38</v>
      </c>
      <c r="K16" s="137" t="s">
        <v>154</v>
      </c>
      <c r="L16" s="208">
        <v>3</v>
      </c>
      <c r="N16" s="208">
        <v>1</v>
      </c>
      <c r="O16" s="208">
        <v>0.8</v>
      </c>
      <c r="P16" s="208">
        <v>0.75</v>
      </c>
      <c r="Q16" s="245">
        <f t="shared" si="0"/>
        <v>0.77500000000000002</v>
      </c>
      <c r="R16" s="188">
        <v>15.4</v>
      </c>
      <c r="S16" s="188">
        <v>144</v>
      </c>
      <c r="T16" s="217">
        <f t="shared" si="1"/>
        <v>30</v>
      </c>
      <c r="U16" s="193">
        <v>98</v>
      </c>
      <c r="V16" s="184">
        <f t="shared" si="2"/>
        <v>2940</v>
      </c>
      <c r="W16" s="190">
        <v>3</v>
      </c>
      <c r="X16" s="186" t="s">
        <v>46</v>
      </c>
      <c r="Y16" s="194" t="s">
        <v>84</v>
      </c>
      <c r="Z16" s="194" t="s">
        <v>78</v>
      </c>
      <c r="AA16" s="195" t="s">
        <v>90</v>
      </c>
      <c r="AB16" s="55" t="s">
        <v>310</v>
      </c>
      <c r="AC16" s="235"/>
      <c r="AE16" s="223" t="s">
        <v>82</v>
      </c>
      <c r="AP16" s="224" t="s">
        <v>80</v>
      </c>
      <c r="AR16" s="238" t="s">
        <v>63</v>
      </c>
      <c r="AV16" s="224" t="s">
        <v>84</v>
      </c>
    </row>
    <row r="17" spans="1:48" x14ac:dyDescent="0.15">
      <c r="A17" s="177" t="s">
        <v>34</v>
      </c>
      <c r="B17" s="177" t="s">
        <v>308</v>
      </c>
      <c r="C17" s="178">
        <v>2018</v>
      </c>
      <c r="D17" s="179" t="s">
        <v>473</v>
      </c>
      <c r="E17" s="178" t="s">
        <v>270</v>
      </c>
      <c r="F17" s="177" t="s">
        <v>268</v>
      </c>
      <c r="G17" s="180" t="s">
        <v>36</v>
      </c>
      <c r="H17" s="137" t="s">
        <v>157</v>
      </c>
      <c r="I17" s="137" t="s">
        <v>153</v>
      </c>
      <c r="J17" s="137" t="s">
        <v>38</v>
      </c>
      <c r="K17" s="137" t="s">
        <v>154</v>
      </c>
      <c r="L17" s="208">
        <v>1</v>
      </c>
      <c r="N17" s="208">
        <v>1</v>
      </c>
      <c r="O17" s="208">
        <v>0.75</v>
      </c>
      <c r="P17" s="208">
        <v>0.6</v>
      </c>
      <c r="Q17" s="245">
        <f t="shared" si="0"/>
        <v>0.67500000000000004</v>
      </c>
      <c r="R17" s="188">
        <v>15.7</v>
      </c>
      <c r="S17" s="188">
        <v>154</v>
      </c>
      <c r="T17" s="217">
        <f t="shared" si="1"/>
        <v>30</v>
      </c>
      <c r="U17" s="193">
        <v>158</v>
      </c>
      <c r="V17" s="184">
        <f t="shared" si="2"/>
        <v>4740</v>
      </c>
      <c r="W17" s="190">
        <v>3</v>
      </c>
      <c r="X17" s="186" t="s">
        <v>46</v>
      </c>
      <c r="Y17" s="194" t="s">
        <v>84</v>
      </c>
      <c r="Z17" s="194" t="s">
        <v>78</v>
      </c>
      <c r="AA17" s="195" t="s">
        <v>90</v>
      </c>
      <c r="AB17" s="55" t="s">
        <v>310</v>
      </c>
      <c r="AC17" s="235"/>
      <c r="AE17" s="223" t="s">
        <v>85</v>
      </c>
      <c r="AP17" s="239" t="s">
        <v>110</v>
      </c>
      <c r="AR17" s="238" t="s">
        <v>96</v>
      </c>
      <c r="AV17" s="224" t="s">
        <v>86</v>
      </c>
    </row>
    <row r="18" spans="1:48" x14ac:dyDescent="0.15">
      <c r="A18" s="177" t="s">
        <v>34</v>
      </c>
      <c r="B18" s="177" t="s">
        <v>308</v>
      </c>
      <c r="C18" s="177">
        <v>2018</v>
      </c>
      <c r="D18" s="179" t="s">
        <v>473</v>
      </c>
      <c r="E18" s="178" t="s">
        <v>270</v>
      </c>
      <c r="F18" s="177" t="s">
        <v>268</v>
      </c>
      <c r="G18" s="180" t="s">
        <v>36</v>
      </c>
      <c r="H18" s="137" t="s">
        <v>157</v>
      </c>
      <c r="I18" s="137" t="s">
        <v>153</v>
      </c>
      <c r="J18" s="137" t="s">
        <v>38</v>
      </c>
      <c r="K18" s="137" t="s">
        <v>154</v>
      </c>
      <c r="L18" s="208">
        <v>2</v>
      </c>
      <c r="N18" s="208">
        <v>1</v>
      </c>
      <c r="O18" s="208">
        <v>0.8</v>
      </c>
      <c r="P18" s="208">
        <v>0.75</v>
      </c>
      <c r="Q18" s="245">
        <f t="shared" si="0"/>
        <v>0.77500000000000002</v>
      </c>
      <c r="R18" s="188">
        <v>15.3</v>
      </c>
      <c r="S18" s="188">
        <v>153</v>
      </c>
      <c r="T18" s="217">
        <f t="shared" si="1"/>
        <v>30</v>
      </c>
      <c r="U18" s="193">
        <v>158</v>
      </c>
      <c r="V18" s="184">
        <f t="shared" si="2"/>
        <v>4740</v>
      </c>
      <c r="W18" s="190">
        <v>3</v>
      </c>
      <c r="X18" s="186" t="s">
        <v>46</v>
      </c>
      <c r="Y18" s="194" t="s">
        <v>84</v>
      </c>
      <c r="Z18" s="194" t="s">
        <v>78</v>
      </c>
      <c r="AA18" s="195" t="s">
        <v>90</v>
      </c>
      <c r="AB18" s="55" t="s">
        <v>310</v>
      </c>
      <c r="AC18" s="235"/>
      <c r="AE18" s="223" t="s">
        <v>87</v>
      </c>
      <c r="AP18" s="239" t="s">
        <v>111</v>
      </c>
      <c r="AR18" s="238" t="s">
        <v>101</v>
      </c>
      <c r="AV18" s="224" t="s">
        <v>88</v>
      </c>
    </row>
    <row r="19" spans="1:48" x14ac:dyDescent="0.15">
      <c r="A19" s="177" t="s">
        <v>34</v>
      </c>
      <c r="B19" s="177" t="s">
        <v>308</v>
      </c>
      <c r="C19" s="178">
        <v>2018</v>
      </c>
      <c r="D19" s="179" t="s">
        <v>473</v>
      </c>
      <c r="E19" s="178" t="s">
        <v>270</v>
      </c>
      <c r="F19" s="177" t="s">
        <v>268</v>
      </c>
      <c r="G19" s="180" t="s">
        <v>36</v>
      </c>
      <c r="H19" s="137" t="s">
        <v>157</v>
      </c>
      <c r="I19" s="137" t="s">
        <v>153</v>
      </c>
      <c r="J19" s="137" t="s">
        <v>38</v>
      </c>
      <c r="K19" s="137" t="s">
        <v>154</v>
      </c>
      <c r="L19" s="208">
        <v>3</v>
      </c>
      <c r="N19" s="208">
        <v>1</v>
      </c>
      <c r="O19" s="208">
        <v>0.65</v>
      </c>
      <c r="P19" s="208">
        <v>0.6</v>
      </c>
      <c r="Q19" s="245">
        <f t="shared" si="0"/>
        <v>0.625</v>
      </c>
      <c r="R19" s="188">
        <v>15.1</v>
      </c>
      <c r="S19" s="188">
        <v>150</v>
      </c>
      <c r="T19" s="217">
        <f t="shared" si="1"/>
        <v>30</v>
      </c>
      <c r="U19" s="193">
        <v>158</v>
      </c>
      <c r="V19" s="184">
        <f t="shared" si="2"/>
        <v>4740</v>
      </c>
      <c r="W19" s="190">
        <v>3</v>
      </c>
      <c r="X19" s="186" t="s">
        <v>46</v>
      </c>
      <c r="Y19" s="194" t="s">
        <v>84</v>
      </c>
      <c r="Z19" s="194" t="s">
        <v>78</v>
      </c>
      <c r="AA19" s="195" t="s">
        <v>90</v>
      </c>
      <c r="AB19" s="55" t="s">
        <v>310</v>
      </c>
      <c r="AC19" s="235"/>
      <c r="AE19" s="236" t="s">
        <v>89</v>
      </c>
      <c r="AP19" s="239" t="s">
        <v>112</v>
      </c>
      <c r="AR19" s="231" t="s">
        <v>126</v>
      </c>
      <c r="AV19" s="224" t="s">
        <v>90</v>
      </c>
    </row>
    <row r="20" spans="1:48" x14ac:dyDescent="0.15">
      <c r="A20" s="177" t="s">
        <v>34</v>
      </c>
      <c r="B20" s="177" t="s">
        <v>308</v>
      </c>
      <c r="C20" s="177">
        <v>2018</v>
      </c>
      <c r="D20" s="179" t="s">
        <v>473</v>
      </c>
      <c r="E20" s="178" t="s">
        <v>469</v>
      </c>
      <c r="F20" s="177" t="s">
        <v>489</v>
      </c>
      <c r="G20" s="180" t="s">
        <v>36</v>
      </c>
      <c r="H20" s="137" t="s">
        <v>155</v>
      </c>
      <c r="I20" s="137" t="s">
        <v>153</v>
      </c>
      <c r="J20" s="137" t="s">
        <v>38</v>
      </c>
      <c r="K20" s="137" t="s">
        <v>154</v>
      </c>
      <c r="L20" s="208">
        <v>1</v>
      </c>
      <c r="N20" s="208">
        <v>1</v>
      </c>
      <c r="O20" s="208">
        <v>0.8</v>
      </c>
      <c r="P20" s="208">
        <v>0.95</v>
      </c>
      <c r="Q20" s="245">
        <f t="shared" si="0"/>
        <v>0.875</v>
      </c>
      <c r="R20" s="188">
        <v>13.2</v>
      </c>
      <c r="S20" s="197">
        <v>117</v>
      </c>
      <c r="T20" s="217">
        <f t="shared" si="1"/>
        <v>30</v>
      </c>
      <c r="U20" s="193">
        <v>98</v>
      </c>
      <c r="V20" s="184">
        <f t="shared" si="2"/>
        <v>2940</v>
      </c>
      <c r="W20" s="190">
        <v>2</v>
      </c>
      <c r="X20" s="186" t="s">
        <v>46</v>
      </c>
      <c r="Y20" s="194" t="s">
        <v>90</v>
      </c>
      <c r="Z20" s="194" t="s">
        <v>50</v>
      </c>
      <c r="AA20" s="195" t="s">
        <v>69</v>
      </c>
      <c r="AB20" s="55" t="s">
        <v>310</v>
      </c>
      <c r="AE20" s="236"/>
      <c r="AP20" s="239" t="s">
        <v>113</v>
      </c>
      <c r="AR20" s="238" t="s">
        <v>105</v>
      </c>
      <c r="AV20" s="228" t="s">
        <v>340</v>
      </c>
    </row>
    <row r="21" spans="1:48" x14ac:dyDescent="0.15">
      <c r="A21" s="177" t="s">
        <v>34</v>
      </c>
      <c r="B21" s="177" t="s">
        <v>308</v>
      </c>
      <c r="C21" s="178">
        <v>2018</v>
      </c>
      <c r="D21" s="179" t="s">
        <v>473</v>
      </c>
      <c r="E21" s="178" t="s">
        <v>469</v>
      </c>
      <c r="F21" s="177" t="s">
        <v>489</v>
      </c>
      <c r="G21" s="180" t="s">
        <v>36</v>
      </c>
      <c r="H21" s="137" t="s">
        <v>155</v>
      </c>
      <c r="I21" s="137" t="s">
        <v>153</v>
      </c>
      <c r="J21" s="137" t="s">
        <v>38</v>
      </c>
      <c r="K21" s="137" t="s">
        <v>154</v>
      </c>
      <c r="L21" s="208">
        <v>2</v>
      </c>
      <c r="N21" s="208">
        <v>1</v>
      </c>
      <c r="O21" s="208">
        <v>0.65</v>
      </c>
      <c r="P21" s="208">
        <v>0.6</v>
      </c>
      <c r="Q21" s="245">
        <f t="shared" si="0"/>
        <v>0.625</v>
      </c>
      <c r="R21" s="197">
        <v>14.5</v>
      </c>
      <c r="S21" s="188">
        <v>117</v>
      </c>
      <c r="T21" s="217">
        <f t="shared" si="1"/>
        <v>30</v>
      </c>
      <c r="U21" s="193">
        <v>98</v>
      </c>
      <c r="V21" s="184">
        <f t="shared" si="2"/>
        <v>2940</v>
      </c>
      <c r="W21" s="190">
        <v>2</v>
      </c>
      <c r="X21" s="186" t="s">
        <v>46</v>
      </c>
      <c r="Y21" s="194" t="s">
        <v>90</v>
      </c>
      <c r="Z21" s="194" t="s">
        <v>50</v>
      </c>
      <c r="AA21" s="195" t="s">
        <v>69</v>
      </c>
      <c r="AB21" s="55" t="s">
        <v>310</v>
      </c>
      <c r="AE21" s="229"/>
      <c r="AP21" s="239" t="s">
        <v>114</v>
      </c>
      <c r="AR21" s="238" t="s">
        <v>68</v>
      </c>
      <c r="AV21" s="228" t="s">
        <v>341</v>
      </c>
    </row>
    <row r="22" spans="1:48" x14ac:dyDescent="0.15">
      <c r="A22" s="177" t="s">
        <v>34</v>
      </c>
      <c r="B22" s="177" t="s">
        <v>308</v>
      </c>
      <c r="C22" s="177">
        <v>2018</v>
      </c>
      <c r="D22" s="179" t="s">
        <v>473</v>
      </c>
      <c r="E22" s="178" t="s">
        <v>469</v>
      </c>
      <c r="F22" s="177" t="s">
        <v>489</v>
      </c>
      <c r="G22" s="180" t="s">
        <v>36</v>
      </c>
      <c r="H22" s="137" t="s">
        <v>155</v>
      </c>
      <c r="I22" s="137" t="s">
        <v>153</v>
      </c>
      <c r="J22" s="137" t="s">
        <v>38</v>
      </c>
      <c r="K22" s="137" t="s">
        <v>154</v>
      </c>
      <c r="L22" s="208">
        <v>3</v>
      </c>
      <c r="N22" s="208">
        <v>1</v>
      </c>
      <c r="O22" s="208">
        <v>0.65</v>
      </c>
      <c r="P22" s="235">
        <v>0.6</v>
      </c>
      <c r="Q22" s="245">
        <f t="shared" si="0"/>
        <v>0.625</v>
      </c>
      <c r="R22" s="188">
        <v>14.1</v>
      </c>
      <c r="S22" s="188">
        <v>127</v>
      </c>
      <c r="T22" s="217">
        <f t="shared" si="1"/>
        <v>30</v>
      </c>
      <c r="U22" s="193">
        <v>98</v>
      </c>
      <c r="V22" s="184">
        <f t="shared" si="2"/>
        <v>2940</v>
      </c>
      <c r="W22" s="190">
        <v>2</v>
      </c>
      <c r="X22" s="186" t="s">
        <v>46</v>
      </c>
      <c r="Y22" s="194" t="s">
        <v>90</v>
      </c>
      <c r="Z22" s="194" t="s">
        <v>50</v>
      </c>
      <c r="AA22" s="195" t="s">
        <v>69</v>
      </c>
      <c r="AB22" s="55" t="s">
        <v>310</v>
      </c>
      <c r="AP22" s="239" t="s">
        <v>115</v>
      </c>
      <c r="AR22" s="238" t="s">
        <v>83</v>
      </c>
      <c r="AV22" s="224"/>
    </row>
    <row r="23" spans="1:48" x14ac:dyDescent="0.15">
      <c r="A23" s="177" t="s">
        <v>34</v>
      </c>
      <c r="B23" s="177" t="s">
        <v>308</v>
      </c>
      <c r="C23" s="178">
        <v>2018</v>
      </c>
      <c r="D23" s="179" t="s">
        <v>473</v>
      </c>
      <c r="E23" s="178" t="s">
        <v>469</v>
      </c>
      <c r="F23" s="177" t="s">
        <v>489</v>
      </c>
      <c r="G23" s="180" t="s">
        <v>36</v>
      </c>
      <c r="H23" s="137" t="s">
        <v>157</v>
      </c>
      <c r="I23" s="137" t="s">
        <v>153</v>
      </c>
      <c r="J23" s="137" t="s">
        <v>38</v>
      </c>
      <c r="K23" s="137" t="s">
        <v>154</v>
      </c>
      <c r="L23" s="208">
        <v>1</v>
      </c>
      <c r="N23" s="208">
        <v>4</v>
      </c>
      <c r="O23" s="208">
        <v>0.5</v>
      </c>
      <c r="P23" s="235">
        <v>0.45</v>
      </c>
      <c r="Q23" s="245">
        <f t="shared" si="0"/>
        <v>0.47499999999999998</v>
      </c>
      <c r="R23" s="188">
        <v>13.9</v>
      </c>
      <c r="S23" s="188">
        <v>105</v>
      </c>
      <c r="T23" s="217">
        <f t="shared" si="1"/>
        <v>33</v>
      </c>
      <c r="U23" s="193">
        <v>458</v>
      </c>
      <c r="V23" s="184">
        <f t="shared" si="2"/>
        <v>3778.5</v>
      </c>
      <c r="W23" s="190">
        <v>2</v>
      </c>
      <c r="X23" s="186" t="s">
        <v>46</v>
      </c>
      <c r="Y23" s="194" t="s">
        <v>90</v>
      </c>
      <c r="Z23" s="194" t="s">
        <v>50</v>
      </c>
      <c r="AA23" s="195" t="s">
        <v>69</v>
      </c>
      <c r="AB23" s="55" t="s">
        <v>310</v>
      </c>
      <c r="AP23" s="239" t="s">
        <v>379</v>
      </c>
      <c r="AR23" s="238" t="s">
        <v>61</v>
      </c>
      <c r="AV23" s="224"/>
    </row>
    <row r="24" spans="1:48" x14ac:dyDescent="0.15">
      <c r="A24" s="177" t="s">
        <v>34</v>
      </c>
      <c r="B24" s="177" t="s">
        <v>308</v>
      </c>
      <c r="C24" s="177">
        <v>2018</v>
      </c>
      <c r="D24" s="179" t="s">
        <v>473</v>
      </c>
      <c r="E24" s="178" t="s">
        <v>469</v>
      </c>
      <c r="F24" s="177" t="s">
        <v>489</v>
      </c>
      <c r="G24" s="180" t="s">
        <v>36</v>
      </c>
      <c r="H24" s="137" t="s">
        <v>157</v>
      </c>
      <c r="I24" s="137" t="s">
        <v>153</v>
      </c>
      <c r="J24" s="137" t="s">
        <v>38</v>
      </c>
      <c r="K24" s="137" t="s">
        <v>154</v>
      </c>
      <c r="L24" s="208">
        <v>2</v>
      </c>
      <c r="N24" s="208">
        <v>4</v>
      </c>
      <c r="O24" s="208">
        <v>0.45</v>
      </c>
      <c r="P24" s="235">
        <v>0.55000000000000004</v>
      </c>
      <c r="Q24" s="245">
        <f t="shared" si="0"/>
        <v>0.5</v>
      </c>
      <c r="R24" s="188">
        <v>14.1</v>
      </c>
      <c r="S24" s="188">
        <v>103</v>
      </c>
      <c r="T24" s="217">
        <f t="shared" si="1"/>
        <v>33</v>
      </c>
      <c r="U24" s="193">
        <v>458</v>
      </c>
      <c r="V24" s="184">
        <f t="shared" si="2"/>
        <v>3778.5</v>
      </c>
      <c r="W24" s="190">
        <v>2</v>
      </c>
      <c r="X24" s="186" t="s">
        <v>46</v>
      </c>
      <c r="Y24" s="194" t="s">
        <v>90</v>
      </c>
      <c r="Z24" s="194" t="s">
        <v>50</v>
      </c>
      <c r="AA24" s="195" t="s">
        <v>69</v>
      </c>
      <c r="AB24" s="55" t="s">
        <v>310</v>
      </c>
      <c r="AP24" s="239" t="s">
        <v>380</v>
      </c>
      <c r="AR24" s="238" t="s">
        <v>91</v>
      </c>
      <c r="AV24" s="224"/>
    </row>
    <row r="25" spans="1:48" x14ac:dyDescent="0.15">
      <c r="A25" s="177" t="s">
        <v>34</v>
      </c>
      <c r="B25" s="177" t="s">
        <v>308</v>
      </c>
      <c r="C25" s="178">
        <v>2018</v>
      </c>
      <c r="D25" s="179" t="s">
        <v>473</v>
      </c>
      <c r="E25" s="178" t="s">
        <v>469</v>
      </c>
      <c r="F25" s="177" t="s">
        <v>489</v>
      </c>
      <c r="G25" s="180" t="s">
        <v>36</v>
      </c>
      <c r="H25" s="137" t="s">
        <v>157</v>
      </c>
      <c r="I25" s="137" t="s">
        <v>153</v>
      </c>
      <c r="J25" s="137" t="s">
        <v>38</v>
      </c>
      <c r="K25" s="137" t="s">
        <v>154</v>
      </c>
      <c r="L25" s="208">
        <v>3</v>
      </c>
      <c r="N25" s="208">
        <v>4</v>
      </c>
      <c r="O25" s="208">
        <v>0.5</v>
      </c>
      <c r="P25" s="235">
        <v>0.5</v>
      </c>
      <c r="Q25" s="245">
        <f t="shared" si="0"/>
        <v>0.5</v>
      </c>
      <c r="R25" s="188">
        <v>14.4</v>
      </c>
      <c r="S25" s="188">
        <v>103</v>
      </c>
      <c r="T25" s="217">
        <f t="shared" si="1"/>
        <v>33</v>
      </c>
      <c r="U25" s="193">
        <v>458</v>
      </c>
      <c r="V25" s="184">
        <f t="shared" si="2"/>
        <v>3778.5</v>
      </c>
      <c r="W25" s="190">
        <v>2</v>
      </c>
      <c r="X25" s="186" t="s">
        <v>46</v>
      </c>
      <c r="Y25" s="194" t="s">
        <v>90</v>
      </c>
      <c r="Z25" s="194" t="s">
        <v>50</v>
      </c>
      <c r="AA25" s="195" t="s">
        <v>69</v>
      </c>
      <c r="AB25" s="55" t="s">
        <v>310</v>
      </c>
      <c r="AP25" s="239" t="s">
        <v>116</v>
      </c>
      <c r="AR25" s="42" t="s">
        <v>92</v>
      </c>
      <c r="AV25" s="224"/>
    </row>
    <row r="26" spans="1:48" x14ac:dyDescent="0.15">
      <c r="A26" s="177" t="s">
        <v>34</v>
      </c>
      <c r="B26" s="177" t="s">
        <v>308</v>
      </c>
      <c r="C26" s="177">
        <v>2018</v>
      </c>
      <c r="D26" s="179" t="s">
        <v>473</v>
      </c>
      <c r="E26" s="178" t="s">
        <v>264</v>
      </c>
      <c r="F26" s="177" t="s">
        <v>265</v>
      </c>
      <c r="G26" s="180" t="s">
        <v>42</v>
      </c>
      <c r="H26" s="137" t="s">
        <v>155</v>
      </c>
      <c r="I26" s="137" t="s">
        <v>153</v>
      </c>
      <c r="J26" s="137" t="s">
        <v>38</v>
      </c>
      <c r="K26" s="137" t="s">
        <v>154</v>
      </c>
      <c r="L26" s="208">
        <v>1</v>
      </c>
      <c r="N26" s="208">
        <v>1</v>
      </c>
      <c r="O26" s="208">
        <v>0.6</v>
      </c>
      <c r="P26" s="237">
        <v>0.55000000000000004</v>
      </c>
      <c r="Q26" s="245">
        <f t="shared" si="0"/>
        <v>0.57499999999999996</v>
      </c>
      <c r="R26" s="188">
        <v>13.1</v>
      </c>
      <c r="S26" s="188">
        <v>147</v>
      </c>
      <c r="T26" s="217">
        <f t="shared" si="1"/>
        <v>30</v>
      </c>
      <c r="U26" s="193">
        <v>127</v>
      </c>
      <c r="V26" s="184">
        <f t="shared" si="2"/>
        <v>3810</v>
      </c>
      <c r="W26" s="190">
        <v>6</v>
      </c>
      <c r="X26" s="186" t="s">
        <v>46</v>
      </c>
      <c r="Y26" s="195" t="s">
        <v>84</v>
      </c>
      <c r="Z26" s="194" t="s">
        <v>90</v>
      </c>
      <c r="AA26" s="195" t="s">
        <v>50</v>
      </c>
      <c r="AB26" s="55" t="s">
        <v>310</v>
      </c>
      <c r="AP26" s="239" t="s">
        <v>117</v>
      </c>
      <c r="AR26" s="224" t="s">
        <v>273</v>
      </c>
      <c r="AV26" s="228"/>
    </row>
    <row r="27" spans="1:48" x14ac:dyDescent="0.15">
      <c r="A27" s="177" t="s">
        <v>34</v>
      </c>
      <c r="B27" s="177" t="s">
        <v>308</v>
      </c>
      <c r="C27" s="178">
        <v>2018</v>
      </c>
      <c r="D27" s="179" t="s">
        <v>473</v>
      </c>
      <c r="E27" s="178" t="s">
        <v>264</v>
      </c>
      <c r="F27" s="177" t="s">
        <v>265</v>
      </c>
      <c r="G27" s="180" t="s">
        <v>42</v>
      </c>
      <c r="H27" s="137" t="s">
        <v>155</v>
      </c>
      <c r="I27" s="137" t="s">
        <v>153</v>
      </c>
      <c r="J27" s="137" t="s">
        <v>38</v>
      </c>
      <c r="K27" s="137" t="s">
        <v>154</v>
      </c>
      <c r="L27" s="208">
        <v>2</v>
      </c>
      <c r="N27" s="208">
        <v>1</v>
      </c>
      <c r="O27" s="235">
        <v>0.55000000000000004</v>
      </c>
      <c r="P27" s="237">
        <v>0.5</v>
      </c>
      <c r="Q27" s="245">
        <f t="shared" si="0"/>
        <v>0.52500000000000002</v>
      </c>
      <c r="R27" s="188">
        <v>14</v>
      </c>
      <c r="S27" s="188">
        <v>137</v>
      </c>
      <c r="T27" s="217">
        <f t="shared" si="1"/>
        <v>30</v>
      </c>
      <c r="U27" s="193">
        <v>127</v>
      </c>
      <c r="V27" s="184">
        <f t="shared" si="2"/>
        <v>3810</v>
      </c>
      <c r="W27" s="190">
        <v>6</v>
      </c>
      <c r="X27" s="186" t="s">
        <v>46</v>
      </c>
      <c r="Y27" s="195" t="s">
        <v>84</v>
      </c>
      <c r="Z27" s="194" t="s">
        <v>90</v>
      </c>
      <c r="AA27" s="195" t="s">
        <v>50</v>
      </c>
      <c r="AB27" s="55" t="s">
        <v>310</v>
      </c>
      <c r="AP27" s="239" t="s">
        <v>118</v>
      </c>
      <c r="AR27" s="224"/>
    </row>
    <row r="28" spans="1:48" x14ac:dyDescent="0.15">
      <c r="A28" s="177" t="s">
        <v>34</v>
      </c>
      <c r="B28" s="177" t="s">
        <v>308</v>
      </c>
      <c r="C28" s="177">
        <v>2018</v>
      </c>
      <c r="D28" s="179" t="s">
        <v>473</v>
      </c>
      <c r="E28" s="178" t="s">
        <v>264</v>
      </c>
      <c r="F28" s="177" t="s">
        <v>265</v>
      </c>
      <c r="G28" s="180" t="s">
        <v>42</v>
      </c>
      <c r="H28" s="137" t="s">
        <v>155</v>
      </c>
      <c r="I28" s="137" t="s">
        <v>153</v>
      </c>
      <c r="J28" s="137" t="s">
        <v>38</v>
      </c>
      <c r="K28" s="137" t="s">
        <v>154</v>
      </c>
      <c r="L28" s="208">
        <v>3</v>
      </c>
      <c r="N28" s="208">
        <v>1</v>
      </c>
      <c r="O28" s="235">
        <v>0.6</v>
      </c>
      <c r="P28" s="208">
        <v>0.55000000000000004</v>
      </c>
      <c r="Q28" s="245">
        <f t="shared" si="0"/>
        <v>0.57499999999999996</v>
      </c>
      <c r="R28" s="188">
        <v>13.3</v>
      </c>
      <c r="S28" s="188">
        <v>138</v>
      </c>
      <c r="T28" s="217">
        <f t="shared" si="1"/>
        <v>30</v>
      </c>
      <c r="U28" s="193">
        <v>127</v>
      </c>
      <c r="V28" s="184">
        <f t="shared" si="2"/>
        <v>3810</v>
      </c>
      <c r="W28" s="190">
        <v>6</v>
      </c>
      <c r="X28" s="186" t="s">
        <v>46</v>
      </c>
      <c r="Y28" s="195" t="s">
        <v>84</v>
      </c>
      <c r="Z28" s="194" t="s">
        <v>90</v>
      </c>
      <c r="AA28" s="195" t="s">
        <v>50</v>
      </c>
      <c r="AB28" s="55" t="s">
        <v>310</v>
      </c>
      <c r="AR28" s="224"/>
    </row>
    <row r="29" spans="1:48" x14ac:dyDescent="0.15">
      <c r="A29" s="177" t="s">
        <v>34</v>
      </c>
      <c r="B29" s="177" t="s">
        <v>308</v>
      </c>
      <c r="C29" s="177">
        <v>2018</v>
      </c>
      <c r="D29" s="179" t="s">
        <v>473</v>
      </c>
      <c r="E29" s="178" t="s">
        <v>264</v>
      </c>
      <c r="F29" s="177" t="s">
        <v>265</v>
      </c>
      <c r="G29" s="180" t="s">
        <v>42</v>
      </c>
      <c r="H29" s="137" t="s">
        <v>157</v>
      </c>
      <c r="I29" s="137" t="s">
        <v>153</v>
      </c>
      <c r="J29" s="137" t="s">
        <v>38</v>
      </c>
      <c r="K29" s="137" t="s">
        <v>154</v>
      </c>
      <c r="L29" s="208">
        <v>1</v>
      </c>
      <c r="N29" s="208">
        <v>1</v>
      </c>
      <c r="O29" s="208">
        <v>0.5</v>
      </c>
      <c r="P29" s="208">
        <v>0.45</v>
      </c>
      <c r="Q29" s="245">
        <f t="shared" si="0"/>
        <v>0.47499999999999998</v>
      </c>
      <c r="R29" s="188">
        <v>15.4</v>
      </c>
      <c r="S29" s="188">
        <v>165</v>
      </c>
      <c r="T29" s="217">
        <f t="shared" si="1"/>
        <v>30</v>
      </c>
      <c r="U29" s="193">
        <v>127</v>
      </c>
      <c r="V29" s="184">
        <f t="shared" si="2"/>
        <v>3810</v>
      </c>
      <c r="W29" s="190">
        <v>6</v>
      </c>
      <c r="X29" s="186" t="s">
        <v>46</v>
      </c>
      <c r="Y29" s="195" t="s">
        <v>84</v>
      </c>
      <c r="Z29" s="194" t="s">
        <v>90</v>
      </c>
      <c r="AA29" s="195" t="s">
        <v>50</v>
      </c>
      <c r="AB29" s="55" t="s">
        <v>310</v>
      </c>
      <c r="AR29" s="229"/>
    </row>
    <row r="30" spans="1:48" x14ac:dyDescent="0.15">
      <c r="A30" s="177" t="s">
        <v>34</v>
      </c>
      <c r="B30" s="177" t="s">
        <v>308</v>
      </c>
      <c r="C30" s="178">
        <v>2018</v>
      </c>
      <c r="D30" s="179" t="s">
        <v>473</v>
      </c>
      <c r="E30" s="178" t="s">
        <v>264</v>
      </c>
      <c r="F30" s="177" t="s">
        <v>265</v>
      </c>
      <c r="G30" s="180" t="s">
        <v>42</v>
      </c>
      <c r="H30" s="137" t="s">
        <v>157</v>
      </c>
      <c r="I30" s="137" t="s">
        <v>153</v>
      </c>
      <c r="J30" s="137" t="s">
        <v>38</v>
      </c>
      <c r="K30" s="137" t="s">
        <v>154</v>
      </c>
      <c r="L30" s="208">
        <v>2</v>
      </c>
      <c r="N30" s="208">
        <v>1</v>
      </c>
      <c r="O30" s="208">
        <v>0.6</v>
      </c>
      <c r="P30" s="208">
        <v>0.55000000000000004</v>
      </c>
      <c r="Q30" s="245">
        <f t="shared" si="0"/>
        <v>0.57499999999999996</v>
      </c>
      <c r="R30" s="188">
        <v>14.7</v>
      </c>
      <c r="S30" s="188">
        <v>154</v>
      </c>
      <c r="T30" s="217">
        <f t="shared" si="1"/>
        <v>30</v>
      </c>
      <c r="U30" s="193">
        <v>127</v>
      </c>
      <c r="V30" s="184">
        <f t="shared" si="2"/>
        <v>3810</v>
      </c>
      <c r="W30" s="190">
        <v>6</v>
      </c>
      <c r="X30" s="186" t="s">
        <v>46</v>
      </c>
      <c r="Y30" s="195" t="s">
        <v>84</v>
      </c>
      <c r="Z30" s="194" t="s">
        <v>90</v>
      </c>
      <c r="AA30" s="195" t="s">
        <v>50</v>
      </c>
      <c r="AB30" s="55" t="s">
        <v>310</v>
      </c>
    </row>
    <row r="31" spans="1:48" x14ac:dyDescent="0.15">
      <c r="A31" s="177" t="s">
        <v>34</v>
      </c>
      <c r="B31" s="177" t="s">
        <v>308</v>
      </c>
      <c r="C31" s="177">
        <v>2018</v>
      </c>
      <c r="D31" s="179" t="s">
        <v>473</v>
      </c>
      <c r="E31" s="178" t="s">
        <v>264</v>
      </c>
      <c r="F31" s="177" t="s">
        <v>265</v>
      </c>
      <c r="G31" s="180" t="s">
        <v>42</v>
      </c>
      <c r="H31" s="137" t="s">
        <v>157</v>
      </c>
      <c r="I31" s="137" t="s">
        <v>153</v>
      </c>
      <c r="J31" s="137" t="s">
        <v>38</v>
      </c>
      <c r="K31" s="137" t="s">
        <v>154</v>
      </c>
      <c r="L31" s="208">
        <v>3</v>
      </c>
      <c r="N31" s="208">
        <v>1</v>
      </c>
      <c r="O31" s="208">
        <v>0.55000000000000004</v>
      </c>
      <c r="P31" s="208">
        <v>0.4</v>
      </c>
      <c r="Q31" s="245">
        <f t="shared" si="0"/>
        <v>0.47500000000000003</v>
      </c>
      <c r="R31" s="188">
        <v>14.6</v>
      </c>
      <c r="S31" s="188">
        <v>167</v>
      </c>
      <c r="T31" s="217">
        <f t="shared" si="1"/>
        <v>30</v>
      </c>
      <c r="U31" s="193">
        <v>127</v>
      </c>
      <c r="V31" s="184">
        <f t="shared" si="2"/>
        <v>3810</v>
      </c>
      <c r="W31" s="190">
        <v>6</v>
      </c>
      <c r="X31" s="186" t="s">
        <v>46</v>
      </c>
      <c r="Y31" s="195" t="s">
        <v>84</v>
      </c>
      <c r="Z31" s="194" t="s">
        <v>90</v>
      </c>
      <c r="AA31" s="195" t="s">
        <v>50</v>
      </c>
      <c r="AB31" s="55" t="s">
        <v>310</v>
      </c>
    </row>
    <row r="32" spans="1:48" ht="14.25" customHeight="1" x14ac:dyDescent="0.15">
      <c r="A32" s="177" t="s">
        <v>34</v>
      </c>
      <c r="B32" s="177" t="s">
        <v>308</v>
      </c>
      <c r="C32" s="178">
        <v>2018</v>
      </c>
      <c r="D32" s="179" t="s">
        <v>473</v>
      </c>
      <c r="E32" s="178" t="s">
        <v>490</v>
      </c>
      <c r="F32" s="177" t="s">
        <v>265</v>
      </c>
      <c r="G32" s="180" t="s">
        <v>42</v>
      </c>
      <c r="H32" s="137" t="s">
        <v>155</v>
      </c>
      <c r="I32" s="137" t="s">
        <v>153</v>
      </c>
      <c r="J32" s="137" t="s">
        <v>38</v>
      </c>
      <c r="K32" s="137" t="s">
        <v>154</v>
      </c>
      <c r="L32" s="208">
        <v>1</v>
      </c>
      <c r="N32" s="208">
        <v>1</v>
      </c>
      <c r="O32" s="208">
        <v>0.75</v>
      </c>
      <c r="P32" s="208">
        <v>0.65</v>
      </c>
      <c r="Q32" s="245">
        <f t="shared" si="0"/>
        <v>0.7</v>
      </c>
      <c r="R32" s="188">
        <v>14.7</v>
      </c>
      <c r="S32" s="188">
        <v>136</v>
      </c>
      <c r="T32" s="217">
        <f t="shared" si="1"/>
        <v>30</v>
      </c>
      <c r="U32" s="193">
        <v>99</v>
      </c>
      <c r="V32" s="184">
        <f t="shared" si="2"/>
        <v>2970</v>
      </c>
      <c r="W32" s="190">
        <v>2</v>
      </c>
      <c r="X32" s="186" t="s">
        <v>46</v>
      </c>
      <c r="Y32" s="195" t="s">
        <v>50</v>
      </c>
      <c r="Z32" s="194" t="s">
        <v>90</v>
      </c>
      <c r="AA32" s="194" t="s">
        <v>78</v>
      </c>
      <c r="AB32" s="55" t="s">
        <v>310</v>
      </c>
    </row>
    <row r="33" spans="1:28" x14ac:dyDescent="0.15">
      <c r="A33" s="177" t="s">
        <v>34</v>
      </c>
      <c r="B33" s="177" t="s">
        <v>308</v>
      </c>
      <c r="C33" s="177">
        <v>2018</v>
      </c>
      <c r="D33" s="179" t="s">
        <v>473</v>
      </c>
      <c r="E33" s="178" t="s">
        <v>490</v>
      </c>
      <c r="F33" s="177" t="s">
        <v>265</v>
      </c>
      <c r="G33" s="180" t="s">
        <v>42</v>
      </c>
      <c r="H33" s="137" t="s">
        <v>155</v>
      </c>
      <c r="I33" s="137" t="s">
        <v>153</v>
      </c>
      <c r="J33" s="137" t="s">
        <v>38</v>
      </c>
      <c r="K33" s="137" t="s">
        <v>154</v>
      </c>
      <c r="L33" s="208">
        <v>2</v>
      </c>
      <c r="N33" s="208">
        <v>1</v>
      </c>
      <c r="O33" s="208">
        <v>0.9</v>
      </c>
      <c r="P33" s="208">
        <v>0.95</v>
      </c>
      <c r="Q33" s="245">
        <f t="shared" si="0"/>
        <v>0.92500000000000004</v>
      </c>
      <c r="R33" s="188">
        <v>12.8</v>
      </c>
      <c r="S33" s="188">
        <v>133</v>
      </c>
      <c r="T33" s="217">
        <f t="shared" si="1"/>
        <v>30</v>
      </c>
      <c r="U33" s="193">
        <v>99</v>
      </c>
      <c r="V33" s="184">
        <f t="shared" si="2"/>
        <v>2970</v>
      </c>
      <c r="W33" s="190">
        <v>2</v>
      </c>
      <c r="X33" s="186" t="s">
        <v>46</v>
      </c>
      <c r="Y33" s="195" t="s">
        <v>50</v>
      </c>
      <c r="Z33" s="194" t="s">
        <v>90</v>
      </c>
      <c r="AA33" s="194" t="s">
        <v>78</v>
      </c>
      <c r="AB33" s="55" t="s">
        <v>310</v>
      </c>
    </row>
    <row r="34" spans="1:28" x14ac:dyDescent="0.15">
      <c r="A34" s="177" t="s">
        <v>34</v>
      </c>
      <c r="B34" s="177" t="s">
        <v>308</v>
      </c>
      <c r="C34" s="178">
        <v>2018</v>
      </c>
      <c r="D34" s="179" t="s">
        <v>473</v>
      </c>
      <c r="E34" s="178" t="s">
        <v>490</v>
      </c>
      <c r="F34" s="177" t="s">
        <v>265</v>
      </c>
      <c r="G34" s="180" t="s">
        <v>42</v>
      </c>
      <c r="H34" s="137" t="s">
        <v>155</v>
      </c>
      <c r="I34" s="137" t="s">
        <v>153</v>
      </c>
      <c r="J34" s="137" t="s">
        <v>38</v>
      </c>
      <c r="K34" s="137" t="s">
        <v>154</v>
      </c>
      <c r="L34" s="208">
        <v>3</v>
      </c>
      <c r="N34" s="208">
        <v>1</v>
      </c>
      <c r="O34" s="208">
        <v>0.85</v>
      </c>
      <c r="P34" s="235">
        <v>0.75</v>
      </c>
      <c r="Q34" s="245">
        <f t="shared" si="0"/>
        <v>0.8</v>
      </c>
      <c r="R34" s="188">
        <v>13.5</v>
      </c>
      <c r="S34" s="188">
        <v>132</v>
      </c>
      <c r="T34" s="217">
        <f t="shared" si="1"/>
        <v>30</v>
      </c>
      <c r="U34" s="193">
        <v>99</v>
      </c>
      <c r="V34" s="184">
        <f t="shared" si="2"/>
        <v>2970</v>
      </c>
      <c r="W34" s="190">
        <v>2</v>
      </c>
      <c r="X34" s="186" t="s">
        <v>46</v>
      </c>
      <c r="Y34" s="195" t="s">
        <v>50</v>
      </c>
      <c r="Z34" s="194" t="s">
        <v>90</v>
      </c>
      <c r="AA34" s="194" t="s">
        <v>78</v>
      </c>
      <c r="AB34" s="55" t="s">
        <v>310</v>
      </c>
    </row>
    <row r="35" spans="1:28" x14ac:dyDescent="0.15">
      <c r="A35" s="177" t="s">
        <v>34</v>
      </c>
      <c r="B35" s="177" t="s">
        <v>308</v>
      </c>
      <c r="C35" s="177">
        <v>2018</v>
      </c>
      <c r="D35" s="179" t="s">
        <v>473</v>
      </c>
      <c r="E35" s="178" t="s">
        <v>490</v>
      </c>
      <c r="F35" s="177" t="s">
        <v>265</v>
      </c>
      <c r="G35" s="180" t="s">
        <v>42</v>
      </c>
      <c r="H35" s="137" t="s">
        <v>157</v>
      </c>
      <c r="I35" s="137" t="s">
        <v>153</v>
      </c>
      <c r="J35" s="137" t="s">
        <v>38</v>
      </c>
      <c r="K35" s="137" t="s">
        <v>154</v>
      </c>
      <c r="L35" s="208">
        <v>1</v>
      </c>
      <c r="N35" s="208">
        <v>1</v>
      </c>
      <c r="O35" s="208">
        <v>1</v>
      </c>
      <c r="P35" s="208">
        <v>0.9</v>
      </c>
      <c r="Q35" s="245">
        <f t="shared" si="0"/>
        <v>0.95</v>
      </c>
      <c r="R35" s="188">
        <v>17</v>
      </c>
      <c r="S35" s="188">
        <v>145</v>
      </c>
      <c r="T35" s="217">
        <f t="shared" si="1"/>
        <v>30</v>
      </c>
      <c r="U35" s="193">
        <v>99</v>
      </c>
      <c r="V35" s="184">
        <f t="shared" si="2"/>
        <v>2970</v>
      </c>
      <c r="W35" s="190">
        <v>2</v>
      </c>
      <c r="X35" s="186" t="s">
        <v>46</v>
      </c>
      <c r="Y35" s="194" t="s">
        <v>50</v>
      </c>
      <c r="Z35" s="194" t="s">
        <v>90</v>
      </c>
      <c r="AA35" s="194" t="s">
        <v>78</v>
      </c>
      <c r="AB35" s="55" t="s">
        <v>310</v>
      </c>
    </row>
    <row r="36" spans="1:28" x14ac:dyDescent="0.15">
      <c r="A36" s="177" t="s">
        <v>34</v>
      </c>
      <c r="B36" s="177" t="s">
        <v>308</v>
      </c>
      <c r="C36" s="178">
        <v>2018</v>
      </c>
      <c r="D36" s="179" t="s">
        <v>473</v>
      </c>
      <c r="E36" s="178" t="s">
        <v>490</v>
      </c>
      <c r="F36" s="177" t="s">
        <v>265</v>
      </c>
      <c r="G36" s="180" t="s">
        <v>42</v>
      </c>
      <c r="H36" s="137" t="s">
        <v>157</v>
      </c>
      <c r="I36" s="137" t="s">
        <v>153</v>
      </c>
      <c r="J36" s="137" t="s">
        <v>38</v>
      </c>
      <c r="K36" s="137" t="s">
        <v>154</v>
      </c>
      <c r="L36" s="208">
        <v>2</v>
      </c>
      <c r="N36" s="208">
        <v>1</v>
      </c>
      <c r="O36" s="208">
        <v>0.85</v>
      </c>
      <c r="P36" s="208">
        <v>0.8</v>
      </c>
      <c r="Q36" s="245">
        <f t="shared" si="0"/>
        <v>0.82499999999999996</v>
      </c>
      <c r="R36" s="188">
        <v>16.5</v>
      </c>
      <c r="S36" s="188">
        <v>142</v>
      </c>
      <c r="T36" s="217">
        <f t="shared" si="1"/>
        <v>30</v>
      </c>
      <c r="U36" s="193">
        <v>99</v>
      </c>
      <c r="V36" s="184">
        <f t="shared" si="2"/>
        <v>2970</v>
      </c>
      <c r="W36" s="190">
        <v>2</v>
      </c>
      <c r="X36" s="186" t="s">
        <v>46</v>
      </c>
      <c r="Y36" s="194" t="s">
        <v>50</v>
      </c>
      <c r="Z36" s="194" t="s">
        <v>90</v>
      </c>
      <c r="AA36" s="194" t="s">
        <v>78</v>
      </c>
      <c r="AB36" s="55" t="s">
        <v>310</v>
      </c>
    </row>
    <row r="37" spans="1:28" x14ac:dyDescent="0.15">
      <c r="A37" s="177" t="s">
        <v>34</v>
      </c>
      <c r="B37" s="177" t="s">
        <v>308</v>
      </c>
      <c r="C37" s="177">
        <v>2018</v>
      </c>
      <c r="D37" s="179" t="s">
        <v>473</v>
      </c>
      <c r="E37" s="178" t="s">
        <v>490</v>
      </c>
      <c r="F37" s="177" t="s">
        <v>265</v>
      </c>
      <c r="G37" s="180" t="s">
        <v>42</v>
      </c>
      <c r="H37" s="137" t="s">
        <v>157</v>
      </c>
      <c r="I37" s="137" t="s">
        <v>153</v>
      </c>
      <c r="J37" s="137" t="s">
        <v>38</v>
      </c>
      <c r="K37" s="137" t="s">
        <v>154</v>
      </c>
      <c r="L37" s="208">
        <v>3</v>
      </c>
      <c r="N37" s="208">
        <v>1</v>
      </c>
      <c r="O37" s="208">
        <v>0.8</v>
      </c>
      <c r="P37" s="208">
        <v>0.85</v>
      </c>
      <c r="Q37" s="245">
        <f t="shared" si="0"/>
        <v>0.82499999999999996</v>
      </c>
      <c r="R37" s="188">
        <v>16.8</v>
      </c>
      <c r="S37" s="188">
        <v>141</v>
      </c>
      <c r="T37" s="217">
        <f t="shared" si="1"/>
        <v>30</v>
      </c>
      <c r="U37" s="193">
        <v>99</v>
      </c>
      <c r="V37" s="184">
        <f t="shared" si="2"/>
        <v>2970</v>
      </c>
      <c r="W37" s="190">
        <v>2</v>
      </c>
      <c r="X37" s="186" t="s">
        <v>46</v>
      </c>
      <c r="Y37" s="194" t="s">
        <v>50</v>
      </c>
      <c r="Z37" s="194" t="s">
        <v>90</v>
      </c>
      <c r="AA37" s="194" t="s">
        <v>78</v>
      </c>
      <c r="AB37" s="55" t="s">
        <v>310</v>
      </c>
    </row>
    <row r="38" spans="1:28" x14ac:dyDescent="0.15">
      <c r="A38" s="177" t="s">
        <v>34</v>
      </c>
      <c r="B38" s="177" t="s">
        <v>308</v>
      </c>
      <c r="C38" s="178">
        <v>2018</v>
      </c>
      <c r="D38" s="179" t="s">
        <v>473</v>
      </c>
      <c r="E38" s="178" t="s">
        <v>264</v>
      </c>
      <c r="F38" s="177" t="s">
        <v>272</v>
      </c>
      <c r="G38" s="180" t="s">
        <v>42</v>
      </c>
      <c r="H38" s="137" t="s">
        <v>155</v>
      </c>
      <c r="I38" s="137" t="s">
        <v>153</v>
      </c>
      <c r="J38" s="137" t="s">
        <v>38</v>
      </c>
      <c r="K38" s="137" t="s">
        <v>154</v>
      </c>
      <c r="L38" s="208">
        <v>1</v>
      </c>
      <c r="N38" s="208">
        <v>1</v>
      </c>
      <c r="O38" s="208">
        <v>0.55000000000000004</v>
      </c>
      <c r="P38" s="208">
        <v>0.6</v>
      </c>
      <c r="Q38" s="245">
        <f t="shared" si="0"/>
        <v>0.57499999999999996</v>
      </c>
      <c r="R38" s="188">
        <v>13.4</v>
      </c>
      <c r="S38" s="188">
        <v>136</v>
      </c>
      <c r="T38" s="217">
        <f t="shared" si="1"/>
        <v>30</v>
      </c>
      <c r="U38" s="193">
        <v>127</v>
      </c>
      <c r="V38" s="184">
        <f t="shared" si="2"/>
        <v>3810</v>
      </c>
      <c r="W38" s="190">
        <v>6</v>
      </c>
      <c r="X38" s="186" t="s">
        <v>46</v>
      </c>
      <c r="Y38" s="194" t="s">
        <v>84</v>
      </c>
      <c r="Z38" s="194" t="s">
        <v>78</v>
      </c>
      <c r="AA38" s="194" t="s">
        <v>69</v>
      </c>
      <c r="AB38" s="55" t="s">
        <v>310</v>
      </c>
    </row>
    <row r="39" spans="1:28" x14ac:dyDescent="0.15">
      <c r="A39" s="177" t="s">
        <v>34</v>
      </c>
      <c r="B39" s="177" t="s">
        <v>308</v>
      </c>
      <c r="C39" s="177">
        <v>2018</v>
      </c>
      <c r="D39" s="179" t="s">
        <v>473</v>
      </c>
      <c r="E39" s="178" t="s">
        <v>264</v>
      </c>
      <c r="F39" s="177" t="s">
        <v>272</v>
      </c>
      <c r="G39" s="180" t="s">
        <v>42</v>
      </c>
      <c r="H39" s="137" t="s">
        <v>155</v>
      </c>
      <c r="I39" s="137" t="s">
        <v>153</v>
      </c>
      <c r="J39" s="137" t="s">
        <v>38</v>
      </c>
      <c r="K39" s="137" t="s">
        <v>154</v>
      </c>
      <c r="L39" s="208">
        <v>2</v>
      </c>
      <c r="N39" s="208">
        <v>1</v>
      </c>
      <c r="O39" s="208">
        <v>0.6</v>
      </c>
      <c r="P39" s="208">
        <v>0.5</v>
      </c>
      <c r="Q39" s="245">
        <f t="shared" si="0"/>
        <v>0.55000000000000004</v>
      </c>
      <c r="R39" s="188">
        <v>15</v>
      </c>
      <c r="S39" s="188">
        <v>143</v>
      </c>
      <c r="T39" s="217">
        <f t="shared" si="1"/>
        <v>30</v>
      </c>
      <c r="U39" s="193">
        <v>127</v>
      </c>
      <c r="V39" s="184">
        <f t="shared" si="2"/>
        <v>3810</v>
      </c>
      <c r="W39" s="190">
        <v>6</v>
      </c>
      <c r="X39" s="186" t="s">
        <v>46</v>
      </c>
      <c r="Y39" s="194" t="s">
        <v>84</v>
      </c>
      <c r="Z39" s="194" t="s">
        <v>78</v>
      </c>
      <c r="AA39" s="194" t="s">
        <v>69</v>
      </c>
      <c r="AB39" s="55" t="s">
        <v>310</v>
      </c>
    </row>
    <row r="40" spans="1:28" ht="12.75" customHeight="1" x14ac:dyDescent="0.15">
      <c r="A40" s="177" t="s">
        <v>34</v>
      </c>
      <c r="B40" s="177" t="s">
        <v>308</v>
      </c>
      <c r="C40" s="178">
        <v>2018</v>
      </c>
      <c r="D40" s="179" t="s">
        <v>473</v>
      </c>
      <c r="E40" s="178" t="s">
        <v>264</v>
      </c>
      <c r="F40" s="177" t="s">
        <v>272</v>
      </c>
      <c r="G40" s="180" t="s">
        <v>42</v>
      </c>
      <c r="H40" s="137" t="s">
        <v>155</v>
      </c>
      <c r="I40" s="137" t="s">
        <v>153</v>
      </c>
      <c r="J40" s="137" t="s">
        <v>38</v>
      </c>
      <c r="K40" s="137" t="s">
        <v>154</v>
      </c>
      <c r="L40" s="208">
        <v>3</v>
      </c>
      <c r="N40" s="208">
        <v>1</v>
      </c>
      <c r="O40" s="208">
        <v>0.6</v>
      </c>
      <c r="P40" s="208">
        <v>0.5</v>
      </c>
      <c r="Q40" s="245">
        <f t="shared" si="0"/>
        <v>0.55000000000000004</v>
      </c>
      <c r="R40" s="188">
        <v>14.4</v>
      </c>
      <c r="S40" s="188">
        <v>139</v>
      </c>
      <c r="T40" s="217">
        <f t="shared" si="1"/>
        <v>30</v>
      </c>
      <c r="U40" s="193">
        <v>127</v>
      </c>
      <c r="V40" s="184">
        <f t="shared" si="2"/>
        <v>3810</v>
      </c>
      <c r="W40" s="190">
        <v>6</v>
      </c>
      <c r="X40" s="186" t="s">
        <v>46</v>
      </c>
      <c r="Y40" s="194" t="s">
        <v>84</v>
      </c>
      <c r="Z40" s="194" t="s">
        <v>78</v>
      </c>
      <c r="AA40" s="194" t="s">
        <v>69</v>
      </c>
      <c r="AB40" s="55" t="s">
        <v>310</v>
      </c>
    </row>
    <row r="41" spans="1:28" ht="12.75" customHeight="1" x14ac:dyDescent="0.15">
      <c r="A41" s="137" t="s">
        <v>34</v>
      </c>
      <c r="B41" s="177" t="s">
        <v>308</v>
      </c>
      <c r="C41" s="178">
        <v>2018</v>
      </c>
      <c r="D41" s="179" t="s">
        <v>473</v>
      </c>
      <c r="E41" s="178" t="s">
        <v>264</v>
      </c>
      <c r="F41" s="177" t="s">
        <v>272</v>
      </c>
      <c r="G41" s="180" t="s">
        <v>42</v>
      </c>
      <c r="H41" s="137" t="s">
        <v>157</v>
      </c>
      <c r="I41" s="137" t="s">
        <v>153</v>
      </c>
      <c r="J41" s="137" t="s">
        <v>38</v>
      </c>
      <c r="K41" s="137" t="s">
        <v>154</v>
      </c>
      <c r="L41" s="208">
        <v>1</v>
      </c>
      <c r="N41" s="208">
        <v>1</v>
      </c>
      <c r="O41" s="208">
        <v>0.65</v>
      </c>
      <c r="P41" s="208">
        <v>0.6</v>
      </c>
      <c r="Q41" s="245">
        <f t="shared" si="0"/>
        <v>0.625</v>
      </c>
      <c r="R41" s="188">
        <v>14.5</v>
      </c>
      <c r="S41" s="188">
        <v>175</v>
      </c>
      <c r="T41" s="217">
        <f t="shared" si="1"/>
        <v>30</v>
      </c>
      <c r="U41" s="193">
        <v>127</v>
      </c>
      <c r="V41" s="184">
        <f t="shared" si="2"/>
        <v>3810</v>
      </c>
      <c r="W41" s="247">
        <v>6</v>
      </c>
      <c r="X41" s="186" t="s">
        <v>46</v>
      </c>
      <c r="Y41" s="198" t="s">
        <v>84</v>
      </c>
      <c r="Z41" s="198" t="s">
        <v>78</v>
      </c>
      <c r="AA41" s="198" t="s">
        <v>69</v>
      </c>
      <c r="AB41" s="55" t="s">
        <v>310</v>
      </c>
    </row>
    <row r="42" spans="1:28" ht="12.75" customHeight="1" x14ac:dyDescent="0.15">
      <c r="A42" s="137" t="s">
        <v>34</v>
      </c>
      <c r="B42" s="177" t="s">
        <v>308</v>
      </c>
      <c r="C42" s="178">
        <v>2018</v>
      </c>
      <c r="D42" s="179" t="s">
        <v>473</v>
      </c>
      <c r="E42" s="178" t="s">
        <v>264</v>
      </c>
      <c r="F42" s="177" t="s">
        <v>272</v>
      </c>
      <c r="G42" s="180" t="s">
        <v>42</v>
      </c>
      <c r="H42" s="137" t="s">
        <v>157</v>
      </c>
      <c r="I42" s="137" t="s">
        <v>153</v>
      </c>
      <c r="J42" s="137" t="s">
        <v>38</v>
      </c>
      <c r="K42" s="137" t="s">
        <v>154</v>
      </c>
      <c r="L42" s="208">
        <v>2</v>
      </c>
      <c r="N42" s="208">
        <v>1</v>
      </c>
      <c r="O42" s="208">
        <v>0.5</v>
      </c>
      <c r="P42" s="208">
        <v>0.55000000000000004</v>
      </c>
      <c r="Q42" s="245">
        <f t="shared" si="0"/>
        <v>0.52500000000000002</v>
      </c>
      <c r="R42" s="188">
        <v>14.8</v>
      </c>
      <c r="S42" s="188">
        <v>159</v>
      </c>
      <c r="T42" s="217">
        <f t="shared" si="1"/>
        <v>30</v>
      </c>
      <c r="U42" s="193">
        <v>127</v>
      </c>
      <c r="V42" s="184">
        <f t="shared" si="2"/>
        <v>3810</v>
      </c>
      <c r="W42" s="247">
        <v>6</v>
      </c>
      <c r="X42" s="186" t="s">
        <v>46</v>
      </c>
      <c r="Y42" s="198" t="s">
        <v>84</v>
      </c>
      <c r="Z42" s="198" t="s">
        <v>78</v>
      </c>
      <c r="AA42" s="198" t="s">
        <v>69</v>
      </c>
      <c r="AB42" s="55" t="s">
        <v>310</v>
      </c>
    </row>
    <row r="43" spans="1:28" ht="12.75" customHeight="1" x14ac:dyDescent="0.15">
      <c r="A43" s="137" t="s">
        <v>34</v>
      </c>
      <c r="B43" s="177" t="s">
        <v>308</v>
      </c>
      <c r="C43" s="178">
        <v>2018</v>
      </c>
      <c r="D43" s="179" t="s">
        <v>473</v>
      </c>
      <c r="E43" s="178" t="s">
        <v>264</v>
      </c>
      <c r="F43" s="177" t="s">
        <v>272</v>
      </c>
      <c r="G43" s="180" t="s">
        <v>42</v>
      </c>
      <c r="H43" s="137" t="s">
        <v>157</v>
      </c>
      <c r="I43" s="137" t="s">
        <v>153</v>
      </c>
      <c r="J43" s="137" t="s">
        <v>38</v>
      </c>
      <c r="K43" s="137" t="s">
        <v>154</v>
      </c>
      <c r="L43" s="208">
        <v>3</v>
      </c>
      <c r="N43" s="208">
        <v>1</v>
      </c>
      <c r="O43" s="208">
        <v>0.55000000000000004</v>
      </c>
      <c r="P43" s="208">
        <v>0.6</v>
      </c>
      <c r="Q43" s="245">
        <f t="shared" si="0"/>
        <v>0.57499999999999996</v>
      </c>
      <c r="R43" s="188">
        <v>14.7</v>
      </c>
      <c r="S43" s="188">
        <v>152</v>
      </c>
      <c r="T43" s="217">
        <f t="shared" si="1"/>
        <v>30</v>
      </c>
      <c r="U43" s="193">
        <v>127</v>
      </c>
      <c r="V43" s="184">
        <f t="shared" si="2"/>
        <v>3810</v>
      </c>
      <c r="W43" s="247">
        <v>6</v>
      </c>
      <c r="X43" s="186" t="s">
        <v>46</v>
      </c>
      <c r="Y43" s="198" t="s">
        <v>84</v>
      </c>
      <c r="Z43" s="198" t="s">
        <v>78</v>
      </c>
      <c r="AA43" s="198" t="s">
        <v>69</v>
      </c>
      <c r="AB43" s="55" t="s">
        <v>310</v>
      </c>
    </row>
    <row r="44" spans="1:28" x14ac:dyDescent="0.15">
      <c r="A44" s="208" t="s">
        <v>34</v>
      </c>
      <c r="B44" s="177" t="s">
        <v>308</v>
      </c>
      <c r="C44" s="178">
        <v>2018</v>
      </c>
      <c r="D44" s="179" t="s">
        <v>473</v>
      </c>
      <c r="E44" s="178" t="s">
        <v>139</v>
      </c>
      <c r="F44" s="177" t="s">
        <v>272</v>
      </c>
      <c r="G44" s="180" t="s">
        <v>36</v>
      </c>
      <c r="H44" s="137" t="s">
        <v>155</v>
      </c>
      <c r="I44" s="137" t="s">
        <v>153</v>
      </c>
      <c r="J44" s="247" t="s">
        <v>38</v>
      </c>
      <c r="K44" s="137" t="s">
        <v>154</v>
      </c>
      <c r="L44" s="208">
        <v>1</v>
      </c>
      <c r="N44" s="208">
        <v>1</v>
      </c>
      <c r="O44" s="208">
        <v>0.75</v>
      </c>
      <c r="P44" s="208">
        <v>0.7</v>
      </c>
      <c r="Q44" s="245">
        <f t="shared" si="0"/>
        <v>0.72499999999999998</v>
      </c>
      <c r="R44" s="188">
        <v>14.6</v>
      </c>
      <c r="S44" s="188">
        <v>145</v>
      </c>
      <c r="T44" s="217">
        <f t="shared" si="1"/>
        <v>30</v>
      </c>
      <c r="U44" s="193">
        <v>128</v>
      </c>
      <c r="V44" s="217">
        <f t="shared" si="2"/>
        <v>3840</v>
      </c>
      <c r="W44" s="208">
        <v>9</v>
      </c>
      <c r="X44" s="186" t="s">
        <v>46</v>
      </c>
      <c r="Y44" s="198" t="s">
        <v>69</v>
      </c>
      <c r="Z44" s="198" t="s">
        <v>90</v>
      </c>
      <c r="AA44" s="198" t="s">
        <v>78</v>
      </c>
      <c r="AB44" s="55" t="s">
        <v>310</v>
      </c>
    </row>
    <row r="45" spans="1:28" x14ac:dyDescent="0.15">
      <c r="A45" s="208" t="s">
        <v>34</v>
      </c>
      <c r="B45" s="177" t="s">
        <v>308</v>
      </c>
      <c r="C45" s="177">
        <v>2018</v>
      </c>
      <c r="D45" s="179" t="s">
        <v>473</v>
      </c>
      <c r="E45" s="178" t="s">
        <v>139</v>
      </c>
      <c r="F45" s="177" t="s">
        <v>272</v>
      </c>
      <c r="G45" s="180" t="s">
        <v>36</v>
      </c>
      <c r="H45" s="137" t="s">
        <v>155</v>
      </c>
      <c r="I45" s="137" t="s">
        <v>153</v>
      </c>
      <c r="J45" s="247" t="s">
        <v>38</v>
      </c>
      <c r="K45" s="137" t="s">
        <v>154</v>
      </c>
      <c r="L45" s="208">
        <v>2</v>
      </c>
      <c r="N45" s="208">
        <v>1</v>
      </c>
      <c r="O45" s="208">
        <v>0.6</v>
      </c>
      <c r="P45" s="208">
        <v>0.65</v>
      </c>
      <c r="Q45" s="245">
        <f t="shared" si="0"/>
        <v>0.625</v>
      </c>
      <c r="R45" s="188">
        <v>14.7</v>
      </c>
      <c r="S45" s="188">
        <v>144</v>
      </c>
      <c r="T45" s="217">
        <f t="shared" si="1"/>
        <v>30</v>
      </c>
      <c r="U45" s="193">
        <v>128</v>
      </c>
      <c r="V45" s="217">
        <f t="shared" si="2"/>
        <v>3840</v>
      </c>
      <c r="W45" s="208">
        <v>9</v>
      </c>
      <c r="X45" s="186" t="s">
        <v>46</v>
      </c>
      <c r="Y45" s="198" t="s">
        <v>69</v>
      </c>
      <c r="Z45" s="198" t="s">
        <v>90</v>
      </c>
      <c r="AA45" s="198" t="s">
        <v>78</v>
      </c>
      <c r="AB45" s="55" t="s">
        <v>310</v>
      </c>
    </row>
    <row r="46" spans="1:28" x14ac:dyDescent="0.15">
      <c r="A46" s="208" t="s">
        <v>34</v>
      </c>
      <c r="B46" s="177" t="s">
        <v>308</v>
      </c>
      <c r="C46" s="178">
        <v>2018</v>
      </c>
      <c r="D46" s="179" t="s">
        <v>473</v>
      </c>
      <c r="E46" s="178" t="s">
        <v>139</v>
      </c>
      <c r="F46" s="177" t="s">
        <v>272</v>
      </c>
      <c r="G46" s="180" t="s">
        <v>36</v>
      </c>
      <c r="H46" s="137" t="s">
        <v>155</v>
      </c>
      <c r="I46" s="137" t="s">
        <v>153</v>
      </c>
      <c r="J46" s="247" t="s">
        <v>38</v>
      </c>
      <c r="K46" s="137" t="s">
        <v>154</v>
      </c>
      <c r="L46" s="208">
        <v>3</v>
      </c>
      <c r="N46" s="208">
        <v>1</v>
      </c>
      <c r="O46" s="208">
        <v>0.65</v>
      </c>
      <c r="P46" s="208">
        <v>0.6</v>
      </c>
      <c r="Q46" s="245">
        <f t="shared" si="0"/>
        <v>0.625</v>
      </c>
      <c r="R46" s="188">
        <v>14.5</v>
      </c>
      <c r="S46" s="188">
        <v>138</v>
      </c>
      <c r="T46" s="217">
        <f t="shared" si="1"/>
        <v>30</v>
      </c>
      <c r="U46" s="193">
        <v>128</v>
      </c>
      <c r="V46" s="217">
        <f t="shared" si="2"/>
        <v>3840</v>
      </c>
      <c r="W46" s="208">
        <v>9</v>
      </c>
      <c r="X46" s="186" t="s">
        <v>46</v>
      </c>
      <c r="Y46" s="198" t="s">
        <v>69</v>
      </c>
      <c r="Z46" s="198" t="s">
        <v>90</v>
      </c>
      <c r="AA46" s="198" t="s">
        <v>78</v>
      </c>
      <c r="AB46" s="55" t="s">
        <v>310</v>
      </c>
    </row>
    <row r="47" spans="1:28" x14ac:dyDescent="0.15">
      <c r="A47" s="208" t="s">
        <v>34</v>
      </c>
      <c r="B47" s="235" t="s">
        <v>308</v>
      </c>
      <c r="C47" s="208">
        <v>2018</v>
      </c>
      <c r="D47" s="179" t="s">
        <v>473</v>
      </c>
      <c r="E47" s="208" t="s">
        <v>133</v>
      </c>
      <c r="F47" s="177" t="s">
        <v>266</v>
      </c>
      <c r="G47" s="180" t="s">
        <v>36</v>
      </c>
      <c r="H47" s="137" t="s">
        <v>155</v>
      </c>
      <c r="I47" s="137" t="s">
        <v>153</v>
      </c>
      <c r="J47" s="247" t="s">
        <v>38</v>
      </c>
      <c r="K47" s="137" t="s">
        <v>154</v>
      </c>
      <c r="L47" s="208">
        <v>1</v>
      </c>
      <c r="N47" s="208">
        <v>1</v>
      </c>
      <c r="O47" s="208">
        <v>1.1000000000000001</v>
      </c>
      <c r="P47" s="208">
        <v>0.85</v>
      </c>
      <c r="Q47" s="245">
        <f t="shared" si="0"/>
        <v>0.97500000000000009</v>
      </c>
      <c r="R47" s="188">
        <v>16.5</v>
      </c>
      <c r="S47" s="188">
        <v>145</v>
      </c>
      <c r="T47" s="217">
        <f t="shared" si="1"/>
        <v>30</v>
      </c>
      <c r="U47" s="208">
        <v>84</v>
      </c>
      <c r="V47" s="217">
        <f t="shared" si="2"/>
        <v>2520</v>
      </c>
      <c r="W47" s="208">
        <v>16</v>
      </c>
      <c r="X47" s="186" t="s">
        <v>46</v>
      </c>
      <c r="Y47" s="208" t="s">
        <v>50</v>
      </c>
      <c r="Z47" s="208" t="s">
        <v>90</v>
      </c>
      <c r="AA47" s="208" t="s">
        <v>84</v>
      </c>
      <c r="AB47" s="55" t="s">
        <v>310</v>
      </c>
    </row>
    <row r="48" spans="1:28" x14ac:dyDescent="0.15">
      <c r="A48" s="208" t="s">
        <v>34</v>
      </c>
      <c r="B48" s="235" t="s">
        <v>308</v>
      </c>
      <c r="C48" s="208">
        <v>2018</v>
      </c>
      <c r="D48" s="179" t="s">
        <v>473</v>
      </c>
      <c r="E48" s="208" t="s">
        <v>133</v>
      </c>
      <c r="F48" s="177" t="s">
        <v>266</v>
      </c>
      <c r="G48" s="180" t="s">
        <v>36</v>
      </c>
      <c r="H48" s="137" t="s">
        <v>155</v>
      </c>
      <c r="I48" s="137" t="s">
        <v>153</v>
      </c>
      <c r="J48" s="247" t="s">
        <v>38</v>
      </c>
      <c r="K48" s="137" t="s">
        <v>154</v>
      </c>
      <c r="L48" s="208">
        <v>2</v>
      </c>
      <c r="N48" s="208">
        <v>1</v>
      </c>
      <c r="O48" s="208">
        <v>0.95</v>
      </c>
      <c r="P48" s="208">
        <v>0.9</v>
      </c>
      <c r="Q48" s="245">
        <f t="shared" si="0"/>
        <v>0.92500000000000004</v>
      </c>
      <c r="R48" s="188">
        <v>15.8</v>
      </c>
      <c r="S48" s="188">
        <v>149</v>
      </c>
      <c r="T48" s="217">
        <f t="shared" si="1"/>
        <v>30</v>
      </c>
      <c r="U48" s="208">
        <v>84</v>
      </c>
      <c r="V48" s="217">
        <f t="shared" si="2"/>
        <v>2520</v>
      </c>
      <c r="W48" s="208">
        <v>16</v>
      </c>
      <c r="X48" s="186" t="s">
        <v>46</v>
      </c>
      <c r="Y48" s="208" t="s">
        <v>50</v>
      </c>
      <c r="Z48" s="208" t="s">
        <v>90</v>
      </c>
      <c r="AA48" s="208" t="s">
        <v>84</v>
      </c>
      <c r="AB48" s="55" t="s">
        <v>310</v>
      </c>
    </row>
    <row r="49" spans="1:28" x14ac:dyDescent="0.15">
      <c r="A49" s="208" t="s">
        <v>34</v>
      </c>
      <c r="B49" s="235" t="s">
        <v>308</v>
      </c>
      <c r="C49" s="208">
        <v>2018</v>
      </c>
      <c r="D49" s="179" t="s">
        <v>473</v>
      </c>
      <c r="E49" s="208" t="s">
        <v>133</v>
      </c>
      <c r="F49" s="177" t="s">
        <v>266</v>
      </c>
      <c r="G49" s="180" t="s">
        <v>36</v>
      </c>
      <c r="H49" s="137" t="s">
        <v>155</v>
      </c>
      <c r="I49" s="137" t="s">
        <v>153</v>
      </c>
      <c r="J49" s="247" t="s">
        <v>38</v>
      </c>
      <c r="K49" s="137" t="s">
        <v>154</v>
      </c>
      <c r="L49" s="208">
        <v>3</v>
      </c>
      <c r="N49" s="208">
        <v>1</v>
      </c>
      <c r="O49" s="208">
        <v>1.05</v>
      </c>
      <c r="P49" s="208">
        <v>0.8</v>
      </c>
      <c r="Q49" s="245">
        <f t="shared" si="0"/>
        <v>0.92500000000000004</v>
      </c>
      <c r="R49" s="188">
        <v>16.3</v>
      </c>
      <c r="S49" s="188">
        <v>138</v>
      </c>
      <c r="T49" s="217">
        <f t="shared" si="1"/>
        <v>30</v>
      </c>
      <c r="U49" s="208">
        <v>84</v>
      </c>
      <c r="V49" s="217">
        <f t="shared" si="2"/>
        <v>2520</v>
      </c>
      <c r="W49" s="208">
        <v>16</v>
      </c>
      <c r="X49" s="186" t="s">
        <v>46</v>
      </c>
      <c r="Y49" s="208" t="s">
        <v>50</v>
      </c>
      <c r="Z49" s="208" t="s">
        <v>90</v>
      </c>
      <c r="AA49" s="208" t="s">
        <v>84</v>
      </c>
      <c r="AB49" s="55" t="s">
        <v>310</v>
      </c>
    </row>
    <row r="50" spans="1:28" x14ac:dyDescent="0.15">
      <c r="A50" s="208" t="s">
        <v>34</v>
      </c>
      <c r="B50" s="208" t="s">
        <v>308</v>
      </c>
      <c r="C50" s="208">
        <v>2018</v>
      </c>
      <c r="D50" s="179" t="s">
        <v>473</v>
      </c>
      <c r="E50" s="208" t="s">
        <v>133</v>
      </c>
      <c r="F50" s="177" t="s">
        <v>266</v>
      </c>
      <c r="G50" s="180" t="s">
        <v>36</v>
      </c>
      <c r="H50" s="247" t="s">
        <v>157</v>
      </c>
      <c r="I50" s="247" t="s">
        <v>153</v>
      </c>
      <c r="J50" s="247" t="s">
        <v>38</v>
      </c>
      <c r="K50" s="137" t="s">
        <v>154</v>
      </c>
      <c r="L50" s="208">
        <v>1</v>
      </c>
      <c r="N50" s="208">
        <v>1</v>
      </c>
      <c r="O50" s="208">
        <v>0.8</v>
      </c>
      <c r="P50" s="208">
        <v>0.75</v>
      </c>
      <c r="Q50" s="245">
        <f t="shared" si="0"/>
        <v>0.77500000000000002</v>
      </c>
      <c r="R50" s="208">
        <v>14.4</v>
      </c>
      <c r="S50" s="208">
        <v>169</v>
      </c>
      <c r="T50" s="217">
        <f t="shared" si="1"/>
        <v>30</v>
      </c>
      <c r="U50" s="208">
        <v>149</v>
      </c>
      <c r="V50" s="217">
        <f t="shared" si="2"/>
        <v>4470</v>
      </c>
      <c r="W50" s="208">
        <v>16</v>
      </c>
      <c r="X50" s="186" t="s">
        <v>46</v>
      </c>
      <c r="Y50" s="208" t="s">
        <v>50</v>
      </c>
      <c r="Z50" s="208" t="s">
        <v>90</v>
      </c>
      <c r="AA50" s="208" t="s">
        <v>84</v>
      </c>
      <c r="AB50" s="208" t="s">
        <v>310</v>
      </c>
    </row>
    <row r="51" spans="1:28" x14ac:dyDescent="0.15">
      <c r="A51" s="208" t="s">
        <v>34</v>
      </c>
      <c r="B51" s="208" t="s">
        <v>308</v>
      </c>
      <c r="C51" s="208">
        <v>2018</v>
      </c>
      <c r="D51" s="179" t="s">
        <v>473</v>
      </c>
      <c r="E51" s="208" t="s">
        <v>133</v>
      </c>
      <c r="F51" s="177" t="s">
        <v>266</v>
      </c>
      <c r="G51" s="180" t="s">
        <v>36</v>
      </c>
      <c r="H51" s="247" t="s">
        <v>157</v>
      </c>
      <c r="I51" s="247" t="s">
        <v>153</v>
      </c>
      <c r="J51" s="247" t="s">
        <v>38</v>
      </c>
      <c r="K51" s="137" t="s">
        <v>154</v>
      </c>
      <c r="L51" s="208">
        <v>2</v>
      </c>
      <c r="N51" s="208">
        <v>1</v>
      </c>
      <c r="O51" s="208">
        <v>0.75</v>
      </c>
      <c r="P51" s="208">
        <v>0.7</v>
      </c>
      <c r="Q51" s="245">
        <f t="shared" si="0"/>
        <v>0.72499999999999998</v>
      </c>
      <c r="R51" s="208">
        <v>15</v>
      </c>
      <c r="S51" s="208">
        <v>160</v>
      </c>
      <c r="T51" s="217">
        <f t="shared" si="1"/>
        <v>30</v>
      </c>
      <c r="U51" s="208">
        <v>149</v>
      </c>
      <c r="V51" s="217">
        <f t="shared" si="2"/>
        <v>4470</v>
      </c>
      <c r="W51" s="208">
        <v>16</v>
      </c>
      <c r="X51" s="186" t="s">
        <v>46</v>
      </c>
      <c r="Y51" s="208" t="s">
        <v>50</v>
      </c>
      <c r="Z51" s="208" t="s">
        <v>90</v>
      </c>
      <c r="AA51" s="208" t="s">
        <v>84</v>
      </c>
      <c r="AB51" s="208" t="s">
        <v>310</v>
      </c>
    </row>
    <row r="52" spans="1:28" x14ac:dyDescent="0.15">
      <c r="A52" s="208" t="s">
        <v>34</v>
      </c>
      <c r="B52" s="208" t="s">
        <v>308</v>
      </c>
      <c r="C52" s="208">
        <v>2018</v>
      </c>
      <c r="D52" s="179" t="s">
        <v>473</v>
      </c>
      <c r="E52" s="208" t="s">
        <v>133</v>
      </c>
      <c r="F52" s="177" t="s">
        <v>266</v>
      </c>
      <c r="G52" s="180" t="s">
        <v>36</v>
      </c>
      <c r="H52" s="247" t="s">
        <v>157</v>
      </c>
      <c r="I52" s="247" t="s">
        <v>153</v>
      </c>
      <c r="J52" s="247" t="s">
        <v>38</v>
      </c>
      <c r="K52" s="137" t="s">
        <v>154</v>
      </c>
      <c r="L52" s="208">
        <v>3</v>
      </c>
      <c r="N52" s="208">
        <v>1</v>
      </c>
      <c r="O52" s="208">
        <v>0.7</v>
      </c>
      <c r="P52" s="208">
        <v>0.65</v>
      </c>
      <c r="Q52" s="245">
        <f t="shared" si="0"/>
        <v>0.67500000000000004</v>
      </c>
      <c r="R52" s="208">
        <v>15.2</v>
      </c>
      <c r="S52" s="208">
        <v>161</v>
      </c>
      <c r="T52" s="217">
        <f t="shared" si="1"/>
        <v>30</v>
      </c>
      <c r="U52" s="208">
        <v>149</v>
      </c>
      <c r="V52" s="217">
        <f t="shared" si="2"/>
        <v>4470</v>
      </c>
      <c r="W52" s="208">
        <v>16</v>
      </c>
      <c r="X52" s="186" t="s">
        <v>46</v>
      </c>
      <c r="Y52" s="208" t="s">
        <v>50</v>
      </c>
      <c r="Z52" s="208" t="s">
        <v>90</v>
      </c>
      <c r="AA52" s="208" t="s">
        <v>84</v>
      </c>
      <c r="AB52" s="208" t="s">
        <v>310</v>
      </c>
    </row>
    <row r="53" spans="1:28" x14ac:dyDescent="0.15">
      <c r="A53" s="208" t="s">
        <v>34</v>
      </c>
      <c r="B53" s="208" t="s">
        <v>308</v>
      </c>
      <c r="C53" s="208">
        <v>2018</v>
      </c>
      <c r="D53" s="179" t="s">
        <v>473</v>
      </c>
      <c r="E53" s="208" t="s">
        <v>195</v>
      </c>
      <c r="F53" s="177" t="s">
        <v>269</v>
      </c>
      <c r="G53" s="180" t="s">
        <v>36</v>
      </c>
      <c r="H53" s="247" t="s">
        <v>155</v>
      </c>
      <c r="I53" s="247" t="s">
        <v>153</v>
      </c>
      <c r="J53" s="247" t="s">
        <v>38</v>
      </c>
      <c r="K53" s="137" t="s">
        <v>154</v>
      </c>
      <c r="L53" s="208">
        <v>1</v>
      </c>
      <c r="N53" s="208">
        <v>1</v>
      </c>
      <c r="O53" s="208">
        <v>0.6</v>
      </c>
      <c r="P53" s="208">
        <v>0.55000000000000004</v>
      </c>
      <c r="Q53" s="245">
        <f t="shared" si="0"/>
        <v>0.57499999999999996</v>
      </c>
      <c r="R53" s="208">
        <v>15.8</v>
      </c>
      <c r="S53" s="208">
        <v>133</v>
      </c>
      <c r="T53" s="217">
        <f t="shared" si="1"/>
        <v>30</v>
      </c>
      <c r="U53" s="208">
        <v>69</v>
      </c>
      <c r="V53" s="217">
        <f t="shared" si="2"/>
        <v>2070</v>
      </c>
      <c r="W53" s="208">
        <v>2</v>
      </c>
      <c r="X53" s="186" t="s">
        <v>46</v>
      </c>
      <c r="Y53" s="208" t="s">
        <v>90</v>
      </c>
      <c r="Z53" s="208" t="s">
        <v>69</v>
      </c>
      <c r="AA53" s="208" t="s">
        <v>50</v>
      </c>
      <c r="AB53" s="208" t="s">
        <v>310</v>
      </c>
    </row>
    <row r="54" spans="1:28" x14ac:dyDescent="0.15">
      <c r="A54" s="208" t="s">
        <v>34</v>
      </c>
      <c r="B54" s="208" t="s">
        <v>308</v>
      </c>
      <c r="C54" s="208">
        <v>2018</v>
      </c>
      <c r="D54" s="179" t="s">
        <v>473</v>
      </c>
      <c r="E54" s="208" t="s">
        <v>195</v>
      </c>
      <c r="F54" s="177" t="s">
        <v>269</v>
      </c>
      <c r="G54" s="180" t="s">
        <v>36</v>
      </c>
      <c r="H54" s="247" t="s">
        <v>155</v>
      </c>
      <c r="I54" s="247" t="s">
        <v>153</v>
      </c>
      <c r="J54" s="247" t="s">
        <v>38</v>
      </c>
      <c r="K54" s="137" t="s">
        <v>154</v>
      </c>
      <c r="L54" s="208">
        <v>2</v>
      </c>
      <c r="N54" s="208">
        <v>1</v>
      </c>
      <c r="O54" s="208">
        <v>0.55000000000000004</v>
      </c>
      <c r="P54" s="208">
        <v>0.5</v>
      </c>
      <c r="Q54" s="245">
        <f t="shared" si="0"/>
        <v>0.52500000000000002</v>
      </c>
      <c r="R54" s="208">
        <v>15.4</v>
      </c>
      <c r="S54" s="208">
        <v>127</v>
      </c>
      <c r="T54" s="217">
        <f t="shared" si="1"/>
        <v>30</v>
      </c>
      <c r="U54" s="208">
        <v>69</v>
      </c>
      <c r="V54" s="217">
        <f t="shared" si="2"/>
        <v>2070</v>
      </c>
      <c r="W54" s="208">
        <v>2</v>
      </c>
      <c r="X54" s="186" t="s">
        <v>46</v>
      </c>
      <c r="Y54" s="208" t="s">
        <v>90</v>
      </c>
      <c r="Z54" s="208" t="s">
        <v>69</v>
      </c>
      <c r="AA54" s="208" t="s">
        <v>50</v>
      </c>
      <c r="AB54" s="208" t="s">
        <v>310</v>
      </c>
    </row>
    <row r="55" spans="1:28" x14ac:dyDescent="0.15">
      <c r="A55" s="208" t="s">
        <v>34</v>
      </c>
      <c r="B55" s="208" t="s">
        <v>308</v>
      </c>
      <c r="C55" s="208">
        <v>2018</v>
      </c>
      <c r="D55" s="179" t="s">
        <v>473</v>
      </c>
      <c r="E55" s="208" t="s">
        <v>195</v>
      </c>
      <c r="F55" s="177" t="s">
        <v>269</v>
      </c>
      <c r="G55" s="180" t="s">
        <v>36</v>
      </c>
      <c r="H55" s="247" t="s">
        <v>155</v>
      </c>
      <c r="I55" s="247" t="s">
        <v>153</v>
      </c>
      <c r="J55" s="247" t="s">
        <v>38</v>
      </c>
      <c r="K55" s="137" t="s">
        <v>154</v>
      </c>
      <c r="L55" s="208">
        <v>3</v>
      </c>
      <c r="N55" s="208">
        <v>1</v>
      </c>
      <c r="O55" s="208">
        <v>0.6</v>
      </c>
      <c r="P55" s="208">
        <v>0.55000000000000004</v>
      </c>
      <c r="Q55" s="245">
        <f t="shared" si="0"/>
        <v>0.57499999999999996</v>
      </c>
      <c r="R55" s="208">
        <v>15.8</v>
      </c>
      <c r="S55" s="208">
        <v>127</v>
      </c>
      <c r="T55" s="217">
        <f t="shared" si="1"/>
        <v>30</v>
      </c>
      <c r="U55" s="208">
        <v>69</v>
      </c>
      <c r="V55" s="217">
        <f t="shared" si="2"/>
        <v>2070</v>
      </c>
      <c r="W55" s="208">
        <v>2</v>
      </c>
      <c r="X55" s="186" t="s">
        <v>46</v>
      </c>
      <c r="Y55" s="208" t="s">
        <v>90</v>
      </c>
      <c r="Z55" s="208" t="s">
        <v>69</v>
      </c>
      <c r="AA55" s="208" t="s">
        <v>50</v>
      </c>
      <c r="AB55" s="208" t="s">
        <v>310</v>
      </c>
    </row>
    <row r="56" spans="1:28" x14ac:dyDescent="0.15">
      <c r="D56" s="179"/>
      <c r="F56" s="177"/>
      <c r="G56" s="180"/>
      <c r="H56" s="247"/>
      <c r="I56" s="247"/>
      <c r="J56" s="247"/>
      <c r="K56" s="137"/>
      <c r="Q56" s="245"/>
      <c r="X56" s="186"/>
    </row>
    <row r="57" spans="1:28" x14ac:dyDescent="0.15">
      <c r="D57" s="179"/>
      <c r="F57" s="177"/>
      <c r="G57" s="180"/>
      <c r="H57" s="247"/>
      <c r="I57" s="247"/>
      <c r="J57" s="247"/>
      <c r="K57" s="137"/>
      <c r="Q57" s="245"/>
      <c r="X57" s="186"/>
    </row>
    <row r="58" spans="1:28" x14ac:dyDescent="0.15">
      <c r="D58" s="179"/>
      <c r="F58" s="177"/>
      <c r="G58" s="180"/>
      <c r="H58" s="247"/>
      <c r="I58" s="247"/>
      <c r="J58" s="247"/>
      <c r="K58" s="137"/>
      <c r="Q58" s="245"/>
      <c r="X58" s="186"/>
    </row>
    <row r="59" spans="1:28" x14ac:dyDescent="0.15">
      <c r="D59" s="179"/>
      <c r="F59" s="177"/>
      <c r="G59" s="180"/>
      <c r="H59" s="247"/>
      <c r="I59" s="247"/>
      <c r="J59" s="247"/>
      <c r="K59" s="137"/>
      <c r="Q59" s="245"/>
      <c r="X59" s="186"/>
    </row>
    <row r="60" spans="1:28" x14ac:dyDescent="0.15">
      <c r="D60" s="256"/>
      <c r="F60" s="177"/>
      <c r="G60" s="180"/>
      <c r="H60" s="247"/>
      <c r="I60" s="247"/>
      <c r="J60" s="247"/>
      <c r="K60" s="137"/>
      <c r="Q60" s="245"/>
      <c r="X60" s="186"/>
    </row>
    <row r="61" spans="1:28" x14ac:dyDescent="0.15">
      <c r="D61" s="179"/>
      <c r="F61" s="177"/>
      <c r="G61" s="180"/>
      <c r="H61" s="247"/>
      <c r="I61" s="247"/>
      <c r="J61" s="247"/>
      <c r="K61" s="137"/>
      <c r="Q61" s="245"/>
      <c r="X61" s="186"/>
    </row>
    <row r="62" spans="1:28" x14ac:dyDescent="0.15">
      <c r="D62" s="199"/>
      <c r="F62" s="177"/>
      <c r="G62" s="180"/>
      <c r="H62" s="247"/>
      <c r="I62" s="247"/>
      <c r="J62" s="247"/>
      <c r="K62" s="137"/>
      <c r="Q62" s="245" t="str">
        <f t="shared" si="0"/>
        <v/>
      </c>
      <c r="T62" s="217" t="str">
        <f t="shared" si="1"/>
        <v/>
      </c>
      <c r="V62" s="217" t="str">
        <f t="shared" si="2"/>
        <v/>
      </c>
      <c r="X62" s="186"/>
    </row>
    <row r="63" spans="1:28" x14ac:dyDescent="0.15">
      <c r="D63" s="199"/>
      <c r="F63" s="177"/>
      <c r="G63" s="180"/>
      <c r="H63" s="247"/>
      <c r="I63" s="247"/>
      <c r="J63" s="247"/>
      <c r="K63" s="137"/>
      <c r="Q63" s="245" t="str">
        <f t="shared" si="0"/>
        <v/>
      </c>
      <c r="T63" s="217" t="str">
        <f t="shared" si="1"/>
        <v/>
      </c>
      <c r="V63" s="217" t="str">
        <f t="shared" si="2"/>
        <v/>
      </c>
      <c r="X63" s="186"/>
    </row>
    <row r="64" spans="1:28" x14ac:dyDescent="0.15">
      <c r="D64" s="199"/>
      <c r="F64" s="177"/>
      <c r="G64" s="180"/>
      <c r="H64" s="247"/>
      <c r="I64" s="247"/>
      <c r="J64" s="247"/>
      <c r="K64" s="137"/>
      <c r="Q64" s="245" t="str">
        <f t="shared" si="0"/>
        <v/>
      </c>
      <c r="T64" s="217" t="str">
        <f t="shared" si="1"/>
        <v/>
      </c>
      <c r="V64" s="217" t="str">
        <f t="shared" si="2"/>
        <v/>
      </c>
      <c r="X64" s="186"/>
    </row>
    <row r="65" spans="4:24" x14ac:dyDescent="0.15">
      <c r="D65" s="199"/>
      <c r="F65" s="177"/>
      <c r="G65" s="180"/>
      <c r="H65" s="247"/>
      <c r="I65" s="247"/>
      <c r="J65" s="247"/>
      <c r="K65" s="137"/>
      <c r="Q65" s="245" t="str">
        <f t="shared" si="0"/>
        <v/>
      </c>
      <c r="T65" s="217" t="str">
        <f t="shared" si="1"/>
        <v/>
      </c>
      <c r="V65" s="217" t="str">
        <f t="shared" si="2"/>
        <v/>
      </c>
      <c r="X65" s="186"/>
    </row>
    <row r="66" spans="4:24" x14ac:dyDescent="0.15">
      <c r="D66" s="199"/>
      <c r="F66" s="177"/>
      <c r="G66" s="180"/>
      <c r="H66" s="247"/>
      <c r="I66" s="247"/>
      <c r="J66" s="247"/>
      <c r="K66" s="137"/>
      <c r="Q66" s="245" t="str">
        <f t="shared" ref="Q66:Q91" si="3">IF(OR(O66="",P66=""),"",AVERAGE(O66,P66))</f>
        <v/>
      </c>
      <c r="T66" s="217" t="str">
        <f t="shared" ref="T66:T91" si="4">IF(H66="","",IF(OR(H66="GREEN",H66="GK"),IF(S66&gt;=$AX$2,VLOOKUP(S66,$AX$2:$AY$7,2,1),""),IF(S66&gt;=$AZ$2,VLOOKUP(S66,$AZ$2:$BA$7,2,1),"")))</f>
        <v/>
      </c>
      <c r="V66" s="217" t="str">
        <f t="shared" ref="V66:V91" si="5">IF(OR(N66="",U66="",T66=""),"",U66/N66*T66)</f>
        <v/>
      </c>
      <c r="X66" s="186"/>
    </row>
    <row r="67" spans="4:24" x14ac:dyDescent="0.15">
      <c r="D67" s="199"/>
      <c r="F67" s="177"/>
      <c r="G67" s="180"/>
      <c r="H67" s="247"/>
      <c r="I67" s="247"/>
      <c r="J67" s="247"/>
      <c r="K67" s="137"/>
      <c r="Q67" s="245" t="str">
        <f t="shared" si="3"/>
        <v/>
      </c>
      <c r="T67" s="217" t="str">
        <f t="shared" si="4"/>
        <v/>
      </c>
      <c r="V67" s="217" t="str">
        <f t="shared" si="5"/>
        <v/>
      </c>
      <c r="X67" s="186"/>
    </row>
    <row r="68" spans="4:24" x14ac:dyDescent="0.15">
      <c r="D68" s="199"/>
      <c r="F68" s="177"/>
      <c r="G68" s="180"/>
      <c r="H68" s="247"/>
      <c r="I68" s="247"/>
      <c r="J68" s="247"/>
      <c r="K68" s="137"/>
      <c r="Q68" s="245" t="str">
        <f t="shared" si="3"/>
        <v/>
      </c>
      <c r="T68" s="217" t="str">
        <f t="shared" si="4"/>
        <v/>
      </c>
      <c r="V68" s="217" t="str">
        <f t="shared" si="5"/>
        <v/>
      </c>
      <c r="X68" s="186"/>
    </row>
    <row r="69" spans="4:24" x14ac:dyDescent="0.15">
      <c r="D69" s="199"/>
      <c r="F69" s="177"/>
      <c r="G69" s="180"/>
      <c r="H69" s="247"/>
      <c r="I69" s="247"/>
      <c r="J69" s="247"/>
      <c r="K69" s="137"/>
      <c r="Q69" s="245" t="str">
        <f t="shared" si="3"/>
        <v/>
      </c>
      <c r="T69" s="217" t="str">
        <f t="shared" si="4"/>
        <v/>
      </c>
      <c r="V69" s="217" t="str">
        <f t="shared" si="5"/>
        <v/>
      </c>
      <c r="X69" s="186"/>
    </row>
    <row r="70" spans="4:24" x14ac:dyDescent="0.15">
      <c r="D70" s="199"/>
      <c r="F70" s="177"/>
      <c r="G70" s="180"/>
      <c r="H70" s="247"/>
      <c r="I70" s="247"/>
      <c r="J70" s="247"/>
      <c r="K70" s="137"/>
      <c r="Q70" s="245" t="str">
        <f t="shared" si="3"/>
        <v/>
      </c>
      <c r="T70" s="217" t="str">
        <f t="shared" si="4"/>
        <v/>
      </c>
      <c r="V70" s="217" t="str">
        <f t="shared" si="5"/>
        <v/>
      </c>
      <c r="X70" s="186"/>
    </row>
    <row r="71" spans="4:24" x14ac:dyDescent="0.15">
      <c r="D71" s="199"/>
      <c r="F71" s="177"/>
      <c r="G71" s="180"/>
      <c r="H71" s="247"/>
      <c r="I71" s="247"/>
      <c r="J71" s="247"/>
      <c r="K71" s="137"/>
      <c r="Q71" s="245" t="str">
        <f t="shared" si="3"/>
        <v/>
      </c>
      <c r="T71" s="217" t="str">
        <f t="shared" si="4"/>
        <v/>
      </c>
      <c r="V71" s="217" t="str">
        <f t="shared" si="5"/>
        <v/>
      </c>
      <c r="X71" s="186"/>
    </row>
    <row r="72" spans="4:24" x14ac:dyDescent="0.15">
      <c r="D72" s="199"/>
      <c r="F72" s="177"/>
      <c r="G72" s="180"/>
      <c r="H72" s="247"/>
      <c r="I72" s="247"/>
      <c r="J72" s="247"/>
      <c r="K72" s="137"/>
      <c r="Q72" s="245" t="str">
        <f t="shared" si="3"/>
        <v/>
      </c>
      <c r="T72" s="217" t="str">
        <f t="shared" si="4"/>
        <v/>
      </c>
      <c r="V72" s="217" t="str">
        <f t="shared" si="5"/>
        <v/>
      </c>
      <c r="X72" s="186"/>
    </row>
    <row r="73" spans="4:24" x14ac:dyDescent="0.15">
      <c r="D73" s="199"/>
      <c r="F73" s="177"/>
      <c r="G73" s="180"/>
      <c r="H73" s="247"/>
      <c r="I73" s="247"/>
      <c r="J73" s="247"/>
      <c r="K73" s="137"/>
      <c r="Q73" s="245" t="str">
        <f t="shared" si="3"/>
        <v/>
      </c>
      <c r="T73" s="217" t="str">
        <f t="shared" si="4"/>
        <v/>
      </c>
      <c r="V73" s="217" t="str">
        <f t="shared" si="5"/>
        <v/>
      </c>
      <c r="X73" s="186"/>
    </row>
    <row r="74" spans="4:24" x14ac:dyDescent="0.15">
      <c r="D74" s="199"/>
      <c r="F74" s="177"/>
      <c r="G74" s="180"/>
      <c r="H74" s="247"/>
      <c r="I74" s="247"/>
      <c r="J74" s="247"/>
      <c r="K74" s="137"/>
      <c r="Q74" s="245" t="str">
        <f t="shared" si="3"/>
        <v/>
      </c>
      <c r="T74" s="217" t="str">
        <f t="shared" si="4"/>
        <v/>
      </c>
      <c r="V74" s="217" t="str">
        <f t="shared" si="5"/>
        <v/>
      </c>
      <c r="X74" s="186"/>
    </row>
    <row r="75" spans="4:24" x14ac:dyDescent="0.15">
      <c r="D75" s="199"/>
      <c r="F75" s="177"/>
      <c r="G75" s="180"/>
      <c r="H75" s="247"/>
      <c r="I75" s="247"/>
      <c r="J75" s="247"/>
      <c r="K75" s="137"/>
      <c r="Q75" s="245" t="str">
        <f t="shared" si="3"/>
        <v/>
      </c>
      <c r="T75" s="217" t="str">
        <f t="shared" si="4"/>
        <v/>
      </c>
      <c r="V75" s="217" t="str">
        <f t="shared" si="5"/>
        <v/>
      </c>
      <c r="X75" s="186"/>
    </row>
    <row r="76" spans="4:24" x14ac:dyDescent="0.15">
      <c r="D76" s="199"/>
      <c r="F76" s="177"/>
      <c r="G76" s="180"/>
      <c r="H76" s="247"/>
      <c r="I76" s="247"/>
      <c r="J76" s="247"/>
      <c r="K76" s="137"/>
      <c r="Q76" s="245" t="str">
        <f t="shared" si="3"/>
        <v/>
      </c>
      <c r="T76" s="217" t="str">
        <f t="shared" si="4"/>
        <v/>
      </c>
      <c r="V76" s="217" t="str">
        <f t="shared" si="5"/>
        <v/>
      </c>
      <c r="X76" s="186"/>
    </row>
    <row r="77" spans="4:24" x14ac:dyDescent="0.15">
      <c r="D77" s="199"/>
      <c r="F77" s="177"/>
      <c r="G77" s="180"/>
      <c r="H77" s="247"/>
      <c r="I77" s="247"/>
      <c r="J77" s="247"/>
      <c r="K77" s="137"/>
      <c r="Q77" s="245" t="str">
        <f t="shared" si="3"/>
        <v/>
      </c>
      <c r="T77" s="217" t="str">
        <f t="shared" si="4"/>
        <v/>
      </c>
      <c r="V77" s="217" t="str">
        <f t="shared" si="5"/>
        <v/>
      </c>
      <c r="X77" s="186"/>
    </row>
    <row r="78" spans="4:24" x14ac:dyDescent="0.15">
      <c r="D78" s="199"/>
      <c r="F78" s="177"/>
      <c r="G78" s="180"/>
      <c r="H78" s="247"/>
      <c r="I78" s="247"/>
      <c r="J78" s="247"/>
      <c r="K78" s="137"/>
      <c r="Q78" s="245" t="str">
        <f t="shared" si="3"/>
        <v/>
      </c>
      <c r="T78" s="217" t="str">
        <f t="shared" si="4"/>
        <v/>
      </c>
      <c r="V78" s="217" t="str">
        <f t="shared" si="5"/>
        <v/>
      </c>
      <c r="X78" s="186"/>
    </row>
    <row r="79" spans="4:24" x14ac:dyDescent="0.15">
      <c r="D79" s="199"/>
      <c r="F79" s="177"/>
      <c r="G79" s="180"/>
      <c r="H79" s="247"/>
      <c r="I79" s="247"/>
      <c r="J79" s="247"/>
      <c r="K79" s="137"/>
      <c r="Q79" s="245" t="str">
        <f t="shared" si="3"/>
        <v/>
      </c>
      <c r="T79" s="217" t="str">
        <f t="shared" si="4"/>
        <v/>
      </c>
      <c r="V79" s="217" t="str">
        <f t="shared" si="5"/>
        <v/>
      </c>
      <c r="X79" s="186"/>
    </row>
    <row r="80" spans="4:24" x14ac:dyDescent="0.15">
      <c r="H80" s="247"/>
      <c r="I80" s="247"/>
      <c r="J80" s="247"/>
      <c r="K80" s="137"/>
      <c r="Q80" s="245" t="str">
        <f t="shared" si="3"/>
        <v/>
      </c>
      <c r="T80" s="217" t="str">
        <f t="shared" si="4"/>
        <v/>
      </c>
      <c r="V80" s="217" t="str">
        <f t="shared" si="5"/>
        <v/>
      </c>
    </row>
    <row r="81" spans="8:22" x14ac:dyDescent="0.15">
      <c r="H81" s="247"/>
      <c r="I81" s="247"/>
      <c r="J81" s="247"/>
      <c r="K81" s="137"/>
      <c r="Q81" s="245" t="str">
        <f t="shared" si="3"/>
        <v/>
      </c>
      <c r="T81" s="217" t="str">
        <f t="shared" si="4"/>
        <v/>
      </c>
      <c r="V81" s="217" t="str">
        <f t="shared" si="5"/>
        <v/>
      </c>
    </row>
    <row r="82" spans="8:22" x14ac:dyDescent="0.15">
      <c r="H82" s="247"/>
      <c r="I82" s="247"/>
      <c r="J82" s="247"/>
      <c r="K82" s="137"/>
      <c r="Q82" s="245" t="str">
        <f t="shared" si="3"/>
        <v/>
      </c>
      <c r="T82" s="217" t="str">
        <f t="shared" si="4"/>
        <v/>
      </c>
      <c r="V82" s="217" t="str">
        <f t="shared" si="5"/>
        <v/>
      </c>
    </row>
    <row r="83" spans="8:22" x14ac:dyDescent="0.15">
      <c r="H83" s="247"/>
      <c r="I83" s="247"/>
      <c r="J83" s="247"/>
      <c r="K83" s="137"/>
      <c r="Q83" s="245" t="str">
        <f t="shared" si="3"/>
        <v/>
      </c>
      <c r="T83" s="217" t="str">
        <f t="shared" si="4"/>
        <v/>
      </c>
      <c r="V83" s="217" t="str">
        <f t="shared" si="5"/>
        <v/>
      </c>
    </row>
    <row r="84" spans="8:22" x14ac:dyDescent="0.15">
      <c r="H84" s="247"/>
      <c r="I84" s="247"/>
      <c r="J84" s="247"/>
      <c r="K84" s="137"/>
      <c r="Q84" s="245" t="str">
        <f t="shared" si="3"/>
        <v/>
      </c>
      <c r="T84" s="217" t="str">
        <f t="shared" si="4"/>
        <v/>
      </c>
      <c r="V84" s="217" t="str">
        <f t="shared" si="5"/>
        <v/>
      </c>
    </row>
    <row r="85" spans="8:22" x14ac:dyDescent="0.15">
      <c r="H85" s="247"/>
      <c r="I85" s="247"/>
      <c r="J85" s="247"/>
      <c r="K85" s="137"/>
      <c r="Q85" s="245" t="str">
        <f t="shared" si="3"/>
        <v/>
      </c>
      <c r="T85" s="217" t="str">
        <f t="shared" si="4"/>
        <v/>
      </c>
      <c r="V85" s="217" t="str">
        <f t="shared" si="5"/>
        <v/>
      </c>
    </row>
    <row r="86" spans="8:22" x14ac:dyDescent="0.15">
      <c r="H86" s="247"/>
      <c r="I86" s="247"/>
      <c r="J86" s="247"/>
      <c r="K86" s="137"/>
      <c r="Q86" s="245" t="str">
        <f t="shared" si="3"/>
        <v/>
      </c>
      <c r="T86" s="217" t="str">
        <f t="shared" si="4"/>
        <v/>
      </c>
      <c r="V86" s="217" t="str">
        <f t="shared" si="5"/>
        <v/>
      </c>
    </row>
    <row r="87" spans="8:22" x14ac:dyDescent="0.15">
      <c r="H87" s="247"/>
      <c r="I87" s="247"/>
      <c r="J87" s="247"/>
      <c r="K87" s="137"/>
      <c r="Q87" s="245" t="str">
        <f t="shared" si="3"/>
        <v/>
      </c>
      <c r="T87" s="217" t="str">
        <f t="shared" si="4"/>
        <v/>
      </c>
      <c r="V87" s="217" t="str">
        <f t="shared" si="5"/>
        <v/>
      </c>
    </row>
    <row r="88" spans="8:22" x14ac:dyDescent="0.15">
      <c r="H88" s="247"/>
      <c r="I88" s="247"/>
      <c r="J88" s="247"/>
      <c r="K88" s="137"/>
      <c r="Q88" s="245" t="str">
        <f t="shared" si="3"/>
        <v/>
      </c>
      <c r="T88" s="217" t="str">
        <f t="shared" si="4"/>
        <v/>
      </c>
      <c r="V88" s="217" t="str">
        <f t="shared" si="5"/>
        <v/>
      </c>
    </row>
    <row r="89" spans="8:22" x14ac:dyDescent="0.15">
      <c r="H89" s="247"/>
      <c r="I89" s="247"/>
      <c r="J89" s="247"/>
      <c r="K89" s="137"/>
      <c r="Q89" s="245" t="str">
        <f t="shared" si="3"/>
        <v/>
      </c>
      <c r="T89" s="217" t="str">
        <f t="shared" si="4"/>
        <v/>
      </c>
      <c r="V89" s="217" t="str">
        <f t="shared" si="5"/>
        <v/>
      </c>
    </row>
    <row r="90" spans="8:22" x14ac:dyDescent="0.15">
      <c r="H90" s="247"/>
      <c r="I90" s="247"/>
      <c r="J90" s="247"/>
      <c r="K90" s="137"/>
      <c r="Q90" s="245" t="str">
        <f t="shared" si="3"/>
        <v/>
      </c>
      <c r="T90" s="217" t="str">
        <f t="shared" si="4"/>
        <v/>
      </c>
      <c r="V90" s="217" t="str">
        <f t="shared" si="5"/>
        <v/>
      </c>
    </row>
    <row r="91" spans="8:22" x14ac:dyDescent="0.15">
      <c r="H91" s="247"/>
      <c r="I91" s="247"/>
      <c r="J91" s="247"/>
      <c r="K91" s="137"/>
      <c r="Q91" s="245" t="str">
        <f t="shared" si="3"/>
        <v/>
      </c>
      <c r="T91" s="217" t="str">
        <f t="shared" si="4"/>
        <v/>
      </c>
      <c r="V91" s="217" t="str">
        <f t="shared" si="5"/>
        <v/>
      </c>
    </row>
    <row r="92" spans="8:22" x14ac:dyDescent="0.15">
      <c r="H92" s="247"/>
      <c r="I92" s="247"/>
      <c r="J92" s="247"/>
      <c r="K92" s="137"/>
      <c r="Q92" s="245"/>
    </row>
    <row r="93" spans="8:22" x14ac:dyDescent="0.15">
      <c r="H93" s="247"/>
      <c r="I93" s="247"/>
      <c r="J93" s="247"/>
      <c r="K93" s="137"/>
      <c r="Q93" s="245"/>
    </row>
    <row r="94" spans="8:22" x14ac:dyDescent="0.15">
      <c r="H94" s="247"/>
      <c r="I94" s="247"/>
      <c r="J94" s="247"/>
      <c r="K94" s="137"/>
      <c r="Q94" s="245"/>
    </row>
    <row r="95" spans="8:22" x14ac:dyDescent="0.15">
      <c r="H95" s="247"/>
      <c r="I95" s="247"/>
      <c r="J95" s="247"/>
      <c r="K95" s="137"/>
      <c r="Q95" s="245"/>
    </row>
    <row r="96" spans="8:22" x14ac:dyDescent="0.15">
      <c r="H96" s="247"/>
      <c r="I96" s="247"/>
      <c r="J96" s="247"/>
      <c r="K96" s="137"/>
      <c r="Q96" s="245"/>
    </row>
    <row r="97" spans="8:17" x14ac:dyDescent="0.15">
      <c r="H97" s="247"/>
      <c r="I97" s="247"/>
      <c r="J97" s="247"/>
      <c r="K97" s="137"/>
      <c r="Q97" s="245"/>
    </row>
    <row r="98" spans="8:17" x14ac:dyDescent="0.15">
      <c r="H98" s="247"/>
      <c r="I98" s="247"/>
      <c r="J98" s="247"/>
      <c r="K98" s="137"/>
      <c r="Q98" s="245"/>
    </row>
    <row r="99" spans="8:17" x14ac:dyDescent="0.15">
      <c r="H99" s="247"/>
      <c r="I99" s="247"/>
      <c r="J99" s="247"/>
      <c r="K99" s="137"/>
      <c r="Q99" s="245"/>
    </row>
    <row r="100" spans="8:17" x14ac:dyDescent="0.15">
      <c r="H100" s="247"/>
      <c r="I100" s="247"/>
      <c r="J100" s="247"/>
      <c r="K100" s="137"/>
      <c r="Q100" s="245"/>
    </row>
    <row r="101" spans="8:17" x14ac:dyDescent="0.15">
      <c r="H101" s="247"/>
      <c r="I101" s="247"/>
      <c r="J101" s="247"/>
      <c r="K101" s="137"/>
      <c r="Q101" s="245"/>
    </row>
    <row r="102" spans="8:17" x14ac:dyDescent="0.15">
      <c r="H102" s="247"/>
      <c r="I102" s="247"/>
      <c r="J102" s="247"/>
      <c r="K102" s="137"/>
      <c r="Q102" s="245"/>
    </row>
    <row r="103" spans="8:17" x14ac:dyDescent="0.15">
      <c r="H103" s="247"/>
      <c r="I103" s="247"/>
      <c r="J103" s="247"/>
      <c r="K103" s="137"/>
      <c r="Q103" s="245"/>
    </row>
    <row r="104" spans="8:17" x14ac:dyDescent="0.15">
      <c r="H104" s="247"/>
      <c r="I104" s="247"/>
      <c r="J104" s="247"/>
      <c r="K104" s="137"/>
      <c r="Q104" s="245"/>
    </row>
    <row r="105" spans="8:17" x14ac:dyDescent="0.15">
      <c r="H105" s="247"/>
      <c r="I105" s="247"/>
      <c r="J105" s="247"/>
      <c r="K105" s="137"/>
      <c r="Q105" s="245"/>
    </row>
    <row r="106" spans="8:17" x14ac:dyDescent="0.15">
      <c r="H106" s="247"/>
      <c r="I106" s="247"/>
      <c r="J106" s="247"/>
      <c r="K106" s="137"/>
      <c r="Q106" s="245"/>
    </row>
    <row r="107" spans="8:17" x14ac:dyDescent="0.15">
      <c r="H107" s="247"/>
      <c r="I107" s="247"/>
      <c r="J107" s="247"/>
      <c r="K107" s="137"/>
      <c r="Q107" s="245"/>
    </row>
    <row r="108" spans="8:17" x14ac:dyDescent="0.15">
      <c r="H108" s="247"/>
      <c r="I108" s="247"/>
      <c r="J108" s="247"/>
      <c r="K108" s="137"/>
      <c r="Q108" s="245"/>
    </row>
    <row r="109" spans="8:17" x14ac:dyDescent="0.15">
      <c r="H109" s="247"/>
      <c r="I109" s="247"/>
      <c r="J109" s="247"/>
      <c r="K109" s="137"/>
      <c r="Q109" s="245"/>
    </row>
    <row r="110" spans="8:17" x14ac:dyDescent="0.15">
      <c r="H110" s="247"/>
      <c r="I110" s="247"/>
      <c r="J110" s="247"/>
      <c r="K110" s="137"/>
      <c r="Q110" s="245"/>
    </row>
    <row r="111" spans="8:17" x14ac:dyDescent="0.15">
      <c r="H111" s="247"/>
      <c r="I111" s="247"/>
      <c r="J111" s="247"/>
      <c r="K111" s="137"/>
      <c r="Q111" s="245"/>
    </row>
    <row r="112" spans="8:17" x14ac:dyDescent="0.15">
      <c r="H112" s="247"/>
      <c r="I112" s="247"/>
      <c r="J112" s="247"/>
      <c r="K112" s="137"/>
      <c r="Q112" s="245"/>
    </row>
    <row r="113" spans="8:17" x14ac:dyDescent="0.15">
      <c r="H113" s="247"/>
      <c r="I113" s="247"/>
      <c r="J113" s="247"/>
      <c r="K113" s="137"/>
      <c r="Q113" s="245"/>
    </row>
    <row r="114" spans="8:17" x14ac:dyDescent="0.15">
      <c r="H114" s="247"/>
      <c r="I114" s="247"/>
      <c r="J114" s="247"/>
      <c r="K114" s="137"/>
      <c r="Q114" s="245"/>
    </row>
    <row r="115" spans="8:17" x14ac:dyDescent="0.15">
      <c r="H115" s="247"/>
      <c r="I115" s="247"/>
      <c r="J115" s="247"/>
      <c r="K115" s="137"/>
      <c r="Q115" s="245"/>
    </row>
    <row r="116" spans="8:17" x14ac:dyDescent="0.15">
      <c r="H116" s="247"/>
      <c r="I116" s="247"/>
      <c r="J116" s="247"/>
      <c r="K116" s="137"/>
      <c r="Q116" s="245"/>
    </row>
    <row r="117" spans="8:17" x14ac:dyDescent="0.15">
      <c r="H117" s="247"/>
      <c r="I117" s="247"/>
      <c r="J117" s="247"/>
      <c r="K117" s="137"/>
      <c r="Q117" s="245"/>
    </row>
    <row r="118" spans="8:17" x14ac:dyDescent="0.15">
      <c r="H118" s="247"/>
      <c r="I118" s="247"/>
      <c r="J118" s="247"/>
      <c r="K118" s="137"/>
      <c r="Q118" s="245"/>
    </row>
    <row r="119" spans="8:17" x14ac:dyDescent="0.15">
      <c r="H119" s="247"/>
      <c r="I119" s="247"/>
      <c r="J119" s="247"/>
      <c r="K119" s="137"/>
      <c r="Q119" s="245"/>
    </row>
    <row r="120" spans="8:17" x14ac:dyDescent="0.15">
      <c r="H120" s="247"/>
      <c r="I120" s="247"/>
      <c r="J120" s="247"/>
      <c r="K120" s="137"/>
      <c r="Q120" s="245"/>
    </row>
    <row r="121" spans="8:17" x14ac:dyDescent="0.15">
      <c r="H121" s="247"/>
      <c r="I121" s="247"/>
      <c r="J121" s="247"/>
      <c r="K121" s="137"/>
      <c r="Q121" s="245"/>
    </row>
    <row r="122" spans="8:17" x14ac:dyDescent="0.15">
      <c r="H122" s="247"/>
      <c r="I122" s="247"/>
      <c r="J122" s="247"/>
      <c r="K122" s="137"/>
      <c r="Q122" s="245"/>
    </row>
    <row r="123" spans="8:17" x14ac:dyDescent="0.15">
      <c r="H123" s="247"/>
      <c r="I123" s="247"/>
      <c r="J123" s="247"/>
      <c r="K123" s="137"/>
      <c r="Q123" s="245"/>
    </row>
    <row r="124" spans="8:17" x14ac:dyDescent="0.15">
      <c r="H124" s="247"/>
      <c r="I124" s="247"/>
      <c r="J124" s="247"/>
      <c r="K124" s="137"/>
      <c r="Q124" s="245"/>
    </row>
    <row r="125" spans="8:17" x14ac:dyDescent="0.15">
      <c r="H125" s="247"/>
      <c r="I125" s="247"/>
      <c r="J125" s="247"/>
      <c r="K125" s="137"/>
      <c r="Q125" s="245"/>
    </row>
    <row r="126" spans="8:17" x14ac:dyDescent="0.15">
      <c r="H126" s="247"/>
      <c r="I126" s="247"/>
      <c r="J126" s="247"/>
      <c r="K126" s="137"/>
      <c r="Q126" s="245"/>
    </row>
    <row r="127" spans="8:17" x14ac:dyDescent="0.15">
      <c r="H127" s="247"/>
      <c r="I127" s="247"/>
      <c r="J127" s="247"/>
      <c r="K127" s="137"/>
      <c r="Q127" s="245"/>
    </row>
    <row r="128" spans="8:17" x14ac:dyDescent="0.15">
      <c r="H128" s="247"/>
      <c r="I128" s="247"/>
      <c r="J128" s="247"/>
      <c r="K128" s="137"/>
      <c r="Q128" s="245"/>
    </row>
    <row r="129" spans="8:17" x14ac:dyDescent="0.15">
      <c r="H129" s="247"/>
      <c r="I129" s="247"/>
      <c r="J129" s="247"/>
      <c r="K129" s="137"/>
      <c r="Q129" s="245"/>
    </row>
    <row r="130" spans="8:17" x14ac:dyDescent="0.15">
      <c r="H130" s="247"/>
      <c r="I130" s="247"/>
      <c r="J130" s="247"/>
      <c r="K130" s="137"/>
      <c r="Q130" s="245"/>
    </row>
    <row r="131" spans="8:17" x14ac:dyDescent="0.15">
      <c r="H131" s="247"/>
      <c r="I131" s="247"/>
      <c r="J131" s="247"/>
      <c r="K131" s="137"/>
      <c r="Q131" s="245"/>
    </row>
    <row r="132" spans="8:17" x14ac:dyDescent="0.15">
      <c r="H132" s="247"/>
      <c r="I132" s="247"/>
      <c r="J132" s="247"/>
      <c r="K132" s="137"/>
      <c r="Q132" s="245"/>
    </row>
    <row r="133" spans="8:17" x14ac:dyDescent="0.15">
      <c r="H133" s="247"/>
      <c r="I133" s="247"/>
      <c r="J133" s="247"/>
      <c r="K133" s="137"/>
      <c r="Q133" s="245"/>
    </row>
    <row r="134" spans="8:17" x14ac:dyDescent="0.15">
      <c r="H134" s="247"/>
      <c r="I134" s="247"/>
      <c r="J134" s="247"/>
      <c r="K134" s="137"/>
      <c r="Q134" s="245"/>
    </row>
    <row r="135" spans="8:17" x14ac:dyDescent="0.15">
      <c r="H135" s="247"/>
      <c r="I135" s="247"/>
      <c r="J135" s="247"/>
      <c r="K135" s="137"/>
      <c r="Q135" s="245"/>
    </row>
    <row r="136" spans="8:17" x14ac:dyDescent="0.15">
      <c r="H136" s="247"/>
      <c r="I136" s="247"/>
      <c r="J136" s="247"/>
      <c r="K136" s="137"/>
      <c r="Q136" s="245"/>
    </row>
    <row r="137" spans="8:17" x14ac:dyDescent="0.15">
      <c r="H137" s="247"/>
      <c r="I137" s="247"/>
      <c r="J137" s="247"/>
      <c r="K137" s="137"/>
      <c r="Q137" s="245"/>
    </row>
    <row r="138" spans="8:17" x14ac:dyDescent="0.15">
      <c r="H138" s="247"/>
      <c r="I138" s="247"/>
      <c r="J138" s="247"/>
      <c r="K138" s="137"/>
      <c r="Q138" s="245"/>
    </row>
    <row r="139" spans="8:17" x14ac:dyDescent="0.15">
      <c r="H139" s="247"/>
      <c r="I139" s="247"/>
      <c r="J139" s="247"/>
      <c r="K139" s="137"/>
      <c r="Q139" s="245"/>
    </row>
    <row r="140" spans="8:17" x14ac:dyDescent="0.15">
      <c r="H140" s="247"/>
      <c r="I140" s="247"/>
      <c r="J140" s="247"/>
      <c r="K140" s="137"/>
      <c r="Q140" s="245"/>
    </row>
    <row r="141" spans="8:17" x14ac:dyDescent="0.15">
      <c r="H141" s="247"/>
      <c r="I141" s="247"/>
      <c r="J141" s="247"/>
      <c r="K141" s="137"/>
      <c r="Q141" s="245"/>
    </row>
    <row r="142" spans="8:17" x14ac:dyDescent="0.15">
      <c r="K142" s="137"/>
      <c r="Q142" s="245"/>
    </row>
    <row r="143" spans="8:17" x14ac:dyDescent="0.15">
      <c r="K143" s="137"/>
      <c r="Q143" s="245"/>
    </row>
    <row r="144" spans="8:17" x14ac:dyDescent="0.15">
      <c r="K144" s="137"/>
      <c r="Q144" s="245"/>
    </row>
    <row r="145" spans="11:17" x14ac:dyDescent="0.15">
      <c r="K145" s="137"/>
      <c r="Q145" s="245"/>
    </row>
    <row r="146" spans="11:17" x14ac:dyDescent="0.15">
      <c r="K146" s="137"/>
      <c r="Q146" s="245"/>
    </row>
    <row r="147" spans="11:17" x14ac:dyDescent="0.15">
      <c r="K147" s="137"/>
      <c r="Q147" s="245"/>
    </row>
    <row r="148" spans="11:17" x14ac:dyDescent="0.15">
      <c r="K148" s="137"/>
      <c r="Q148" s="245"/>
    </row>
    <row r="149" spans="11:17" x14ac:dyDescent="0.15">
      <c r="K149" s="137"/>
      <c r="Q149" s="245"/>
    </row>
    <row r="150" spans="11:17" x14ac:dyDescent="0.15">
      <c r="K150" s="137"/>
      <c r="Q150" s="245"/>
    </row>
    <row r="151" spans="11:17" x14ac:dyDescent="0.15">
      <c r="K151" s="137"/>
      <c r="Q151" s="245"/>
    </row>
    <row r="152" spans="11:17" x14ac:dyDescent="0.15">
      <c r="K152" s="137"/>
      <c r="Q152" s="245"/>
    </row>
    <row r="153" spans="11:17" x14ac:dyDescent="0.15">
      <c r="K153" s="137"/>
      <c r="Q153" s="245"/>
    </row>
    <row r="154" spans="11:17" x14ac:dyDescent="0.15">
      <c r="K154" s="137"/>
      <c r="Q154" s="245"/>
    </row>
    <row r="155" spans="11:17" x14ac:dyDescent="0.15">
      <c r="K155" s="137"/>
      <c r="Q155" s="245"/>
    </row>
    <row r="156" spans="11:17" x14ac:dyDescent="0.15">
      <c r="K156" s="137"/>
      <c r="Q156" s="245"/>
    </row>
    <row r="157" spans="11:17" x14ac:dyDescent="0.15">
      <c r="K157" s="137"/>
      <c r="Q157" s="245"/>
    </row>
    <row r="158" spans="11:17" x14ac:dyDescent="0.15">
      <c r="K158" s="137"/>
      <c r="Q158" s="245"/>
    </row>
    <row r="159" spans="11:17" x14ac:dyDescent="0.15">
      <c r="K159" s="137"/>
      <c r="Q159" s="245"/>
    </row>
    <row r="160" spans="11:17" x14ac:dyDescent="0.15">
      <c r="K160" s="137"/>
      <c r="Q160" s="245"/>
    </row>
    <row r="161" spans="11:17" x14ac:dyDescent="0.15">
      <c r="K161" s="137"/>
      <c r="Q161" s="245"/>
    </row>
    <row r="162" spans="11:17" x14ac:dyDescent="0.15">
      <c r="K162" s="137"/>
      <c r="Q162" s="245"/>
    </row>
    <row r="163" spans="11:17" x14ac:dyDescent="0.15">
      <c r="K163" s="137"/>
      <c r="Q163" s="245"/>
    </row>
    <row r="164" spans="11:17" x14ac:dyDescent="0.15">
      <c r="K164" s="137"/>
      <c r="Q164" s="245"/>
    </row>
    <row r="165" spans="11:17" x14ac:dyDescent="0.15">
      <c r="K165" s="137"/>
      <c r="Q165" s="245"/>
    </row>
    <row r="166" spans="11:17" x14ac:dyDescent="0.15">
      <c r="K166" s="137"/>
      <c r="Q166" s="245"/>
    </row>
    <row r="167" spans="11:17" x14ac:dyDescent="0.15">
      <c r="K167" s="137"/>
      <c r="Q167" s="245"/>
    </row>
    <row r="168" spans="11:17" x14ac:dyDescent="0.15">
      <c r="K168" s="137"/>
      <c r="Q168" s="245"/>
    </row>
    <row r="169" spans="11:17" x14ac:dyDescent="0.15">
      <c r="K169" s="137"/>
      <c r="Q169" s="245"/>
    </row>
    <row r="170" spans="11:17" x14ac:dyDescent="0.15">
      <c r="K170" s="137"/>
      <c r="Q170" s="245"/>
    </row>
    <row r="171" spans="11:17" x14ac:dyDescent="0.15">
      <c r="K171" s="137"/>
      <c r="Q171" s="245"/>
    </row>
    <row r="172" spans="11:17" x14ac:dyDescent="0.15">
      <c r="K172" s="137"/>
      <c r="Q172" s="245"/>
    </row>
    <row r="173" spans="11:17" x14ac:dyDescent="0.15">
      <c r="K173" s="137"/>
      <c r="Q173" s="245"/>
    </row>
    <row r="174" spans="11:17" x14ac:dyDescent="0.15">
      <c r="K174" s="137"/>
      <c r="Q174" s="245"/>
    </row>
    <row r="175" spans="11:17" x14ac:dyDescent="0.15">
      <c r="K175" s="137"/>
      <c r="Q175" s="245"/>
    </row>
    <row r="176" spans="11:17" x14ac:dyDescent="0.15">
      <c r="K176" s="137"/>
      <c r="Q176" s="245"/>
    </row>
    <row r="177" spans="11:17" x14ac:dyDescent="0.15">
      <c r="K177" s="137"/>
      <c r="Q177" s="245"/>
    </row>
    <row r="178" spans="11:17" x14ac:dyDescent="0.15">
      <c r="K178" s="137"/>
      <c r="Q178" s="245"/>
    </row>
    <row r="179" spans="11:17" x14ac:dyDescent="0.15">
      <c r="K179" s="137"/>
      <c r="Q179" s="245"/>
    </row>
    <row r="180" spans="11:17" x14ac:dyDescent="0.15">
      <c r="K180" s="137"/>
      <c r="Q180" s="245"/>
    </row>
    <row r="181" spans="11:17" x14ac:dyDescent="0.15">
      <c r="K181" s="137"/>
      <c r="Q181" s="245"/>
    </row>
    <row r="182" spans="11:17" x14ac:dyDescent="0.15">
      <c r="K182" s="137"/>
      <c r="Q182" s="245"/>
    </row>
    <row r="183" spans="11:17" x14ac:dyDescent="0.15">
      <c r="K183" s="137"/>
      <c r="Q183" s="245"/>
    </row>
    <row r="184" spans="11:17" x14ac:dyDescent="0.15">
      <c r="K184" s="137"/>
      <c r="Q184" s="245"/>
    </row>
    <row r="185" spans="11:17" x14ac:dyDescent="0.15">
      <c r="K185" s="137"/>
      <c r="Q185" s="245"/>
    </row>
    <row r="186" spans="11:17" x14ac:dyDescent="0.15">
      <c r="K186" s="137"/>
      <c r="Q186" s="245"/>
    </row>
    <row r="187" spans="11:17" x14ac:dyDescent="0.15">
      <c r="K187" s="137"/>
      <c r="Q187" s="245"/>
    </row>
    <row r="188" spans="11:17" x14ac:dyDescent="0.15">
      <c r="K188" s="137"/>
      <c r="Q188" s="245"/>
    </row>
    <row r="189" spans="11:17" x14ac:dyDescent="0.15">
      <c r="K189" s="137"/>
      <c r="Q189" s="245"/>
    </row>
    <row r="190" spans="11:17" x14ac:dyDescent="0.15">
      <c r="K190" s="137"/>
      <c r="Q190" s="245"/>
    </row>
    <row r="191" spans="11:17" x14ac:dyDescent="0.15">
      <c r="K191" s="137"/>
      <c r="Q191" s="245"/>
    </row>
    <row r="192" spans="11:17" x14ac:dyDescent="0.15">
      <c r="K192" s="137"/>
      <c r="Q192" s="245"/>
    </row>
    <row r="193" spans="11:17" x14ac:dyDescent="0.15">
      <c r="K193" s="137"/>
      <c r="Q193" s="245"/>
    </row>
    <row r="194" spans="11:17" x14ac:dyDescent="0.15">
      <c r="K194" s="137"/>
      <c r="Q194" s="245"/>
    </row>
    <row r="195" spans="11:17" x14ac:dyDescent="0.15">
      <c r="K195" s="137"/>
      <c r="Q195" s="245"/>
    </row>
    <row r="196" spans="11:17" x14ac:dyDescent="0.15">
      <c r="K196" s="137"/>
      <c r="Q196" s="245"/>
    </row>
    <row r="197" spans="11:17" x14ac:dyDescent="0.15">
      <c r="K197" s="137"/>
      <c r="Q197" s="245"/>
    </row>
    <row r="198" spans="11:17" x14ac:dyDescent="0.15">
      <c r="K198" s="137"/>
      <c r="Q198" s="245"/>
    </row>
    <row r="199" spans="11:17" x14ac:dyDescent="0.15">
      <c r="K199" s="137"/>
      <c r="Q199" s="245"/>
    </row>
    <row r="200" spans="11:17" x14ac:dyDescent="0.15">
      <c r="K200" s="137"/>
      <c r="Q200" s="245"/>
    </row>
    <row r="201" spans="11:17" x14ac:dyDescent="0.15">
      <c r="K201" s="137"/>
      <c r="Q201" s="245"/>
    </row>
    <row r="202" spans="11:17" x14ac:dyDescent="0.15">
      <c r="K202" s="137"/>
      <c r="Q202" s="245"/>
    </row>
    <row r="203" spans="11:17" x14ac:dyDescent="0.15">
      <c r="K203" s="137"/>
      <c r="Q203" s="245"/>
    </row>
    <row r="204" spans="11:17" x14ac:dyDescent="0.15">
      <c r="K204" s="137"/>
      <c r="Q204" s="245"/>
    </row>
    <row r="205" spans="11:17" x14ac:dyDescent="0.15">
      <c r="K205" s="137"/>
      <c r="Q205" s="245"/>
    </row>
    <row r="206" spans="11:17" x14ac:dyDescent="0.15">
      <c r="K206" s="137"/>
      <c r="Q206" s="245"/>
    </row>
    <row r="207" spans="11:17" x14ac:dyDescent="0.15">
      <c r="K207" s="137"/>
      <c r="Q207" s="245"/>
    </row>
    <row r="208" spans="11:17" x14ac:dyDescent="0.15">
      <c r="K208" s="137"/>
      <c r="Q208" s="245"/>
    </row>
    <row r="209" spans="11:17" x14ac:dyDescent="0.15">
      <c r="K209" s="137"/>
      <c r="Q209" s="245"/>
    </row>
    <row r="210" spans="11:17" x14ac:dyDescent="0.15">
      <c r="K210" s="137"/>
      <c r="Q210" s="245"/>
    </row>
    <row r="211" spans="11:17" x14ac:dyDescent="0.15">
      <c r="K211" s="137"/>
      <c r="Q211" s="245"/>
    </row>
    <row r="212" spans="11:17" x14ac:dyDescent="0.15">
      <c r="K212" s="137"/>
      <c r="Q212" s="245"/>
    </row>
    <row r="213" spans="11:17" x14ac:dyDescent="0.15">
      <c r="K213" s="137"/>
      <c r="Q213" s="245"/>
    </row>
    <row r="214" spans="11:17" x14ac:dyDescent="0.15">
      <c r="K214" s="137"/>
      <c r="Q214" s="245"/>
    </row>
    <row r="215" spans="11:17" x14ac:dyDescent="0.15">
      <c r="K215" s="137"/>
      <c r="Q215" s="245"/>
    </row>
    <row r="216" spans="11:17" x14ac:dyDescent="0.15">
      <c r="K216" s="137"/>
      <c r="Q216" s="245"/>
    </row>
    <row r="217" spans="11:17" x14ac:dyDescent="0.15">
      <c r="K217" s="137"/>
      <c r="Q217" s="245"/>
    </row>
    <row r="218" spans="11:17" x14ac:dyDescent="0.15">
      <c r="K218" s="137"/>
      <c r="Q218" s="245"/>
    </row>
    <row r="219" spans="11:17" x14ac:dyDescent="0.15">
      <c r="K219" s="137"/>
      <c r="Q219" s="245"/>
    </row>
    <row r="220" spans="11:17" x14ac:dyDescent="0.15">
      <c r="K220" s="137"/>
      <c r="Q220" s="245"/>
    </row>
    <row r="221" spans="11:17" x14ac:dyDescent="0.15">
      <c r="K221" s="137"/>
      <c r="Q221" s="245"/>
    </row>
    <row r="222" spans="11:17" x14ac:dyDescent="0.15">
      <c r="K222" s="137"/>
      <c r="Q222" s="245"/>
    </row>
    <row r="223" spans="11:17" x14ac:dyDescent="0.15">
      <c r="K223" s="137"/>
      <c r="Q223" s="245"/>
    </row>
    <row r="224" spans="11:17" x14ac:dyDescent="0.15">
      <c r="K224" s="137"/>
      <c r="Q224" s="245"/>
    </row>
    <row r="225" spans="11:17" x14ac:dyDescent="0.15">
      <c r="K225" s="137"/>
      <c r="Q225" s="245"/>
    </row>
    <row r="226" spans="11:17" x14ac:dyDescent="0.15">
      <c r="K226" s="137"/>
      <c r="Q226" s="245"/>
    </row>
    <row r="227" spans="11:17" x14ac:dyDescent="0.15">
      <c r="K227" s="137"/>
      <c r="Q227" s="245"/>
    </row>
    <row r="228" spans="11:17" x14ac:dyDescent="0.15">
      <c r="K228" s="137"/>
      <c r="Q228" s="245"/>
    </row>
    <row r="229" spans="11:17" x14ac:dyDescent="0.15">
      <c r="K229" s="137"/>
      <c r="Q229" s="245"/>
    </row>
    <row r="230" spans="11:17" x14ac:dyDescent="0.15">
      <c r="K230" s="137"/>
      <c r="Q230" s="245"/>
    </row>
    <row r="231" spans="11:17" x14ac:dyDescent="0.15">
      <c r="K231" s="137"/>
      <c r="Q231" s="245"/>
    </row>
    <row r="232" spans="11:17" x14ac:dyDescent="0.15">
      <c r="K232" s="137"/>
      <c r="Q232" s="245"/>
    </row>
    <row r="233" spans="11:17" x14ac:dyDescent="0.15">
      <c r="K233" s="137"/>
      <c r="Q233" s="245"/>
    </row>
    <row r="234" spans="11:17" x14ac:dyDescent="0.15">
      <c r="K234" s="137"/>
      <c r="Q234" s="245"/>
    </row>
    <row r="235" spans="11:17" x14ac:dyDescent="0.15">
      <c r="K235" s="137"/>
      <c r="Q235" s="245"/>
    </row>
    <row r="236" spans="11:17" x14ac:dyDescent="0.15">
      <c r="K236" s="137"/>
      <c r="Q236" s="245"/>
    </row>
    <row r="237" spans="11:17" x14ac:dyDescent="0.15">
      <c r="K237" s="137"/>
      <c r="Q237" s="245"/>
    </row>
    <row r="238" spans="11:17" x14ac:dyDescent="0.15">
      <c r="K238" s="137"/>
      <c r="Q238" s="245"/>
    </row>
    <row r="239" spans="11:17" x14ac:dyDescent="0.15">
      <c r="K239" s="137"/>
      <c r="Q239" s="245"/>
    </row>
    <row r="240" spans="11:17" x14ac:dyDescent="0.15">
      <c r="K240" s="137"/>
      <c r="Q240" s="245"/>
    </row>
    <row r="241" spans="11:17" x14ac:dyDescent="0.15">
      <c r="K241" s="137"/>
      <c r="Q241" s="245"/>
    </row>
    <row r="242" spans="11:17" x14ac:dyDescent="0.15">
      <c r="K242" s="137"/>
      <c r="Q242" s="245"/>
    </row>
    <row r="243" spans="11:17" x14ac:dyDescent="0.15">
      <c r="K243" s="137"/>
      <c r="Q243" s="245"/>
    </row>
    <row r="244" spans="11:17" x14ac:dyDescent="0.15">
      <c r="K244" s="137"/>
      <c r="Q244" s="245"/>
    </row>
    <row r="245" spans="11:17" x14ac:dyDescent="0.15">
      <c r="K245" s="137"/>
      <c r="Q245" s="245"/>
    </row>
    <row r="246" spans="11:17" x14ac:dyDescent="0.15">
      <c r="K246" s="137"/>
      <c r="Q246" s="245"/>
    </row>
    <row r="247" spans="11:17" x14ac:dyDescent="0.15">
      <c r="K247" s="137"/>
      <c r="Q247" s="245"/>
    </row>
    <row r="248" spans="11:17" x14ac:dyDescent="0.15">
      <c r="K248" s="137"/>
      <c r="Q248" s="245"/>
    </row>
    <row r="249" spans="11:17" x14ac:dyDescent="0.15">
      <c r="K249" s="137"/>
      <c r="Q249" s="245"/>
    </row>
    <row r="250" spans="11:17" x14ac:dyDescent="0.15">
      <c r="K250" s="137"/>
      <c r="Q250" s="245"/>
    </row>
    <row r="251" spans="11:17" x14ac:dyDescent="0.15">
      <c r="K251" s="137"/>
      <c r="Q251" s="245"/>
    </row>
    <row r="252" spans="11:17" x14ac:dyDescent="0.15">
      <c r="K252" s="137"/>
      <c r="Q252" s="245"/>
    </row>
    <row r="253" spans="11:17" x14ac:dyDescent="0.15">
      <c r="K253" s="137"/>
      <c r="Q253" s="245"/>
    </row>
    <row r="254" spans="11:17" x14ac:dyDescent="0.15">
      <c r="K254" s="137"/>
      <c r="Q254" s="245"/>
    </row>
    <row r="255" spans="11:17" x14ac:dyDescent="0.15">
      <c r="K255" s="137"/>
      <c r="Q255" s="245"/>
    </row>
    <row r="256" spans="11:17" x14ac:dyDescent="0.15">
      <c r="K256" s="137"/>
      <c r="Q256" s="245"/>
    </row>
    <row r="257" spans="11:17" x14ac:dyDescent="0.15">
      <c r="K257" s="137"/>
      <c r="Q257" s="245"/>
    </row>
    <row r="258" spans="11:17" x14ac:dyDescent="0.15">
      <c r="K258" s="137"/>
      <c r="Q258" s="245"/>
    </row>
    <row r="259" spans="11:17" x14ac:dyDescent="0.15">
      <c r="K259" s="137"/>
      <c r="Q259" s="245"/>
    </row>
    <row r="260" spans="11:17" x14ac:dyDescent="0.15">
      <c r="K260" s="137"/>
      <c r="Q260" s="245"/>
    </row>
    <row r="261" spans="11:17" x14ac:dyDescent="0.15">
      <c r="K261" s="137"/>
      <c r="Q261" s="245"/>
    </row>
    <row r="262" spans="11:17" x14ac:dyDescent="0.15">
      <c r="K262" s="137"/>
      <c r="Q262" s="245"/>
    </row>
    <row r="263" spans="11:17" x14ac:dyDescent="0.15">
      <c r="K263" s="137"/>
      <c r="Q263" s="245"/>
    </row>
    <row r="264" spans="11:17" x14ac:dyDescent="0.15">
      <c r="K264" s="137"/>
      <c r="Q264" s="245"/>
    </row>
    <row r="265" spans="11:17" x14ac:dyDescent="0.15">
      <c r="K265" s="137"/>
      <c r="Q265" s="245"/>
    </row>
    <row r="266" spans="11:17" x14ac:dyDescent="0.15">
      <c r="K266" s="137"/>
      <c r="Q266" s="245"/>
    </row>
    <row r="267" spans="11:17" x14ac:dyDescent="0.15">
      <c r="K267" s="137"/>
      <c r="Q267" s="245"/>
    </row>
    <row r="268" spans="11:17" x14ac:dyDescent="0.15">
      <c r="K268" s="137"/>
      <c r="Q268" s="245"/>
    </row>
    <row r="269" spans="11:17" x14ac:dyDescent="0.15">
      <c r="K269" s="137"/>
      <c r="Q269" s="245"/>
    </row>
    <row r="270" spans="11:17" x14ac:dyDescent="0.15">
      <c r="K270" s="137"/>
      <c r="Q270" s="245"/>
    </row>
    <row r="271" spans="11:17" x14ac:dyDescent="0.15">
      <c r="K271" s="137"/>
      <c r="Q271" s="245"/>
    </row>
    <row r="272" spans="11:17" x14ac:dyDescent="0.15">
      <c r="K272" s="137"/>
      <c r="Q272" s="245"/>
    </row>
    <row r="273" spans="11:17" x14ac:dyDescent="0.15">
      <c r="K273" s="137"/>
      <c r="Q273" s="245"/>
    </row>
    <row r="274" spans="11:17" x14ac:dyDescent="0.15">
      <c r="K274" s="137"/>
      <c r="Q274" s="245"/>
    </row>
    <row r="275" spans="11:17" x14ac:dyDescent="0.15">
      <c r="K275" s="137"/>
      <c r="Q275" s="245"/>
    </row>
    <row r="276" spans="11:17" x14ac:dyDescent="0.15">
      <c r="K276" s="137"/>
      <c r="Q276" s="245"/>
    </row>
    <row r="277" spans="11:17" x14ac:dyDescent="0.15">
      <c r="K277" s="137"/>
      <c r="Q277" s="245"/>
    </row>
    <row r="278" spans="11:17" x14ac:dyDescent="0.15">
      <c r="K278" s="137"/>
      <c r="Q278" s="245"/>
    </row>
    <row r="279" spans="11:17" x14ac:dyDescent="0.15">
      <c r="K279" s="137"/>
      <c r="Q279" s="245"/>
    </row>
    <row r="280" spans="11:17" x14ac:dyDescent="0.15">
      <c r="K280" s="137"/>
      <c r="Q280" s="245"/>
    </row>
    <row r="281" spans="11:17" x14ac:dyDescent="0.15">
      <c r="K281" s="137"/>
      <c r="Q281" s="245"/>
    </row>
    <row r="282" spans="11:17" x14ac:dyDescent="0.15">
      <c r="K282" s="137"/>
      <c r="Q282" s="245"/>
    </row>
    <row r="283" spans="11:17" x14ac:dyDescent="0.15">
      <c r="K283" s="137"/>
      <c r="Q283" s="245"/>
    </row>
    <row r="284" spans="11:17" x14ac:dyDescent="0.15">
      <c r="K284" s="137"/>
      <c r="Q284" s="245"/>
    </row>
    <row r="285" spans="11:17" x14ac:dyDescent="0.15">
      <c r="K285" s="137"/>
      <c r="Q285" s="245"/>
    </row>
    <row r="286" spans="11:17" x14ac:dyDescent="0.15">
      <c r="K286" s="137"/>
      <c r="Q286" s="245"/>
    </row>
    <row r="287" spans="11:17" x14ac:dyDescent="0.15">
      <c r="K287" s="137"/>
      <c r="Q287" s="245"/>
    </row>
    <row r="288" spans="11:17" x14ac:dyDescent="0.15">
      <c r="K288" s="137"/>
      <c r="Q288" s="245"/>
    </row>
    <row r="289" spans="11:17" x14ac:dyDescent="0.15">
      <c r="K289" s="137"/>
      <c r="Q289" s="245"/>
    </row>
    <row r="290" spans="11:17" x14ac:dyDescent="0.15">
      <c r="K290" s="137"/>
      <c r="Q290" s="245"/>
    </row>
    <row r="291" spans="11:17" x14ac:dyDescent="0.15">
      <c r="K291" s="137"/>
      <c r="Q291" s="245"/>
    </row>
    <row r="292" spans="11:17" x14ac:dyDescent="0.15">
      <c r="K292" s="137"/>
    </row>
    <row r="293" spans="11:17" x14ac:dyDescent="0.15">
      <c r="K293" s="137"/>
    </row>
    <row r="294" spans="11:17" x14ac:dyDescent="0.15">
      <c r="K294" s="137"/>
    </row>
    <row r="295" spans="11:17" x14ac:dyDescent="0.15">
      <c r="K295" s="137"/>
    </row>
    <row r="296" spans="11:17" x14ac:dyDescent="0.15">
      <c r="K296" s="137"/>
    </row>
    <row r="297" spans="11:17" x14ac:dyDescent="0.15">
      <c r="K297" s="137"/>
    </row>
    <row r="298" spans="11:17" x14ac:dyDescent="0.15">
      <c r="K298" s="137"/>
    </row>
    <row r="299" spans="11:17" x14ac:dyDescent="0.15">
      <c r="K299" s="137"/>
    </row>
    <row r="300" spans="11:17" x14ac:dyDescent="0.15">
      <c r="K300" s="137"/>
    </row>
    <row r="301" spans="11:17" x14ac:dyDescent="0.15">
      <c r="K301" s="137"/>
    </row>
    <row r="302" spans="11:17" x14ac:dyDescent="0.15">
      <c r="K302" s="137"/>
    </row>
    <row r="303" spans="11:17" x14ac:dyDescent="0.15">
      <c r="K303" s="137"/>
    </row>
    <row r="304" spans="11:17" x14ac:dyDescent="0.15">
      <c r="K304" s="137"/>
    </row>
    <row r="305" spans="11:11" x14ac:dyDescent="0.15">
      <c r="K305" s="137"/>
    </row>
    <row r="306" spans="11:11" x14ac:dyDescent="0.15">
      <c r="K306" s="137"/>
    </row>
    <row r="307" spans="11:11" x14ac:dyDescent="0.15">
      <c r="K307" s="137"/>
    </row>
    <row r="308" spans="11:11" x14ac:dyDescent="0.15">
      <c r="K308" s="137"/>
    </row>
    <row r="309" spans="11:11" x14ac:dyDescent="0.15">
      <c r="K309" s="137"/>
    </row>
    <row r="310" spans="11:11" x14ac:dyDescent="0.15">
      <c r="K310" s="137"/>
    </row>
    <row r="311" spans="11:11" x14ac:dyDescent="0.15">
      <c r="K311" s="137"/>
    </row>
    <row r="312" spans="11:11" x14ac:dyDescent="0.15">
      <c r="K312" s="137"/>
    </row>
    <row r="313" spans="11:11" x14ac:dyDescent="0.15">
      <c r="K313" s="137"/>
    </row>
    <row r="314" spans="11:11" x14ac:dyDescent="0.15">
      <c r="K314" s="137"/>
    </row>
    <row r="315" spans="11:11" x14ac:dyDescent="0.15">
      <c r="K315" s="137"/>
    </row>
    <row r="316" spans="11:11" x14ac:dyDescent="0.15">
      <c r="K316" s="137"/>
    </row>
    <row r="317" spans="11:11" x14ac:dyDescent="0.15">
      <c r="K317" s="137"/>
    </row>
    <row r="318" spans="11:11" x14ac:dyDescent="0.15">
      <c r="K318" s="137"/>
    </row>
    <row r="319" spans="11:11" x14ac:dyDescent="0.15">
      <c r="K319" s="137"/>
    </row>
    <row r="320" spans="11:11" x14ac:dyDescent="0.15">
      <c r="K320" s="137"/>
    </row>
    <row r="321" spans="11:11" x14ac:dyDescent="0.15">
      <c r="K321" s="137"/>
    </row>
    <row r="322" spans="11:11" x14ac:dyDescent="0.15">
      <c r="K322" s="137"/>
    </row>
    <row r="323" spans="11:11" x14ac:dyDescent="0.15">
      <c r="K323" s="137"/>
    </row>
    <row r="324" spans="11:11" x14ac:dyDescent="0.15">
      <c r="K324" s="137"/>
    </row>
    <row r="325" spans="11:11" x14ac:dyDescent="0.15">
      <c r="K325" s="137"/>
    </row>
    <row r="326" spans="11:11" x14ac:dyDescent="0.15">
      <c r="K326" s="137"/>
    </row>
    <row r="327" spans="11:11" x14ac:dyDescent="0.15">
      <c r="K327" s="137"/>
    </row>
    <row r="328" spans="11:11" x14ac:dyDescent="0.15">
      <c r="K328" s="137"/>
    </row>
    <row r="329" spans="11:11" x14ac:dyDescent="0.15">
      <c r="K329" s="137"/>
    </row>
    <row r="330" spans="11:11" x14ac:dyDescent="0.15">
      <c r="K330" s="137"/>
    </row>
    <row r="331" spans="11:11" x14ac:dyDescent="0.15">
      <c r="K331" s="137"/>
    </row>
    <row r="332" spans="11:11" x14ac:dyDescent="0.15">
      <c r="K332" s="137"/>
    </row>
    <row r="333" spans="11:11" x14ac:dyDescent="0.15">
      <c r="K333" s="137"/>
    </row>
    <row r="334" spans="11:11" x14ac:dyDescent="0.15">
      <c r="K334" s="137"/>
    </row>
    <row r="335" spans="11:11" x14ac:dyDescent="0.15">
      <c r="K335" s="137"/>
    </row>
    <row r="336" spans="11:11" x14ac:dyDescent="0.15">
      <c r="K336" s="137"/>
    </row>
    <row r="337" spans="11:11" x14ac:dyDescent="0.15">
      <c r="K337" s="137"/>
    </row>
    <row r="338" spans="11:11" x14ac:dyDescent="0.15">
      <c r="K338" s="137"/>
    </row>
    <row r="339" spans="11:11" x14ac:dyDescent="0.15">
      <c r="K339" s="137"/>
    </row>
    <row r="340" spans="11:11" x14ac:dyDescent="0.15">
      <c r="K340" s="137"/>
    </row>
    <row r="341" spans="11:11" x14ac:dyDescent="0.15">
      <c r="K341" s="137"/>
    </row>
    <row r="342" spans="11:11" x14ac:dyDescent="0.15">
      <c r="K342" s="137"/>
    </row>
    <row r="343" spans="11:11" x14ac:dyDescent="0.15">
      <c r="K343" s="137"/>
    </row>
    <row r="344" spans="11:11" x14ac:dyDescent="0.15">
      <c r="K344" s="137"/>
    </row>
    <row r="345" spans="11:11" x14ac:dyDescent="0.15">
      <c r="K345" s="137"/>
    </row>
    <row r="346" spans="11:11" x14ac:dyDescent="0.15">
      <c r="K346" s="137"/>
    </row>
    <row r="347" spans="11:11" x14ac:dyDescent="0.15">
      <c r="K347" s="137"/>
    </row>
    <row r="348" spans="11:11" x14ac:dyDescent="0.15">
      <c r="K348" s="137"/>
    </row>
    <row r="349" spans="11:11" x14ac:dyDescent="0.15">
      <c r="K349" s="137"/>
    </row>
    <row r="350" spans="11:11" x14ac:dyDescent="0.15">
      <c r="K350" s="137"/>
    </row>
    <row r="351" spans="11:11" x14ac:dyDescent="0.15">
      <c r="K351" s="137"/>
    </row>
    <row r="352" spans="11:11" x14ac:dyDescent="0.15">
      <c r="K352" s="137"/>
    </row>
    <row r="353" spans="11:11" x14ac:dyDescent="0.15">
      <c r="K353" s="137"/>
    </row>
    <row r="354" spans="11:11" x14ac:dyDescent="0.15">
      <c r="K354" s="137"/>
    </row>
    <row r="355" spans="11:11" x14ac:dyDescent="0.15">
      <c r="K355" s="137"/>
    </row>
    <row r="356" spans="11:11" x14ac:dyDescent="0.15">
      <c r="K356" s="137"/>
    </row>
    <row r="357" spans="11:11" x14ac:dyDescent="0.15">
      <c r="K357" s="137"/>
    </row>
    <row r="358" spans="11:11" x14ac:dyDescent="0.15">
      <c r="K358" s="137"/>
    </row>
    <row r="359" spans="11:11" x14ac:dyDescent="0.15">
      <c r="K359" s="137"/>
    </row>
    <row r="360" spans="11:11" x14ac:dyDescent="0.15">
      <c r="K360" s="137"/>
    </row>
    <row r="361" spans="11:11" x14ac:dyDescent="0.15">
      <c r="K361" s="137"/>
    </row>
    <row r="362" spans="11:11" x14ac:dyDescent="0.15">
      <c r="K362" s="137"/>
    </row>
    <row r="363" spans="11:11" x14ac:dyDescent="0.15">
      <c r="K363" s="137"/>
    </row>
    <row r="364" spans="11:11" x14ac:dyDescent="0.15">
      <c r="K364" s="137"/>
    </row>
    <row r="365" spans="11:11" x14ac:dyDescent="0.15">
      <c r="K365" s="137"/>
    </row>
    <row r="366" spans="11:11" x14ac:dyDescent="0.15">
      <c r="K366" s="137"/>
    </row>
    <row r="367" spans="11:11" x14ac:dyDescent="0.15">
      <c r="K367" s="137"/>
    </row>
    <row r="368" spans="11:11" x14ac:dyDescent="0.15">
      <c r="K368" s="137"/>
    </row>
    <row r="369" spans="11:11" x14ac:dyDescent="0.15">
      <c r="K369" s="137"/>
    </row>
    <row r="370" spans="11:11" x14ac:dyDescent="0.15">
      <c r="K370" s="137"/>
    </row>
    <row r="371" spans="11:11" x14ac:dyDescent="0.15">
      <c r="K371" s="137"/>
    </row>
    <row r="372" spans="11:11" x14ac:dyDescent="0.15">
      <c r="K372" s="137"/>
    </row>
    <row r="373" spans="11:11" x14ac:dyDescent="0.15">
      <c r="K373" s="137"/>
    </row>
    <row r="374" spans="11:11" x14ac:dyDescent="0.15">
      <c r="K374" s="137"/>
    </row>
    <row r="375" spans="11:11" x14ac:dyDescent="0.15">
      <c r="K375" s="137"/>
    </row>
    <row r="376" spans="11:11" x14ac:dyDescent="0.15">
      <c r="K376" s="137"/>
    </row>
    <row r="377" spans="11:11" x14ac:dyDescent="0.15">
      <c r="K377" s="137"/>
    </row>
    <row r="378" spans="11:11" x14ac:dyDescent="0.15">
      <c r="K378" s="137"/>
    </row>
    <row r="379" spans="11:11" x14ac:dyDescent="0.15">
      <c r="K379" s="137"/>
    </row>
    <row r="380" spans="11:11" x14ac:dyDescent="0.15">
      <c r="K380" s="137"/>
    </row>
    <row r="381" spans="11:11" x14ac:dyDescent="0.15">
      <c r="K381" s="137"/>
    </row>
    <row r="382" spans="11:11" x14ac:dyDescent="0.15">
      <c r="K382" s="137"/>
    </row>
    <row r="383" spans="11:11" x14ac:dyDescent="0.15">
      <c r="K383" s="137"/>
    </row>
    <row r="384" spans="11:11" x14ac:dyDescent="0.15">
      <c r="K384" s="137"/>
    </row>
    <row r="385" spans="11:11" x14ac:dyDescent="0.15">
      <c r="K385" s="137"/>
    </row>
    <row r="386" spans="11:11" x14ac:dyDescent="0.15">
      <c r="K386" s="137"/>
    </row>
    <row r="387" spans="11:11" x14ac:dyDescent="0.15">
      <c r="K387" s="137"/>
    </row>
    <row r="388" spans="11:11" x14ac:dyDescent="0.15">
      <c r="K388" s="137"/>
    </row>
    <row r="389" spans="11:11" x14ac:dyDescent="0.15">
      <c r="K389" s="137"/>
    </row>
    <row r="390" spans="11:11" x14ac:dyDescent="0.15">
      <c r="K390" s="137"/>
    </row>
    <row r="391" spans="11:11" x14ac:dyDescent="0.15">
      <c r="K391" s="137"/>
    </row>
    <row r="392" spans="11:11" x14ac:dyDescent="0.15">
      <c r="K392" s="137"/>
    </row>
    <row r="393" spans="11:11" x14ac:dyDescent="0.15">
      <c r="K393" s="137"/>
    </row>
    <row r="394" spans="11:11" x14ac:dyDescent="0.15">
      <c r="K394" s="137"/>
    </row>
    <row r="395" spans="11:11" x14ac:dyDescent="0.15">
      <c r="K395" s="137"/>
    </row>
    <row r="396" spans="11:11" x14ac:dyDescent="0.15">
      <c r="K396" s="137"/>
    </row>
    <row r="397" spans="11:11" x14ac:dyDescent="0.15">
      <c r="K397" s="137"/>
    </row>
    <row r="398" spans="11:11" x14ac:dyDescent="0.15">
      <c r="K398" s="137"/>
    </row>
    <row r="399" spans="11:11" x14ac:dyDescent="0.15">
      <c r="K399" s="137"/>
    </row>
    <row r="400" spans="11:11" x14ac:dyDescent="0.15">
      <c r="K400" s="137"/>
    </row>
    <row r="401" spans="11:11" x14ac:dyDescent="0.15">
      <c r="K401" s="137"/>
    </row>
    <row r="402" spans="11:11" x14ac:dyDescent="0.15">
      <c r="K402" s="137"/>
    </row>
    <row r="403" spans="11:11" x14ac:dyDescent="0.15">
      <c r="K403" s="137"/>
    </row>
    <row r="404" spans="11:11" x14ac:dyDescent="0.15">
      <c r="K404" s="137"/>
    </row>
    <row r="405" spans="11:11" x14ac:dyDescent="0.15">
      <c r="K405" s="137"/>
    </row>
    <row r="406" spans="11:11" x14ac:dyDescent="0.15">
      <c r="K406" s="137"/>
    </row>
    <row r="407" spans="11:11" x14ac:dyDescent="0.15">
      <c r="K407" s="137"/>
    </row>
    <row r="408" spans="11:11" x14ac:dyDescent="0.15">
      <c r="K408" s="137"/>
    </row>
    <row r="409" spans="11:11" x14ac:dyDescent="0.15">
      <c r="K409" s="137"/>
    </row>
    <row r="410" spans="11:11" x14ac:dyDescent="0.15">
      <c r="K410" s="137"/>
    </row>
    <row r="411" spans="11:11" x14ac:dyDescent="0.15">
      <c r="K411" s="137"/>
    </row>
    <row r="412" spans="11:11" x14ac:dyDescent="0.15">
      <c r="K412" s="137"/>
    </row>
    <row r="413" spans="11:11" x14ac:dyDescent="0.15">
      <c r="K413" s="137"/>
    </row>
    <row r="414" spans="11:11" x14ac:dyDescent="0.15">
      <c r="K414" s="137"/>
    </row>
    <row r="415" spans="11:11" x14ac:dyDescent="0.15">
      <c r="K415" s="137"/>
    </row>
    <row r="416" spans="11:11" x14ac:dyDescent="0.15">
      <c r="K416" s="137"/>
    </row>
    <row r="417" spans="11:11" x14ac:dyDescent="0.15">
      <c r="K417" s="137"/>
    </row>
    <row r="418" spans="11:11" x14ac:dyDescent="0.15">
      <c r="K418" s="137"/>
    </row>
    <row r="419" spans="11:11" x14ac:dyDescent="0.15">
      <c r="K419" s="137"/>
    </row>
    <row r="420" spans="11:11" x14ac:dyDescent="0.15">
      <c r="K420" s="137"/>
    </row>
    <row r="421" spans="11:11" x14ac:dyDescent="0.15">
      <c r="K421" s="137"/>
    </row>
    <row r="422" spans="11:11" x14ac:dyDescent="0.15">
      <c r="K422" s="137"/>
    </row>
    <row r="423" spans="11:11" x14ac:dyDescent="0.15">
      <c r="K423" s="137"/>
    </row>
    <row r="424" spans="11:11" x14ac:dyDescent="0.15">
      <c r="K424" s="137"/>
    </row>
    <row r="425" spans="11:11" x14ac:dyDescent="0.15">
      <c r="K425" s="137"/>
    </row>
    <row r="426" spans="11:11" x14ac:dyDescent="0.15">
      <c r="K426" s="137"/>
    </row>
    <row r="427" spans="11:11" x14ac:dyDescent="0.15">
      <c r="K427" s="137"/>
    </row>
    <row r="428" spans="11:11" x14ac:dyDescent="0.15">
      <c r="K428" s="137"/>
    </row>
    <row r="429" spans="11:11" x14ac:dyDescent="0.15">
      <c r="K429" s="137"/>
    </row>
    <row r="430" spans="11:11" x14ac:dyDescent="0.15">
      <c r="K430" s="137"/>
    </row>
    <row r="431" spans="11:11" x14ac:dyDescent="0.15">
      <c r="K431" s="137"/>
    </row>
    <row r="432" spans="11:11" x14ac:dyDescent="0.15">
      <c r="K432" s="137"/>
    </row>
    <row r="433" spans="11:11" x14ac:dyDescent="0.15">
      <c r="K433" s="137"/>
    </row>
    <row r="434" spans="11:11" x14ac:dyDescent="0.15">
      <c r="K434" s="137"/>
    </row>
    <row r="435" spans="11:11" x14ac:dyDescent="0.15">
      <c r="K435" s="137"/>
    </row>
    <row r="436" spans="11:11" x14ac:dyDescent="0.15">
      <c r="K436" s="137"/>
    </row>
    <row r="437" spans="11:11" x14ac:dyDescent="0.15">
      <c r="K437" s="137"/>
    </row>
    <row r="438" spans="11:11" x14ac:dyDescent="0.15">
      <c r="K438" s="137"/>
    </row>
    <row r="439" spans="11:11" x14ac:dyDescent="0.15">
      <c r="K439" s="137"/>
    </row>
    <row r="440" spans="11:11" x14ac:dyDescent="0.15">
      <c r="K440" s="137"/>
    </row>
    <row r="441" spans="11:11" x14ac:dyDescent="0.15">
      <c r="K441" s="137"/>
    </row>
    <row r="442" spans="11:11" x14ac:dyDescent="0.15">
      <c r="K442" s="137"/>
    </row>
    <row r="443" spans="11:11" x14ac:dyDescent="0.15">
      <c r="K443" s="137"/>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55"/>
  <sheetViews>
    <sheetView zoomScale="85" zoomScaleNormal="85" workbookViewId="0">
      <selection activeCell="N25" sqref="N25"/>
    </sheetView>
  </sheetViews>
  <sheetFormatPr defaultRowHeight="13.5" x14ac:dyDescent="0.15"/>
  <cols>
    <col min="1" max="3" width="9" style="208"/>
    <col min="4" max="4" width="10.5" style="208" bestFit="1" customWidth="1"/>
    <col min="5" max="5" width="10.875" style="208" bestFit="1" customWidth="1"/>
    <col min="6" max="6" width="18.875" style="208" bestFit="1" customWidth="1"/>
    <col min="7" max="9" width="9" style="208"/>
    <col min="10" max="10" width="9.25" style="208" customWidth="1"/>
    <col min="11" max="16" width="9" style="208"/>
    <col min="17" max="17" width="9" style="217"/>
    <col min="18" max="19" width="9" style="208"/>
    <col min="20" max="20" width="9" style="217"/>
    <col min="21" max="21" width="9" style="208"/>
    <col min="22" max="22" width="14.25" style="217" customWidth="1"/>
    <col min="23" max="23" width="9" style="208"/>
    <col min="24" max="24" width="9.625" style="208" customWidth="1"/>
    <col min="25" max="26" width="9" style="208"/>
    <col min="27" max="27" width="12.125" style="208" customWidth="1"/>
    <col min="28" max="32" width="9" style="208"/>
    <col min="33" max="33" width="15.125" style="208" bestFit="1" customWidth="1"/>
    <col min="34" max="34" width="19.625" style="208" bestFit="1" customWidth="1"/>
    <col min="35" max="16384" width="9" style="208"/>
  </cols>
  <sheetData>
    <row r="1" spans="1:53" ht="45" x14ac:dyDescent="0.15">
      <c r="A1" s="240" t="s">
        <v>0</v>
      </c>
      <c r="B1" s="202" t="s">
        <v>1</v>
      </c>
      <c r="C1" s="202" t="s">
        <v>491</v>
      </c>
      <c r="D1" s="203" t="s">
        <v>3</v>
      </c>
      <c r="E1" s="241" t="s">
        <v>4</v>
      </c>
      <c r="F1" s="241" t="s">
        <v>5</v>
      </c>
      <c r="G1" s="241" t="s">
        <v>6</v>
      </c>
      <c r="H1" s="241" t="s">
        <v>7</v>
      </c>
      <c r="I1" s="241" t="s">
        <v>8</v>
      </c>
      <c r="J1" s="241" t="s">
        <v>9</v>
      </c>
      <c r="K1" s="241" t="s">
        <v>10</v>
      </c>
      <c r="L1" s="203" t="s">
        <v>492</v>
      </c>
      <c r="M1" s="203" t="s">
        <v>12</v>
      </c>
      <c r="N1" s="203" t="s">
        <v>13</v>
      </c>
      <c r="O1" s="203" t="s">
        <v>493</v>
      </c>
      <c r="P1" s="203" t="s">
        <v>494</v>
      </c>
      <c r="Q1" s="204" t="s">
        <v>16</v>
      </c>
      <c r="R1" s="203" t="s">
        <v>495</v>
      </c>
      <c r="S1" s="203" t="s">
        <v>496</v>
      </c>
      <c r="T1" s="204" t="s">
        <v>19</v>
      </c>
      <c r="U1" s="205" t="s">
        <v>497</v>
      </c>
      <c r="V1" s="206" t="s">
        <v>20</v>
      </c>
      <c r="W1" s="203" t="s">
        <v>21</v>
      </c>
      <c r="X1" s="241" t="s">
        <v>22</v>
      </c>
      <c r="Y1" s="241" t="s">
        <v>23</v>
      </c>
      <c r="Z1" s="241" t="s">
        <v>498</v>
      </c>
      <c r="AA1" s="242" t="s">
        <v>25</v>
      </c>
      <c r="AB1" s="207" t="s">
        <v>499</v>
      </c>
      <c r="AE1" s="209" t="s">
        <v>0</v>
      </c>
      <c r="AF1" s="210"/>
      <c r="AG1" s="257"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500</v>
      </c>
      <c r="AY1" s="214" t="s">
        <v>501</v>
      </c>
      <c r="AZ1" s="214" t="s">
        <v>502</v>
      </c>
      <c r="BA1" s="215" t="s">
        <v>503</v>
      </c>
    </row>
    <row r="2" spans="1:53" s="216" customFormat="1" x14ac:dyDescent="0.15">
      <c r="A2" s="216" t="s">
        <v>34</v>
      </c>
      <c r="B2" s="208" t="s">
        <v>308</v>
      </c>
      <c r="C2" s="208">
        <v>2018</v>
      </c>
      <c r="D2" s="258" t="s">
        <v>504</v>
      </c>
      <c r="E2" s="237" t="s">
        <v>195</v>
      </c>
      <c r="F2" s="237" t="s">
        <v>505</v>
      </c>
      <c r="G2" s="216" t="s">
        <v>36</v>
      </c>
      <c r="H2" s="208" t="s">
        <v>155</v>
      </c>
      <c r="I2" s="216" t="s">
        <v>153</v>
      </c>
      <c r="J2" s="216" t="s">
        <v>38</v>
      </c>
      <c r="K2" s="216" t="s">
        <v>154</v>
      </c>
      <c r="L2" s="216">
        <v>1</v>
      </c>
      <c r="N2" s="216">
        <v>1</v>
      </c>
      <c r="O2" s="216">
        <v>0.8</v>
      </c>
      <c r="P2" s="216">
        <v>0.95</v>
      </c>
      <c r="Q2" s="245">
        <f t="shared" ref="Q2:Q82" si="0">IF(OR(O2="",P2=""),"",AVERAGE(O2,P2))</f>
        <v>0.875</v>
      </c>
      <c r="R2" s="216">
        <v>15.3</v>
      </c>
      <c r="S2" s="216">
        <v>114</v>
      </c>
      <c r="T2" s="217">
        <f t="shared" ref="T2:T103" si="1">IF(H2="","",IF(OR(H2="GREEN",H2="GK"),IF(S2&gt;=$AX$2,VLOOKUP(S2,$AX$2:$AY$9,2,1),""),IF(S2&gt;=$AZ$2,VLOOKUP(S2,$AZ$2:$BA$9,2,1),"")))</f>
        <v>30</v>
      </c>
      <c r="U2" s="216">
        <v>85</v>
      </c>
      <c r="V2" s="217">
        <f t="shared" ref="V2:V103" si="2">IF(OR(N2="",U2="",T2=""),"",U2/N2*T2)</f>
        <v>2550</v>
      </c>
      <c r="W2" s="216">
        <v>4</v>
      </c>
      <c r="X2" s="216" t="s">
        <v>39</v>
      </c>
      <c r="Y2" s="216" t="s">
        <v>84</v>
      </c>
      <c r="Z2" s="216" t="s">
        <v>90</v>
      </c>
      <c r="AA2" s="216" t="s">
        <v>50</v>
      </c>
      <c r="AB2" s="216" t="s">
        <v>310</v>
      </c>
      <c r="AE2" s="218" t="s">
        <v>35</v>
      </c>
      <c r="AG2" s="259" t="s">
        <v>270</v>
      </c>
      <c r="AH2" s="243" t="s">
        <v>506</v>
      </c>
      <c r="AJ2" s="219" t="s">
        <v>36</v>
      </c>
      <c r="AL2" s="219" t="s">
        <v>127</v>
      </c>
      <c r="AN2" s="219" t="s">
        <v>37</v>
      </c>
      <c r="AP2" s="219" t="s">
        <v>38</v>
      </c>
      <c r="AR2" s="219" t="s">
        <v>507</v>
      </c>
      <c r="AT2" s="219" t="s">
        <v>39</v>
      </c>
      <c r="AV2" s="248" t="s">
        <v>40</v>
      </c>
      <c r="AX2" s="220">
        <v>1</v>
      </c>
      <c r="AY2" s="221">
        <v>50</v>
      </c>
      <c r="AZ2" s="221">
        <v>1</v>
      </c>
      <c r="BA2" s="222">
        <v>50</v>
      </c>
    </row>
    <row r="3" spans="1:53" x14ac:dyDescent="0.15">
      <c r="A3" s="216" t="s">
        <v>34</v>
      </c>
      <c r="B3" s="208" t="s">
        <v>308</v>
      </c>
      <c r="C3" s="208">
        <v>2018</v>
      </c>
      <c r="D3" s="258" t="s">
        <v>504</v>
      </c>
      <c r="E3" s="237" t="s">
        <v>195</v>
      </c>
      <c r="F3" s="237" t="s">
        <v>505</v>
      </c>
      <c r="G3" s="216" t="s">
        <v>36</v>
      </c>
      <c r="H3" s="208" t="s">
        <v>155</v>
      </c>
      <c r="I3" s="216" t="s">
        <v>153</v>
      </c>
      <c r="J3" s="216" t="s">
        <v>38</v>
      </c>
      <c r="K3" s="216" t="s">
        <v>154</v>
      </c>
      <c r="L3" s="208">
        <v>2</v>
      </c>
      <c r="N3" s="208">
        <v>1</v>
      </c>
      <c r="O3" s="208">
        <v>0.45</v>
      </c>
      <c r="P3" s="208">
        <v>0.45</v>
      </c>
      <c r="Q3" s="245">
        <f t="shared" si="0"/>
        <v>0.45</v>
      </c>
      <c r="R3" s="208">
        <v>15.1</v>
      </c>
      <c r="S3" s="208">
        <v>110</v>
      </c>
      <c r="T3" s="217">
        <f t="shared" si="1"/>
        <v>33</v>
      </c>
      <c r="U3" s="208">
        <v>85</v>
      </c>
      <c r="V3" s="217">
        <f t="shared" si="2"/>
        <v>2805</v>
      </c>
      <c r="W3" s="216">
        <v>4</v>
      </c>
      <c r="X3" s="216" t="s">
        <v>39</v>
      </c>
      <c r="Y3" s="216" t="s">
        <v>84</v>
      </c>
      <c r="Z3" s="216" t="s">
        <v>90</v>
      </c>
      <c r="AA3" s="216" t="s">
        <v>50</v>
      </c>
      <c r="AB3" s="216" t="s">
        <v>310</v>
      </c>
      <c r="AC3" s="216"/>
      <c r="AE3" s="223" t="s">
        <v>41</v>
      </c>
      <c r="AG3" s="260" t="s">
        <v>508</v>
      </c>
      <c r="AH3" s="243" t="s">
        <v>509</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216" t="s">
        <v>34</v>
      </c>
      <c r="B4" s="208" t="s">
        <v>308</v>
      </c>
      <c r="C4" s="208">
        <v>2018</v>
      </c>
      <c r="D4" s="258" t="s">
        <v>504</v>
      </c>
      <c r="E4" s="237" t="s">
        <v>195</v>
      </c>
      <c r="F4" s="237" t="s">
        <v>505</v>
      </c>
      <c r="G4" s="216" t="s">
        <v>36</v>
      </c>
      <c r="H4" s="208" t="s">
        <v>155</v>
      </c>
      <c r="I4" s="216" t="s">
        <v>153</v>
      </c>
      <c r="J4" s="216" t="s">
        <v>38</v>
      </c>
      <c r="K4" s="216" t="s">
        <v>154</v>
      </c>
      <c r="L4" s="208">
        <v>3</v>
      </c>
      <c r="N4" s="208">
        <v>1</v>
      </c>
      <c r="O4" s="208">
        <v>0.7</v>
      </c>
      <c r="P4" s="208">
        <v>0.75</v>
      </c>
      <c r="Q4" s="245">
        <f t="shared" si="0"/>
        <v>0.72499999999999998</v>
      </c>
      <c r="R4" s="208">
        <v>14.3</v>
      </c>
      <c r="S4" s="208">
        <v>107</v>
      </c>
      <c r="T4" s="217">
        <f t="shared" si="1"/>
        <v>33</v>
      </c>
      <c r="U4" s="208">
        <v>85</v>
      </c>
      <c r="V4" s="217">
        <f t="shared" si="2"/>
        <v>2805</v>
      </c>
      <c r="W4" s="208">
        <v>4</v>
      </c>
      <c r="X4" s="216" t="s">
        <v>39</v>
      </c>
      <c r="Y4" s="216" t="s">
        <v>84</v>
      </c>
      <c r="Z4" s="216" t="s">
        <v>90</v>
      </c>
      <c r="AA4" s="216" t="s">
        <v>50</v>
      </c>
      <c r="AB4" s="216" t="s">
        <v>310</v>
      </c>
      <c r="AC4" s="216"/>
      <c r="AE4" s="223" t="s">
        <v>34</v>
      </c>
      <c r="AG4" s="260" t="s">
        <v>510</v>
      </c>
      <c r="AH4" s="243" t="s">
        <v>511</v>
      </c>
      <c r="AJ4" s="228" t="s">
        <v>48</v>
      </c>
      <c r="AL4" s="228" t="s">
        <v>129</v>
      </c>
      <c r="AN4" s="229" t="s">
        <v>49</v>
      </c>
      <c r="AP4" s="224" t="s">
        <v>512</v>
      </c>
      <c r="AR4" s="238" t="s">
        <v>513</v>
      </c>
      <c r="AT4" s="229"/>
      <c r="AV4" s="224" t="s">
        <v>50</v>
      </c>
      <c r="AX4" s="225">
        <v>75</v>
      </c>
      <c r="AY4" s="226">
        <v>42</v>
      </c>
      <c r="AZ4" s="226">
        <v>76</v>
      </c>
      <c r="BA4" s="227">
        <v>39</v>
      </c>
    </row>
    <row r="5" spans="1:53" x14ac:dyDescent="0.15">
      <c r="A5" s="216" t="s">
        <v>34</v>
      </c>
      <c r="B5" s="208" t="s">
        <v>308</v>
      </c>
      <c r="C5" s="208">
        <v>2018</v>
      </c>
      <c r="D5" s="258" t="s">
        <v>504</v>
      </c>
      <c r="E5" s="237" t="s">
        <v>195</v>
      </c>
      <c r="F5" s="237" t="s">
        <v>505</v>
      </c>
      <c r="G5" s="216" t="s">
        <v>36</v>
      </c>
      <c r="H5" s="208" t="s">
        <v>155</v>
      </c>
      <c r="I5" s="216" t="s">
        <v>153</v>
      </c>
      <c r="J5" s="216" t="s">
        <v>38</v>
      </c>
      <c r="K5" s="216" t="s">
        <v>154</v>
      </c>
      <c r="L5" s="216">
        <v>1</v>
      </c>
      <c r="N5" s="208">
        <v>5</v>
      </c>
      <c r="O5" s="208">
        <v>1.1000000000000001</v>
      </c>
      <c r="P5" s="208">
        <v>1.2</v>
      </c>
      <c r="Q5" s="245">
        <f t="shared" si="0"/>
        <v>1.1499999999999999</v>
      </c>
      <c r="R5" s="208">
        <v>14.1</v>
      </c>
      <c r="S5" s="208">
        <v>84</v>
      </c>
      <c r="T5" s="217">
        <f t="shared" si="1"/>
        <v>36</v>
      </c>
      <c r="U5" s="208">
        <v>278</v>
      </c>
      <c r="V5" s="217">
        <f t="shared" si="2"/>
        <v>2001.6000000000001</v>
      </c>
      <c r="W5" s="208">
        <v>4</v>
      </c>
      <c r="X5" s="216" t="s">
        <v>39</v>
      </c>
      <c r="Y5" s="216" t="s">
        <v>84</v>
      </c>
      <c r="Z5" s="216" t="s">
        <v>90</v>
      </c>
      <c r="AA5" s="216" t="s">
        <v>50</v>
      </c>
      <c r="AB5" s="216" t="s">
        <v>310</v>
      </c>
      <c r="AE5" s="223" t="s">
        <v>51</v>
      </c>
      <c r="AG5" s="260" t="s">
        <v>514</v>
      </c>
      <c r="AH5" s="243" t="s">
        <v>515</v>
      </c>
      <c r="AJ5" s="229"/>
      <c r="AL5" s="230" t="s">
        <v>516</v>
      </c>
      <c r="AN5" s="230" t="s">
        <v>517</v>
      </c>
      <c r="AP5" s="224" t="s">
        <v>518</v>
      </c>
      <c r="AR5" s="238" t="s">
        <v>54</v>
      </c>
      <c r="AV5" s="224" t="s">
        <v>55</v>
      </c>
      <c r="AX5" s="225">
        <v>84</v>
      </c>
      <c r="AY5" s="226">
        <v>39</v>
      </c>
      <c r="AZ5" s="226">
        <v>84</v>
      </c>
      <c r="BA5" s="227">
        <v>36</v>
      </c>
    </row>
    <row r="6" spans="1:53" x14ac:dyDescent="0.15">
      <c r="A6" s="216" t="s">
        <v>34</v>
      </c>
      <c r="B6" s="208" t="s">
        <v>308</v>
      </c>
      <c r="C6" s="208">
        <v>2018</v>
      </c>
      <c r="D6" s="258" t="s">
        <v>504</v>
      </c>
      <c r="E6" s="237" t="s">
        <v>195</v>
      </c>
      <c r="F6" s="237" t="s">
        <v>505</v>
      </c>
      <c r="G6" s="216" t="s">
        <v>36</v>
      </c>
      <c r="H6" s="208" t="s">
        <v>155</v>
      </c>
      <c r="I6" s="216" t="s">
        <v>153</v>
      </c>
      <c r="J6" s="216" t="s">
        <v>38</v>
      </c>
      <c r="K6" s="216" t="s">
        <v>154</v>
      </c>
      <c r="L6" s="208">
        <v>2</v>
      </c>
      <c r="N6" s="208">
        <v>5</v>
      </c>
      <c r="O6" s="208">
        <v>0.95</v>
      </c>
      <c r="P6" s="208">
        <v>0.6</v>
      </c>
      <c r="Q6" s="245">
        <f t="shared" si="0"/>
        <v>0.77499999999999991</v>
      </c>
      <c r="R6" s="208">
        <v>13.5</v>
      </c>
      <c r="S6" s="208">
        <v>87</v>
      </c>
      <c r="T6" s="217">
        <f t="shared" si="1"/>
        <v>36</v>
      </c>
      <c r="U6" s="208">
        <v>278</v>
      </c>
      <c r="V6" s="217">
        <f t="shared" si="2"/>
        <v>2001.6000000000001</v>
      </c>
      <c r="W6" s="208">
        <v>4</v>
      </c>
      <c r="X6" s="216" t="s">
        <v>39</v>
      </c>
      <c r="Y6" s="216" t="s">
        <v>84</v>
      </c>
      <c r="Z6" s="216" t="s">
        <v>90</v>
      </c>
      <c r="AA6" s="216" t="s">
        <v>50</v>
      </c>
      <c r="AB6" s="216" t="s">
        <v>310</v>
      </c>
      <c r="AE6" s="223" t="s">
        <v>56</v>
      </c>
      <c r="AG6" s="260" t="s">
        <v>519</v>
      </c>
      <c r="AH6" s="243" t="s">
        <v>520</v>
      </c>
      <c r="AL6" s="230" t="s">
        <v>521</v>
      </c>
      <c r="AN6" s="230" t="s">
        <v>522</v>
      </c>
      <c r="AP6" s="224" t="s">
        <v>53</v>
      </c>
      <c r="AR6" s="238" t="s">
        <v>59</v>
      </c>
      <c r="AV6" s="224" t="s">
        <v>60</v>
      </c>
      <c r="AX6" s="225">
        <v>97</v>
      </c>
      <c r="AY6" s="226">
        <v>36</v>
      </c>
      <c r="AZ6" s="226">
        <v>99</v>
      </c>
      <c r="BA6" s="227">
        <v>33</v>
      </c>
    </row>
    <row r="7" spans="1:53" x14ac:dyDescent="0.15">
      <c r="A7" s="216" t="s">
        <v>34</v>
      </c>
      <c r="B7" s="208" t="s">
        <v>308</v>
      </c>
      <c r="C7" s="208">
        <v>2018</v>
      </c>
      <c r="D7" s="258" t="s">
        <v>504</v>
      </c>
      <c r="E7" s="237" t="s">
        <v>195</v>
      </c>
      <c r="F7" s="237" t="s">
        <v>505</v>
      </c>
      <c r="G7" s="216" t="s">
        <v>36</v>
      </c>
      <c r="H7" s="208" t="s">
        <v>155</v>
      </c>
      <c r="I7" s="216" t="s">
        <v>153</v>
      </c>
      <c r="J7" s="216" t="s">
        <v>38</v>
      </c>
      <c r="K7" s="216" t="s">
        <v>154</v>
      </c>
      <c r="L7" s="208">
        <v>3</v>
      </c>
      <c r="N7" s="208">
        <v>5</v>
      </c>
      <c r="O7" s="208">
        <v>0.6</v>
      </c>
      <c r="P7" s="208">
        <v>0.8</v>
      </c>
      <c r="Q7" s="245">
        <f t="shared" si="0"/>
        <v>0.7</v>
      </c>
      <c r="R7" s="208">
        <v>14.8</v>
      </c>
      <c r="S7" s="208">
        <v>87</v>
      </c>
      <c r="T7" s="217">
        <f t="shared" si="1"/>
        <v>36</v>
      </c>
      <c r="U7" s="208">
        <v>278</v>
      </c>
      <c r="V7" s="217">
        <f t="shared" si="2"/>
        <v>2001.6000000000001</v>
      </c>
      <c r="W7" s="208">
        <v>4</v>
      </c>
      <c r="X7" s="216" t="s">
        <v>39</v>
      </c>
      <c r="Y7" s="216" t="s">
        <v>84</v>
      </c>
      <c r="Z7" s="216" t="s">
        <v>90</v>
      </c>
      <c r="AA7" s="216" t="s">
        <v>50</v>
      </c>
      <c r="AB7" s="216" t="s">
        <v>310</v>
      </c>
      <c r="AE7" s="223" t="s">
        <v>61</v>
      </c>
      <c r="AG7" s="260" t="s">
        <v>195</v>
      </c>
      <c r="AH7" s="243" t="s">
        <v>505</v>
      </c>
      <c r="AL7" s="235" t="s">
        <v>523</v>
      </c>
      <c r="AP7" s="224" t="s">
        <v>58</v>
      </c>
      <c r="AR7" s="231" t="s">
        <v>122</v>
      </c>
      <c r="AV7" s="224" t="s">
        <v>64</v>
      </c>
      <c r="AX7" s="225">
        <v>109</v>
      </c>
      <c r="AY7" s="226">
        <v>33</v>
      </c>
      <c r="AZ7" s="226">
        <v>113</v>
      </c>
      <c r="BA7" s="227">
        <v>30</v>
      </c>
    </row>
    <row r="8" spans="1:53" x14ac:dyDescent="0.15">
      <c r="A8" s="216" t="s">
        <v>34</v>
      </c>
      <c r="B8" s="208" t="s">
        <v>308</v>
      </c>
      <c r="C8" s="208">
        <v>2018</v>
      </c>
      <c r="D8" s="258" t="s">
        <v>524</v>
      </c>
      <c r="E8" s="237" t="s">
        <v>525</v>
      </c>
      <c r="F8" s="237" t="s">
        <v>526</v>
      </c>
      <c r="G8" s="216" t="s">
        <v>36</v>
      </c>
      <c r="H8" s="208" t="s">
        <v>155</v>
      </c>
      <c r="I8" s="216" t="s">
        <v>153</v>
      </c>
      <c r="J8" s="216" t="s">
        <v>38</v>
      </c>
      <c r="K8" s="216" t="s">
        <v>154</v>
      </c>
      <c r="L8" s="216">
        <v>1</v>
      </c>
      <c r="N8" s="208">
        <v>1</v>
      </c>
      <c r="O8" s="208">
        <v>0.85</v>
      </c>
      <c r="P8" s="208">
        <v>1</v>
      </c>
      <c r="Q8" s="245">
        <f t="shared" si="0"/>
        <v>0.92500000000000004</v>
      </c>
      <c r="R8" s="208">
        <v>14.1</v>
      </c>
      <c r="S8" s="208">
        <v>123</v>
      </c>
      <c r="T8" s="217">
        <f t="shared" si="1"/>
        <v>30</v>
      </c>
      <c r="U8" s="208">
        <v>84</v>
      </c>
      <c r="V8" s="217">
        <f t="shared" si="2"/>
        <v>2520</v>
      </c>
      <c r="W8" s="208">
        <v>5</v>
      </c>
      <c r="X8" s="216" t="s">
        <v>39</v>
      </c>
      <c r="Y8" s="216" t="s">
        <v>90</v>
      </c>
      <c r="Z8" s="216" t="s">
        <v>84</v>
      </c>
      <c r="AA8" s="216" t="s">
        <v>50</v>
      </c>
      <c r="AB8" s="216" t="s">
        <v>310</v>
      </c>
      <c r="AE8" s="223" t="s">
        <v>59</v>
      </c>
      <c r="AG8" s="260" t="s">
        <v>527</v>
      </c>
      <c r="AH8" s="243" t="s">
        <v>528</v>
      </c>
      <c r="AL8" s="235" t="s">
        <v>529</v>
      </c>
      <c r="AP8" s="224" t="s">
        <v>62</v>
      </c>
      <c r="AR8" s="238" t="s">
        <v>81</v>
      </c>
      <c r="AV8" s="224" t="s">
        <v>97</v>
      </c>
      <c r="AX8" s="225">
        <v>151</v>
      </c>
      <c r="AY8" s="226">
        <v>22</v>
      </c>
      <c r="AZ8" s="226">
        <v>152</v>
      </c>
      <c r="BA8" s="227">
        <v>18</v>
      </c>
    </row>
    <row r="9" spans="1:53" x14ac:dyDescent="0.15">
      <c r="A9" s="216" t="s">
        <v>34</v>
      </c>
      <c r="B9" s="208" t="s">
        <v>308</v>
      </c>
      <c r="C9" s="208">
        <v>2018</v>
      </c>
      <c r="D9" s="258" t="s">
        <v>524</v>
      </c>
      <c r="E9" s="237" t="s">
        <v>525</v>
      </c>
      <c r="F9" s="237" t="s">
        <v>526</v>
      </c>
      <c r="G9" s="216" t="s">
        <v>36</v>
      </c>
      <c r="H9" s="208" t="s">
        <v>155</v>
      </c>
      <c r="I9" s="216" t="s">
        <v>153</v>
      </c>
      <c r="J9" s="216" t="s">
        <v>38</v>
      </c>
      <c r="K9" s="216" t="s">
        <v>154</v>
      </c>
      <c r="L9" s="208">
        <v>2</v>
      </c>
      <c r="N9" s="208">
        <v>1</v>
      </c>
      <c r="O9" s="208">
        <v>0.75</v>
      </c>
      <c r="P9" s="208">
        <v>0.65</v>
      </c>
      <c r="Q9" s="245">
        <f t="shared" si="0"/>
        <v>0.7</v>
      </c>
      <c r="R9" s="208">
        <v>14</v>
      </c>
      <c r="S9" s="208">
        <v>115</v>
      </c>
      <c r="T9" s="217">
        <f t="shared" si="1"/>
        <v>30</v>
      </c>
      <c r="U9" s="208">
        <v>84</v>
      </c>
      <c r="V9" s="217">
        <f t="shared" si="2"/>
        <v>2520</v>
      </c>
      <c r="W9" s="208">
        <v>5</v>
      </c>
      <c r="X9" s="216" t="s">
        <v>39</v>
      </c>
      <c r="Y9" s="216" t="s">
        <v>90</v>
      </c>
      <c r="Z9" s="216" t="s">
        <v>84</v>
      </c>
      <c r="AA9" s="216" t="s">
        <v>50</v>
      </c>
      <c r="AB9" s="216" t="s">
        <v>310</v>
      </c>
      <c r="AE9" s="223" t="s">
        <v>98</v>
      </c>
      <c r="AG9" s="260" t="s">
        <v>525</v>
      </c>
      <c r="AH9" s="243" t="s">
        <v>526</v>
      </c>
      <c r="AL9" s="230"/>
      <c r="AP9" s="224" t="s">
        <v>95</v>
      </c>
      <c r="AR9" s="231" t="s">
        <v>89</v>
      </c>
      <c r="AV9" s="224" t="s">
        <v>102</v>
      </c>
      <c r="AX9" s="232">
        <v>180</v>
      </c>
      <c r="AY9" s="233">
        <v>18</v>
      </c>
      <c r="AZ9" s="233">
        <v>181</v>
      </c>
      <c r="BA9" s="234">
        <v>16</v>
      </c>
    </row>
    <row r="10" spans="1:53" x14ac:dyDescent="0.15">
      <c r="A10" s="216" t="s">
        <v>34</v>
      </c>
      <c r="B10" s="208" t="s">
        <v>308</v>
      </c>
      <c r="C10" s="208">
        <v>2018</v>
      </c>
      <c r="D10" s="258" t="s">
        <v>530</v>
      </c>
      <c r="E10" s="237" t="s">
        <v>525</v>
      </c>
      <c r="F10" s="237" t="s">
        <v>526</v>
      </c>
      <c r="G10" s="216" t="s">
        <v>36</v>
      </c>
      <c r="H10" s="208" t="s">
        <v>155</v>
      </c>
      <c r="I10" s="216" t="s">
        <v>153</v>
      </c>
      <c r="J10" s="216" t="s">
        <v>38</v>
      </c>
      <c r="K10" s="216" t="s">
        <v>154</v>
      </c>
      <c r="L10" s="208">
        <v>3</v>
      </c>
      <c r="N10" s="208">
        <v>1</v>
      </c>
      <c r="O10" s="208">
        <v>0.2</v>
      </c>
      <c r="P10" s="208">
        <v>0.2</v>
      </c>
      <c r="Q10" s="245">
        <f t="shared" si="0"/>
        <v>0.2</v>
      </c>
      <c r="R10" s="208">
        <v>15.3</v>
      </c>
      <c r="S10" s="208">
        <v>114</v>
      </c>
      <c r="T10" s="217">
        <f t="shared" si="1"/>
        <v>30</v>
      </c>
      <c r="U10" s="208">
        <v>84</v>
      </c>
      <c r="V10" s="217">
        <f t="shared" si="2"/>
        <v>2520</v>
      </c>
      <c r="W10" s="208">
        <v>5</v>
      </c>
      <c r="X10" s="216" t="s">
        <v>39</v>
      </c>
      <c r="Y10" s="216" t="s">
        <v>90</v>
      </c>
      <c r="Z10" s="216" t="s">
        <v>84</v>
      </c>
      <c r="AA10" s="216" t="s">
        <v>50</v>
      </c>
      <c r="AB10" s="216" t="s">
        <v>310</v>
      </c>
      <c r="AE10" s="223" t="s">
        <v>103</v>
      </c>
      <c r="AG10" s="260" t="s">
        <v>531</v>
      </c>
      <c r="AH10" s="243" t="s">
        <v>532</v>
      </c>
      <c r="AL10" s="235"/>
      <c r="AP10" s="224" t="s">
        <v>100</v>
      </c>
      <c r="AR10" s="231" t="s">
        <v>123</v>
      </c>
      <c r="AV10" s="224" t="s">
        <v>106</v>
      </c>
    </row>
    <row r="11" spans="1:53" x14ac:dyDescent="0.15">
      <c r="A11" s="216" t="s">
        <v>34</v>
      </c>
      <c r="B11" s="208" t="s">
        <v>308</v>
      </c>
      <c r="C11" s="208">
        <v>2018</v>
      </c>
      <c r="D11" s="258" t="s">
        <v>530</v>
      </c>
      <c r="E11" s="237" t="s">
        <v>525</v>
      </c>
      <c r="F11" s="237" t="s">
        <v>526</v>
      </c>
      <c r="G11" s="216" t="s">
        <v>36</v>
      </c>
      <c r="H11" s="208" t="s">
        <v>155</v>
      </c>
      <c r="I11" s="216" t="s">
        <v>153</v>
      </c>
      <c r="J11" s="216" t="s">
        <v>38</v>
      </c>
      <c r="K11" s="216" t="s">
        <v>154</v>
      </c>
      <c r="L11" s="216">
        <v>1</v>
      </c>
      <c r="N11" s="208">
        <v>4</v>
      </c>
      <c r="O11" s="208">
        <v>0.8</v>
      </c>
      <c r="P11" s="208">
        <v>0.8</v>
      </c>
      <c r="Q11" s="245">
        <f t="shared" si="0"/>
        <v>0.8</v>
      </c>
      <c r="R11" s="208">
        <v>14.9</v>
      </c>
      <c r="S11" s="208">
        <v>96</v>
      </c>
      <c r="T11" s="217">
        <f t="shared" si="1"/>
        <v>36</v>
      </c>
      <c r="U11" s="208">
        <v>386</v>
      </c>
      <c r="V11" s="217">
        <f t="shared" si="2"/>
        <v>3474</v>
      </c>
      <c r="W11" s="208">
        <v>5</v>
      </c>
      <c r="X11" s="216" t="s">
        <v>39</v>
      </c>
      <c r="Y11" s="216" t="s">
        <v>90</v>
      </c>
      <c r="Z11" s="216" t="s">
        <v>84</v>
      </c>
      <c r="AA11" s="216" t="s">
        <v>50</v>
      </c>
      <c r="AB11" s="216" t="s">
        <v>310</v>
      </c>
      <c r="AE11" s="223" t="s">
        <v>65</v>
      </c>
      <c r="AG11" s="260" t="s">
        <v>160</v>
      </c>
      <c r="AH11" s="243" t="s">
        <v>533</v>
      </c>
      <c r="AL11" s="235"/>
      <c r="AP11" s="224" t="s">
        <v>104</v>
      </c>
      <c r="AR11" s="231" t="s">
        <v>87</v>
      </c>
      <c r="AV11" s="224" t="s">
        <v>69</v>
      </c>
    </row>
    <row r="12" spans="1:53" x14ac:dyDescent="0.15">
      <c r="A12" s="216" t="s">
        <v>34</v>
      </c>
      <c r="B12" s="208" t="s">
        <v>308</v>
      </c>
      <c r="C12" s="208">
        <v>2018</v>
      </c>
      <c r="D12" s="258" t="s">
        <v>534</v>
      </c>
      <c r="E12" s="237" t="s">
        <v>525</v>
      </c>
      <c r="F12" s="237" t="s">
        <v>526</v>
      </c>
      <c r="G12" s="216" t="s">
        <v>36</v>
      </c>
      <c r="H12" s="208" t="s">
        <v>155</v>
      </c>
      <c r="I12" s="216" t="s">
        <v>153</v>
      </c>
      <c r="J12" s="216" t="s">
        <v>38</v>
      </c>
      <c r="K12" s="216" t="s">
        <v>154</v>
      </c>
      <c r="L12" s="208">
        <v>2</v>
      </c>
      <c r="N12" s="208">
        <v>4</v>
      </c>
      <c r="O12" s="208">
        <v>0.9</v>
      </c>
      <c r="P12" s="208">
        <v>0.9</v>
      </c>
      <c r="Q12" s="245">
        <f t="shared" si="0"/>
        <v>0.9</v>
      </c>
      <c r="R12" s="208">
        <v>14.1</v>
      </c>
      <c r="S12" s="208">
        <v>96</v>
      </c>
      <c r="T12" s="217">
        <f t="shared" si="1"/>
        <v>36</v>
      </c>
      <c r="U12" s="208">
        <v>386</v>
      </c>
      <c r="V12" s="217">
        <f t="shared" si="2"/>
        <v>3474</v>
      </c>
      <c r="W12" s="208">
        <v>5</v>
      </c>
      <c r="X12" s="216" t="s">
        <v>39</v>
      </c>
      <c r="Y12" s="216" t="s">
        <v>90</v>
      </c>
      <c r="Z12" s="216" t="s">
        <v>84</v>
      </c>
      <c r="AA12" s="216" t="s">
        <v>50</v>
      </c>
      <c r="AB12" s="216" t="s">
        <v>310</v>
      </c>
      <c r="AE12" s="223" t="s">
        <v>70</v>
      </c>
      <c r="AG12" s="244"/>
      <c r="AH12" s="224"/>
      <c r="AL12" s="235"/>
      <c r="AP12" s="224" t="s">
        <v>67</v>
      </c>
      <c r="AR12" s="231" t="s">
        <v>124</v>
      </c>
      <c r="AV12" s="224" t="s">
        <v>72</v>
      </c>
    </row>
    <row r="13" spans="1:53" x14ac:dyDescent="0.15">
      <c r="A13" s="216" t="s">
        <v>34</v>
      </c>
      <c r="B13" s="208" t="s">
        <v>308</v>
      </c>
      <c r="C13" s="208">
        <v>2018</v>
      </c>
      <c r="D13" s="258" t="s">
        <v>535</v>
      </c>
      <c r="E13" s="237" t="s">
        <v>525</v>
      </c>
      <c r="F13" s="237" t="s">
        <v>526</v>
      </c>
      <c r="G13" s="216" t="s">
        <v>36</v>
      </c>
      <c r="H13" s="208" t="s">
        <v>155</v>
      </c>
      <c r="I13" s="216" t="s">
        <v>153</v>
      </c>
      <c r="J13" s="216" t="s">
        <v>38</v>
      </c>
      <c r="K13" s="216" t="s">
        <v>154</v>
      </c>
      <c r="L13" s="208">
        <v>3</v>
      </c>
      <c r="N13" s="208">
        <v>4</v>
      </c>
      <c r="O13" s="208">
        <v>1.2</v>
      </c>
      <c r="P13" s="208">
        <v>0.9</v>
      </c>
      <c r="Q13" s="245">
        <f t="shared" si="0"/>
        <v>1.05</v>
      </c>
      <c r="R13" s="208">
        <v>14.7</v>
      </c>
      <c r="S13" s="208">
        <v>95</v>
      </c>
      <c r="T13" s="217">
        <f t="shared" si="1"/>
        <v>36</v>
      </c>
      <c r="U13" s="208">
        <v>386</v>
      </c>
      <c r="V13" s="217">
        <f t="shared" si="2"/>
        <v>3474</v>
      </c>
      <c r="W13" s="208">
        <v>5</v>
      </c>
      <c r="X13" s="216" t="s">
        <v>39</v>
      </c>
      <c r="Y13" s="216" t="s">
        <v>90</v>
      </c>
      <c r="Z13" s="216" t="s">
        <v>84</v>
      </c>
      <c r="AA13" s="216" t="s">
        <v>50</v>
      </c>
      <c r="AB13" s="216" t="s">
        <v>310</v>
      </c>
      <c r="AE13" s="223" t="s">
        <v>73</v>
      </c>
      <c r="AG13" s="249"/>
      <c r="AH13" s="229"/>
      <c r="AP13" s="224" t="s">
        <v>71</v>
      </c>
      <c r="AR13" s="231" t="s">
        <v>103</v>
      </c>
      <c r="AV13" s="224" t="s">
        <v>75</v>
      </c>
    </row>
    <row r="14" spans="1:53" x14ac:dyDescent="0.15">
      <c r="A14" s="216" t="s">
        <v>34</v>
      </c>
      <c r="B14" s="208" t="s">
        <v>308</v>
      </c>
      <c r="C14" s="208">
        <v>2018</v>
      </c>
      <c r="D14" s="258" t="s">
        <v>536</v>
      </c>
      <c r="E14" s="237" t="s">
        <v>525</v>
      </c>
      <c r="F14" s="237" t="s">
        <v>526</v>
      </c>
      <c r="G14" s="216" t="s">
        <v>36</v>
      </c>
      <c r="H14" s="208" t="s">
        <v>157</v>
      </c>
      <c r="I14" s="216" t="s">
        <v>153</v>
      </c>
      <c r="J14" s="216" t="s">
        <v>38</v>
      </c>
      <c r="K14" s="216" t="s">
        <v>154</v>
      </c>
      <c r="L14" s="216">
        <v>1</v>
      </c>
      <c r="N14" s="208">
        <v>1</v>
      </c>
      <c r="O14" s="208">
        <v>0.85</v>
      </c>
      <c r="P14" s="208">
        <v>1</v>
      </c>
      <c r="Q14" s="245">
        <f t="shared" si="0"/>
        <v>0.92500000000000004</v>
      </c>
      <c r="R14" s="208">
        <v>14.5</v>
      </c>
      <c r="S14" s="208">
        <v>148</v>
      </c>
      <c r="T14" s="217">
        <f t="shared" si="1"/>
        <v>30</v>
      </c>
      <c r="U14" s="208">
        <v>149</v>
      </c>
      <c r="V14" s="217">
        <f t="shared" si="2"/>
        <v>4470</v>
      </c>
      <c r="W14" s="208">
        <v>2</v>
      </c>
      <c r="X14" s="216" t="s">
        <v>39</v>
      </c>
      <c r="Y14" s="216" t="s">
        <v>90</v>
      </c>
      <c r="Z14" s="216" t="s">
        <v>84</v>
      </c>
      <c r="AA14" s="216" t="s">
        <v>50</v>
      </c>
      <c r="AB14" s="216" t="s">
        <v>310</v>
      </c>
      <c r="AE14" s="223" t="s">
        <v>76</v>
      </c>
      <c r="AG14" s="261"/>
      <c r="AL14" s="247"/>
      <c r="AP14" s="224" t="s">
        <v>74</v>
      </c>
      <c r="AR14" s="231" t="s">
        <v>125</v>
      </c>
      <c r="AV14" s="224" t="s">
        <v>78</v>
      </c>
    </row>
    <row r="15" spans="1:53" x14ac:dyDescent="0.15">
      <c r="A15" s="216" t="s">
        <v>34</v>
      </c>
      <c r="B15" s="208" t="s">
        <v>308</v>
      </c>
      <c r="C15" s="208">
        <v>2018</v>
      </c>
      <c r="D15" s="258" t="s">
        <v>536</v>
      </c>
      <c r="E15" s="237" t="s">
        <v>525</v>
      </c>
      <c r="F15" s="237" t="s">
        <v>526</v>
      </c>
      <c r="G15" s="216" t="s">
        <v>36</v>
      </c>
      <c r="H15" s="208" t="s">
        <v>157</v>
      </c>
      <c r="I15" s="216" t="s">
        <v>153</v>
      </c>
      <c r="J15" s="216" t="s">
        <v>38</v>
      </c>
      <c r="K15" s="216" t="s">
        <v>154</v>
      </c>
      <c r="L15" s="208">
        <v>2</v>
      </c>
      <c r="N15" s="208">
        <v>1</v>
      </c>
      <c r="O15" s="208">
        <v>0.8</v>
      </c>
      <c r="P15" s="208">
        <v>0.9</v>
      </c>
      <c r="Q15" s="245">
        <f t="shared" si="0"/>
        <v>0.85000000000000009</v>
      </c>
      <c r="R15" s="208">
        <v>15.7</v>
      </c>
      <c r="S15" s="208">
        <v>154</v>
      </c>
      <c r="T15" s="217">
        <f t="shared" si="1"/>
        <v>18</v>
      </c>
      <c r="U15" s="208">
        <v>149</v>
      </c>
      <c r="V15" s="217">
        <f t="shared" si="2"/>
        <v>2682</v>
      </c>
      <c r="W15" s="208">
        <v>2</v>
      </c>
      <c r="X15" s="216" t="s">
        <v>39</v>
      </c>
      <c r="Y15" s="216" t="s">
        <v>90</v>
      </c>
      <c r="Z15" s="216" t="s">
        <v>84</v>
      </c>
      <c r="AA15" s="216" t="s">
        <v>50</v>
      </c>
      <c r="AB15" s="216" t="s">
        <v>310</v>
      </c>
      <c r="AE15" s="223" t="s">
        <v>79</v>
      </c>
      <c r="AL15" s="262"/>
      <c r="AP15" s="224" t="s">
        <v>77</v>
      </c>
      <c r="AR15" s="231" t="s">
        <v>94</v>
      </c>
      <c r="AV15" s="224" t="s">
        <v>107</v>
      </c>
    </row>
    <row r="16" spans="1:53" x14ac:dyDescent="0.15">
      <c r="A16" s="216" t="s">
        <v>34</v>
      </c>
      <c r="B16" s="208" t="s">
        <v>308</v>
      </c>
      <c r="C16" s="208">
        <v>2018</v>
      </c>
      <c r="D16" s="258" t="s">
        <v>537</v>
      </c>
      <c r="E16" s="237" t="s">
        <v>525</v>
      </c>
      <c r="F16" s="237" t="s">
        <v>526</v>
      </c>
      <c r="G16" s="216" t="s">
        <v>36</v>
      </c>
      <c r="H16" s="208" t="s">
        <v>157</v>
      </c>
      <c r="I16" s="216" t="s">
        <v>153</v>
      </c>
      <c r="J16" s="216" t="s">
        <v>38</v>
      </c>
      <c r="K16" s="216" t="s">
        <v>154</v>
      </c>
      <c r="L16" s="208">
        <v>3</v>
      </c>
      <c r="N16" s="208">
        <v>1</v>
      </c>
      <c r="O16" s="208">
        <v>0.8</v>
      </c>
      <c r="P16" s="208">
        <v>0.85</v>
      </c>
      <c r="Q16" s="245">
        <f t="shared" si="0"/>
        <v>0.82499999999999996</v>
      </c>
      <c r="R16" s="208">
        <v>16.100000000000001</v>
      </c>
      <c r="S16" s="208">
        <v>148</v>
      </c>
      <c r="T16" s="217">
        <f t="shared" si="1"/>
        <v>30</v>
      </c>
      <c r="U16" s="208">
        <v>149</v>
      </c>
      <c r="V16" s="217">
        <f t="shared" si="2"/>
        <v>4470</v>
      </c>
      <c r="W16" s="208">
        <v>2</v>
      </c>
      <c r="X16" s="216" t="s">
        <v>39</v>
      </c>
      <c r="Y16" s="216" t="s">
        <v>90</v>
      </c>
      <c r="Z16" s="216" t="s">
        <v>84</v>
      </c>
      <c r="AA16" s="216" t="s">
        <v>50</v>
      </c>
      <c r="AB16" s="216" t="s">
        <v>310</v>
      </c>
      <c r="AE16" s="223" t="s">
        <v>82</v>
      </c>
      <c r="AL16" s="262"/>
      <c r="AP16" s="224" t="s">
        <v>80</v>
      </c>
      <c r="AR16" s="238" t="s">
        <v>63</v>
      </c>
      <c r="AV16" s="224" t="s">
        <v>84</v>
      </c>
    </row>
    <row r="17" spans="1:48" x14ac:dyDescent="0.15">
      <c r="A17" s="216" t="s">
        <v>34</v>
      </c>
      <c r="B17" s="208" t="s">
        <v>308</v>
      </c>
      <c r="C17" s="208">
        <v>2018</v>
      </c>
      <c r="D17" s="258" t="s">
        <v>537</v>
      </c>
      <c r="E17" s="237" t="s">
        <v>525</v>
      </c>
      <c r="F17" s="237" t="s">
        <v>526</v>
      </c>
      <c r="G17" s="216" t="s">
        <v>36</v>
      </c>
      <c r="H17" s="208" t="s">
        <v>157</v>
      </c>
      <c r="I17" s="216" t="s">
        <v>153</v>
      </c>
      <c r="J17" s="216" t="s">
        <v>38</v>
      </c>
      <c r="K17" s="216" t="s">
        <v>154</v>
      </c>
      <c r="L17" s="216">
        <v>1</v>
      </c>
      <c r="N17" s="208">
        <v>4</v>
      </c>
      <c r="O17" s="208">
        <v>0.7</v>
      </c>
      <c r="P17" s="208">
        <v>0.7</v>
      </c>
      <c r="Q17" s="245">
        <f t="shared" si="0"/>
        <v>0.7</v>
      </c>
      <c r="R17" s="208">
        <v>13.7</v>
      </c>
      <c r="S17" s="208">
        <v>103</v>
      </c>
      <c r="T17" s="217">
        <f t="shared" si="1"/>
        <v>33</v>
      </c>
      <c r="U17" s="208">
        <v>494</v>
      </c>
      <c r="V17" s="217">
        <f t="shared" si="2"/>
        <v>4075.5</v>
      </c>
      <c r="W17" s="208">
        <v>2</v>
      </c>
      <c r="X17" s="216" t="s">
        <v>39</v>
      </c>
      <c r="Y17" s="216" t="s">
        <v>90</v>
      </c>
      <c r="Z17" s="216" t="s">
        <v>84</v>
      </c>
      <c r="AA17" s="216" t="s">
        <v>50</v>
      </c>
      <c r="AB17" s="216" t="s">
        <v>310</v>
      </c>
      <c r="AE17" s="223" t="s">
        <v>85</v>
      </c>
      <c r="AL17" s="262"/>
      <c r="AP17" s="239" t="s">
        <v>110</v>
      </c>
      <c r="AR17" s="238" t="s">
        <v>96</v>
      </c>
      <c r="AV17" s="224" t="s">
        <v>86</v>
      </c>
    </row>
    <row r="18" spans="1:48" x14ac:dyDescent="0.15">
      <c r="A18" s="216" t="s">
        <v>34</v>
      </c>
      <c r="B18" s="208" t="s">
        <v>308</v>
      </c>
      <c r="C18" s="208">
        <v>2018</v>
      </c>
      <c r="D18" s="258" t="s">
        <v>537</v>
      </c>
      <c r="E18" s="237" t="s">
        <v>525</v>
      </c>
      <c r="F18" s="237" t="s">
        <v>526</v>
      </c>
      <c r="G18" s="216" t="s">
        <v>36</v>
      </c>
      <c r="H18" s="208" t="s">
        <v>157</v>
      </c>
      <c r="I18" s="216" t="s">
        <v>153</v>
      </c>
      <c r="J18" s="216" t="s">
        <v>38</v>
      </c>
      <c r="K18" s="216" t="s">
        <v>154</v>
      </c>
      <c r="L18" s="208">
        <v>2</v>
      </c>
      <c r="N18" s="208">
        <v>4</v>
      </c>
      <c r="O18" s="208">
        <v>0.7</v>
      </c>
      <c r="P18" s="208">
        <v>0.75</v>
      </c>
      <c r="Q18" s="245">
        <f t="shared" si="0"/>
        <v>0.72499999999999998</v>
      </c>
      <c r="R18" s="208">
        <v>14.1</v>
      </c>
      <c r="S18" s="208">
        <v>99</v>
      </c>
      <c r="T18" s="217">
        <f t="shared" si="1"/>
        <v>33</v>
      </c>
      <c r="U18" s="208">
        <v>494</v>
      </c>
      <c r="V18" s="217">
        <f t="shared" si="2"/>
        <v>4075.5</v>
      </c>
      <c r="W18" s="208">
        <v>2</v>
      </c>
      <c r="X18" s="216" t="s">
        <v>39</v>
      </c>
      <c r="Y18" s="216" t="s">
        <v>90</v>
      </c>
      <c r="Z18" s="216" t="s">
        <v>84</v>
      </c>
      <c r="AA18" s="216" t="s">
        <v>50</v>
      </c>
      <c r="AB18" s="216" t="s">
        <v>310</v>
      </c>
      <c r="AE18" s="223" t="s">
        <v>87</v>
      </c>
      <c r="AL18" s="216"/>
      <c r="AP18" s="239" t="s">
        <v>111</v>
      </c>
      <c r="AR18" s="238" t="s">
        <v>101</v>
      </c>
      <c r="AV18" s="224" t="s">
        <v>88</v>
      </c>
    </row>
    <row r="19" spans="1:48" x14ac:dyDescent="0.15">
      <c r="A19" s="216" t="s">
        <v>34</v>
      </c>
      <c r="B19" s="208" t="s">
        <v>308</v>
      </c>
      <c r="C19" s="208">
        <v>2018</v>
      </c>
      <c r="D19" s="258" t="s">
        <v>534</v>
      </c>
      <c r="E19" s="237" t="s">
        <v>525</v>
      </c>
      <c r="F19" s="237" t="s">
        <v>526</v>
      </c>
      <c r="G19" s="216" t="s">
        <v>36</v>
      </c>
      <c r="H19" s="208" t="s">
        <v>157</v>
      </c>
      <c r="I19" s="216" t="s">
        <v>153</v>
      </c>
      <c r="J19" s="216" t="s">
        <v>38</v>
      </c>
      <c r="K19" s="216" t="s">
        <v>154</v>
      </c>
      <c r="L19" s="208">
        <v>3</v>
      </c>
      <c r="N19" s="208">
        <v>4</v>
      </c>
      <c r="O19" s="208">
        <v>0.65</v>
      </c>
      <c r="P19" s="208">
        <v>0.7</v>
      </c>
      <c r="Q19" s="245">
        <f t="shared" si="0"/>
        <v>0.67500000000000004</v>
      </c>
      <c r="R19" s="208">
        <v>14.3</v>
      </c>
      <c r="S19" s="208">
        <v>97</v>
      </c>
      <c r="T19" s="217">
        <f t="shared" si="1"/>
        <v>36</v>
      </c>
      <c r="U19" s="208">
        <v>494</v>
      </c>
      <c r="V19" s="217">
        <f t="shared" si="2"/>
        <v>4446</v>
      </c>
      <c r="W19" s="208">
        <v>2</v>
      </c>
      <c r="X19" s="216" t="s">
        <v>39</v>
      </c>
      <c r="Y19" s="216" t="s">
        <v>90</v>
      </c>
      <c r="Z19" s="216" t="s">
        <v>84</v>
      </c>
      <c r="AA19" s="216" t="s">
        <v>50</v>
      </c>
      <c r="AB19" s="216" t="s">
        <v>310</v>
      </c>
      <c r="AE19" s="236" t="s">
        <v>89</v>
      </c>
      <c r="AP19" s="239" t="s">
        <v>112</v>
      </c>
      <c r="AR19" s="231" t="s">
        <v>126</v>
      </c>
      <c r="AV19" s="224" t="s">
        <v>90</v>
      </c>
    </row>
    <row r="20" spans="1:48" x14ac:dyDescent="0.15">
      <c r="A20" s="216" t="s">
        <v>34</v>
      </c>
      <c r="B20" s="208" t="s">
        <v>308</v>
      </c>
      <c r="C20" s="208">
        <v>2018</v>
      </c>
      <c r="D20" s="258" t="s">
        <v>534</v>
      </c>
      <c r="E20" s="237" t="s">
        <v>531</v>
      </c>
      <c r="F20" s="237" t="s">
        <v>532</v>
      </c>
      <c r="G20" s="216" t="s">
        <v>36</v>
      </c>
      <c r="H20" s="208" t="s">
        <v>155</v>
      </c>
      <c r="I20" s="216" t="s">
        <v>153</v>
      </c>
      <c r="J20" s="216" t="s">
        <v>38</v>
      </c>
      <c r="K20" s="216" t="s">
        <v>154</v>
      </c>
      <c r="L20" s="216">
        <v>1</v>
      </c>
      <c r="N20" s="208">
        <v>1</v>
      </c>
      <c r="O20" s="208">
        <v>0.8</v>
      </c>
      <c r="P20" s="208">
        <v>0.7</v>
      </c>
      <c r="Q20" s="245">
        <f t="shared" si="0"/>
        <v>0.75</v>
      </c>
      <c r="R20" s="208">
        <v>14.3</v>
      </c>
      <c r="S20" s="208">
        <v>149</v>
      </c>
      <c r="T20" s="217">
        <f t="shared" si="1"/>
        <v>30</v>
      </c>
      <c r="U20" s="208">
        <v>136</v>
      </c>
      <c r="V20" s="217">
        <f t="shared" si="2"/>
        <v>4080</v>
      </c>
      <c r="W20" s="208">
        <v>2</v>
      </c>
      <c r="X20" s="216" t="s">
        <v>46</v>
      </c>
      <c r="Y20" s="216" t="s">
        <v>84</v>
      </c>
      <c r="Z20" s="216" t="s">
        <v>50</v>
      </c>
      <c r="AA20" s="216" t="s">
        <v>90</v>
      </c>
      <c r="AB20" s="216" t="s">
        <v>310</v>
      </c>
      <c r="AP20" s="239" t="s">
        <v>113</v>
      </c>
      <c r="AR20" s="238" t="s">
        <v>105</v>
      </c>
      <c r="AV20" s="228" t="s">
        <v>538</v>
      </c>
    </row>
    <row r="21" spans="1:48" x14ac:dyDescent="0.15">
      <c r="A21" s="216" t="s">
        <v>34</v>
      </c>
      <c r="B21" s="208" t="s">
        <v>308</v>
      </c>
      <c r="C21" s="208">
        <v>2018</v>
      </c>
      <c r="D21" s="258" t="s">
        <v>534</v>
      </c>
      <c r="E21" s="237" t="s">
        <v>531</v>
      </c>
      <c r="F21" s="237" t="s">
        <v>532</v>
      </c>
      <c r="G21" s="216" t="s">
        <v>36</v>
      </c>
      <c r="H21" s="208" t="s">
        <v>155</v>
      </c>
      <c r="I21" s="216" t="s">
        <v>153</v>
      </c>
      <c r="J21" s="216" t="s">
        <v>38</v>
      </c>
      <c r="K21" s="216" t="s">
        <v>154</v>
      </c>
      <c r="L21" s="208">
        <v>2</v>
      </c>
      <c r="N21" s="208">
        <v>1</v>
      </c>
      <c r="O21" s="208">
        <v>0.8</v>
      </c>
      <c r="P21" s="208">
        <v>0.85</v>
      </c>
      <c r="Q21" s="245">
        <f t="shared" si="0"/>
        <v>0.82499999999999996</v>
      </c>
      <c r="R21" s="208">
        <v>14.4</v>
      </c>
      <c r="S21" s="208">
        <v>140</v>
      </c>
      <c r="T21" s="217">
        <f t="shared" si="1"/>
        <v>30</v>
      </c>
      <c r="U21" s="208">
        <v>136</v>
      </c>
      <c r="V21" s="217">
        <f t="shared" si="2"/>
        <v>4080</v>
      </c>
      <c r="W21" s="208">
        <v>2</v>
      </c>
      <c r="X21" s="216" t="s">
        <v>46</v>
      </c>
      <c r="Y21" s="216" t="s">
        <v>84</v>
      </c>
      <c r="Z21" s="216" t="s">
        <v>50</v>
      </c>
      <c r="AA21" s="216" t="s">
        <v>90</v>
      </c>
      <c r="AB21" s="216" t="s">
        <v>310</v>
      </c>
      <c r="AP21" s="239" t="s">
        <v>114</v>
      </c>
      <c r="AR21" s="238" t="s">
        <v>68</v>
      </c>
      <c r="AV21" s="228" t="s">
        <v>539</v>
      </c>
    </row>
    <row r="22" spans="1:48" x14ac:dyDescent="0.15">
      <c r="A22" s="216" t="s">
        <v>34</v>
      </c>
      <c r="B22" s="208" t="s">
        <v>308</v>
      </c>
      <c r="C22" s="208">
        <v>2018</v>
      </c>
      <c r="D22" s="258" t="s">
        <v>534</v>
      </c>
      <c r="E22" s="237" t="s">
        <v>531</v>
      </c>
      <c r="F22" s="237" t="s">
        <v>532</v>
      </c>
      <c r="G22" s="216" t="s">
        <v>36</v>
      </c>
      <c r="H22" s="208" t="s">
        <v>155</v>
      </c>
      <c r="I22" s="216" t="s">
        <v>153</v>
      </c>
      <c r="J22" s="216" t="s">
        <v>38</v>
      </c>
      <c r="K22" s="216" t="s">
        <v>154</v>
      </c>
      <c r="L22" s="208">
        <v>3</v>
      </c>
      <c r="N22" s="208">
        <v>1</v>
      </c>
      <c r="O22" s="208">
        <v>1</v>
      </c>
      <c r="P22" s="208">
        <v>1</v>
      </c>
      <c r="Q22" s="245">
        <f t="shared" si="0"/>
        <v>1</v>
      </c>
      <c r="R22" s="208">
        <v>9.8000000000000007</v>
      </c>
      <c r="S22" s="208">
        <v>136</v>
      </c>
      <c r="T22" s="217">
        <f t="shared" si="1"/>
        <v>30</v>
      </c>
      <c r="U22" s="208">
        <v>136</v>
      </c>
      <c r="V22" s="217">
        <f t="shared" si="2"/>
        <v>4080</v>
      </c>
      <c r="W22" s="208">
        <v>2</v>
      </c>
      <c r="X22" s="216" t="s">
        <v>46</v>
      </c>
      <c r="Y22" s="216" t="s">
        <v>84</v>
      </c>
      <c r="Z22" s="216" t="s">
        <v>50</v>
      </c>
      <c r="AA22" s="216" t="s">
        <v>90</v>
      </c>
      <c r="AB22" s="216" t="s">
        <v>310</v>
      </c>
      <c r="AP22" s="239" t="s">
        <v>115</v>
      </c>
      <c r="AR22" s="238" t="s">
        <v>83</v>
      </c>
      <c r="AV22" s="228"/>
    </row>
    <row r="23" spans="1:48" x14ac:dyDescent="0.15">
      <c r="A23" s="216" t="s">
        <v>34</v>
      </c>
      <c r="B23" s="208" t="s">
        <v>308</v>
      </c>
      <c r="C23" s="208">
        <v>2018</v>
      </c>
      <c r="D23" s="258" t="s">
        <v>534</v>
      </c>
      <c r="E23" s="237" t="s">
        <v>531</v>
      </c>
      <c r="F23" s="237" t="s">
        <v>532</v>
      </c>
      <c r="G23" s="216" t="s">
        <v>36</v>
      </c>
      <c r="H23" s="208" t="s">
        <v>155</v>
      </c>
      <c r="I23" s="216" t="s">
        <v>153</v>
      </c>
      <c r="J23" s="216" t="s">
        <v>38</v>
      </c>
      <c r="K23" s="216" t="s">
        <v>154</v>
      </c>
      <c r="L23" s="216">
        <v>1</v>
      </c>
      <c r="N23" s="208">
        <v>4</v>
      </c>
      <c r="O23" s="208">
        <v>0.8</v>
      </c>
      <c r="P23" s="208">
        <v>0.55000000000000004</v>
      </c>
      <c r="Q23" s="245">
        <f t="shared" si="0"/>
        <v>0.67500000000000004</v>
      </c>
      <c r="R23" s="208">
        <v>14.4</v>
      </c>
      <c r="S23" s="208">
        <v>109</v>
      </c>
      <c r="T23" s="217">
        <f t="shared" si="1"/>
        <v>33</v>
      </c>
      <c r="U23" s="208">
        <v>398</v>
      </c>
      <c r="V23" s="217">
        <f t="shared" si="2"/>
        <v>3283.5</v>
      </c>
      <c r="W23" s="208">
        <v>2</v>
      </c>
      <c r="X23" s="216" t="s">
        <v>46</v>
      </c>
      <c r="Y23" s="216" t="s">
        <v>84</v>
      </c>
      <c r="Z23" s="216" t="s">
        <v>50</v>
      </c>
      <c r="AA23" s="216" t="s">
        <v>90</v>
      </c>
      <c r="AB23" s="216" t="s">
        <v>310</v>
      </c>
      <c r="AP23" s="239" t="s">
        <v>117</v>
      </c>
      <c r="AR23" s="238" t="s">
        <v>273</v>
      </c>
    </row>
    <row r="24" spans="1:48" x14ac:dyDescent="0.15">
      <c r="A24" s="216" t="s">
        <v>34</v>
      </c>
      <c r="B24" s="208" t="s">
        <v>308</v>
      </c>
      <c r="C24" s="208">
        <v>2018</v>
      </c>
      <c r="D24" s="258" t="s">
        <v>534</v>
      </c>
      <c r="E24" s="237" t="s">
        <v>531</v>
      </c>
      <c r="F24" s="237" t="s">
        <v>532</v>
      </c>
      <c r="G24" s="216" t="s">
        <v>36</v>
      </c>
      <c r="H24" s="208" t="s">
        <v>155</v>
      </c>
      <c r="I24" s="216" t="s">
        <v>153</v>
      </c>
      <c r="J24" s="216" t="s">
        <v>38</v>
      </c>
      <c r="K24" s="216" t="s">
        <v>154</v>
      </c>
      <c r="L24" s="208">
        <v>2</v>
      </c>
      <c r="N24" s="208">
        <v>4</v>
      </c>
      <c r="O24" s="208">
        <v>0.45</v>
      </c>
      <c r="P24" s="208">
        <v>0.55000000000000004</v>
      </c>
      <c r="Q24" s="245">
        <f t="shared" si="0"/>
        <v>0.5</v>
      </c>
      <c r="R24" s="208">
        <v>11.8</v>
      </c>
      <c r="S24" s="208">
        <v>113</v>
      </c>
      <c r="T24" s="217">
        <f t="shared" si="1"/>
        <v>30</v>
      </c>
      <c r="U24" s="208">
        <v>398</v>
      </c>
      <c r="V24" s="217">
        <f t="shared" si="2"/>
        <v>2985</v>
      </c>
      <c r="W24" s="208">
        <v>2</v>
      </c>
      <c r="X24" s="216" t="s">
        <v>46</v>
      </c>
      <c r="Y24" s="216" t="s">
        <v>84</v>
      </c>
      <c r="Z24" s="216" t="s">
        <v>50</v>
      </c>
      <c r="AA24" s="216" t="s">
        <v>90</v>
      </c>
      <c r="AB24" s="216" t="s">
        <v>310</v>
      </c>
      <c r="AP24" s="239" t="s">
        <v>118</v>
      </c>
    </row>
    <row r="25" spans="1:48" x14ac:dyDescent="0.15">
      <c r="A25" s="216" t="s">
        <v>34</v>
      </c>
      <c r="B25" s="208" t="s">
        <v>308</v>
      </c>
      <c r="C25" s="208">
        <v>2018</v>
      </c>
      <c r="D25" s="258" t="s">
        <v>534</v>
      </c>
      <c r="E25" s="237" t="s">
        <v>531</v>
      </c>
      <c r="F25" s="237" t="s">
        <v>532</v>
      </c>
      <c r="G25" s="216" t="s">
        <v>36</v>
      </c>
      <c r="H25" s="208" t="s">
        <v>155</v>
      </c>
      <c r="I25" s="216" t="s">
        <v>153</v>
      </c>
      <c r="J25" s="216" t="s">
        <v>38</v>
      </c>
      <c r="K25" s="216" t="s">
        <v>154</v>
      </c>
      <c r="L25" s="208">
        <v>3</v>
      </c>
      <c r="N25" s="208">
        <v>4</v>
      </c>
      <c r="O25" s="208">
        <v>0.5</v>
      </c>
      <c r="P25" s="208">
        <v>0.5</v>
      </c>
      <c r="Q25" s="245">
        <f t="shared" si="0"/>
        <v>0.5</v>
      </c>
      <c r="R25" s="208">
        <v>14.2</v>
      </c>
      <c r="S25" s="208">
        <v>112</v>
      </c>
      <c r="T25" s="217">
        <f t="shared" si="1"/>
        <v>33</v>
      </c>
      <c r="U25" s="208">
        <v>398</v>
      </c>
      <c r="V25" s="217">
        <f t="shared" si="2"/>
        <v>3283.5</v>
      </c>
      <c r="W25" s="208">
        <v>2</v>
      </c>
      <c r="X25" s="216" t="s">
        <v>46</v>
      </c>
      <c r="Y25" s="216" t="s">
        <v>84</v>
      </c>
      <c r="Z25" s="216" t="s">
        <v>50</v>
      </c>
      <c r="AA25" s="216" t="s">
        <v>90</v>
      </c>
      <c r="AB25" s="216" t="s">
        <v>310</v>
      </c>
    </row>
    <row r="26" spans="1:48" x14ac:dyDescent="0.15">
      <c r="A26" s="216" t="s">
        <v>34</v>
      </c>
      <c r="B26" s="208" t="s">
        <v>308</v>
      </c>
      <c r="C26" s="208">
        <v>2018</v>
      </c>
      <c r="D26" s="258" t="s">
        <v>534</v>
      </c>
      <c r="E26" s="237" t="s">
        <v>527</v>
      </c>
      <c r="F26" s="237" t="s">
        <v>528</v>
      </c>
      <c r="G26" s="216" t="s">
        <v>36</v>
      </c>
      <c r="H26" s="208" t="s">
        <v>155</v>
      </c>
      <c r="I26" s="216" t="s">
        <v>153</v>
      </c>
      <c r="J26" s="216" t="s">
        <v>38</v>
      </c>
      <c r="K26" s="216" t="s">
        <v>154</v>
      </c>
      <c r="L26" s="216">
        <v>1</v>
      </c>
      <c r="N26" s="208">
        <v>1</v>
      </c>
      <c r="O26" s="208">
        <v>0.8</v>
      </c>
      <c r="P26" s="208">
        <v>1</v>
      </c>
      <c r="Q26" s="245">
        <f t="shared" si="0"/>
        <v>0.9</v>
      </c>
      <c r="R26" s="208">
        <v>13.9</v>
      </c>
      <c r="S26" s="208">
        <v>122</v>
      </c>
      <c r="T26" s="217">
        <f t="shared" si="1"/>
        <v>30</v>
      </c>
      <c r="U26" s="208">
        <v>116</v>
      </c>
      <c r="V26" s="217">
        <f t="shared" si="2"/>
        <v>3480</v>
      </c>
      <c r="W26" s="208">
        <v>4</v>
      </c>
      <c r="X26" s="216" t="s">
        <v>46</v>
      </c>
      <c r="Y26" s="216" t="s">
        <v>69</v>
      </c>
      <c r="Z26" s="216" t="s">
        <v>50</v>
      </c>
      <c r="AA26" s="216" t="s">
        <v>84</v>
      </c>
      <c r="AB26" s="216" t="s">
        <v>310</v>
      </c>
    </row>
    <row r="27" spans="1:48" x14ac:dyDescent="0.15">
      <c r="A27" s="216" t="s">
        <v>34</v>
      </c>
      <c r="B27" s="208" t="s">
        <v>308</v>
      </c>
      <c r="C27" s="208">
        <v>2018</v>
      </c>
      <c r="D27" s="258" t="s">
        <v>534</v>
      </c>
      <c r="E27" s="237" t="s">
        <v>527</v>
      </c>
      <c r="F27" s="237" t="s">
        <v>528</v>
      </c>
      <c r="G27" s="216" t="s">
        <v>36</v>
      </c>
      <c r="H27" s="208" t="s">
        <v>155</v>
      </c>
      <c r="I27" s="216" t="s">
        <v>153</v>
      </c>
      <c r="J27" s="216" t="s">
        <v>38</v>
      </c>
      <c r="K27" s="216" t="s">
        <v>154</v>
      </c>
      <c r="L27" s="208">
        <v>2</v>
      </c>
      <c r="N27" s="208">
        <v>1</v>
      </c>
      <c r="O27" s="208">
        <v>0.95</v>
      </c>
      <c r="P27" s="208">
        <v>1.05</v>
      </c>
      <c r="Q27" s="245">
        <f t="shared" si="0"/>
        <v>1</v>
      </c>
      <c r="R27" s="208">
        <v>14.2</v>
      </c>
      <c r="S27" s="208">
        <v>132</v>
      </c>
      <c r="T27" s="217">
        <f t="shared" si="1"/>
        <v>30</v>
      </c>
      <c r="U27" s="208">
        <v>116</v>
      </c>
      <c r="V27" s="217">
        <f t="shared" si="2"/>
        <v>3480</v>
      </c>
      <c r="W27" s="208">
        <v>4</v>
      </c>
      <c r="X27" s="216" t="s">
        <v>46</v>
      </c>
      <c r="Y27" s="216" t="s">
        <v>69</v>
      </c>
      <c r="Z27" s="216" t="s">
        <v>50</v>
      </c>
      <c r="AA27" s="216" t="s">
        <v>84</v>
      </c>
      <c r="AB27" s="216" t="s">
        <v>310</v>
      </c>
    </row>
    <row r="28" spans="1:48" x14ac:dyDescent="0.15">
      <c r="A28" s="216" t="s">
        <v>34</v>
      </c>
      <c r="B28" s="208" t="s">
        <v>308</v>
      </c>
      <c r="C28" s="208">
        <v>2018</v>
      </c>
      <c r="D28" s="258" t="s">
        <v>534</v>
      </c>
      <c r="E28" s="237" t="s">
        <v>527</v>
      </c>
      <c r="F28" s="237" t="s">
        <v>528</v>
      </c>
      <c r="G28" s="216" t="s">
        <v>36</v>
      </c>
      <c r="H28" s="208" t="s">
        <v>155</v>
      </c>
      <c r="I28" s="216" t="s">
        <v>153</v>
      </c>
      <c r="J28" s="216" t="s">
        <v>38</v>
      </c>
      <c r="K28" s="216" t="s">
        <v>154</v>
      </c>
      <c r="L28" s="208">
        <v>3</v>
      </c>
      <c r="N28" s="208">
        <v>1</v>
      </c>
      <c r="O28" s="208">
        <v>1.25</v>
      </c>
      <c r="P28" s="208">
        <v>1.5</v>
      </c>
      <c r="Q28" s="245">
        <f t="shared" si="0"/>
        <v>1.375</v>
      </c>
      <c r="R28" s="208">
        <v>14</v>
      </c>
      <c r="S28" s="208">
        <v>130</v>
      </c>
      <c r="T28" s="217">
        <f t="shared" si="1"/>
        <v>30</v>
      </c>
      <c r="U28" s="208">
        <v>116</v>
      </c>
      <c r="V28" s="217">
        <f t="shared" si="2"/>
        <v>3480</v>
      </c>
      <c r="W28" s="208">
        <v>4</v>
      </c>
      <c r="X28" s="216" t="s">
        <v>46</v>
      </c>
      <c r="Y28" s="216" t="s">
        <v>69</v>
      </c>
      <c r="Z28" s="216" t="s">
        <v>50</v>
      </c>
      <c r="AA28" s="216" t="s">
        <v>84</v>
      </c>
      <c r="AB28" s="216" t="s">
        <v>310</v>
      </c>
    </row>
    <row r="29" spans="1:48" x14ac:dyDescent="0.15">
      <c r="A29" s="216" t="s">
        <v>34</v>
      </c>
      <c r="B29" s="208" t="s">
        <v>308</v>
      </c>
      <c r="C29" s="208">
        <v>2018</v>
      </c>
      <c r="D29" s="258" t="s">
        <v>534</v>
      </c>
      <c r="E29" s="237" t="s">
        <v>527</v>
      </c>
      <c r="F29" s="237" t="s">
        <v>528</v>
      </c>
      <c r="G29" s="216" t="s">
        <v>36</v>
      </c>
      <c r="H29" s="208" t="s">
        <v>128</v>
      </c>
      <c r="I29" s="216" t="s">
        <v>153</v>
      </c>
      <c r="J29" s="216" t="s">
        <v>67</v>
      </c>
      <c r="K29" s="216" t="s">
        <v>87</v>
      </c>
      <c r="L29" s="216">
        <v>1</v>
      </c>
      <c r="N29" s="208">
        <v>5</v>
      </c>
      <c r="O29" s="208">
        <v>0.2</v>
      </c>
      <c r="P29" s="208">
        <v>0.2</v>
      </c>
      <c r="Q29" s="245">
        <f t="shared" si="0"/>
        <v>0.2</v>
      </c>
      <c r="R29" s="208">
        <v>14.6</v>
      </c>
      <c r="S29" s="208">
        <v>75</v>
      </c>
      <c r="T29" s="217">
        <f t="shared" si="1"/>
        <v>42</v>
      </c>
      <c r="U29" s="208">
        <v>213</v>
      </c>
      <c r="V29" s="217">
        <f t="shared" si="2"/>
        <v>1789.2</v>
      </c>
      <c r="W29" s="208">
        <v>2</v>
      </c>
      <c r="X29" s="216" t="s">
        <v>46</v>
      </c>
      <c r="Y29" s="216" t="s">
        <v>69</v>
      </c>
      <c r="Z29" s="216" t="s">
        <v>50</v>
      </c>
      <c r="AA29" s="216" t="s">
        <v>84</v>
      </c>
      <c r="AB29" s="216" t="s">
        <v>310</v>
      </c>
    </row>
    <row r="30" spans="1:48" x14ac:dyDescent="0.15">
      <c r="A30" s="216" t="s">
        <v>34</v>
      </c>
      <c r="B30" s="208" t="s">
        <v>308</v>
      </c>
      <c r="C30" s="208">
        <v>2018</v>
      </c>
      <c r="D30" s="258" t="s">
        <v>534</v>
      </c>
      <c r="E30" s="237" t="s">
        <v>527</v>
      </c>
      <c r="F30" s="237" t="s">
        <v>528</v>
      </c>
      <c r="G30" s="216" t="s">
        <v>36</v>
      </c>
      <c r="H30" s="208" t="s">
        <v>128</v>
      </c>
      <c r="I30" s="216" t="s">
        <v>153</v>
      </c>
      <c r="J30" s="216" t="s">
        <v>67</v>
      </c>
      <c r="K30" s="216" t="s">
        <v>87</v>
      </c>
      <c r="L30" s="208">
        <v>2</v>
      </c>
      <c r="N30" s="208">
        <v>5</v>
      </c>
      <c r="O30" s="208">
        <v>0.2</v>
      </c>
      <c r="P30" s="208">
        <v>0.2</v>
      </c>
      <c r="Q30" s="245">
        <f t="shared" si="0"/>
        <v>0.2</v>
      </c>
      <c r="R30" s="208">
        <v>14.7</v>
      </c>
      <c r="S30" s="208">
        <v>76</v>
      </c>
      <c r="T30" s="217">
        <f t="shared" si="1"/>
        <v>39</v>
      </c>
      <c r="U30" s="208">
        <v>213</v>
      </c>
      <c r="V30" s="217">
        <f t="shared" si="2"/>
        <v>1661.4</v>
      </c>
      <c r="W30" s="208">
        <v>2</v>
      </c>
      <c r="X30" s="216" t="s">
        <v>46</v>
      </c>
      <c r="Y30" s="216" t="s">
        <v>69</v>
      </c>
      <c r="Z30" s="216" t="s">
        <v>50</v>
      </c>
      <c r="AA30" s="216" t="s">
        <v>84</v>
      </c>
      <c r="AB30" s="216" t="s">
        <v>310</v>
      </c>
    </row>
    <row r="31" spans="1:48" x14ac:dyDescent="0.15">
      <c r="A31" s="216" t="s">
        <v>34</v>
      </c>
      <c r="B31" s="208" t="s">
        <v>308</v>
      </c>
      <c r="C31" s="208">
        <v>2018</v>
      </c>
      <c r="D31" s="258" t="s">
        <v>534</v>
      </c>
      <c r="E31" s="237" t="s">
        <v>527</v>
      </c>
      <c r="F31" s="237" t="s">
        <v>528</v>
      </c>
      <c r="G31" s="216" t="s">
        <v>36</v>
      </c>
      <c r="H31" s="208" t="s">
        <v>128</v>
      </c>
      <c r="I31" s="216" t="s">
        <v>153</v>
      </c>
      <c r="J31" s="216" t="s">
        <v>67</v>
      </c>
      <c r="K31" s="216" t="s">
        <v>87</v>
      </c>
      <c r="L31" s="208">
        <v>3</v>
      </c>
      <c r="N31" s="208">
        <v>5</v>
      </c>
      <c r="O31" s="208">
        <v>0.2</v>
      </c>
      <c r="P31" s="208">
        <v>0.2</v>
      </c>
      <c r="Q31" s="245">
        <f t="shared" si="0"/>
        <v>0.2</v>
      </c>
      <c r="R31" s="208">
        <v>14.3</v>
      </c>
      <c r="S31" s="208">
        <v>80</v>
      </c>
      <c r="T31" s="217">
        <f t="shared" si="1"/>
        <v>39</v>
      </c>
      <c r="U31" s="208">
        <v>213</v>
      </c>
      <c r="V31" s="217">
        <f t="shared" si="2"/>
        <v>1661.4</v>
      </c>
      <c r="W31" s="208">
        <v>2</v>
      </c>
      <c r="X31" s="216" t="s">
        <v>46</v>
      </c>
      <c r="Y31" s="216" t="s">
        <v>69</v>
      </c>
      <c r="Z31" s="216" t="s">
        <v>50</v>
      </c>
      <c r="AA31" s="216" t="s">
        <v>84</v>
      </c>
      <c r="AB31" s="216" t="s">
        <v>310</v>
      </c>
    </row>
    <row r="32" spans="1:48" x14ac:dyDescent="0.15">
      <c r="A32" s="216" t="s">
        <v>34</v>
      </c>
      <c r="B32" s="208" t="s">
        <v>308</v>
      </c>
      <c r="C32" s="208">
        <v>2018</v>
      </c>
      <c r="D32" s="258" t="s">
        <v>534</v>
      </c>
      <c r="E32" s="237" t="s">
        <v>160</v>
      </c>
      <c r="F32" s="237" t="s">
        <v>533</v>
      </c>
      <c r="G32" s="216" t="s">
        <v>36</v>
      </c>
      <c r="H32" s="208" t="s">
        <v>155</v>
      </c>
      <c r="I32" s="216" t="s">
        <v>153</v>
      </c>
      <c r="J32" s="216" t="s">
        <v>38</v>
      </c>
      <c r="K32" s="216" t="s">
        <v>154</v>
      </c>
      <c r="L32" s="216">
        <v>1</v>
      </c>
      <c r="N32" s="208">
        <v>1</v>
      </c>
      <c r="O32" s="208">
        <v>0.2</v>
      </c>
      <c r="P32" s="208">
        <v>0.2</v>
      </c>
      <c r="Q32" s="245">
        <f t="shared" si="0"/>
        <v>0.2</v>
      </c>
      <c r="R32" s="208">
        <v>14.1</v>
      </c>
      <c r="S32" s="208">
        <v>135</v>
      </c>
      <c r="T32" s="217">
        <f t="shared" si="1"/>
        <v>30</v>
      </c>
      <c r="U32" s="208">
        <v>137</v>
      </c>
      <c r="V32" s="217">
        <f t="shared" si="2"/>
        <v>4110</v>
      </c>
      <c r="W32" s="208">
        <v>2</v>
      </c>
      <c r="X32" s="216" t="s">
        <v>46</v>
      </c>
      <c r="Y32" s="216" t="s">
        <v>84</v>
      </c>
      <c r="Z32" s="216" t="s">
        <v>69</v>
      </c>
      <c r="AA32" s="216" t="s">
        <v>50</v>
      </c>
      <c r="AB32" s="216" t="s">
        <v>310</v>
      </c>
    </row>
    <row r="33" spans="1:28" x14ac:dyDescent="0.15">
      <c r="A33" s="216" t="s">
        <v>34</v>
      </c>
      <c r="B33" s="208" t="s">
        <v>308</v>
      </c>
      <c r="C33" s="208">
        <v>2018</v>
      </c>
      <c r="D33" s="258" t="s">
        <v>534</v>
      </c>
      <c r="E33" s="237" t="s">
        <v>160</v>
      </c>
      <c r="F33" s="237" t="s">
        <v>533</v>
      </c>
      <c r="G33" s="216" t="s">
        <v>36</v>
      </c>
      <c r="H33" s="208" t="s">
        <v>155</v>
      </c>
      <c r="I33" s="216" t="s">
        <v>153</v>
      </c>
      <c r="J33" s="216" t="s">
        <v>38</v>
      </c>
      <c r="K33" s="216" t="s">
        <v>154</v>
      </c>
      <c r="L33" s="208">
        <v>2</v>
      </c>
      <c r="N33" s="208">
        <v>1</v>
      </c>
      <c r="O33" s="208">
        <v>1</v>
      </c>
      <c r="P33" s="208">
        <v>1.05</v>
      </c>
      <c r="Q33" s="245">
        <f t="shared" si="0"/>
        <v>1.0249999999999999</v>
      </c>
      <c r="R33" s="208">
        <v>14.1</v>
      </c>
      <c r="S33" s="208">
        <v>136</v>
      </c>
      <c r="T33" s="217">
        <f t="shared" si="1"/>
        <v>30</v>
      </c>
      <c r="U33" s="208">
        <v>137</v>
      </c>
      <c r="V33" s="217">
        <f t="shared" si="2"/>
        <v>4110</v>
      </c>
      <c r="W33" s="208">
        <v>2</v>
      </c>
      <c r="X33" s="216" t="s">
        <v>46</v>
      </c>
      <c r="Y33" s="216" t="s">
        <v>84</v>
      </c>
      <c r="Z33" s="216" t="s">
        <v>69</v>
      </c>
      <c r="AA33" s="216" t="s">
        <v>50</v>
      </c>
      <c r="AB33" s="216" t="s">
        <v>310</v>
      </c>
    </row>
    <row r="34" spans="1:28" x14ac:dyDescent="0.15">
      <c r="A34" s="216" t="s">
        <v>34</v>
      </c>
      <c r="B34" s="208" t="s">
        <v>308</v>
      </c>
      <c r="C34" s="208">
        <v>2018</v>
      </c>
      <c r="D34" s="258" t="s">
        <v>534</v>
      </c>
      <c r="E34" s="237" t="s">
        <v>160</v>
      </c>
      <c r="F34" s="237" t="s">
        <v>533</v>
      </c>
      <c r="G34" s="216" t="s">
        <v>36</v>
      </c>
      <c r="H34" s="208" t="s">
        <v>155</v>
      </c>
      <c r="I34" s="216" t="s">
        <v>153</v>
      </c>
      <c r="J34" s="216" t="s">
        <v>38</v>
      </c>
      <c r="K34" s="216" t="s">
        <v>154</v>
      </c>
      <c r="L34" s="208">
        <v>3</v>
      </c>
      <c r="N34" s="208">
        <v>1</v>
      </c>
      <c r="O34" s="208">
        <v>1</v>
      </c>
      <c r="P34" s="208">
        <v>1.2</v>
      </c>
      <c r="Q34" s="245">
        <f>IF(OR(O34="",P34=""),"",AVERAGE(O34,P34))</f>
        <v>1.1000000000000001</v>
      </c>
      <c r="R34" s="208">
        <v>13.8</v>
      </c>
      <c r="S34" s="208">
        <v>146</v>
      </c>
      <c r="T34" s="217">
        <f t="shared" si="1"/>
        <v>30</v>
      </c>
      <c r="U34" s="208">
        <v>137</v>
      </c>
      <c r="V34" s="217">
        <f t="shared" si="2"/>
        <v>4110</v>
      </c>
      <c r="W34" s="208">
        <v>2</v>
      </c>
      <c r="X34" s="216" t="s">
        <v>46</v>
      </c>
      <c r="Y34" s="216" t="s">
        <v>84</v>
      </c>
      <c r="Z34" s="216" t="s">
        <v>69</v>
      </c>
      <c r="AA34" s="216" t="s">
        <v>50</v>
      </c>
      <c r="AB34" s="216" t="s">
        <v>310</v>
      </c>
    </row>
    <row r="35" spans="1:28" x14ac:dyDescent="0.15">
      <c r="A35" s="216" t="s">
        <v>34</v>
      </c>
      <c r="B35" s="208" t="s">
        <v>308</v>
      </c>
      <c r="C35" s="208">
        <v>2018</v>
      </c>
      <c r="D35" s="258" t="s">
        <v>534</v>
      </c>
      <c r="E35" s="237" t="s">
        <v>160</v>
      </c>
      <c r="F35" s="237" t="s">
        <v>533</v>
      </c>
      <c r="G35" s="216" t="s">
        <v>36</v>
      </c>
      <c r="H35" s="208" t="s">
        <v>155</v>
      </c>
      <c r="I35" s="216" t="s">
        <v>153</v>
      </c>
      <c r="J35" s="216" t="s">
        <v>38</v>
      </c>
      <c r="K35" s="216" t="s">
        <v>154</v>
      </c>
      <c r="L35" s="216">
        <v>1</v>
      </c>
      <c r="N35" s="208">
        <v>4</v>
      </c>
      <c r="O35" s="208">
        <v>0.55000000000000004</v>
      </c>
      <c r="P35" s="208">
        <v>0.65</v>
      </c>
      <c r="Q35" s="245">
        <f t="shared" ref="Q35:Q36" si="3">IF(OR(O35="",P35=""),"",AVERAGE(O35,P35))</f>
        <v>0.60000000000000009</v>
      </c>
      <c r="R35" s="208">
        <v>14.4</v>
      </c>
      <c r="S35" s="208">
        <v>121</v>
      </c>
      <c r="T35" s="217">
        <f t="shared" si="1"/>
        <v>30</v>
      </c>
      <c r="U35" s="208">
        <v>515</v>
      </c>
      <c r="V35" s="217">
        <f t="shared" si="2"/>
        <v>3862.5</v>
      </c>
      <c r="W35" s="208">
        <v>2</v>
      </c>
      <c r="X35" s="216" t="s">
        <v>46</v>
      </c>
      <c r="Y35" s="216" t="s">
        <v>84</v>
      </c>
      <c r="Z35" s="216" t="s">
        <v>69</v>
      </c>
      <c r="AA35" s="216" t="s">
        <v>50</v>
      </c>
      <c r="AB35" s="216" t="s">
        <v>310</v>
      </c>
    </row>
    <row r="36" spans="1:28" x14ac:dyDescent="0.15">
      <c r="A36" s="216" t="s">
        <v>34</v>
      </c>
      <c r="B36" s="208" t="s">
        <v>308</v>
      </c>
      <c r="C36" s="208">
        <v>2018</v>
      </c>
      <c r="D36" s="258" t="s">
        <v>534</v>
      </c>
      <c r="E36" s="237" t="s">
        <v>160</v>
      </c>
      <c r="F36" s="237" t="s">
        <v>533</v>
      </c>
      <c r="G36" s="216" t="s">
        <v>36</v>
      </c>
      <c r="H36" s="208" t="s">
        <v>155</v>
      </c>
      <c r="I36" s="216" t="s">
        <v>153</v>
      </c>
      <c r="J36" s="216" t="s">
        <v>38</v>
      </c>
      <c r="K36" s="216" t="s">
        <v>154</v>
      </c>
      <c r="L36" s="208">
        <v>2</v>
      </c>
      <c r="N36" s="208">
        <v>4</v>
      </c>
      <c r="O36" s="208">
        <v>0.8</v>
      </c>
      <c r="P36" s="208">
        <v>0.85</v>
      </c>
      <c r="Q36" s="245">
        <f t="shared" si="3"/>
        <v>0.82499999999999996</v>
      </c>
      <c r="R36" s="208">
        <v>14.3</v>
      </c>
      <c r="S36" s="208">
        <v>120</v>
      </c>
      <c r="T36" s="217">
        <f t="shared" si="1"/>
        <v>30</v>
      </c>
      <c r="U36" s="208">
        <v>515</v>
      </c>
      <c r="V36" s="217">
        <f t="shared" si="2"/>
        <v>3862.5</v>
      </c>
      <c r="W36" s="208">
        <v>2</v>
      </c>
      <c r="X36" s="216" t="s">
        <v>46</v>
      </c>
      <c r="Y36" s="216" t="s">
        <v>84</v>
      </c>
      <c r="Z36" s="216" t="s">
        <v>69</v>
      </c>
      <c r="AA36" s="216" t="s">
        <v>50</v>
      </c>
      <c r="AB36" s="216" t="s">
        <v>310</v>
      </c>
    </row>
    <row r="37" spans="1:28" x14ac:dyDescent="0.15">
      <c r="A37" s="216" t="s">
        <v>34</v>
      </c>
      <c r="B37" s="208" t="s">
        <v>308</v>
      </c>
      <c r="C37" s="208">
        <v>2018</v>
      </c>
      <c r="D37" s="258" t="s">
        <v>534</v>
      </c>
      <c r="E37" s="237" t="s">
        <v>160</v>
      </c>
      <c r="F37" s="237" t="s">
        <v>533</v>
      </c>
      <c r="G37" s="216" t="s">
        <v>36</v>
      </c>
      <c r="H37" s="208" t="s">
        <v>155</v>
      </c>
      <c r="I37" s="216" t="s">
        <v>153</v>
      </c>
      <c r="J37" s="216" t="s">
        <v>38</v>
      </c>
      <c r="K37" s="216" t="s">
        <v>154</v>
      </c>
      <c r="L37" s="208">
        <v>3</v>
      </c>
      <c r="N37" s="208">
        <v>4</v>
      </c>
      <c r="O37" s="208">
        <v>0.65</v>
      </c>
      <c r="P37" s="208">
        <v>0.5</v>
      </c>
      <c r="Q37" s="245">
        <f>IF(OR(O37="",P37=""),"",AVERAGE(O37,P37))</f>
        <v>0.57499999999999996</v>
      </c>
      <c r="R37" s="208">
        <v>15.1</v>
      </c>
      <c r="S37" s="208">
        <v>118</v>
      </c>
      <c r="T37" s="217">
        <f t="shared" si="1"/>
        <v>30</v>
      </c>
      <c r="U37" s="208">
        <v>515</v>
      </c>
      <c r="V37" s="217">
        <f t="shared" si="2"/>
        <v>3862.5</v>
      </c>
      <c r="W37" s="208">
        <v>2</v>
      </c>
      <c r="X37" s="216" t="s">
        <v>46</v>
      </c>
      <c r="Y37" s="216" t="s">
        <v>84</v>
      </c>
      <c r="Z37" s="216" t="s">
        <v>69</v>
      </c>
      <c r="AA37" s="216" t="s">
        <v>50</v>
      </c>
      <c r="AB37" s="216" t="s">
        <v>310</v>
      </c>
    </row>
    <row r="38" spans="1:28" x14ac:dyDescent="0.15">
      <c r="A38" s="216" t="s">
        <v>34</v>
      </c>
      <c r="B38" s="208" t="s">
        <v>308</v>
      </c>
      <c r="C38" s="208">
        <v>2018</v>
      </c>
      <c r="D38" s="258" t="s">
        <v>534</v>
      </c>
      <c r="E38" s="237" t="s">
        <v>160</v>
      </c>
      <c r="F38" s="237" t="s">
        <v>533</v>
      </c>
      <c r="G38" s="216" t="s">
        <v>36</v>
      </c>
      <c r="H38" s="208" t="s">
        <v>157</v>
      </c>
      <c r="I38" s="216" t="s">
        <v>153</v>
      </c>
      <c r="J38" s="216" t="s">
        <v>38</v>
      </c>
      <c r="K38" s="216" t="s">
        <v>154</v>
      </c>
      <c r="L38" s="216">
        <v>1</v>
      </c>
      <c r="N38" s="208">
        <v>1</v>
      </c>
      <c r="O38" s="208">
        <v>0.75</v>
      </c>
      <c r="P38" s="208">
        <v>0.6</v>
      </c>
      <c r="Q38" s="245">
        <f t="shared" ref="Q38:Q39" si="4">IF(OR(O38="",P38=""),"",AVERAGE(O38,P38))</f>
        <v>0.67500000000000004</v>
      </c>
      <c r="R38" s="208">
        <v>15.9</v>
      </c>
      <c r="S38" s="208">
        <v>164</v>
      </c>
      <c r="T38" s="217">
        <f t="shared" si="1"/>
        <v>18</v>
      </c>
      <c r="U38" s="208">
        <v>137</v>
      </c>
      <c r="V38" s="217">
        <f t="shared" si="2"/>
        <v>2466</v>
      </c>
      <c r="W38" s="208">
        <v>2</v>
      </c>
      <c r="X38" s="216" t="s">
        <v>46</v>
      </c>
      <c r="Y38" s="216" t="s">
        <v>84</v>
      </c>
      <c r="Z38" s="216" t="s">
        <v>69</v>
      </c>
      <c r="AA38" s="216" t="s">
        <v>50</v>
      </c>
      <c r="AB38" s="216" t="s">
        <v>310</v>
      </c>
    </row>
    <row r="39" spans="1:28" x14ac:dyDescent="0.15">
      <c r="A39" s="216" t="s">
        <v>34</v>
      </c>
      <c r="B39" s="208" t="s">
        <v>308</v>
      </c>
      <c r="C39" s="208">
        <v>2018</v>
      </c>
      <c r="D39" s="258" t="s">
        <v>534</v>
      </c>
      <c r="E39" s="237" t="s">
        <v>160</v>
      </c>
      <c r="F39" s="237" t="s">
        <v>533</v>
      </c>
      <c r="G39" s="216" t="s">
        <v>36</v>
      </c>
      <c r="H39" s="208" t="s">
        <v>157</v>
      </c>
      <c r="I39" s="216" t="s">
        <v>153</v>
      </c>
      <c r="J39" s="216" t="s">
        <v>38</v>
      </c>
      <c r="K39" s="216" t="s">
        <v>154</v>
      </c>
      <c r="L39" s="208">
        <v>2</v>
      </c>
      <c r="N39" s="208">
        <v>1</v>
      </c>
      <c r="O39" s="208">
        <v>0.55000000000000004</v>
      </c>
      <c r="P39" s="208">
        <v>0.6</v>
      </c>
      <c r="Q39" s="245">
        <f t="shared" si="4"/>
        <v>0.57499999999999996</v>
      </c>
      <c r="R39" s="208">
        <v>14</v>
      </c>
      <c r="S39" s="208">
        <v>153</v>
      </c>
      <c r="T39" s="217">
        <f t="shared" si="1"/>
        <v>18</v>
      </c>
      <c r="U39" s="208">
        <v>137</v>
      </c>
      <c r="V39" s="217">
        <f t="shared" si="2"/>
        <v>2466</v>
      </c>
      <c r="W39" s="208">
        <v>2</v>
      </c>
      <c r="X39" s="216" t="s">
        <v>46</v>
      </c>
      <c r="Y39" s="216" t="s">
        <v>84</v>
      </c>
      <c r="Z39" s="216" t="s">
        <v>69</v>
      </c>
      <c r="AA39" s="216" t="s">
        <v>50</v>
      </c>
      <c r="AB39" s="216" t="s">
        <v>310</v>
      </c>
    </row>
    <row r="40" spans="1:28" x14ac:dyDescent="0.15">
      <c r="A40" s="216" t="s">
        <v>34</v>
      </c>
      <c r="B40" s="208" t="s">
        <v>308</v>
      </c>
      <c r="C40" s="208">
        <v>2018</v>
      </c>
      <c r="D40" s="258" t="s">
        <v>534</v>
      </c>
      <c r="E40" s="237" t="s">
        <v>160</v>
      </c>
      <c r="F40" s="237" t="s">
        <v>533</v>
      </c>
      <c r="G40" s="216" t="s">
        <v>36</v>
      </c>
      <c r="H40" s="208" t="s">
        <v>157</v>
      </c>
      <c r="I40" s="216" t="s">
        <v>153</v>
      </c>
      <c r="J40" s="216" t="s">
        <v>38</v>
      </c>
      <c r="K40" s="216" t="s">
        <v>154</v>
      </c>
      <c r="L40" s="208">
        <v>3</v>
      </c>
      <c r="N40" s="208">
        <v>1</v>
      </c>
      <c r="O40" s="208">
        <v>0.55000000000000004</v>
      </c>
      <c r="P40" s="208">
        <v>0.6</v>
      </c>
      <c r="Q40" s="245">
        <f>IF(OR(O40="",P40=""),"",AVERAGE(O40,P40))</f>
        <v>0.57499999999999996</v>
      </c>
      <c r="R40" s="208">
        <v>14</v>
      </c>
      <c r="S40" s="208">
        <v>160</v>
      </c>
      <c r="T40" s="217">
        <f t="shared" si="1"/>
        <v>18</v>
      </c>
      <c r="U40" s="208">
        <v>137</v>
      </c>
      <c r="V40" s="217">
        <f t="shared" si="2"/>
        <v>2466</v>
      </c>
      <c r="W40" s="208">
        <v>2</v>
      </c>
      <c r="X40" s="216" t="s">
        <v>46</v>
      </c>
      <c r="Y40" s="216" t="s">
        <v>84</v>
      </c>
      <c r="Z40" s="216" t="s">
        <v>69</v>
      </c>
      <c r="AA40" s="216" t="s">
        <v>50</v>
      </c>
      <c r="AB40" s="216" t="s">
        <v>310</v>
      </c>
    </row>
    <row r="41" spans="1:28" x14ac:dyDescent="0.15">
      <c r="A41" s="216" t="s">
        <v>34</v>
      </c>
      <c r="B41" s="208" t="s">
        <v>308</v>
      </c>
      <c r="C41" s="208">
        <v>2018</v>
      </c>
      <c r="D41" s="258" t="s">
        <v>534</v>
      </c>
      <c r="E41" s="237" t="s">
        <v>160</v>
      </c>
      <c r="F41" s="237" t="s">
        <v>533</v>
      </c>
      <c r="G41" s="216" t="s">
        <v>36</v>
      </c>
      <c r="H41" s="208" t="s">
        <v>157</v>
      </c>
      <c r="I41" s="216" t="s">
        <v>153</v>
      </c>
      <c r="J41" s="216" t="s">
        <v>38</v>
      </c>
      <c r="K41" s="216" t="s">
        <v>154</v>
      </c>
      <c r="L41" s="216">
        <v>1</v>
      </c>
      <c r="N41" s="208">
        <v>4</v>
      </c>
      <c r="O41" s="208">
        <v>0.6</v>
      </c>
      <c r="P41" s="208">
        <v>0.65</v>
      </c>
      <c r="Q41" s="245">
        <f t="shared" si="0"/>
        <v>0.625</v>
      </c>
      <c r="R41" s="208">
        <v>14.8</v>
      </c>
      <c r="S41" s="208">
        <v>126</v>
      </c>
      <c r="T41" s="217">
        <f t="shared" si="1"/>
        <v>30</v>
      </c>
      <c r="U41" s="208">
        <v>515</v>
      </c>
      <c r="V41" s="217">
        <f t="shared" si="2"/>
        <v>3862.5</v>
      </c>
      <c r="W41" s="208">
        <v>2</v>
      </c>
      <c r="X41" s="216" t="s">
        <v>46</v>
      </c>
      <c r="Y41" s="216" t="s">
        <v>84</v>
      </c>
      <c r="Z41" s="216" t="s">
        <v>69</v>
      </c>
      <c r="AA41" s="216" t="s">
        <v>50</v>
      </c>
      <c r="AB41" s="216" t="s">
        <v>310</v>
      </c>
    </row>
    <row r="42" spans="1:28" x14ac:dyDescent="0.15">
      <c r="A42" s="216" t="s">
        <v>34</v>
      </c>
      <c r="B42" s="208" t="s">
        <v>308</v>
      </c>
      <c r="C42" s="208">
        <v>2018</v>
      </c>
      <c r="D42" s="258" t="s">
        <v>534</v>
      </c>
      <c r="E42" s="237" t="s">
        <v>160</v>
      </c>
      <c r="F42" s="237" t="s">
        <v>533</v>
      </c>
      <c r="G42" s="216" t="s">
        <v>36</v>
      </c>
      <c r="H42" s="208" t="s">
        <v>157</v>
      </c>
      <c r="I42" s="216" t="s">
        <v>153</v>
      </c>
      <c r="J42" s="216" t="s">
        <v>38</v>
      </c>
      <c r="K42" s="216" t="s">
        <v>154</v>
      </c>
      <c r="L42" s="208">
        <v>2</v>
      </c>
      <c r="N42" s="208">
        <v>4</v>
      </c>
      <c r="O42" s="208">
        <v>0.6</v>
      </c>
      <c r="P42" s="208">
        <v>0.65</v>
      </c>
      <c r="Q42" s="245">
        <f t="shared" si="0"/>
        <v>0.625</v>
      </c>
      <c r="R42" s="208">
        <v>15.1</v>
      </c>
      <c r="S42" s="208">
        <v>128</v>
      </c>
      <c r="T42" s="217">
        <f t="shared" si="1"/>
        <v>30</v>
      </c>
      <c r="U42" s="208">
        <v>515</v>
      </c>
      <c r="V42" s="217">
        <f t="shared" si="2"/>
        <v>3862.5</v>
      </c>
      <c r="W42" s="208">
        <v>2</v>
      </c>
      <c r="X42" s="216" t="s">
        <v>46</v>
      </c>
      <c r="Y42" s="216" t="s">
        <v>84</v>
      </c>
      <c r="Z42" s="216" t="s">
        <v>69</v>
      </c>
      <c r="AA42" s="216" t="s">
        <v>50</v>
      </c>
      <c r="AB42" s="216" t="s">
        <v>310</v>
      </c>
    </row>
    <row r="43" spans="1:28" x14ac:dyDescent="0.15">
      <c r="A43" s="216" t="s">
        <v>34</v>
      </c>
      <c r="B43" s="208" t="s">
        <v>308</v>
      </c>
      <c r="C43" s="208">
        <v>2018</v>
      </c>
      <c r="D43" s="258" t="s">
        <v>534</v>
      </c>
      <c r="E43" s="237" t="s">
        <v>160</v>
      </c>
      <c r="F43" s="237" t="s">
        <v>533</v>
      </c>
      <c r="G43" s="216" t="s">
        <v>36</v>
      </c>
      <c r="H43" s="208" t="s">
        <v>157</v>
      </c>
      <c r="I43" s="216" t="s">
        <v>153</v>
      </c>
      <c r="J43" s="216" t="s">
        <v>38</v>
      </c>
      <c r="K43" s="216" t="s">
        <v>154</v>
      </c>
      <c r="L43" s="208">
        <v>3</v>
      </c>
      <c r="N43" s="208">
        <v>4</v>
      </c>
      <c r="O43" s="208">
        <v>0.75</v>
      </c>
      <c r="P43" s="208">
        <v>0.75</v>
      </c>
      <c r="Q43" s="245">
        <f t="shared" si="0"/>
        <v>0.75</v>
      </c>
      <c r="R43" s="208">
        <v>14.1</v>
      </c>
      <c r="S43" s="208">
        <v>125</v>
      </c>
      <c r="T43" s="217">
        <f t="shared" si="1"/>
        <v>30</v>
      </c>
      <c r="U43" s="208">
        <v>515</v>
      </c>
      <c r="V43" s="217">
        <f t="shared" si="2"/>
        <v>3862.5</v>
      </c>
      <c r="W43" s="208">
        <v>2</v>
      </c>
      <c r="X43" s="216" t="s">
        <v>46</v>
      </c>
      <c r="Y43" s="216" t="s">
        <v>84</v>
      </c>
      <c r="Z43" s="216" t="s">
        <v>69</v>
      </c>
      <c r="AA43" s="216" t="s">
        <v>50</v>
      </c>
      <c r="AB43" s="216" t="s">
        <v>310</v>
      </c>
    </row>
    <row r="44" spans="1:28" x14ac:dyDescent="0.15">
      <c r="A44" s="216" t="s">
        <v>34</v>
      </c>
      <c r="B44" s="208" t="s">
        <v>308</v>
      </c>
      <c r="C44" s="208">
        <v>2018</v>
      </c>
      <c r="D44" s="258" t="s">
        <v>534</v>
      </c>
      <c r="E44" s="237" t="s">
        <v>270</v>
      </c>
      <c r="F44" s="237" t="s">
        <v>506</v>
      </c>
      <c r="G44" s="216" t="s">
        <v>36</v>
      </c>
      <c r="H44" s="208" t="s">
        <v>155</v>
      </c>
      <c r="I44" s="216" t="s">
        <v>153</v>
      </c>
      <c r="J44" s="216" t="s">
        <v>38</v>
      </c>
      <c r="K44" s="216" t="s">
        <v>154</v>
      </c>
      <c r="L44" s="216">
        <v>1</v>
      </c>
      <c r="N44" s="208">
        <v>1</v>
      </c>
      <c r="O44" s="208">
        <v>1</v>
      </c>
      <c r="P44" s="208">
        <v>1</v>
      </c>
      <c r="Q44" s="245">
        <f t="shared" si="0"/>
        <v>1</v>
      </c>
      <c r="R44" s="208">
        <v>13.6</v>
      </c>
      <c r="S44" s="208">
        <v>128</v>
      </c>
      <c r="T44" s="217">
        <f t="shared" si="1"/>
        <v>30</v>
      </c>
      <c r="U44" s="208">
        <v>105</v>
      </c>
      <c r="V44" s="217">
        <f t="shared" si="2"/>
        <v>3150</v>
      </c>
      <c r="W44" s="208">
        <v>5</v>
      </c>
      <c r="X44" s="216" t="s">
        <v>46</v>
      </c>
      <c r="Y44" s="216" t="s">
        <v>84</v>
      </c>
      <c r="Z44" s="216" t="s">
        <v>90</v>
      </c>
      <c r="AA44" s="216" t="s">
        <v>50</v>
      </c>
      <c r="AB44" s="216" t="s">
        <v>310</v>
      </c>
    </row>
    <row r="45" spans="1:28" x14ac:dyDescent="0.15">
      <c r="A45" s="216" t="s">
        <v>34</v>
      </c>
      <c r="B45" s="208" t="s">
        <v>308</v>
      </c>
      <c r="C45" s="208">
        <v>2018</v>
      </c>
      <c r="D45" s="258" t="s">
        <v>534</v>
      </c>
      <c r="E45" s="237" t="s">
        <v>270</v>
      </c>
      <c r="F45" s="237" t="s">
        <v>506</v>
      </c>
      <c r="G45" s="216" t="s">
        <v>36</v>
      </c>
      <c r="H45" s="208" t="s">
        <v>155</v>
      </c>
      <c r="I45" s="216" t="s">
        <v>153</v>
      </c>
      <c r="J45" s="216" t="s">
        <v>38</v>
      </c>
      <c r="K45" s="216" t="s">
        <v>154</v>
      </c>
      <c r="L45" s="208">
        <v>2</v>
      </c>
      <c r="N45" s="208">
        <v>1</v>
      </c>
      <c r="O45" s="208">
        <v>0.55000000000000004</v>
      </c>
      <c r="P45" s="208">
        <v>0.55000000000000004</v>
      </c>
      <c r="Q45" s="245">
        <f t="shared" si="0"/>
        <v>0.55000000000000004</v>
      </c>
      <c r="R45" s="208">
        <v>13.9</v>
      </c>
      <c r="S45" s="208">
        <v>127</v>
      </c>
      <c r="T45" s="217">
        <f t="shared" si="1"/>
        <v>30</v>
      </c>
      <c r="U45" s="208">
        <v>105</v>
      </c>
      <c r="V45" s="217">
        <f t="shared" si="2"/>
        <v>3150</v>
      </c>
      <c r="W45" s="208">
        <v>5</v>
      </c>
      <c r="X45" s="216" t="s">
        <v>46</v>
      </c>
      <c r="Y45" s="216" t="s">
        <v>84</v>
      </c>
      <c r="Z45" s="216" t="s">
        <v>90</v>
      </c>
      <c r="AA45" s="216" t="s">
        <v>50</v>
      </c>
      <c r="AB45" s="216" t="s">
        <v>310</v>
      </c>
    </row>
    <row r="46" spans="1:28" x14ac:dyDescent="0.15">
      <c r="A46" s="216" t="s">
        <v>34</v>
      </c>
      <c r="B46" s="208" t="s">
        <v>308</v>
      </c>
      <c r="C46" s="208">
        <v>2018</v>
      </c>
      <c r="D46" s="258" t="s">
        <v>534</v>
      </c>
      <c r="E46" s="237" t="s">
        <v>270</v>
      </c>
      <c r="F46" s="237" t="s">
        <v>506</v>
      </c>
      <c r="G46" s="216" t="s">
        <v>36</v>
      </c>
      <c r="H46" s="208" t="s">
        <v>155</v>
      </c>
      <c r="I46" s="216" t="s">
        <v>153</v>
      </c>
      <c r="J46" s="216" t="s">
        <v>38</v>
      </c>
      <c r="K46" s="216" t="s">
        <v>154</v>
      </c>
      <c r="L46" s="208">
        <v>3</v>
      </c>
      <c r="N46" s="208">
        <v>1</v>
      </c>
      <c r="O46" s="208">
        <v>0.65</v>
      </c>
      <c r="P46" s="208">
        <v>0.65</v>
      </c>
      <c r="Q46" s="245">
        <f t="shared" si="0"/>
        <v>0.65</v>
      </c>
      <c r="R46" s="208">
        <v>14.5</v>
      </c>
      <c r="S46" s="208">
        <v>126</v>
      </c>
      <c r="T46" s="217">
        <f t="shared" si="1"/>
        <v>30</v>
      </c>
      <c r="U46" s="208">
        <v>105</v>
      </c>
      <c r="V46" s="217">
        <f t="shared" si="2"/>
        <v>3150</v>
      </c>
      <c r="W46" s="208">
        <v>5</v>
      </c>
      <c r="X46" s="216" t="s">
        <v>46</v>
      </c>
      <c r="Y46" s="216" t="s">
        <v>84</v>
      </c>
      <c r="Z46" s="216" t="s">
        <v>90</v>
      </c>
      <c r="AA46" s="216" t="s">
        <v>50</v>
      </c>
      <c r="AB46" s="216" t="s">
        <v>310</v>
      </c>
    </row>
    <row r="47" spans="1:28" x14ac:dyDescent="0.15">
      <c r="A47" s="216" t="s">
        <v>34</v>
      </c>
      <c r="B47" s="208" t="s">
        <v>308</v>
      </c>
      <c r="C47" s="208">
        <v>2018</v>
      </c>
      <c r="D47" s="258" t="s">
        <v>534</v>
      </c>
      <c r="E47" s="237" t="s">
        <v>270</v>
      </c>
      <c r="F47" s="237" t="s">
        <v>506</v>
      </c>
      <c r="G47" s="216" t="s">
        <v>36</v>
      </c>
      <c r="H47" s="208" t="s">
        <v>155</v>
      </c>
      <c r="I47" s="216" t="s">
        <v>153</v>
      </c>
      <c r="J47" s="216" t="s">
        <v>38</v>
      </c>
      <c r="K47" s="216" t="s">
        <v>154</v>
      </c>
      <c r="L47" s="216">
        <v>1</v>
      </c>
      <c r="N47" s="208">
        <v>7</v>
      </c>
      <c r="O47" s="208">
        <v>1</v>
      </c>
      <c r="P47" s="208">
        <v>1</v>
      </c>
      <c r="Q47" s="245">
        <f t="shared" si="0"/>
        <v>1</v>
      </c>
      <c r="R47" s="208">
        <v>12.9</v>
      </c>
      <c r="S47" s="208">
        <v>100</v>
      </c>
      <c r="T47" s="217">
        <f t="shared" si="1"/>
        <v>33</v>
      </c>
      <c r="U47" s="208">
        <v>429</v>
      </c>
      <c r="V47" s="217">
        <f t="shared" si="2"/>
        <v>2022.4285714285713</v>
      </c>
      <c r="W47" s="208">
        <v>5</v>
      </c>
      <c r="X47" s="216" t="s">
        <v>39</v>
      </c>
      <c r="Y47" s="216" t="s">
        <v>84</v>
      </c>
      <c r="Z47" s="216" t="s">
        <v>90</v>
      </c>
      <c r="AA47" s="216" t="s">
        <v>50</v>
      </c>
      <c r="AB47" s="216" t="s">
        <v>310</v>
      </c>
    </row>
    <row r="48" spans="1:28" x14ac:dyDescent="0.15">
      <c r="A48" s="216" t="s">
        <v>34</v>
      </c>
      <c r="B48" s="208" t="s">
        <v>308</v>
      </c>
      <c r="C48" s="208">
        <v>2018</v>
      </c>
      <c r="D48" s="258" t="s">
        <v>534</v>
      </c>
      <c r="E48" s="237" t="s">
        <v>270</v>
      </c>
      <c r="F48" s="237" t="s">
        <v>506</v>
      </c>
      <c r="G48" s="216" t="s">
        <v>36</v>
      </c>
      <c r="H48" s="208" t="s">
        <v>155</v>
      </c>
      <c r="I48" s="216" t="s">
        <v>153</v>
      </c>
      <c r="J48" s="216" t="s">
        <v>38</v>
      </c>
      <c r="K48" s="216" t="s">
        <v>154</v>
      </c>
      <c r="L48" s="208">
        <v>2</v>
      </c>
      <c r="N48" s="208">
        <v>7</v>
      </c>
      <c r="O48" s="208">
        <v>1.05</v>
      </c>
      <c r="P48" s="208">
        <v>1.05</v>
      </c>
      <c r="Q48" s="245">
        <f t="shared" si="0"/>
        <v>1.05</v>
      </c>
      <c r="R48" s="208">
        <v>13.5</v>
      </c>
      <c r="S48" s="208">
        <v>103</v>
      </c>
      <c r="T48" s="217">
        <f t="shared" si="1"/>
        <v>33</v>
      </c>
      <c r="U48" s="208">
        <v>429</v>
      </c>
      <c r="V48" s="217">
        <f t="shared" si="2"/>
        <v>2022.4285714285713</v>
      </c>
      <c r="W48" s="208">
        <v>5</v>
      </c>
      <c r="X48" s="216" t="s">
        <v>39</v>
      </c>
      <c r="Y48" s="216" t="s">
        <v>84</v>
      </c>
      <c r="Z48" s="216" t="s">
        <v>90</v>
      </c>
      <c r="AA48" s="216" t="s">
        <v>50</v>
      </c>
      <c r="AB48" s="216" t="s">
        <v>310</v>
      </c>
    </row>
    <row r="49" spans="1:28" x14ac:dyDescent="0.15">
      <c r="A49" s="216" t="s">
        <v>34</v>
      </c>
      <c r="B49" s="208" t="s">
        <v>308</v>
      </c>
      <c r="C49" s="208">
        <v>2018</v>
      </c>
      <c r="D49" s="258" t="s">
        <v>534</v>
      </c>
      <c r="E49" s="237" t="s">
        <v>270</v>
      </c>
      <c r="F49" s="237" t="s">
        <v>506</v>
      </c>
      <c r="G49" s="216" t="s">
        <v>36</v>
      </c>
      <c r="H49" s="208" t="s">
        <v>155</v>
      </c>
      <c r="I49" s="216" t="s">
        <v>153</v>
      </c>
      <c r="J49" s="216" t="s">
        <v>38</v>
      </c>
      <c r="K49" s="216" t="s">
        <v>154</v>
      </c>
      <c r="L49" s="208">
        <v>3</v>
      </c>
      <c r="N49" s="208">
        <v>7</v>
      </c>
      <c r="O49" s="208">
        <v>0.95</v>
      </c>
      <c r="P49" s="208">
        <v>0.95</v>
      </c>
      <c r="Q49" s="245">
        <f t="shared" si="0"/>
        <v>0.95</v>
      </c>
      <c r="R49" s="208">
        <v>13</v>
      </c>
      <c r="S49" s="208">
        <v>93</v>
      </c>
      <c r="T49" s="217">
        <f t="shared" si="1"/>
        <v>36</v>
      </c>
      <c r="U49" s="208">
        <v>429</v>
      </c>
      <c r="V49" s="217">
        <f t="shared" si="2"/>
        <v>2206.2857142857142</v>
      </c>
      <c r="W49" s="208">
        <v>5</v>
      </c>
      <c r="X49" s="216" t="s">
        <v>39</v>
      </c>
      <c r="Y49" s="216" t="s">
        <v>84</v>
      </c>
      <c r="Z49" s="216" t="s">
        <v>90</v>
      </c>
      <c r="AA49" s="216" t="s">
        <v>50</v>
      </c>
      <c r="AB49" s="216" t="s">
        <v>310</v>
      </c>
    </row>
    <row r="50" spans="1:28" x14ac:dyDescent="0.15">
      <c r="A50" s="216" t="s">
        <v>34</v>
      </c>
      <c r="B50" s="208" t="s">
        <v>308</v>
      </c>
      <c r="C50" s="208">
        <v>2018</v>
      </c>
      <c r="D50" s="258" t="s">
        <v>534</v>
      </c>
      <c r="E50" s="237" t="s">
        <v>270</v>
      </c>
      <c r="F50" s="237" t="s">
        <v>506</v>
      </c>
      <c r="G50" s="216" t="s">
        <v>36</v>
      </c>
      <c r="H50" s="208" t="s">
        <v>157</v>
      </c>
      <c r="I50" s="216" t="s">
        <v>153</v>
      </c>
      <c r="J50" s="216" t="s">
        <v>38</v>
      </c>
      <c r="K50" s="216" t="s">
        <v>154</v>
      </c>
      <c r="L50" s="216">
        <v>1</v>
      </c>
      <c r="N50" s="208">
        <v>1</v>
      </c>
      <c r="O50" s="208">
        <v>0.2</v>
      </c>
      <c r="P50" s="208">
        <v>0.2</v>
      </c>
      <c r="Q50" s="245">
        <f t="shared" si="0"/>
        <v>0.2</v>
      </c>
      <c r="R50" s="208">
        <v>16.7</v>
      </c>
      <c r="S50" s="208">
        <v>136</v>
      </c>
      <c r="T50" s="217">
        <f t="shared" si="1"/>
        <v>30</v>
      </c>
      <c r="U50" s="208">
        <v>128</v>
      </c>
      <c r="V50" s="217">
        <f t="shared" si="2"/>
        <v>3840</v>
      </c>
      <c r="W50" s="208">
        <v>2</v>
      </c>
      <c r="X50" s="216" t="s">
        <v>46</v>
      </c>
      <c r="Y50" s="216" t="s">
        <v>84</v>
      </c>
      <c r="Z50" s="216" t="s">
        <v>90</v>
      </c>
      <c r="AA50" s="216" t="s">
        <v>50</v>
      </c>
      <c r="AB50" s="216" t="s">
        <v>310</v>
      </c>
    </row>
    <row r="51" spans="1:28" x14ac:dyDescent="0.15">
      <c r="A51" s="216" t="s">
        <v>34</v>
      </c>
      <c r="B51" s="208" t="s">
        <v>308</v>
      </c>
      <c r="C51" s="208">
        <v>2018</v>
      </c>
      <c r="D51" s="258" t="s">
        <v>534</v>
      </c>
      <c r="E51" s="237" t="s">
        <v>270</v>
      </c>
      <c r="F51" s="237" t="s">
        <v>506</v>
      </c>
      <c r="G51" s="216" t="s">
        <v>36</v>
      </c>
      <c r="H51" s="208" t="s">
        <v>157</v>
      </c>
      <c r="I51" s="216" t="s">
        <v>153</v>
      </c>
      <c r="J51" s="216" t="s">
        <v>38</v>
      </c>
      <c r="K51" s="216" t="s">
        <v>154</v>
      </c>
      <c r="L51" s="208">
        <v>2</v>
      </c>
      <c r="N51" s="208">
        <v>1</v>
      </c>
      <c r="O51" s="208">
        <v>1.05</v>
      </c>
      <c r="P51" s="208">
        <v>1.2</v>
      </c>
      <c r="Q51" s="245">
        <f t="shared" si="0"/>
        <v>1.125</v>
      </c>
      <c r="R51" s="208">
        <v>13.8</v>
      </c>
      <c r="S51" s="208">
        <v>142</v>
      </c>
      <c r="T51" s="217">
        <f t="shared" si="1"/>
        <v>30</v>
      </c>
      <c r="U51" s="208">
        <v>128</v>
      </c>
      <c r="V51" s="217">
        <f t="shared" si="2"/>
        <v>3840</v>
      </c>
      <c r="W51" s="208">
        <v>2</v>
      </c>
      <c r="X51" s="216" t="s">
        <v>46</v>
      </c>
      <c r="Y51" s="216" t="s">
        <v>84</v>
      </c>
      <c r="Z51" s="216" t="s">
        <v>90</v>
      </c>
      <c r="AA51" s="216" t="s">
        <v>50</v>
      </c>
      <c r="AB51" s="216" t="s">
        <v>310</v>
      </c>
    </row>
    <row r="52" spans="1:28" x14ac:dyDescent="0.15">
      <c r="A52" s="216" t="s">
        <v>34</v>
      </c>
      <c r="B52" s="208" t="s">
        <v>308</v>
      </c>
      <c r="C52" s="208">
        <v>2018</v>
      </c>
      <c r="D52" s="258" t="s">
        <v>534</v>
      </c>
      <c r="E52" s="237" t="s">
        <v>270</v>
      </c>
      <c r="F52" s="237" t="s">
        <v>506</v>
      </c>
      <c r="G52" s="216" t="s">
        <v>36</v>
      </c>
      <c r="H52" s="208" t="s">
        <v>157</v>
      </c>
      <c r="I52" s="216" t="s">
        <v>153</v>
      </c>
      <c r="J52" s="216" t="s">
        <v>38</v>
      </c>
      <c r="K52" s="216" t="s">
        <v>154</v>
      </c>
      <c r="L52" s="208">
        <v>3</v>
      </c>
      <c r="N52" s="208">
        <v>1</v>
      </c>
      <c r="O52" s="208">
        <v>0.85</v>
      </c>
      <c r="P52" s="208">
        <v>0.8</v>
      </c>
      <c r="Q52" s="245">
        <f t="shared" si="0"/>
        <v>0.82499999999999996</v>
      </c>
      <c r="R52" s="208">
        <v>14.4</v>
      </c>
      <c r="S52" s="208">
        <v>138</v>
      </c>
      <c r="T52" s="217">
        <f t="shared" si="1"/>
        <v>30</v>
      </c>
      <c r="U52" s="208">
        <v>128</v>
      </c>
      <c r="V52" s="217">
        <f t="shared" si="2"/>
        <v>3840</v>
      </c>
      <c r="W52" s="208">
        <v>2</v>
      </c>
      <c r="X52" s="216" t="s">
        <v>46</v>
      </c>
      <c r="Y52" s="216" t="s">
        <v>84</v>
      </c>
      <c r="Z52" s="216" t="s">
        <v>90</v>
      </c>
      <c r="AA52" s="216" t="s">
        <v>50</v>
      </c>
      <c r="AB52" s="216" t="s">
        <v>310</v>
      </c>
    </row>
    <row r="53" spans="1:28" x14ac:dyDescent="0.15">
      <c r="A53" s="216" t="s">
        <v>34</v>
      </c>
      <c r="B53" s="208" t="s">
        <v>308</v>
      </c>
      <c r="C53" s="208">
        <v>2018</v>
      </c>
      <c r="D53" s="258" t="s">
        <v>534</v>
      </c>
      <c r="E53" s="237" t="s">
        <v>270</v>
      </c>
      <c r="F53" s="237" t="s">
        <v>506</v>
      </c>
      <c r="G53" s="216" t="s">
        <v>36</v>
      </c>
      <c r="H53" s="208" t="s">
        <v>127</v>
      </c>
      <c r="I53" s="216" t="s">
        <v>153</v>
      </c>
      <c r="J53" s="216" t="s">
        <v>80</v>
      </c>
      <c r="K53" s="216" t="s">
        <v>45</v>
      </c>
      <c r="L53" s="216">
        <v>1</v>
      </c>
      <c r="N53" s="208">
        <v>5</v>
      </c>
      <c r="O53" s="208">
        <v>0.9</v>
      </c>
      <c r="P53" s="208">
        <v>0.75</v>
      </c>
      <c r="Q53" s="245">
        <f t="shared" si="0"/>
        <v>0.82499999999999996</v>
      </c>
      <c r="R53" s="208">
        <v>9.8000000000000007</v>
      </c>
      <c r="S53" s="208">
        <v>87</v>
      </c>
      <c r="T53" s="217">
        <f t="shared" si="1"/>
        <v>36</v>
      </c>
      <c r="U53" s="208">
        <v>321</v>
      </c>
      <c r="V53" s="217">
        <f t="shared" si="2"/>
        <v>2311.2000000000003</v>
      </c>
      <c r="W53" s="208">
        <v>1</v>
      </c>
      <c r="X53" s="216" t="s">
        <v>39</v>
      </c>
      <c r="Y53" s="216" t="s">
        <v>84</v>
      </c>
      <c r="Z53" s="216" t="s">
        <v>90</v>
      </c>
      <c r="AA53" s="216" t="s">
        <v>50</v>
      </c>
      <c r="AB53" s="216" t="s">
        <v>310</v>
      </c>
    </row>
    <row r="54" spans="1:28" x14ac:dyDescent="0.15">
      <c r="A54" s="216" t="s">
        <v>34</v>
      </c>
      <c r="B54" s="208" t="s">
        <v>308</v>
      </c>
      <c r="C54" s="208">
        <v>2018</v>
      </c>
      <c r="D54" s="258" t="s">
        <v>534</v>
      </c>
      <c r="E54" s="237" t="s">
        <v>270</v>
      </c>
      <c r="F54" s="237" t="s">
        <v>506</v>
      </c>
      <c r="G54" s="216" t="s">
        <v>36</v>
      </c>
      <c r="H54" s="208" t="s">
        <v>127</v>
      </c>
      <c r="I54" s="216" t="s">
        <v>153</v>
      </c>
      <c r="J54" s="216" t="s">
        <v>80</v>
      </c>
      <c r="K54" s="216" t="s">
        <v>45</v>
      </c>
      <c r="L54" s="208">
        <v>2</v>
      </c>
      <c r="N54" s="208">
        <v>5</v>
      </c>
      <c r="O54" s="208">
        <v>0.6</v>
      </c>
      <c r="P54" s="208">
        <v>0.6</v>
      </c>
      <c r="Q54" s="245">
        <f t="shared" si="0"/>
        <v>0.6</v>
      </c>
      <c r="R54" s="208">
        <v>10.199999999999999</v>
      </c>
      <c r="S54" s="208">
        <v>88</v>
      </c>
      <c r="T54" s="217">
        <f t="shared" si="1"/>
        <v>36</v>
      </c>
      <c r="U54" s="208">
        <v>321</v>
      </c>
      <c r="V54" s="217">
        <f t="shared" si="2"/>
        <v>2311.2000000000003</v>
      </c>
      <c r="W54" s="208">
        <v>1</v>
      </c>
      <c r="X54" s="216" t="s">
        <v>39</v>
      </c>
      <c r="Y54" s="216" t="s">
        <v>84</v>
      </c>
      <c r="Z54" s="216" t="s">
        <v>90</v>
      </c>
      <c r="AA54" s="216" t="s">
        <v>50</v>
      </c>
      <c r="AB54" s="216" t="s">
        <v>310</v>
      </c>
    </row>
    <row r="55" spans="1:28" x14ac:dyDescent="0.15">
      <c r="A55" s="216" t="s">
        <v>34</v>
      </c>
      <c r="B55" s="208" t="s">
        <v>308</v>
      </c>
      <c r="C55" s="208">
        <v>2018</v>
      </c>
      <c r="D55" s="258" t="s">
        <v>534</v>
      </c>
      <c r="E55" s="237" t="s">
        <v>270</v>
      </c>
      <c r="F55" s="237" t="s">
        <v>506</v>
      </c>
      <c r="G55" s="216" t="s">
        <v>36</v>
      </c>
      <c r="H55" s="208" t="s">
        <v>127</v>
      </c>
      <c r="I55" s="216" t="s">
        <v>153</v>
      </c>
      <c r="J55" s="216" t="s">
        <v>80</v>
      </c>
      <c r="K55" s="216" t="s">
        <v>45</v>
      </c>
      <c r="L55" s="208">
        <v>3</v>
      </c>
      <c r="N55" s="208">
        <v>5</v>
      </c>
      <c r="O55" s="208">
        <v>0.55000000000000004</v>
      </c>
      <c r="P55" s="208">
        <v>0.45</v>
      </c>
      <c r="Q55" s="245">
        <f t="shared" si="0"/>
        <v>0.5</v>
      </c>
      <c r="R55" s="208">
        <v>14</v>
      </c>
      <c r="S55" s="208">
        <v>86</v>
      </c>
      <c r="T55" s="217">
        <f t="shared" si="1"/>
        <v>36</v>
      </c>
      <c r="U55" s="208">
        <v>321</v>
      </c>
      <c r="V55" s="217">
        <f t="shared" si="2"/>
        <v>2311.2000000000003</v>
      </c>
      <c r="W55" s="208">
        <v>1</v>
      </c>
      <c r="X55" s="216" t="s">
        <v>39</v>
      </c>
      <c r="Y55" s="216" t="s">
        <v>84</v>
      </c>
      <c r="Z55" s="216" t="s">
        <v>90</v>
      </c>
      <c r="AA55" s="216" t="s">
        <v>50</v>
      </c>
      <c r="AB55" s="216" t="s">
        <v>310</v>
      </c>
    </row>
    <row r="56" spans="1:28" x14ac:dyDescent="0.15">
      <c r="A56" s="216" t="s">
        <v>34</v>
      </c>
      <c r="B56" s="208" t="s">
        <v>308</v>
      </c>
      <c r="C56" s="208">
        <v>2018</v>
      </c>
      <c r="D56" s="258" t="s">
        <v>534</v>
      </c>
      <c r="E56" s="237" t="s">
        <v>508</v>
      </c>
      <c r="F56" s="237" t="s">
        <v>509</v>
      </c>
      <c r="G56" s="216" t="s">
        <v>36</v>
      </c>
      <c r="H56" s="208" t="s">
        <v>155</v>
      </c>
      <c r="I56" s="216" t="s">
        <v>153</v>
      </c>
      <c r="J56" s="216" t="s">
        <v>38</v>
      </c>
      <c r="K56" s="216" t="s">
        <v>154</v>
      </c>
      <c r="L56" s="216">
        <v>1</v>
      </c>
      <c r="N56" s="208">
        <v>1</v>
      </c>
      <c r="O56" s="208">
        <v>0.65</v>
      </c>
      <c r="P56" s="208">
        <v>0.7</v>
      </c>
      <c r="Q56" s="245">
        <f t="shared" si="0"/>
        <v>0.67500000000000004</v>
      </c>
      <c r="R56" s="208">
        <v>14.2</v>
      </c>
      <c r="S56" s="208">
        <v>130</v>
      </c>
      <c r="T56" s="217">
        <f t="shared" si="1"/>
        <v>30</v>
      </c>
      <c r="U56" s="208">
        <v>84</v>
      </c>
      <c r="V56" s="217">
        <f t="shared" si="2"/>
        <v>2520</v>
      </c>
      <c r="W56" s="208">
        <v>4</v>
      </c>
      <c r="X56" s="216" t="s">
        <v>39</v>
      </c>
      <c r="Y56" s="216" t="s">
        <v>84</v>
      </c>
      <c r="Z56" s="216" t="s">
        <v>90</v>
      </c>
      <c r="AA56" s="216" t="s">
        <v>50</v>
      </c>
      <c r="AB56" s="216" t="s">
        <v>310</v>
      </c>
    </row>
    <row r="57" spans="1:28" x14ac:dyDescent="0.15">
      <c r="A57" s="216" t="s">
        <v>34</v>
      </c>
      <c r="B57" s="208" t="s">
        <v>308</v>
      </c>
      <c r="C57" s="208">
        <v>2018</v>
      </c>
      <c r="D57" s="258" t="s">
        <v>534</v>
      </c>
      <c r="E57" s="237" t="s">
        <v>508</v>
      </c>
      <c r="F57" s="237" t="s">
        <v>509</v>
      </c>
      <c r="G57" s="216" t="s">
        <v>36</v>
      </c>
      <c r="H57" s="208" t="s">
        <v>155</v>
      </c>
      <c r="I57" s="216" t="s">
        <v>153</v>
      </c>
      <c r="J57" s="216" t="s">
        <v>38</v>
      </c>
      <c r="K57" s="216" t="s">
        <v>154</v>
      </c>
      <c r="L57" s="208">
        <v>2</v>
      </c>
      <c r="N57" s="208">
        <v>1</v>
      </c>
      <c r="O57" s="208">
        <v>0.95</v>
      </c>
      <c r="P57" s="208">
        <v>1</v>
      </c>
      <c r="Q57" s="245">
        <f t="shared" si="0"/>
        <v>0.97499999999999998</v>
      </c>
      <c r="R57" s="208">
        <v>13.7</v>
      </c>
      <c r="S57" s="208">
        <v>126</v>
      </c>
      <c r="T57" s="217">
        <f t="shared" si="1"/>
        <v>30</v>
      </c>
      <c r="U57" s="208">
        <v>84</v>
      </c>
      <c r="V57" s="217">
        <f t="shared" si="2"/>
        <v>2520</v>
      </c>
      <c r="W57" s="208">
        <v>4</v>
      </c>
      <c r="X57" s="216" t="s">
        <v>39</v>
      </c>
      <c r="Y57" s="216" t="s">
        <v>84</v>
      </c>
      <c r="Z57" s="216" t="s">
        <v>90</v>
      </c>
      <c r="AA57" s="216" t="s">
        <v>50</v>
      </c>
      <c r="AB57" s="216" t="s">
        <v>310</v>
      </c>
    </row>
    <row r="58" spans="1:28" x14ac:dyDescent="0.15">
      <c r="A58" s="216" t="s">
        <v>34</v>
      </c>
      <c r="B58" s="208" t="s">
        <v>308</v>
      </c>
      <c r="C58" s="208">
        <v>2018</v>
      </c>
      <c r="D58" s="258" t="s">
        <v>534</v>
      </c>
      <c r="E58" s="237" t="s">
        <v>508</v>
      </c>
      <c r="F58" s="237" t="s">
        <v>509</v>
      </c>
      <c r="G58" s="216" t="s">
        <v>36</v>
      </c>
      <c r="H58" s="208" t="s">
        <v>155</v>
      </c>
      <c r="I58" s="216" t="s">
        <v>153</v>
      </c>
      <c r="J58" s="216" t="s">
        <v>38</v>
      </c>
      <c r="K58" s="216" t="s">
        <v>154</v>
      </c>
      <c r="L58" s="208">
        <v>3</v>
      </c>
      <c r="N58" s="208">
        <v>1</v>
      </c>
      <c r="O58" s="208">
        <v>0.7</v>
      </c>
      <c r="P58" s="208">
        <v>0.75</v>
      </c>
      <c r="Q58" s="245">
        <f t="shared" si="0"/>
        <v>0.72499999999999998</v>
      </c>
      <c r="R58" s="208">
        <v>14.6</v>
      </c>
      <c r="S58" s="208">
        <v>131</v>
      </c>
      <c r="T58" s="217">
        <f t="shared" si="1"/>
        <v>30</v>
      </c>
      <c r="U58" s="208">
        <v>84</v>
      </c>
      <c r="V58" s="217">
        <f t="shared" si="2"/>
        <v>2520</v>
      </c>
      <c r="W58" s="208">
        <v>4</v>
      </c>
      <c r="X58" s="216" t="s">
        <v>39</v>
      </c>
      <c r="Y58" s="216" t="s">
        <v>84</v>
      </c>
      <c r="Z58" s="216" t="s">
        <v>90</v>
      </c>
      <c r="AA58" s="216" t="s">
        <v>50</v>
      </c>
      <c r="AB58" s="216" t="s">
        <v>310</v>
      </c>
    </row>
    <row r="59" spans="1:28" x14ac:dyDescent="0.15">
      <c r="A59" s="216" t="s">
        <v>34</v>
      </c>
      <c r="B59" s="208" t="s">
        <v>308</v>
      </c>
      <c r="C59" s="208">
        <v>2018</v>
      </c>
      <c r="D59" s="258" t="s">
        <v>534</v>
      </c>
      <c r="E59" s="237" t="s">
        <v>508</v>
      </c>
      <c r="F59" s="237" t="s">
        <v>509</v>
      </c>
      <c r="G59" s="216" t="s">
        <v>36</v>
      </c>
      <c r="H59" s="208" t="s">
        <v>155</v>
      </c>
      <c r="I59" s="216" t="s">
        <v>153</v>
      </c>
      <c r="J59" s="216" t="s">
        <v>38</v>
      </c>
      <c r="K59" s="216" t="s">
        <v>154</v>
      </c>
      <c r="L59" s="216">
        <v>1</v>
      </c>
      <c r="N59" s="208">
        <v>8</v>
      </c>
      <c r="O59" s="208">
        <v>0.55000000000000004</v>
      </c>
      <c r="P59" s="208">
        <v>0.6</v>
      </c>
      <c r="Q59" s="245">
        <f t="shared" si="0"/>
        <v>0.57499999999999996</v>
      </c>
      <c r="R59" s="208">
        <v>13.3</v>
      </c>
      <c r="S59" s="208">
        <v>85</v>
      </c>
      <c r="T59" s="217">
        <f t="shared" si="1"/>
        <v>36</v>
      </c>
      <c r="U59" s="208">
        <v>430</v>
      </c>
      <c r="V59" s="217">
        <f t="shared" si="2"/>
        <v>1935</v>
      </c>
      <c r="W59" s="208">
        <v>4</v>
      </c>
      <c r="X59" s="216" t="s">
        <v>39</v>
      </c>
      <c r="Y59" s="216" t="s">
        <v>84</v>
      </c>
      <c r="Z59" s="216" t="s">
        <v>90</v>
      </c>
      <c r="AA59" s="216" t="s">
        <v>50</v>
      </c>
      <c r="AB59" s="216" t="s">
        <v>310</v>
      </c>
    </row>
    <row r="60" spans="1:28" x14ac:dyDescent="0.15">
      <c r="A60" s="216" t="s">
        <v>34</v>
      </c>
      <c r="B60" s="208" t="s">
        <v>308</v>
      </c>
      <c r="C60" s="208">
        <v>2018</v>
      </c>
      <c r="D60" s="258" t="s">
        <v>534</v>
      </c>
      <c r="E60" s="237" t="s">
        <v>508</v>
      </c>
      <c r="F60" s="237" t="s">
        <v>509</v>
      </c>
      <c r="G60" s="216" t="s">
        <v>36</v>
      </c>
      <c r="H60" s="208" t="s">
        <v>155</v>
      </c>
      <c r="I60" s="216" t="s">
        <v>153</v>
      </c>
      <c r="J60" s="216" t="s">
        <v>38</v>
      </c>
      <c r="K60" s="216" t="s">
        <v>154</v>
      </c>
      <c r="L60" s="208">
        <v>2</v>
      </c>
      <c r="N60" s="208">
        <v>8</v>
      </c>
      <c r="O60" s="208">
        <v>0.8</v>
      </c>
      <c r="P60" s="208">
        <v>0.75</v>
      </c>
      <c r="Q60" s="245">
        <f t="shared" si="0"/>
        <v>0.77500000000000002</v>
      </c>
      <c r="R60" s="208">
        <v>13.7</v>
      </c>
      <c r="S60" s="208">
        <v>78</v>
      </c>
      <c r="T60" s="217">
        <f t="shared" si="1"/>
        <v>39</v>
      </c>
      <c r="U60" s="208">
        <v>430</v>
      </c>
      <c r="V60" s="217">
        <f t="shared" si="2"/>
        <v>2096.25</v>
      </c>
      <c r="W60" s="208">
        <v>4</v>
      </c>
      <c r="X60" s="216" t="s">
        <v>39</v>
      </c>
      <c r="Y60" s="216" t="s">
        <v>84</v>
      </c>
      <c r="Z60" s="216" t="s">
        <v>90</v>
      </c>
      <c r="AA60" s="216" t="s">
        <v>50</v>
      </c>
      <c r="AB60" s="216" t="s">
        <v>310</v>
      </c>
    </row>
    <row r="61" spans="1:28" x14ac:dyDescent="0.15">
      <c r="A61" s="216" t="s">
        <v>34</v>
      </c>
      <c r="B61" s="208" t="s">
        <v>308</v>
      </c>
      <c r="C61" s="208">
        <v>2018</v>
      </c>
      <c r="D61" s="258" t="s">
        <v>534</v>
      </c>
      <c r="E61" s="237" t="s">
        <v>508</v>
      </c>
      <c r="F61" s="237" t="s">
        <v>509</v>
      </c>
      <c r="G61" s="216" t="s">
        <v>36</v>
      </c>
      <c r="H61" s="208" t="s">
        <v>155</v>
      </c>
      <c r="I61" s="216" t="s">
        <v>153</v>
      </c>
      <c r="J61" s="216" t="s">
        <v>38</v>
      </c>
      <c r="K61" s="216" t="s">
        <v>154</v>
      </c>
      <c r="L61" s="208">
        <v>3</v>
      </c>
      <c r="N61" s="208">
        <v>8</v>
      </c>
      <c r="O61" s="208">
        <v>0.9</v>
      </c>
      <c r="P61" s="208">
        <v>0.95</v>
      </c>
      <c r="Q61" s="245">
        <f t="shared" si="0"/>
        <v>0.92500000000000004</v>
      </c>
      <c r="R61" s="208">
        <v>12.1</v>
      </c>
      <c r="S61" s="208">
        <v>79</v>
      </c>
      <c r="T61" s="217">
        <f t="shared" si="1"/>
        <v>39</v>
      </c>
      <c r="U61" s="208">
        <v>430</v>
      </c>
      <c r="V61" s="217">
        <f t="shared" si="2"/>
        <v>2096.25</v>
      </c>
      <c r="W61" s="208">
        <v>4</v>
      </c>
      <c r="X61" s="216" t="s">
        <v>39</v>
      </c>
      <c r="Y61" s="216" t="s">
        <v>84</v>
      </c>
      <c r="Z61" s="216" t="s">
        <v>90</v>
      </c>
      <c r="AA61" s="216" t="s">
        <v>50</v>
      </c>
      <c r="AB61" s="216" t="s">
        <v>310</v>
      </c>
    </row>
    <row r="62" spans="1:28" x14ac:dyDescent="0.15">
      <c r="A62" s="216" t="s">
        <v>34</v>
      </c>
      <c r="B62" s="208" t="s">
        <v>308</v>
      </c>
      <c r="C62" s="208">
        <v>2018</v>
      </c>
      <c r="D62" s="258" t="s">
        <v>534</v>
      </c>
      <c r="E62" s="237" t="s">
        <v>508</v>
      </c>
      <c r="F62" s="237" t="s">
        <v>509</v>
      </c>
      <c r="G62" s="216" t="s">
        <v>36</v>
      </c>
      <c r="H62" s="208" t="s">
        <v>157</v>
      </c>
      <c r="I62" s="216" t="s">
        <v>153</v>
      </c>
      <c r="J62" s="216" t="s">
        <v>38</v>
      </c>
      <c r="K62" s="216" t="s">
        <v>154</v>
      </c>
      <c r="L62" s="216">
        <v>1</v>
      </c>
      <c r="N62" s="208">
        <v>4</v>
      </c>
      <c r="O62" s="208">
        <v>0.2</v>
      </c>
      <c r="P62" s="208">
        <v>0.2</v>
      </c>
      <c r="Q62" s="245">
        <f t="shared" si="0"/>
        <v>0.2</v>
      </c>
      <c r="R62" s="208">
        <v>14.9</v>
      </c>
      <c r="S62" s="208">
        <v>109</v>
      </c>
      <c r="T62" s="217">
        <f t="shared" si="1"/>
        <v>33</v>
      </c>
      <c r="U62" s="208">
        <v>626</v>
      </c>
      <c r="V62" s="217">
        <f t="shared" si="2"/>
        <v>5164.5</v>
      </c>
      <c r="W62" s="208">
        <v>3</v>
      </c>
      <c r="X62" s="216" t="s">
        <v>39</v>
      </c>
      <c r="Y62" s="216" t="s">
        <v>84</v>
      </c>
      <c r="Z62" s="216" t="s">
        <v>90</v>
      </c>
      <c r="AA62" s="216" t="s">
        <v>50</v>
      </c>
      <c r="AB62" s="216" t="s">
        <v>310</v>
      </c>
    </row>
    <row r="63" spans="1:28" x14ac:dyDescent="0.15">
      <c r="A63" s="216" t="s">
        <v>34</v>
      </c>
      <c r="B63" s="208" t="s">
        <v>308</v>
      </c>
      <c r="C63" s="208">
        <v>2018</v>
      </c>
      <c r="D63" s="258" t="s">
        <v>534</v>
      </c>
      <c r="E63" s="237" t="s">
        <v>508</v>
      </c>
      <c r="F63" s="237" t="s">
        <v>509</v>
      </c>
      <c r="G63" s="216" t="s">
        <v>36</v>
      </c>
      <c r="H63" s="208" t="s">
        <v>157</v>
      </c>
      <c r="I63" s="216" t="s">
        <v>153</v>
      </c>
      <c r="J63" s="216" t="s">
        <v>38</v>
      </c>
      <c r="K63" s="216" t="s">
        <v>154</v>
      </c>
      <c r="L63" s="208">
        <v>2</v>
      </c>
      <c r="N63" s="208">
        <v>4</v>
      </c>
      <c r="O63" s="208">
        <v>0.2</v>
      </c>
      <c r="P63" s="208">
        <v>0.2</v>
      </c>
      <c r="Q63" s="245">
        <f t="shared" si="0"/>
        <v>0.2</v>
      </c>
      <c r="R63" s="208">
        <v>14.4</v>
      </c>
      <c r="S63" s="208">
        <v>113</v>
      </c>
      <c r="T63" s="217">
        <f t="shared" si="1"/>
        <v>30</v>
      </c>
      <c r="U63" s="208">
        <v>626</v>
      </c>
      <c r="V63" s="217">
        <f t="shared" si="2"/>
        <v>4695</v>
      </c>
      <c r="W63" s="208">
        <v>3</v>
      </c>
      <c r="X63" s="216" t="s">
        <v>39</v>
      </c>
      <c r="Y63" s="216" t="s">
        <v>84</v>
      </c>
      <c r="Z63" s="216" t="s">
        <v>90</v>
      </c>
      <c r="AA63" s="216" t="s">
        <v>50</v>
      </c>
      <c r="AB63" s="216" t="s">
        <v>310</v>
      </c>
    </row>
    <row r="64" spans="1:28" x14ac:dyDescent="0.15">
      <c r="A64" s="216" t="s">
        <v>34</v>
      </c>
      <c r="B64" s="208" t="s">
        <v>308</v>
      </c>
      <c r="C64" s="208">
        <v>2018</v>
      </c>
      <c r="D64" s="258" t="s">
        <v>534</v>
      </c>
      <c r="E64" s="237" t="s">
        <v>508</v>
      </c>
      <c r="F64" s="237" t="s">
        <v>509</v>
      </c>
      <c r="G64" s="216" t="s">
        <v>36</v>
      </c>
      <c r="H64" s="208" t="s">
        <v>157</v>
      </c>
      <c r="I64" s="216" t="s">
        <v>153</v>
      </c>
      <c r="J64" s="216" t="s">
        <v>38</v>
      </c>
      <c r="K64" s="216" t="s">
        <v>154</v>
      </c>
      <c r="L64" s="208">
        <v>3</v>
      </c>
      <c r="N64" s="208">
        <v>4</v>
      </c>
      <c r="O64" s="208">
        <v>0.2</v>
      </c>
      <c r="P64" s="208">
        <v>0.2</v>
      </c>
      <c r="Q64" s="245">
        <f t="shared" si="0"/>
        <v>0.2</v>
      </c>
      <c r="R64" s="208">
        <v>14.1</v>
      </c>
      <c r="S64" s="208">
        <v>112</v>
      </c>
      <c r="T64" s="217">
        <f t="shared" si="1"/>
        <v>33</v>
      </c>
      <c r="U64" s="208">
        <v>626</v>
      </c>
      <c r="V64" s="217">
        <f t="shared" si="2"/>
        <v>5164.5</v>
      </c>
      <c r="W64" s="208">
        <v>3</v>
      </c>
      <c r="X64" s="216" t="s">
        <v>39</v>
      </c>
      <c r="Y64" s="216" t="s">
        <v>84</v>
      </c>
      <c r="Z64" s="216" t="s">
        <v>90</v>
      </c>
      <c r="AA64" s="216" t="s">
        <v>50</v>
      </c>
      <c r="AB64" s="216" t="s">
        <v>310</v>
      </c>
    </row>
    <row r="65" spans="1:28" x14ac:dyDescent="0.15">
      <c r="A65" s="216" t="s">
        <v>34</v>
      </c>
      <c r="B65" s="208" t="s">
        <v>308</v>
      </c>
      <c r="C65" s="208">
        <v>2018</v>
      </c>
      <c r="D65" s="258" t="s">
        <v>534</v>
      </c>
      <c r="E65" s="237" t="s">
        <v>508</v>
      </c>
      <c r="F65" s="237" t="s">
        <v>509</v>
      </c>
      <c r="G65" s="216" t="s">
        <v>36</v>
      </c>
      <c r="H65" s="208" t="s">
        <v>157</v>
      </c>
      <c r="I65" s="216" t="s">
        <v>153</v>
      </c>
      <c r="J65" s="216" t="s">
        <v>38</v>
      </c>
      <c r="K65" s="216" t="s">
        <v>154</v>
      </c>
      <c r="L65" s="216">
        <v>1</v>
      </c>
      <c r="N65" s="208">
        <v>1</v>
      </c>
      <c r="O65" s="208">
        <v>0.65</v>
      </c>
      <c r="P65" s="208">
        <v>0.65</v>
      </c>
      <c r="Q65" s="245">
        <f t="shared" si="0"/>
        <v>0.65</v>
      </c>
      <c r="R65" s="208">
        <v>14.1</v>
      </c>
      <c r="S65" s="208">
        <v>126</v>
      </c>
      <c r="T65" s="217">
        <f t="shared" si="1"/>
        <v>30</v>
      </c>
      <c r="U65" s="208">
        <v>84</v>
      </c>
      <c r="V65" s="217">
        <f t="shared" si="2"/>
        <v>2520</v>
      </c>
      <c r="W65" s="208">
        <v>3</v>
      </c>
      <c r="X65" s="216" t="s">
        <v>39</v>
      </c>
      <c r="Y65" s="216" t="s">
        <v>84</v>
      </c>
      <c r="Z65" s="216" t="s">
        <v>90</v>
      </c>
      <c r="AA65" s="216" t="s">
        <v>50</v>
      </c>
      <c r="AB65" s="216" t="s">
        <v>310</v>
      </c>
    </row>
    <row r="66" spans="1:28" x14ac:dyDescent="0.15">
      <c r="A66" s="216" t="s">
        <v>34</v>
      </c>
      <c r="B66" s="208" t="s">
        <v>308</v>
      </c>
      <c r="C66" s="208">
        <v>2018</v>
      </c>
      <c r="D66" s="258" t="s">
        <v>534</v>
      </c>
      <c r="E66" s="237" t="s">
        <v>508</v>
      </c>
      <c r="F66" s="237" t="s">
        <v>509</v>
      </c>
      <c r="G66" s="216" t="s">
        <v>36</v>
      </c>
      <c r="H66" s="208" t="s">
        <v>157</v>
      </c>
      <c r="I66" s="216" t="s">
        <v>153</v>
      </c>
      <c r="J66" s="216" t="s">
        <v>38</v>
      </c>
      <c r="K66" s="216" t="s">
        <v>154</v>
      </c>
      <c r="L66" s="208">
        <v>2</v>
      </c>
      <c r="N66" s="208">
        <v>1</v>
      </c>
      <c r="O66" s="208">
        <v>0.7</v>
      </c>
      <c r="P66" s="208">
        <v>0.8</v>
      </c>
      <c r="Q66" s="245">
        <f t="shared" si="0"/>
        <v>0.75</v>
      </c>
      <c r="R66" s="208">
        <v>14.4</v>
      </c>
      <c r="S66" s="208">
        <v>128</v>
      </c>
      <c r="T66" s="217">
        <f t="shared" si="1"/>
        <v>30</v>
      </c>
      <c r="U66" s="208">
        <v>84</v>
      </c>
      <c r="V66" s="217">
        <f t="shared" si="2"/>
        <v>2520</v>
      </c>
      <c r="W66" s="208">
        <v>3</v>
      </c>
      <c r="X66" s="216" t="s">
        <v>39</v>
      </c>
      <c r="Y66" s="216" t="s">
        <v>84</v>
      </c>
      <c r="Z66" s="216" t="s">
        <v>90</v>
      </c>
      <c r="AA66" s="216" t="s">
        <v>50</v>
      </c>
      <c r="AB66" s="216" t="s">
        <v>310</v>
      </c>
    </row>
    <row r="67" spans="1:28" x14ac:dyDescent="0.15">
      <c r="A67" s="216" t="s">
        <v>34</v>
      </c>
      <c r="B67" s="208" t="s">
        <v>308</v>
      </c>
      <c r="C67" s="208">
        <v>2018</v>
      </c>
      <c r="D67" s="258" t="s">
        <v>534</v>
      </c>
      <c r="E67" s="237" t="s">
        <v>508</v>
      </c>
      <c r="F67" s="237" t="s">
        <v>509</v>
      </c>
      <c r="G67" s="216" t="s">
        <v>36</v>
      </c>
      <c r="H67" s="208" t="s">
        <v>157</v>
      </c>
      <c r="I67" s="216" t="s">
        <v>153</v>
      </c>
      <c r="J67" s="216" t="s">
        <v>38</v>
      </c>
      <c r="K67" s="216" t="s">
        <v>154</v>
      </c>
      <c r="L67" s="208">
        <v>3</v>
      </c>
      <c r="N67" s="208">
        <v>1</v>
      </c>
      <c r="O67" s="208">
        <v>0.7</v>
      </c>
      <c r="P67" s="208">
        <v>0.65</v>
      </c>
      <c r="Q67" s="245">
        <f t="shared" si="0"/>
        <v>0.67500000000000004</v>
      </c>
      <c r="R67" s="208">
        <v>15.7</v>
      </c>
      <c r="S67" s="208">
        <v>135</v>
      </c>
      <c r="T67" s="217">
        <f t="shared" si="1"/>
        <v>30</v>
      </c>
      <c r="U67" s="208">
        <v>84</v>
      </c>
      <c r="V67" s="217">
        <f t="shared" si="2"/>
        <v>2520</v>
      </c>
      <c r="W67" s="208">
        <v>3</v>
      </c>
      <c r="X67" s="216" t="s">
        <v>39</v>
      </c>
      <c r="Y67" s="216" t="s">
        <v>84</v>
      </c>
      <c r="Z67" s="216" t="s">
        <v>90</v>
      </c>
      <c r="AA67" s="216" t="s">
        <v>50</v>
      </c>
      <c r="AB67" s="216" t="s">
        <v>310</v>
      </c>
    </row>
    <row r="68" spans="1:28" x14ac:dyDescent="0.15">
      <c r="A68" s="216" t="s">
        <v>34</v>
      </c>
      <c r="B68" s="208" t="s">
        <v>308</v>
      </c>
      <c r="C68" s="208">
        <v>2018</v>
      </c>
      <c r="D68" s="258" t="s">
        <v>534</v>
      </c>
      <c r="E68" s="237" t="s">
        <v>508</v>
      </c>
      <c r="F68" s="237" t="s">
        <v>509</v>
      </c>
      <c r="G68" s="216" t="s">
        <v>36</v>
      </c>
      <c r="H68" s="208" t="s">
        <v>129</v>
      </c>
      <c r="I68" s="216" t="s">
        <v>153</v>
      </c>
      <c r="J68" s="216" t="s">
        <v>58</v>
      </c>
      <c r="K68" s="216" t="s">
        <v>59</v>
      </c>
      <c r="L68" s="216">
        <v>1</v>
      </c>
      <c r="N68" s="208">
        <v>5</v>
      </c>
      <c r="O68" s="208">
        <v>0.5</v>
      </c>
      <c r="P68" s="208">
        <v>0.45</v>
      </c>
      <c r="Q68" s="245">
        <f t="shared" si="0"/>
        <v>0.47499999999999998</v>
      </c>
      <c r="R68" s="208">
        <v>15.9</v>
      </c>
      <c r="S68" s="208">
        <v>65</v>
      </c>
      <c r="T68" s="217">
        <f t="shared" si="1"/>
        <v>50</v>
      </c>
      <c r="U68" s="208">
        <v>538</v>
      </c>
      <c r="V68" s="217">
        <f t="shared" si="2"/>
        <v>5380</v>
      </c>
      <c r="W68" s="208">
        <v>1</v>
      </c>
      <c r="X68" s="216" t="s">
        <v>39</v>
      </c>
      <c r="Y68" s="216" t="s">
        <v>84</v>
      </c>
      <c r="Z68" s="216" t="s">
        <v>90</v>
      </c>
      <c r="AA68" s="216" t="s">
        <v>50</v>
      </c>
      <c r="AB68" s="216" t="s">
        <v>310</v>
      </c>
    </row>
    <row r="69" spans="1:28" x14ac:dyDescent="0.15">
      <c r="A69" s="216" t="s">
        <v>34</v>
      </c>
      <c r="B69" s="208" t="s">
        <v>308</v>
      </c>
      <c r="C69" s="208">
        <v>2018</v>
      </c>
      <c r="D69" s="258" t="s">
        <v>534</v>
      </c>
      <c r="E69" s="237" t="s">
        <v>508</v>
      </c>
      <c r="F69" s="237" t="s">
        <v>509</v>
      </c>
      <c r="G69" s="216" t="s">
        <v>36</v>
      </c>
      <c r="H69" s="208" t="s">
        <v>129</v>
      </c>
      <c r="I69" s="216" t="s">
        <v>153</v>
      </c>
      <c r="J69" s="216" t="s">
        <v>58</v>
      </c>
      <c r="K69" s="216" t="s">
        <v>59</v>
      </c>
      <c r="L69" s="208">
        <v>2</v>
      </c>
      <c r="N69" s="208">
        <v>5</v>
      </c>
      <c r="O69" s="208">
        <v>0.2</v>
      </c>
      <c r="P69" s="208">
        <v>0.2</v>
      </c>
      <c r="Q69" s="245">
        <f t="shared" si="0"/>
        <v>0.2</v>
      </c>
      <c r="R69" s="208">
        <v>17.8</v>
      </c>
      <c r="S69" s="208">
        <v>60</v>
      </c>
      <c r="T69" s="217">
        <f t="shared" si="1"/>
        <v>50</v>
      </c>
      <c r="U69" s="208">
        <v>538</v>
      </c>
      <c r="V69" s="217">
        <f t="shared" si="2"/>
        <v>5380</v>
      </c>
      <c r="W69" s="208">
        <v>1</v>
      </c>
      <c r="X69" s="216" t="s">
        <v>39</v>
      </c>
      <c r="Y69" s="216" t="s">
        <v>84</v>
      </c>
      <c r="Z69" s="216" t="s">
        <v>90</v>
      </c>
      <c r="AA69" s="216" t="s">
        <v>50</v>
      </c>
      <c r="AB69" s="216" t="s">
        <v>310</v>
      </c>
    </row>
    <row r="70" spans="1:28" x14ac:dyDescent="0.15">
      <c r="A70" s="216" t="s">
        <v>34</v>
      </c>
      <c r="B70" s="208" t="s">
        <v>308</v>
      </c>
      <c r="C70" s="208">
        <v>2018</v>
      </c>
      <c r="D70" s="258" t="s">
        <v>534</v>
      </c>
      <c r="E70" s="237" t="s">
        <v>508</v>
      </c>
      <c r="F70" s="237" t="s">
        <v>509</v>
      </c>
      <c r="G70" s="216" t="s">
        <v>36</v>
      </c>
      <c r="H70" s="208" t="s">
        <v>129</v>
      </c>
      <c r="I70" s="216" t="s">
        <v>153</v>
      </c>
      <c r="J70" s="216" t="s">
        <v>58</v>
      </c>
      <c r="K70" s="216" t="s">
        <v>59</v>
      </c>
      <c r="L70" s="208">
        <v>3</v>
      </c>
      <c r="N70" s="208">
        <v>5</v>
      </c>
      <c r="O70" s="208">
        <v>0.2</v>
      </c>
      <c r="P70" s="208">
        <v>0.2</v>
      </c>
      <c r="Q70" s="245">
        <f t="shared" si="0"/>
        <v>0.2</v>
      </c>
      <c r="R70" s="208">
        <v>16.7</v>
      </c>
      <c r="S70" s="208">
        <v>54</v>
      </c>
      <c r="T70" s="217">
        <f t="shared" si="1"/>
        <v>50</v>
      </c>
      <c r="U70" s="208">
        <v>538</v>
      </c>
      <c r="V70" s="217">
        <f t="shared" si="2"/>
        <v>5380</v>
      </c>
      <c r="W70" s="208">
        <v>1</v>
      </c>
      <c r="X70" s="216" t="s">
        <v>39</v>
      </c>
      <c r="Y70" s="216" t="s">
        <v>84</v>
      </c>
      <c r="Z70" s="216" t="s">
        <v>90</v>
      </c>
      <c r="AA70" s="216" t="s">
        <v>50</v>
      </c>
      <c r="AB70" s="216" t="s">
        <v>310</v>
      </c>
    </row>
    <row r="71" spans="1:28" x14ac:dyDescent="0.15">
      <c r="A71" s="216" t="s">
        <v>34</v>
      </c>
      <c r="B71" s="208" t="s">
        <v>308</v>
      </c>
      <c r="C71" s="208">
        <v>2018</v>
      </c>
      <c r="D71" s="258" t="s">
        <v>534</v>
      </c>
      <c r="E71" s="237" t="s">
        <v>510</v>
      </c>
      <c r="F71" s="237" t="s">
        <v>511</v>
      </c>
      <c r="G71" s="216" t="s">
        <v>36</v>
      </c>
      <c r="H71" s="208" t="s">
        <v>155</v>
      </c>
      <c r="I71" s="216" t="s">
        <v>153</v>
      </c>
      <c r="J71" s="216" t="s">
        <v>38</v>
      </c>
      <c r="K71" s="216" t="s">
        <v>154</v>
      </c>
      <c r="L71" s="216">
        <v>1</v>
      </c>
      <c r="N71" s="208">
        <v>1</v>
      </c>
      <c r="O71" s="208">
        <v>1</v>
      </c>
      <c r="P71" s="208">
        <v>0.95</v>
      </c>
      <c r="Q71" s="245">
        <f t="shared" si="0"/>
        <v>0.97499999999999998</v>
      </c>
      <c r="R71" s="208">
        <v>10.7</v>
      </c>
      <c r="S71" s="208">
        <v>137</v>
      </c>
      <c r="T71" s="217">
        <f t="shared" si="1"/>
        <v>30</v>
      </c>
      <c r="U71" s="208">
        <v>108</v>
      </c>
      <c r="V71" s="217">
        <f t="shared" si="2"/>
        <v>3240</v>
      </c>
      <c r="W71" s="208">
        <v>3</v>
      </c>
      <c r="X71" s="216" t="s">
        <v>46</v>
      </c>
      <c r="Y71" s="216" t="s">
        <v>50</v>
      </c>
      <c r="Z71" s="216" t="s">
        <v>84</v>
      </c>
      <c r="AA71" s="216" t="s">
        <v>90</v>
      </c>
      <c r="AB71" s="216" t="s">
        <v>310</v>
      </c>
    </row>
    <row r="72" spans="1:28" x14ac:dyDescent="0.15">
      <c r="A72" s="216" t="s">
        <v>34</v>
      </c>
      <c r="B72" s="208" t="s">
        <v>308</v>
      </c>
      <c r="C72" s="208">
        <v>2018</v>
      </c>
      <c r="D72" s="258" t="s">
        <v>534</v>
      </c>
      <c r="E72" s="237" t="s">
        <v>510</v>
      </c>
      <c r="F72" s="237" t="s">
        <v>511</v>
      </c>
      <c r="G72" s="216" t="s">
        <v>36</v>
      </c>
      <c r="H72" s="208" t="s">
        <v>155</v>
      </c>
      <c r="I72" s="216" t="s">
        <v>153</v>
      </c>
      <c r="J72" s="216" t="s">
        <v>38</v>
      </c>
      <c r="K72" s="216" t="s">
        <v>154</v>
      </c>
      <c r="L72" s="208">
        <v>2</v>
      </c>
      <c r="N72" s="208">
        <v>1</v>
      </c>
      <c r="O72" s="208">
        <v>0.7</v>
      </c>
      <c r="P72" s="208">
        <v>0.75</v>
      </c>
      <c r="Q72" s="245">
        <f t="shared" si="0"/>
        <v>0.72499999999999998</v>
      </c>
      <c r="R72" s="208">
        <v>14.8</v>
      </c>
      <c r="S72" s="208">
        <v>142</v>
      </c>
      <c r="T72" s="217">
        <f t="shared" si="1"/>
        <v>30</v>
      </c>
      <c r="U72" s="208">
        <v>108</v>
      </c>
      <c r="V72" s="217">
        <f t="shared" si="2"/>
        <v>3240</v>
      </c>
      <c r="W72" s="208">
        <v>3</v>
      </c>
      <c r="X72" s="216" t="s">
        <v>46</v>
      </c>
      <c r="Y72" s="216" t="s">
        <v>50</v>
      </c>
      <c r="Z72" s="216" t="s">
        <v>84</v>
      </c>
      <c r="AA72" s="216" t="s">
        <v>90</v>
      </c>
      <c r="AB72" s="216" t="s">
        <v>310</v>
      </c>
    </row>
    <row r="73" spans="1:28" x14ac:dyDescent="0.15">
      <c r="A73" s="216" t="s">
        <v>34</v>
      </c>
      <c r="B73" s="208" t="s">
        <v>308</v>
      </c>
      <c r="C73" s="208">
        <v>2018</v>
      </c>
      <c r="D73" s="258" t="s">
        <v>534</v>
      </c>
      <c r="E73" s="237" t="s">
        <v>510</v>
      </c>
      <c r="F73" s="237" t="s">
        <v>511</v>
      </c>
      <c r="G73" s="216" t="s">
        <v>36</v>
      </c>
      <c r="H73" s="208" t="s">
        <v>155</v>
      </c>
      <c r="I73" s="216" t="s">
        <v>153</v>
      </c>
      <c r="J73" s="216" t="s">
        <v>38</v>
      </c>
      <c r="K73" s="216" t="s">
        <v>154</v>
      </c>
      <c r="L73" s="208">
        <v>3</v>
      </c>
      <c r="N73" s="208">
        <v>1</v>
      </c>
      <c r="O73" s="208">
        <v>0.6</v>
      </c>
      <c r="P73" s="208">
        <v>0.6</v>
      </c>
      <c r="Q73" s="245">
        <f t="shared" si="0"/>
        <v>0.6</v>
      </c>
      <c r="R73" s="208">
        <v>12.8</v>
      </c>
      <c r="S73" s="208">
        <v>144</v>
      </c>
      <c r="T73" s="217">
        <f t="shared" si="1"/>
        <v>30</v>
      </c>
      <c r="U73" s="208">
        <v>108</v>
      </c>
      <c r="V73" s="217">
        <f t="shared" si="2"/>
        <v>3240</v>
      </c>
      <c r="W73" s="208">
        <v>3</v>
      </c>
      <c r="X73" s="216" t="s">
        <v>46</v>
      </c>
      <c r="Y73" s="216" t="s">
        <v>50</v>
      </c>
      <c r="Z73" s="216" t="s">
        <v>84</v>
      </c>
      <c r="AA73" s="216" t="s">
        <v>90</v>
      </c>
      <c r="AB73" s="216" t="s">
        <v>310</v>
      </c>
    </row>
    <row r="74" spans="1:28" x14ac:dyDescent="0.15">
      <c r="A74" s="216" t="s">
        <v>34</v>
      </c>
      <c r="B74" s="208" t="s">
        <v>308</v>
      </c>
      <c r="C74" s="208">
        <v>2018</v>
      </c>
      <c r="D74" s="258" t="s">
        <v>534</v>
      </c>
      <c r="E74" s="237" t="s">
        <v>510</v>
      </c>
      <c r="F74" s="237" t="s">
        <v>511</v>
      </c>
      <c r="G74" s="216" t="s">
        <v>36</v>
      </c>
      <c r="H74" s="208" t="s">
        <v>155</v>
      </c>
      <c r="I74" s="216" t="s">
        <v>153</v>
      </c>
      <c r="J74" s="216" t="s">
        <v>38</v>
      </c>
      <c r="K74" s="216" t="s">
        <v>154</v>
      </c>
      <c r="L74" s="216">
        <v>1</v>
      </c>
      <c r="N74" s="208">
        <v>4</v>
      </c>
      <c r="O74" s="208">
        <v>0.75</v>
      </c>
      <c r="P74" s="208">
        <v>1</v>
      </c>
      <c r="Q74" s="245">
        <f t="shared" si="0"/>
        <v>0.875</v>
      </c>
      <c r="R74" s="208">
        <v>14.2</v>
      </c>
      <c r="S74" s="208">
        <v>88</v>
      </c>
      <c r="T74" s="217">
        <f t="shared" si="1"/>
        <v>36</v>
      </c>
      <c r="U74" s="208">
        <v>321</v>
      </c>
      <c r="V74" s="217">
        <f t="shared" si="2"/>
        <v>2889</v>
      </c>
      <c r="W74" s="208">
        <v>3</v>
      </c>
      <c r="X74" s="216" t="s">
        <v>46</v>
      </c>
      <c r="Y74" s="216" t="s">
        <v>50</v>
      </c>
      <c r="Z74" s="216" t="s">
        <v>84</v>
      </c>
      <c r="AA74" s="216" t="s">
        <v>90</v>
      </c>
      <c r="AB74" s="216" t="s">
        <v>310</v>
      </c>
    </row>
    <row r="75" spans="1:28" x14ac:dyDescent="0.15">
      <c r="A75" s="216" t="s">
        <v>34</v>
      </c>
      <c r="B75" s="208" t="s">
        <v>308</v>
      </c>
      <c r="C75" s="208">
        <v>2018</v>
      </c>
      <c r="D75" s="258" t="s">
        <v>534</v>
      </c>
      <c r="E75" s="237" t="s">
        <v>510</v>
      </c>
      <c r="F75" s="237" t="s">
        <v>511</v>
      </c>
      <c r="G75" s="216" t="s">
        <v>36</v>
      </c>
      <c r="H75" s="208" t="s">
        <v>155</v>
      </c>
      <c r="I75" s="216" t="s">
        <v>153</v>
      </c>
      <c r="J75" s="216" t="s">
        <v>38</v>
      </c>
      <c r="K75" s="216" t="s">
        <v>154</v>
      </c>
      <c r="L75" s="208">
        <v>2</v>
      </c>
      <c r="N75" s="208">
        <v>4</v>
      </c>
      <c r="O75" s="208">
        <v>0.65</v>
      </c>
      <c r="P75" s="208">
        <v>0.8</v>
      </c>
      <c r="Q75" s="245">
        <f t="shared" si="0"/>
        <v>0.72500000000000009</v>
      </c>
      <c r="R75" s="208">
        <v>14.9</v>
      </c>
      <c r="S75" s="208">
        <v>88</v>
      </c>
      <c r="T75" s="217">
        <f t="shared" si="1"/>
        <v>36</v>
      </c>
      <c r="U75" s="208">
        <v>321</v>
      </c>
      <c r="V75" s="217">
        <f t="shared" si="2"/>
        <v>2889</v>
      </c>
      <c r="W75" s="208">
        <v>3</v>
      </c>
      <c r="X75" s="216" t="s">
        <v>46</v>
      </c>
      <c r="Y75" s="216" t="s">
        <v>50</v>
      </c>
      <c r="Z75" s="216" t="s">
        <v>84</v>
      </c>
      <c r="AA75" s="216" t="s">
        <v>90</v>
      </c>
      <c r="AB75" s="216" t="s">
        <v>310</v>
      </c>
    </row>
    <row r="76" spans="1:28" x14ac:dyDescent="0.15">
      <c r="A76" s="216" t="s">
        <v>34</v>
      </c>
      <c r="B76" s="208" t="s">
        <v>308</v>
      </c>
      <c r="C76" s="208">
        <v>2018</v>
      </c>
      <c r="D76" s="258" t="s">
        <v>534</v>
      </c>
      <c r="E76" s="237" t="s">
        <v>510</v>
      </c>
      <c r="F76" s="237" t="s">
        <v>511</v>
      </c>
      <c r="G76" s="216" t="s">
        <v>36</v>
      </c>
      <c r="H76" s="208" t="s">
        <v>155</v>
      </c>
      <c r="I76" s="216" t="s">
        <v>153</v>
      </c>
      <c r="J76" s="216" t="s">
        <v>38</v>
      </c>
      <c r="K76" s="216" t="s">
        <v>154</v>
      </c>
      <c r="L76" s="208">
        <v>3</v>
      </c>
      <c r="N76" s="208">
        <v>4</v>
      </c>
      <c r="O76" s="208">
        <v>1.05</v>
      </c>
      <c r="P76" s="208">
        <v>1.2</v>
      </c>
      <c r="Q76" s="245">
        <f t="shared" si="0"/>
        <v>1.125</v>
      </c>
      <c r="R76" s="208">
        <v>14.6</v>
      </c>
      <c r="S76" s="208">
        <v>85</v>
      </c>
      <c r="T76" s="217">
        <f t="shared" si="1"/>
        <v>36</v>
      </c>
      <c r="U76" s="208">
        <v>321</v>
      </c>
      <c r="V76" s="217">
        <f t="shared" si="2"/>
        <v>2889</v>
      </c>
      <c r="W76" s="208">
        <v>3</v>
      </c>
      <c r="X76" s="216" t="s">
        <v>46</v>
      </c>
      <c r="Y76" s="216" t="s">
        <v>50</v>
      </c>
      <c r="Z76" s="216" t="s">
        <v>84</v>
      </c>
      <c r="AA76" s="216" t="s">
        <v>90</v>
      </c>
      <c r="AB76" s="216" t="s">
        <v>310</v>
      </c>
    </row>
    <row r="77" spans="1:28" x14ac:dyDescent="0.15">
      <c r="A77" s="216" t="s">
        <v>34</v>
      </c>
      <c r="B77" s="208" t="s">
        <v>308</v>
      </c>
      <c r="C77" s="208">
        <v>2018</v>
      </c>
      <c r="D77" s="258" t="s">
        <v>534</v>
      </c>
      <c r="E77" s="237" t="s">
        <v>510</v>
      </c>
      <c r="F77" s="237" t="s">
        <v>511</v>
      </c>
      <c r="G77" s="216" t="s">
        <v>36</v>
      </c>
      <c r="H77" s="208" t="s">
        <v>157</v>
      </c>
      <c r="I77" s="216" t="s">
        <v>153</v>
      </c>
      <c r="J77" s="216" t="s">
        <v>38</v>
      </c>
      <c r="K77" s="216" t="s">
        <v>154</v>
      </c>
      <c r="L77" s="216">
        <v>1</v>
      </c>
      <c r="N77" s="208">
        <v>1</v>
      </c>
      <c r="O77" s="208">
        <v>0.45</v>
      </c>
      <c r="P77" s="208">
        <v>0.2</v>
      </c>
      <c r="Q77" s="245">
        <f t="shared" si="0"/>
        <v>0.32500000000000001</v>
      </c>
      <c r="R77" s="208">
        <v>15.6</v>
      </c>
      <c r="S77" s="208">
        <v>141</v>
      </c>
      <c r="T77" s="217">
        <f t="shared" si="1"/>
        <v>30</v>
      </c>
      <c r="U77" s="208">
        <v>138</v>
      </c>
      <c r="V77" s="217">
        <f t="shared" si="2"/>
        <v>4140</v>
      </c>
      <c r="W77" s="208">
        <v>3</v>
      </c>
      <c r="X77" s="216" t="s">
        <v>46</v>
      </c>
      <c r="Y77" s="216" t="s">
        <v>50</v>
      </c>
      <c r="Z77" s="216" t="s">
        <v>84</v>
      </c>
      <c r="AA77" s="216" t="s">
        <v>90</v>
      </c>
      <c r="AB77" s="216" t="s">
        <v>310</v>
      </c>
    </row>
    <row r="78" spans="1:28" x14ac:dyDescent="0.15">
      <c r="A78" s="216" t="s">
        <v>34</v>
      </c>
      <c r="B78" s="208" t="s">
        <v>308</v>
      </c>
      <c r="C78" s="208">
        <v>2018</v>
      </c>
      <c r="D78" s="258" t="s">
        <v>534</v>
      </c>
      <c r="E78" s="237" t="s">
        <v>510</v>
      </c>
      <c r="F78" s="237" t="s">
        <v>511</v>
      </c>
      <c r="G78" s="216" t="s">
        <v>36</v>
      </c>
      <c r="H78" s="208" t="s">
        <v>157</v>
      </c>
      <c r="I78" s="216" t="s">
        <v>153</v>
      </c>
      <c r="J78" s="216" t="s">
        <v>38</v>
      </c>
      <c r="K78" s="216" t="s">
        <v>154</v>
      </c>
      <c r="L78" s="208">
        <v>2</v>
      </c>
      <c r="N78" s="208">
        <v>1</v>
      </c>
      <c r="O78" s="208">
        <v>0.45</v>
      </c>
      <c r="P78" s="208">
        <v>0.2</v>
      </c>
      <c r="Q78" s="245">
        <f t="shared" si="0"/>
        <v>0.32500000000000001</v>
      </c>
      <c r="R78" s="208">
        <v>14.1</v>
      </c>
      <c r="S78" s="208">
        <v>139</v>
      </c>
      <c r="T78" s="217">
        <f t="shared" si="1"/>
        <v>30</v>
      </c>
      <c r="U78" s="208">
        <v>138</v>
      </c>
      <c r="V78" s="217">
        <f t="shared" si="2"/>
        <v>4140</v>
      </c>
      <c r="W78" s="208">
        <v>3</v>
      </c>
      <c r="X78" s="216" t="s">
        <v>46</v>
      </c>
      <c r="Y78" s="216" t="s">
        <v>50</v>
      </c>
      <c r="Z78" s="216" t="s">
        <v>84</v>
      </c>
      <c r="AA78" s="216" t="s">
        <v>90</v>
      </c>
      <c r="AB78" s="216" t="s">
        <v>310</v>
      </c>
    </row>
    <row r="79" spans="1:28" x14ac:dyDescent="0.15">
      <c r="A79" s="216" t="s">
        <v>34</v>
      </c>
      <c r="B79" s="208" t="s">
        <v>308</v>
      </c>
      <c r="C79" s="208">
        <v>2018</v>
      </c>
      <c r="D79" s="258" t="s">
        <v>534</v>
      </c>
      <c r="E79" s="237" t="s">
        <v>510</v>
      </c>
      <c r="F79" s="237" t="s">
        <v>511</v>
      </c>
      <c r="G79" s="216" t="s">
        <v>36</v>
      </c>
      <c r="H79" s="208" t="s">
        <v>157</v>
      </c>
      <c r="I79" s="216" t="s">
        <v>153</v>
      </c>
      <c r="J79" s="216" t="s">
        <v>38</v>
      </c>
      <c r="K79" s="216" t="s">
        <v>154</v>
      </c>
      <c r="L79" s="208">
        <v>3</v>
      </c>
      <c r="N79" s="208">
        <v>1</v>
      </c>
      <c r="O79" s="208">
        <v>0.2</v>
      </c>
      <c r="P79" s="208">
        <v>0.2</v>
      </c>
      <c r="Q79" s="245">
        <f t="shared" si="0"/>
        <v>0.2</v>
      </c>
      <c r="R79" s="208">
        <v>16.600000000000001</v>
      </c>
      <c r="S79" s="208">
        <v>143</v>
      </c>
      <c r="T79" s="217">
        <f t="shared" si="1"/>
        <v>30</v>
      </c>
      <c r="U79" s="208">
        <v>138</v>
      </c>
      <c r="V79" s="217">
        <f t="shared" si="2"/>
        <v>4140</v>
      </c>
      <c r="W79" s="208">
        <v>3</v>
      </c>
      <c r="X79" s="216" t="s">
        <v>46</v>
      </c>
      <c r="Y79" s="216" t="s">
        <v>50</v>
      </c>
      <c r="Z79" s="216" t="s">
        <v>84</v>
      </c>
      <c r="AA79" s="216" t="s">
        <v>90</v>
      </c>
      <c r="AB79" s="216" t="s">
        <v>310</v>
      </c>
    </row>
    <row r="80" spans="1:28" x14ac:dyDescent="0.15">
      <c r="A80" s="216" t="s">
        <v>34</v>
      </c>
      <c r="B80" s="208" t="s">
        <v>308</v>
      </c>
      <c r="C80" s="208">
        <v>2018</v>
      </c>
      <c r="D80" s="258" t="s">
        <v>534</v>
      </c>
      <c r="E80" s="237" t="s">
        <v>510</v>
      </c>
      <c r="F80" s="237" t="s">
        <v>511</v>
      </c>
      <c r="G80" s="216" t="s">
        <v>36</v>
      </c>
      <c r="H80" s="208" t="s">
        <v>157</v>
      </c>
      <c r="I80" s="216" t="s">
        <v>153</v>
      </c>
      <c r="J80" s="216" t="s">
        <v>38</v>
      </c>
      <c r="K80" s="216" t="s">
        <v>154</v>
      </c>
      <c r="L80" s="216">
        <v>1</v>
      </c>
      <c r="N80" s="208">
        <v>4</v>
      </c>
      <c r="O80" s="208">
        <v>0.6</v>
      </c>
      <c r="P80" s="208">
        <v>0.5</v>
      </c>
      <c r="Q80" s="245">
        <f t="shared" si="0"/>
        <v>0.55000000000000004</v>
      </c>
      <c r="R80" s="208">
        <v>17.2</v>
      </c>
      <c r="S80" s="208">
        <v>104</v>
      </c>
      <c r="T80" s="217">
        <f t="shared" si="1"/>
        <v>33</v>
      </c>
      <c r="U80" s="208">
        <v>429</v>
      </c>
      <c r="V80" s="217">
        <f t="shared" si="2"/>
        <v>3539.25</v>
      </c>
      <c r="W80" s="208">
        <v>3</v>
      </c>
      <c r="X80" s="216" t="s">
        <v>46</v>
      </c>
      <c r="Y80" s="216" t="s">
        <v>50</v>
      </c>
      <c r="Z80" s="216" t="s">
        <v>84</v>
      </c>
      <c r="AA80" s="216" t="s">
        <v>90</v>
      </c>
      <c r="AB80" s="216" t="s">
        <v>310</v>
      </c>
    </row>
    <row r="81" spans="1:28" x14ac:dyDescent="0.15">
      <c r="A81" s="216" t="s">
        <v>34</v>
      </c>
      <c r="B81" s="208" t="s">
        <v>308</v>
      </c>
      <c r="C81" s="208">
        <v>2018</v>
      </c>
      <c r="D81" s="258" t="s">
        <v>534</v>
      </c>
      <c r="E81" s="237" t="s">
        <v>510</v>
      </c>
      <c r="F81" s="237" t="s">
        <v>511</v>
      </c>
      <c r="G81" s="216" t="s">
        <v>36</v>
      </c>
      <c r="H81" s="208" t="s">
        <v>157</v>
      </c>
      <c r="I81" s="216" t="s">
        <v>153</v>
      </c>
      <c r="J81" s="216" t="s">
        <v>38</v>
      </c>
      <c r="K81" s="216" t="s">
        <v>154</v>
      </c>
      <c r="L81" s="208">
        <v>2</v>
      </c>
      <c r="N81" s="208">
        <v>4</v>
      </c>
      <c r="O81" s="208">
        <v>0.6</v>
      </c>
      <c r="P81" s="208">
        <v>0.55000000000000004</v>
      </c>
      <c r="Q81" s="245">
        <f t="shared" si="0"/>
        <v>0.57499999999999996</v>
      </c>
      <c r="R81" s="208">
        <v>14.3</v>
      </c>
      <c r="S81" s="208">
        <v>109</v>
      </c>
      <c r="T81" s="217">
        <f t="shared" si="1"/>
        <v>33</v>
      </c>
      <c r="U81" s="208">
        <v>429</v>
      </c>
      <c r="V81" s="217">
        <f t="shared" si="2"/>
        <v>3539.25</v>
      </c>
      <c r="W81" s="208">
        <v>3</v>
      </c>
      <c r="X81" s="216" t="s">
        <v>46</v>
      </c>
      <c r="Y81" s="216" t="s">
        <v>50</v>
      </c>
      <c r="Z81" s="216" t="s">
        <v>84</v>
      </c>
      <c r="AA81" s="216" t="s">
        <v>90</v>
      </c>
      <c r="AB81" s="216" t="s">
        <v>310</v>
      </c>
    </row>
    <row r="82" spans="1:28" x14ac:dyDescent="0.15">
      <c r="A82" s="216" t="s">
        <v>34</v>
      </c>
      <c r="B82" s="208" t="s">
        <v>308</v>
      </c>
      <c r="C82" s="208">
        <v>2018</v>
      </c>
      <c r="D82" s="258" t="s">
        <v>534</v>
      </c>
      <c r="E82" s="237" t="s">
        <v>510</v>
      </c>
      <c r="F82" s="237" t="s">
        <v>511</v>
      </c>
      <c r="G82" s="216" t="s">
        <v>36</v>
      </c>
      <c r="H82" s="208" t="s">
        <v>157</v>
      </c>
      <c r="I82" s="216" t="s">
        <v>153</v>
      </c>
      <c r="J82" s="216" t="s">
        <v>38</v>
      </c>
      <c r="K82" s="216" t="s">
        <v>154</v>
      </c>
      <c r="L82" s="208">
        <v>3</v>
      </c>
      <c r="N82" s="208">
        <v>4</v>
      </c>
      <c r="O82" s="208">
        <v>0.6</v>
      </c>
      <c r="P82" s="208">
        <v>0.55000000000000004</v>
      </c>
      <c r="Q82" s="245">
        <f t="shared" si="0"/>
        <v>0.57499999999999996</v>
      </c>
      <c r="R82" s="208">
        <v>15.7</v>
      </c>
      <c r="S82" s="208">
        <v>104</v>
      </c>
      <c r="T82" s="217">
        <f t="shared" si="1"/>
        <v>33</v>
      </c>
      <c r="U82" s="208">
        <v>429</v>
      </c>
      <c r="V82" s="217">
        <f t="shared" si="2"/>
        <v>3539.25</v>
      </c>
      <c r="W82" s="208">
        <v>3</v>
      </c>
      <c r="X82" s="216" t="s">
        <v>46</v>
      </c>
      <c r="Y82" s="216" t="s">
        <v>50</v>
      </c>
      <c r="Z82" s="216" t="s">
        <v>84</v>
      </c>
      <c r="AA82" s="216" t="s">
        <v>90</v>
      </c>
      <c r="AB82" s="216" t="s">
        <v>310</v>
      </c>
    </row>
    <row r="83" spans="1:28" x14ac:dyDescent="0.15">
      <c r="A83" s="216" t="s">
        <v>34</v>
      </c>
      <c r="B83" s="208" t="s">
        <v>308</v>
      </c>
      <c r="C83" s="208">
        <v>2018</v>
      </c>
      <c r="D83" s="258" t="s">
        <v>534</v>
      </c>
      <c r="E83" s="237" t="s">
        <v>514</v>
      </c>
      <c r="F83" s="237" t="s">
        <v>509</v>
      </c>
      <c r="G83" s="216" t="s">
        <v>36</v>
      </c>
      <c r="H83" s="208" t="s">
        <v>155</v>
      </c>
      <c r="I83" s="216" t="s">
        <v>153</v>
      </c>
      <c r="J83" s="216" t="s">
        <v>38</v>
      </c>
      <c r="K83" s="216" t="s">
        <v>154</v>
      </c>
      <c r="L83" s="216">
        <v>1</v>
      </c>
      <c r="N83" s="208">
        <v>1</v>
      </c>
      <c r="O83" s="208">
        <v>0.7</v>
      </c>
      <c r="P83" s="208">
        <v>0.8</v>
      </c>
      <c r="Q83" s="245">
        <f t="shared" ref="Q83:Q103" si="5">IF(OR(O83="",P83=""),"",AVERAGE(O83,P83))</f>
        <v>0.75</v>
      </c>
      <c r="R83" s="208">
        <v>14.7</v>
      </c>
      <c r="S83" s="208">
        <v>133</v>
      </c>
      <c r="T83" s="217">
        <f t="shared" si="1"/>
        <v>30</v>
      </c>
      <c r="U83" s="208">
        <v>108</v>
      </c>
      <c r="V83" s="217">
        <f t="shared" si="2"/>
        <v>3240</v>
      </c>
      <c r="W83" s="208">
        <v>2</v>
      </c>
      <c r="X83" s="216" t="s">
        <v>46</v>
      </c>
      <c r="Y83" s="216" t="s">
        <v>50</v>
      </c>
      <c r="Z83" s="216" t="s">
        <v>84</v>
      </c>
      <c r="AA83" s="216" t="s">
        <v>90</v>
      </c>
      <c r="AB83" s="216" t="s">
        <v>310</v>
      </c>
    </row>
    <row r="84" spans="1:28" x14ac:dyDescent="0.15">
      <c r="A84" s="216" t="s">
        <v>34</v>
      </c>
      <c r="B84" s="208" t="s">
        <v>308</v>
      </c>
      <c r="C84" s="208">
        <v>2018</v>
      </c>
      <c r="D84" s="258" t="s">
        <v>534</v>
      </c>
      <c r="E84" s="237" t="s">
        <v>514</v>
      </c>
      <c r="F84" s="237" t="s">
        <v>509</v>
      </c>
      <c r="G84" s="216" t="s">
        <v>36</v>
      </c>
      <c r="H84" s="208" t="s">
        <v>155</v>
      </c>
      <c r="I84" s="216" t="s">
        <v>153</v>
      </c>
      <c r="J84" s="216" t="s">
        <v>38</v>
      </c>
      <c r="K84" s="216" t="s">
        <v>154</v>
      </c>
      <c r="L84" s="208">
        <v>2</v>
      </c>
      <c r="N84" s="208">
        <v>1</v>
      </c>
      <c r="O84" s="208">
        <v>1</v>
      </c>
      <c r="P84" s="208">
        <v>0.9</v>
      </c>
      <c r="Q84" s="245">
        <f t="shared" si="5"/>
        <v>0.95</v>
      </c>
      <c r="R84" s="208">
        <v>14.3</v>
      </c>
      <c r="S84" s="208">
        <v>116</v>
      </c>
      <c r="T84" s="217">
        <f t="shared" si="1"/>
        <v>30</v>
      </c>
      <c r="U84" s="208">
        <v>108</v>
      </c>
      <c r="V84" s="217">
        <f t="shared" si="2"/>
        <v>3240</v>
      </c>
      <c r="W84" s="208">
        <v>2</v>
      </c>
      <c r="X84" s="216" t="s">
        <v>46</v>
      </c>
      <c r="Y84" s="216" t="s">
        <v>50</v>
      </c>
      <c r="Z84" s="216" t="s">
        <v>84</v>
      </c>
      <c r="AA84" s="216" t="s">
        <v>90</v>
      </c>
      <c r="AB84" s="216" t="s">
        <v>310</v>
      </c>
    </row>
    <row r="85" spans="1:28" x14ac:dyDescent="0.15">
      <c r="A85" s="216" t="s">
        <v>34</v>
      </c>
      <c r="B85" s="208" t="s">
        <v>308</v>
      </c>
      <c r="C85" s="208">
        <v>2018</v>
      </c>
      <c r="D85" s="258" t="s">
        <v>534</v>
      </c>
      <c r="E85" s="237" t="s">
        <v>514</v>
      </c>
      <c r="F85" s="237" t="s">
        <v>509</v>
      </c>
      <c r="G85" s="216" t="s">
        <v>36</v>
      </c>
      <c r="H85" s="208" t="s">
        <v>155</v>
      </c>
      <c r="I85" s="216" t="s">
        <v>153</v>
      </c>
      <c r="J85" s="216" t="s">
        <v>38</v>
      </c>
      <c r="K85" s="216" t="s">
        <v>154</v>
      </c>
      <c r="L85" s="208">
        <v>3</v>
      </c>
      <c r="N85" s="208">
        <v>1</v>
      </c>
      <c r="O85" s="208">
        <v>0.65</v>
      </c>
      <c r="P85" s="208">
        <v>0.65</v>
      </c>
      <c r="Q85" s="217">
        <f t="shared" si="5"/>
        <v>0.65</v>
      </c>
      <c r="R85" s="208">
        <v>16.600000000000001</v>
      </c>
      <c r="S85" s="208">
        <v>133</v>
      </c>
      <c r="T85" s="217">
        <f t="shared" si="1"/>
        <v>30</v>
      </c>
      <c r="U85" s="208">
        <v>108</v>
      </c>
      <c r="V85" s="217">
        <f t="shared" si="2"/>
        <v>3240</v>
      </c>
      <c r="W85" s="208">
        <v>2</v>
      </c>
      <c r="X85" s="216" t="s">
        <v>46</v>
      </c>
      <c r="Y85" s="216" t="s">
        <v>50</v>
      </c>
      <c r="Z85" s="216" t="s">
        <v>84</v>
      </c>
      <c r="AA85" s="216" t="s">
        <v>90</v>
      </c>
      <c r="AB85" s="216" t="s">
        <v>310</v>
      </c>
    </row>
    <row r="86" spans="1:28" x14ac:dyDescent="0.15">
      <c r="A86" s="216" t="s">
        <v>34</v>
      </c>
      <c r="B86" s="208" t="s">
        <v>308</v>
      </c>
      <c r="C86" s="208">
        <v>2018</v>
      </c>
      <c r="D86" s="258" t="s">
        <v>534</v>
      </c>
      <c r="E86" s="237" t="s">
        <v>514</v>
      </c>
      <c r="F86" s="237" t="s">
        <v>509</v>
      </c>
      <c r="G86" s="216" t="s">
        <v>36</v>
      </c>
      <c r="H86" s="208" t="s">
        <v>157</v>
      </c>
      <c r="I86" s="216" t="s">
        <v>153</v>
      </c>
      <c r="J86" s="216" t="s">
        <v>38</v>
      </c>
      <c r="K86" s="216" t="s">
        <v>154</v>
      </c>
      <c r="L86" s="216">
        <v>1</v>
      </c>
      <c r="N86" s="208">
        <v>1</v>
      </c>
      <c r="O86" s="208">
        <v>0.2</v>
      </c>
      <c r="P86" s="208">
        <v>0.2</v>
      </c>
      <c r="Q86" s="217">
        <f t="shared" si="5"/>
        <v>0.2</v>
      </c>
      <c r="R86" s="208">
        <v>16.2</v>
      </c>
      <c r="S86" s="208">
        <v>149</v>
      </c>
      <c r="T86" s="217">
        <f t="shared" si="1"/>
        <v>30</v>
      </c>
      <c r="U86" s="208">
        <v>150</v>
      </c>
      <c r="V86" s="217">
        <f t="shared" si="2"/>
        <v>4500</v>
      </c>
      <c r="W86" s="208">
        <v>4</v>
      </c>
      <c r="X86" s="216" t="s">
        <v>46</v>
      </c>
      <c r="Y86" s="216" t="s">
        <v>50</v>
      </c>
      <c r="Z86" s="216" t="s">
        <v>84</v>
      </c>
      <c r="AA86" s="216" t="s">
        <v>90</v>
      </c>
      <c r="AB86" s="216" t="s">
        <v>310</v>
      </c>
    </row>
    <row r="87" spans="1:28" x14ac:dyDescent="0.15">
      <c r="A87" s="216" t="s">
        <v>34</v>
      </c>
      <c r="B87" s="208" t="s">
        <v>308</v>
      </c>
      <c r="C87" s="208">
        <v>2018</v>
      </c>
      <c r="D87" s="258" t="s">
        <v>534</v>
      </c>
      <c r="E87" s="237" t="s">
        <v>514</v>
      </c>
      <c r="F87" s="237" t="s">
        <v>509</v>
      </c>
      <c r="G87" s="216" t="s">
        <v>36</v>
      </c>
      <c r="H87" s="208" t="s">
        <v>157</v>
      </c>
      <c r="I87" s="216" t="s">
        <v>153</v>
      </c>
      <c r="J87" s="216" t="s">
        <v>38</v>
      </c>
      <c r="K87" s="216" t="s">
        <v>154</v>
      </c>
      <c r="L87" s="208">
        <v>2</v>
      </c>
      <c r="N87" s="208">
        <v>1</v>
      </c>
      <c r="O87" s="208">
        <v>0.5</v>
      </c>
      <c r="P87" s="208">
        <v>0.2</v>
      </c>
      <c r="Q87" s="217">
        <f t="shared" si="5"/>
        <v>0.35</v>
      </c>
      <c r="R87" s="208">
        <v>16.2</v>
      </c>
      <c r="S87" s="208">
        <v>162</v>
      </c>
      <c r="T87" s="217">
        <f t="shared" si="1"/>
        <v>18</v>
      </c>
      <c r="U87" s="208">
        <v>150</v>
      </c>
      <c r="V87" s="217">
        <f t="shared" si="2"/>
        <v>2700</v>
      </c>
      <c r="W87" s="208">
        <v>4</v>
      </c>
      <c r="X87" s="216" t="s">
        <v>46</v>
      </c>
      <c r="Y87" s="216" t="s">
        <v>50</v>
      </c>
      <c r="Z87" s="216" t="s">
        <v>84</v>
      </c>
      <c r="AA87" s="216" t="s">
        <v>90</v>
      </c>
      <c r="AB87" s="216" t="s">
        <v>310</v>
      </c>
    </row>
    <row r="88" spans="1:28" x14ac:dyDescent="0.15">
      <c r="A88" s="216" t="s">
        <v>34</v>
      </c>
      <c r="B88" s="208" t="s">
        <v>308</v>
      </c>
      <c r="C88" s="208">
        <v>2018</v>
      </c>
      <c r="D88" s="258" t="s">
        <v>534</v>
      </c>
      <c r="E88" s="237" t="s">
        <v>514</v>
      </c>
      <c r="F88" s="237" t="s">
        <v>509</v>
      </c>
      <c r="G88" s="216" t="s">
        <v>36</v>
      </c>
      <c r="H88" s="208" t="s">
        <v>157</v>
      </c>
      <c r="I88" s="216" t="s">
        <v>153</v>
      </c>
      <c r="J88" s="216" t="s">
        <v>38</v>
      </c>
      <c r="K88" s="216" t="s">
        <v>154</v>
      </c>
      <c r="L88" s="208">
        <v>3</v>
      </c>
      <c r="N88" s="208">
        <v>1</v>
      </c>
      <c r="O88" s="208">
        <v>0.5</v>
      </c>
      <c r="P88" s="208">
        <v>0.2</v>
      </c>
      <c r="Q88" s="217">
        <f t="shared" si="5"/>
        <v>0.35</v>
      </c>
      <c r="R88" s="208">
        <v>14.9</v>
      </c>
      <c r="S88" s="208">
        <v>145</v>
      </c>
      <c r="T88" s="217">
        <f t="shared" si="1"/>
        <v>30</v>
      </c>
      <c r="U88" s="208">
        <v>150</v>
      </c>
      <c r="V88" s="217">
        <f t="shared" si="2"/>
        <v>4500</v>
      </c>
      <c r="W88" s="208">
        <v>4</v>
      </c>
      <c r="X88" s="216" t="s">
        <v>46</v>
      </c>
      <c r="Y88" s="216" t="s">
        <v>50</v>
      </c>
      <c r="Z88" s="216" t="s">
        <v>84</v>
      </c>
      <c r="AA88" s="216" t="s">
        <v>90</v>
      </c>
      <c r="AB88" s="216" t="s">
        <v>310</v>
      </c>
    </row>
    <row r="89" spans="1:28" x14ac:dyDescent="0.15">
      <c r="A89" s="216" t="s">
        <v>34</v>
      </c>
      <c r="B89" s="208" t="s">
        <v>308</v>
      </c>
      <c r="C89" s="208">
        <v>2018</v>
      </c>
      <c r="D89" s="258" t="s">
        <v>534</v>
      </c>
      <c r="E89" s="237" t="s">
        <v>519</v>
      </c>
      <c r="F89" s="237" t="s">
        <v>520</v>
      </c>
      <c r="G89" s="216" t="s">
        <v>36</v>
      </c>
      <c r="H89" s="208" t="s">
        <v>155</v>
      </c>
      <c r="I89" s="216" t="s">
        <v>153</v>
      </c>
      <c r="J89" s="216" t="s">
        <v>38</v>
      </c>
      <c r="K89" s="216" t="s">
        <v>154</v>
      </c>
      <c r="L89" s="216">
        <v>1</v>
      </c>
      <c r="N89" s="208">
        <v>1</v>
      </c>
      <c r="O89" s="208">
        <v>0.85</v>
      </c>
      <c r="P89" s="208">
        <v>0.8</v>
      </c>
      <c r="Q89" s="217">
        <f t="shared" si="5"/>
        <v>0.82499999999999996</v>
      </c>
      <c r="R89" s="208">
        <v>14.3</v>
      </c>
      <c r="S89" s="208">
        <v>158</v>
      </c>
      <c r="T89" s="217">
        <f t="shared" si="1"/>
        <v>18</v>
      </c>
      <c r="U89" s="208">
        <v>101</v>
      </c>
      <c r="V89" s="217">
        <f t="shared" si="2"/>
        <v>1818</v>
      </c>
      <c r="W89" s="208">
        <v>7</v>
      </c>
      <c r="X89" s="216" t="s">
        <v>46</v>
      </c>
      <c r="Y89" s="208" t="s">
        <v>90</v>
      </c>
      <c r="Z89" s="208" t="s">
        <v>50</v>
      </c>
      <c r="AA89" s="208" t="s">
        <v>84</v>
      </c>
      <c r="AB89" s="216" t="s">
        <v>310</v>
      </c>
    </row>
    <row r="90" spans="1:28" x14ac:dyDescent="0.15">
      <c r="A90" s="216" t="s">
        <v>34</v>
      </c>
      <c r="B90" s="208" t="s">
        <v>308</v>
      </c>
      <c r="C90" s="208">
        <v>2018</v>
      </c>
      <c r="D90" s="258" t="s">
        <v>534</v>
      </c>
      <c r="E90" s="237" t="s">
        <v>519</v>
      </c>
      <c r="F90" s="237" t="s">
        <v>520</v>
      </c>
      <c r="G90" s="216" t="s">
        <v>36</v>
      </c>
      <c r="H90" s="208" t="s">
        <v>155</v>
      </c>
      <c r="I90" s="216" t="s">
        <v>153</v>
      </c>
      <c r="J90" s="216" t="s">
        <v>38</v>
      </c>
      <c r="K90" s="216" t="s">
        <v>154</v>
      </c>
      <c r="L90" s="208">
        <v>2</v>
      </c>
      <c r="N90" s="208">
        <v>1</v>
      </c>
      <c r="O90" s="208">
        <v>1</v>
      </c>
      <c r="P90" s="208">
        <v>1.05</v>
      </c>
      <c r="Q90" s="217">
        <f t="shared" si="5"/>
        <v>1.0249999999999999</v>
      </c>
      <c r="R90" s="208">
        <v>13.8</v>
      </c>
      <c r="S90" s="208">
        <v>155</v>
      </c>
      <c r="T90" s="217">
        <f t="shared" si="1"/>
        <v>18</v>
      </c>
      <c r="U90" s="208">
        <v>101</v>
      </c>
      <c r="V90" s="217">
        <f t="shared" si="2"/>
        <v>1818</v>
      </c>
      <c r="W90" s="208">
        <v>7</v>
      </c>
      <c r="X90" s="216" t="s">
        <v>46</v>
      </c>
      <c r="Y90" s="208" t="s">
        <v>90</v>
      </c>
      <c r="Z90" s="208" t="s">
        <v>50</v>
      </c>
      <c r="AA90" s="208" t="s">
        <v>84</v>
      </c>
      <c r="AB90" s="216" t="s">
        <v>310</v>
      </c>
    </row>
    <row r="91" spans="1:28" x14ac:dyDescent="0.15">
      <c r="A91" s="216" t="s">
        <v>34</v>
      </c>
      <c r="B91" s="208" t="s">
        <v>308</v>
      </c>
      <c r="C91" s="208">
        <v>2018</v>
      </c>
      <c r="D91" s="258" t="s">
        <v>534</v>
      </c>
      <c r="E91" s="237" t="s">
        <v>519</v>
      </c>
      <c r="F91" s="237" t="s">
        <v>520</v>
      </c>
      <c r="G91" s="216" t="s">
        <v>36</v>
      </c>
      <c r="H91" s="208" t="s">
        <v>155</v>
      </c>
      <c r="I91" s="216" t="s">
        <v>153</v>
      </c>
      <c r="J91" s="216" t="s">
        <v>38</v>
      </c>
      <c r="K91" s="216" t="s">
        <v>154</v>
      </c>
      <c r="L91" s="208">
        <v>3</v>
      </c>
      <c r="N91" s="208">
        <v>1</v>
      </c>
      <c r="O91" s="208">
        <v>0.85</v>
      </c>
      <c r="P91" s="208">
        <v>1.1499999999999999</v>
      </c>
      <c r="Q91" s="217">
        <f t="shared" si="5"/>
        <v>1</v>
      </c>
      <c r="R91" s="208">
        <v>14.3</v>
      </c>
      <c r="S91" s="208">
        <v>148</v>
      </c>
      <c r="T91" s="217">
        <f t="shared" si="1"/>
        <v>30</v>
      </c>
      <c r="U91" s="208">
        <v>101</v>
      </c>
      <c r="V91" s="217">
        <f t="shared" si="2"/>
        <v>3030</v>
      </c>
      <c r="W91" s="208">
        <v>7</v>
      </c>
      <c r="X91" s="216" t="s">
        <v>46</v>
      </c>
      <c r="Y91" s="208" t="s">
        <v>90</v>
      </c>
      <c r="Z91" s="208" t="s">
        <v>50</v>
      </c>
      <c r="AA91" s="208" t="s">
        <v>84</v>
      </c>
      <c r="AB91" s="216" t="s">
        <v>310</v>
      </c>
    </row>
    <row r="92" spans="1:28" x14ac:dyDescent="0.15">
      <c r="A92" s="216" t="s">
        <v>34</v>
      </c>
      <c r="B92" s="208" t="s">
        <v>308</v>
      </c>
      <c r="C92" s="208">
        <v>2018</v>
      </c>
      <c r="D92" s="258" t="s">
        <v>534</v>
      </c>
      <c r="E92" s="237" t="s">
        <v>519</v>
      </c>
      <c r="F92" s="237" t="s">
        <v>520</v>
      </c>
      <c r="G92" s="216" t="s">
        <v>36</v>
      </c>
      <c r="H92" s="208" t="s">
        <v>155</v>
      </c>
      <c r="I92" s="216" t="s">
        <v>153</v>
      </c>
      <c r="J92" s="216" t="s">
        <v>38</v>
      </c>
      <c r="K92" s="216" t="s">
        <v>154</v>
      </c>
      <c r="L92" s="216">
        <v>1</v>
      </c>
      <c r="N92" s="208">
        <v>4</v>
      </c>
      <c r="O92" s="208">
        <v>1.25</v>
      </c>
      <c r="P92" s="208">
        <v>1.2</v>
      </c>
      <c r="Q92" s="217">
        <f t="shared" si="5"/>
        <v>1.2250000000000001</v>
      </c>
      <c r="R92" s="208">
        <v>14.3</v>
      </c>
      <c r="S92" s="208">
        <v>152</v>
      </c>
      <c r="T92" s="217">
        <f t="shared" si="1"/>
        <v>18</v>
      </c>
      <c r="U92" s="208">
        <v>397</v>
      </c>
      <c r="V92" s="217">
        <f t="shared" si="2"/>
        <v>1786.5</v>
      </c>
      <c r="W92" s="208">
        <v>7</v>
      </c>
      <c r="X92" s="216" t="s">
        <v>46</v>
      </c>
      <c r="Y92" s="208" t="s">
        <v>90</v>
      </c>
      <c r="Z92" s="208" t="s">
        <v>50</v>
      </c>
      <c r="AA92" s="208" t="s">
        <v>84</v>
      </c>
      <c r="AB92" s="216" t="s">
        <v>310</v>
      </c>
    </row>
    <row r="93" spans="1:28" x14ac:dyDescent="0.15">
      <c r="A93" s="216" t="s">
        <v>34</v>
      </c>
      <c r="B93" s="208" t="s">
        <v>308</v>
      </c>
      <c r="C93" s="208">
        <v>2018</v>
      </c>
      <c r="D93" s="258" t="s">
        <v>534</v>
      </c>
      <c r="E93" s="237" t="s">
        <v>519</v>
      </c>
      <c r="F93" s="237" t="s">
        <v>520</v>
      </c>
      <c r="G93" s="216" t="s">
        <v>36</v>
      </c>
      <c r="H93" s="208" t="s">
        <v>155</v>
      </c>
      <c r="I93" s="216" t="s">
        <v>153</v>
      </c>
      <c r="J93" s="216" t="s">
        <v>38</v>
      </c>
      <c r="K93" s="216" t="s">
        <v>154</v>
      </c>
      <c r="L93" s="208">
        <v>2</v>
      </c>
      <c r="N93" s="208">
        <v>4</v>
      </c>
      <c r="O93" s="208">
        <v>1.4</v>
      </c>
      <c r="P93" s="208">
        <v>1.2</v>
      </c>
      <c r="Q93" s="217">
        <f t="shared" si="5"/>
        <v>1.2999999999999998</v>
      </c>
      <c r="R93" s="208">
        <v>15.5</v>
      </c>
      <c r="S93" s="208">
        <v>154</v>
      </c>
      <c r="T93" s="217">
        <f t="shared" si="1"/>
        <v>18</v>
      </c>
      <c r="U93" s="208">
        <v>397</v>
      </c>
      <c r="V93" s="217">
        <f t="shared" si="2"/>
        <v>1786.5</v>
      </c>
      <c r="W93" s="208">
        <v>7</v>
      </c>
      <c r="X93" s="216" t="s">
        <v>46</v>
      </c>
      <c r="Y93" s="208" t="s">
        <v>90</v>
      </c>
      <c r="Z93" s="208" t="s">
        <v>50</v>
      </c>
      <c r="AA93" s="208" t="s">
        <v>84</v>
      </c>
      <c r="AB93" s="216" t="s">
        <v>310</v>
      </c>
    </row>
    <row r="94" spans="1:28" x14ac:dyDescent="0.15">
      <c r="A94" s="216" t="s">
        <v>34</v>
      </c>
      <c r="B94" s="208" t="s">
        <v>308</v>
      </c>
      <c r="C94" s="208">
        <v>2018</v>
      </c>
      <c r="D94" s="258" t="s">
        <v>534</v>
      </c>
      <c r="E94" s="237" t="s">
        <v>519</v>
      </c>
      <c r="F94" s="237" t="s">
        <v>520</v>
      </c>
      <c r="G94" s="216" t="s">
        <v>36</v>
      </c>
      <c r="H94" s="208" t="s">
        <v>155</v>
      </c>
      <c r="I94" s="216" t="s">
        <v>153</v>
      </c>
      <c r="J94" s="216" t="s">
        <v>38</v>
      </c>
      <c r="K94" s="216" t="s">
        <v>154</v>
      </c>
      <c r="L94" s="208">
        <v>3</v>
      </c>
      <c r="N94" s="208">
        <v>4</v>
      </c>
      <c r="O94" s="208">
        <v>0.85</v>
      </c>
      <c r="P94" s="208">
        <v>0.8</v>
      </c>
      <c r="Q94" s="217">
        <f t="shared" si="5"/>
        <v>0.82499999999999996</v>
      </c>
      <c r="R94" s="208">
        <v>14.1</v>
      </c>
      <c r="S94" s="208">
        <v>148</v>
      </c>
      <c r="T94" s="217">
        <f t="shared" si="1"/>
        <v>30</v>
      </c>
      <c r="U94" s="208">
        <v>397</v>
      </c>
      <c r="V94" s="217">
        <f t="shared" si="2"/>
        <v>2977.5</v>
      </c>
      <c r="W94" s="208">
        <v>7</v>
      </c>
      <c r="X94" s="216" t="s">
        <v>46</v>
      </c>
      <c r="Y94" s="208" t="s">
        <v>90</v>
      </c>
      <c r="Z94" s="208" t="s">
        <v>50</v>
      </c>
      <c r="AA94" s="208" t="s">
        <v>84</v>
      </c>
      <c r="AB94" s="216" t="s">
        <v>310</v>
      </c>
    </row>
    <row r="95" spans="1:28" x14ac:dyDescent="0.15">
      <c r="A95" s="216" t="s">
        <v>34</v>
      </c>
      <c r="B95" s="208" t="s">
        <v>308</v>
      </c>
      <c r="C95" s="208">
        <v>2018</v>
      </c>
      <c r="D95" s="258" t="s">
        <v>534</v>
      </c>
      <c r="E95" s="237" t="s">
        <v>519</v>
      </c>
      <c r="F95" s="237" t="s">
        <v>520</v>
      </c>
      <c r="G95" s="216" t="s">
        <v>36</v>
      </c>
      <c r="H95" s="208" t="s">
        <v>155</v>
      </c>
      <c r="I95" s="216" t="s">
        <v>156</v>
      </c>
      <c r="J95" s="216" t="s">
        <v>38</v>
      </c>
      <c r="K95" s="216" t="s">
        <v>154</v>
      </c>
      <c r="L95" s="216">
        <v>1</v>
      </c>
      <c r="N95" s="208">
        <v>4</v>
      </c>
      <c r="O95" s="208">
        <v>0.75</v>
      </c>
      <c r="P95" s="208">
        <v>0.75</v>
      </c>
      <c r="Q95" s="217">
        <f t="shared" si="5"/>
        <v>0.75</v>
      </c>
      <c r="R95" s="208">
        <v>15.4</v>
      </c>
      <c r="S95" s="208">
        <v>106</v>
      </c>
      <c r="T95" s="217">
        <f t="shared" si="1"/>
        <v>33</v>
      </c>
      <c r="U95" s="208">
        <v>378</v>
      </c>
      <c r="V95" s="217">
        <f t="shared" si="2"/>
        <v>3118.5</v>
      </c>
      <c r="W95" s="208">
        <v>7</v>
      </c>
      <c r="X95" s="216" t="s">
        <v>46</v>
      </c>
      <c r="Y95" s="208" t="s">
        <v>90</v>
      </c>
      <c r="Z95" s="208" t="s">
        <v>50</v>
      </c>
      <c r="AA95" s="208" t="s">
        <v>84</v>
      </c>
      <c r="AB95" s="216" t="s">
        <v>310</v>
      </c>
    </row>
    <row r="96" spans="1:28" x14ac:dyDescent="0.15">
      <c r="A96" s="216" t="s">
        <v>34</v>
      </c>
      <c r="B96" s="208" t="s">
        <v>308</v>
      </c>
      <c r="C96" s="208">
        <v>2018</v>
      </c>
      <c r="D96" s="258" t="s">
        <v>534</v>
      </c>
      <c r="E96" s="237" t="s">
        <v>519</v>
      </c>
      <c r="F96" s="237" t="s">
        <v>520</v>
      </c>
      <c r="G96" s="216" t="s">
        <v>36</v>
      </c>
      <c r="H96" s="208" t="s">
        <v>155</v>
      </c>
      <c r="I96" s="216" t="s">
        <v>156</v>
      </c>
      <c r="J96" s="216" t="s">
        <v>38</v>
      </c>
      <c r="K96" s="216" t="s">
        <v>154</v>
      </c>
      <c r="L96" s="208">
        <v>2</v>
      </c>
      <c r="N96" s="208">
        <v>4</v>
      </c>
      <c r="O96" s="208">
        <v>0.75</v>
      </c>
      <c r="P96" s="208">
        <v>0.9</v>
      </c>
      <c r="Q96" s="217">
        <f t="shared" si="5"/>
        <v>0.82499999999999996</v>
      </c>
      <c r="R96" s="208">
        <v>14.9</v>
      </c>
      <c r="S96" s="208">
        <v>105</v>
      </c>
      <c r="T96" s="217">
        <f t="shared" si="1"/>
        <v>33</v>
      </c>
      <c r="U96" s="208">
        <v>378</v>
      </c>
      <c r="V96" s="217">
        <f t="shared" si="2"/>
        <v>3118.5</v>
      </c>
      <c r="W96" s="208">
        <v>7</v>
      </c>
      <c r="X96" s="216" t="s">
        <v>46</v>
      </c>
      <c r="Y96" s="208" t="s">
        <v>90</v>
      </c>
      <c r="Z96" s="208" t="s">
        <v>50</v>
      </c>
      <c r="AA96" s="208" t="s">
        <v>84</v>
      </c>
      <c r="AB96" s="216" t="s">
        <v>310</v>
      </c>
    </row>
    <row r="97" spans="1:28" x14ac:dyDescent="0.15">
      <c r="A97" s="216" t="s">
        <v>34</v>
      </c>
      <c r="B97" s="208" t="s">
        <v>308</v>
      </c>
      <c r="C97" s="208">
        <v>2018</v>
      </c>
      <c r="D97" s="258" t="s">
        <v>534</v>
      </c>
      <c r="E97" s="237" t="s">
        <v>519</v>
      </c>
      <c r="F97" s="237" t="s">
        <v>520</v>
      </c>
      <c r="G97" s="216" t="s">
        <v>36</v>
      </c>
      <c r="H97" s="208" t="s">
        <v>155</v>
      </c>
      <c r="I97" s="216" t="s">
        <v>156</v>
      </c>
      <c r="J97" s="216" t="s">
        <v>38</v>
      </c>
      <c r="K97" s="216" t="s">
        <v>154</v>
      </c>
      <c r="L97" s="208">
        <v>3</v>
      </c>
      <c r="N97" s="208">
        <v>4</v>
      </c>
      <c r="O97" s="208">
        <v>0.9</v>
      </c>
      <c r="P97" s="208">
        <v>1</v>
      </c>
      <c r="Q97" s="217">
        <f t="shared" si="5"/>
        <v>0.95</v>
      </c>
      <c r="R97" s="208">
        <v>12.2</v>
      </c>
      <c r="S97" s="208">
        <v>107</v>
      </c>
      <c r="T97" s="217">
        <f t="shared" si="1"/>
        <v>33</v>
      </c>
      <c r="U97" s="208">
        <v>378</v>
      </c>
      <c r="V97" s="217">
        <f t="shared" si="2"/>
        <v>3118.5</v>
      </c>
      <c r="W97" s="208">
        <v>7</v>
      </c>
      <c r="X97" s="216" t="s">
        <v>46</v>
      </c>
      <c r="Y97" s="208" t="s">
        <v>90</v>
      </c>
      <c r="Z97" s="208" t="s">
        <v>50</v>
      </c>
      <c r="AA97" s="208" t="s">
        <v>84</v>
      </c>
      <c r="AB97" s="216" t="s">
        <v>310</v>
      </c>
    </row>
    <row r="98" spans="1:28" x14ac:dyDescent="0.15">
      <c r="A98" s="216" t="s">
        <v>34</v>
      </c>
      <c r="B98" s="208" t="s">
        <v>308</v>
      </c>
      <c r="C98" s="208">
        <v>2018</v>
      </c>
      <c r="D98" s="258" t="s">
        <v>534</v>
      </c>
      <c r="E98" s="237" t="s">
        <v>519</v>
      </c>
      <c r="F98" s="237" t="s">
        <v>520</v>
      </c>
      <c r="G98" s="216" t="s">
        <v>36</v>
      </c>
      <c r="H98" s="208" t="s">
        <v>157</v>
      </c>
      <c r="I98" s="216" t="s">
        <v>153</v>
      </c>
      <c r="J98" s="216" t="s">
        <v>38</v>
      </c>
      <c r="K98" s="216" t="s">
        <v>154</v>
      </c>
      <c r="L98" s="216">
        <v>1</v>
      </c>
      <c r="N98" s="208">
        <v>1</v>
      </c>
      <c r="O98" s="208">
        <v>0.55000000000000004</v>
      </c>
      <c r="P98" s="208">
        <v>0.55000000000000004</v>
      </c>
      <c r="Q98" s="217">
        <f t="shared" si="5"/>
        <v>0.55000000000000004</v>
      </c>
      <c r="R98" s="208">
        <v>13.9</v>
      </c>
      <c r="S98" s="208">
        <v>133</v>
      </c>
      <c r="T98" s="217">
        <f t="shared" si="1"/>
        <v>30</v>
      </c>
      <c r="U98" s="208">
        <v>170</v>
      </c>
      <c r="V98" s="217">
        <f t="shared" si="2"/>
        <v>5100</v>
      </c>
      <c r="W98" s="208">
        <v>3</v>
      </c>
      <c r="X98" s="216" t="s">
        <v>46</v>
      </c>
      <c r="Y98" s="208" t="s">
        <v>90</v>
      </c>
      <c r="Z98" s="208" t="s">
        <v>50</v>
      </c>
      <c r="AA98" s="208" t="s">
        <v>84</v>
      </c>
      <c r="AB98" s="216" t="s">
        <v>310</v>
      </c>
    </row>
    <row r="99" spans="1:28" x14ac:dyDescent="0.15">
      <c r="A99" s="216" t="s">
        <v>34</v>
      </c>
      <c r="B99" s="208" t="s">
        <v>308</v>
      </c>
      <c r="C99" s="208">
        <v>2018</v>
      </c>
      <c r="D99" s="258" t="s">
        <v>534</v>
      </c>
      <c r="E99" s="237" t="s">
        <v>519</v>
      </c>
      <c r="F99" s="237" t="s">
        <v>520</v>
      </c>
      <c r="G99" s="216" t="s">
        <v>36</v>
      </c>
      <c r="H99" s="208" t="s">
        <v>157</v>
      </c>
      <c r="I99" s="216" t="s">
        <v>153</v>
      </c>
      <c r="J99" s="216" t="s">
        <v>38</v>
      </c>
      <c r="K99" s="216" t="s">
        <v>154</v>
      </c>
      <c r="L99" s="208">
        <v>2</v>
      </c>
      <c r="N99" s="208">
        <v>1</v>
      </c>
      <c r="O99" s="208">
        <v>0.55000000000000004</v>
      </c>
      <c r="P99" s="208">
        <v>0.55000000000000004</v>
      </c>
      <c r="Q99" s="217">
        <f t="shared" si="5"/>
        <v>0.55000000000000004</v>
      </c>
      <c r="R99" s="208">
        <v>14.3</v>
      </c>
      <c r="S99" s="208">
        <v>143</v>
      </c>
      <c r="T99" s="217">
        <f t="shared" si="1"/>
        <v>30</v>
      </c>
      <c r="U99" s="208">
        <v>170</v>
      </c>
      <c r="V99" s="217">
        <f t="shared" si="2"/>
        <v>5100</v>
      </c>
      <c r="W99" s="208">
        <v>3</v>
      </c>
      <c r="X99" s="216" t="s">
        <v>46</v>
      </c>
      <c r="Y99" s="208" t="s">
        <v>90</v>
      </c>
      <c r="Z99" s="208" t="s">
        <v>50</v>
      </c>
      <c r="AA99" s="208" t="s">
        <v>84</v>
      </c>
      <c r="AB99" s="216" t="s">
        <v>310</v>
      </c>
    </row>
    <row r="100" spans="1:28" x14ac:dyDescent="0.15">
      <c r="A100" s="216" t="s">
        <v>34</v>
      </c>
      <c r="B100" s="208" t="s">
        <v>308</v>
      </c>
      <c r="C100" s="208">
        <v>2018</v>
      </c>
      <c r="D100" s="258" t="s">
        <v>534</v>
      </c>
      <c r="E100" s="237" t="s">
        <v>519</v>
      </c>
      <c r="F100" s="237" t="s">
        <v>520</v>
      </c>
      <c r="G100" s="216" t="s">
        <v>36</v>
      </c>
      <c r="H100" s="208" t="s">
        <v>157</v>
      </c>
      <c r="I100" s="216" t="s">
        <v>153</v>
      </c>
      <c r="J100" s="216" t="s">
        <v>38</v>
      </c>
      <c r="K100" s="216" t="s">
        <v>154</v>
      </c>
      <c r="L100" s="208">
        <v>3</v>
      </c>
      <c r="N100" s="208">
        <v>1</v>
      </c>
      <c r="O100" s="208">
        <v>0.6</v>
      </c>
      <c r="P100" s="208">
        <v>0.6</v>
      </c>
      <c r="Q100" s="217">
        <f t="shared" si="5"/>
        <v>0.6</v>
      </c>
      <c r="R100" s="208">
        <v>17.7</v>
      </c>
      <c r="S100" s="208">
        <v>142</v>
      </c>
      <c r="T100" s="217">
        <f t="shared" si="1"/>
        <v>30</v>
      </c>
      <c r="U100" s="208">
        <v>170</v>
      </c>
      <c r="V100" s="217">
        <f t="shared" si="2"/>
        <v>5100</v>
      </c>
      <c r="W100" s="208">
        <v>3</v>
      </c>
      <c r="X100" s="216" t="s">
        <v>46</v>
      </c>
      <c r="Y100" s="208" t="s">
        <v>90</v>
      </c>
      <c r="Z100" s="208" t="s">
        <v>50</v>
      </c>
      <c r="AA100" s="208" t="s">
        <v>84</v>
      </c>
      <c r="AB100" s="216" t="s">
        <v>310</v>
      </c>
    </row>
    <row r="101" spans="1:28" x14ac:dyDescent="0.15">
      <c r="A101" s="216" t="s">
        <v>34</v>
      </c>
      <c r="B101" s="208" t="s">
        <v>308</v>
      </c>
      <c r="C101" s="208">
        <v>2018</v>
      </c>
      <c r="D101" s="258" t="s">
        <v>534</v>
      </c>
      <c r="E101" s="237" t="s">
        <v>519</v>
      </c>
      <c r="F101" s="237" t="s">
        <v>520</v>
      </c>
      <c r="G101" s="216" t="s">
        <v>36</v>
      </c>
      <c r="H101" s="208" t="s">
        <v>157</v>
      </c>
      <c r="I101" s="216" t="s">
        <v>153</v>
      </c>
      <c r="J101" s="216" t="s">
        <v>38</v>
      </c>
      <c r="K101" s="216" t="s">
        <v>154</v>
      </c>
      <c r="L101" s="216">
        <v>1</v>
      </c>
      <c r="N101" s="208">
        <v>3</v>
      </c>
      <c r="O101" s="208">
        <v>0.7</v>
      </c>
      <c r="P101" s="208">
        <v>0.7</v>
      </c>
      <c r="Q101" s="217">
        <f t="shared" si="5"/>
        <v>0.7</v>
      </c>
      <c r="R101" s="208">
        <v>15.8</v>
      </c>
      <c r="S101" s="208">
        <v>144</v>
      </c>
      <c r="T101" s="217">
        <f t="shared" si="1"/>
        <v>30</v>
      </c>
      <c r="U101" s="208">
        <v>486</v>
      </c>
      <c r="V101" s="217">
        <f t="shared" si="2"/>
        <v>4860</v>
      </c>
      <c r="W101" s="208">
        <v>3</v>
      </c>
      <c r="X101" s="216" t="s">
        <v>46</v>
      </c>
      <c r="Y101" s="208" t="s">
        <v>90</v>
      </c>
      <c r="Z101" s="208" t="s">
        <v>50</v>
      </c>
      <c r="AA101" s="208" t="s">
        <v>84</v>
      </c>
      <c r="AB101" s="216" t="s">
        <v>310</v>
      </c>
    </row>
    <row r="102" spans="1:28" x14ac:dyDescent="0.15">
      <c r="A102" s="216" t="s">
        <v>34</v>
      </c>
      <c r="B102" s="208" t="s">
        <v>308</v>
      </c>
      <c r="C102" s="208">
        <v>2018</v>
      </c>
      <c r="D102" s="258" t="s">
        <v>534</v>
      </c>
      <c r="E102" s="237" t="s">
        <v>519</v>
      </c>
      <c r="F102" s="237" t="s">
        <v>520</v>
      </c>
      <c r="G102" s="216" t="s">
        <v>36</v>
      </c>
      <c r="H102" s="208" t="s">
        <v>157</v>
      </c>
      <c r="I102" s="216" t="s">
        <v>153</v>
      </c>
      <c r="J102" s="216" t="s">
        <v>38</v>
      </c>
      <c r="K102" s="216" t="s">
        <v>154</v>
      </c>
      <c r="L102" s="208">
        <v>2</v>
      </c>
      <c r="N102" s="208">
        <v>3</v>
      </c>
      <c r="O102" s="208">
        <v>0.7</v>
      </c>
      <c r="P102" s="208">
        <v>0.7</v>
      </c>
      <c r="Q102" s="217">
        <f t="shared" si="5"/>
        <v>0.7</v>
      </c>
      <c r="R102" s="208">
        <v>15.5</v>
      </c>
      <c r="S102" s="208">
        <v>132</v>
      </c>
      <c r="T102" s="217">
        <f t="shared" si="1"/>
        <v>30</v>
      </c>
      <c r="U102" s="208">
        <v>486</v>
      </c>
      <c r="V102" s="217">
        <f t="shared" si="2"/>
        <v>4860</v>
      </c>
      <c r="W102" s="208">
        <v>3</v>
      </c>
      <c r="X102" s="216" t="s">
        <v>46</v>
      </c>
      <c r="Y102" s="208" t="s">
        <v>90</v>
      </c>
      <c r="Z102" s="208" t="s">
        <v>50</v>
      </c>
      <c r="AA102" s="208" t="s">
        <v>84</v>
      </c>
      <c r="AB102" s="216" t="s">
        <v>310</v>
      </c>
    </row>
    <row r="103" spans="1:28" x14ac:dyDescent="0.15">
      <c r="A103" s="216" t="s">
        <v>34</v>
      </c>
      <c r="B103" s="208" t="s">
        <v>308</v>
      </c>
      <c r="C103" s="208">
        <v>2018</v>
      </c>
      <c r="D103" s="258" t="s">
        <v>534</v>
      </c>
      <c r="E103" s="237" t="s">
        <v>519</v>
      </c>
      <c r="F103" s="237" t="s">
        <v>520</v>
      </c>
      <c r="G103" s="216" t="s">
        <v>36</v>
      </c>
      <c r="H103" s="208" t="s">
        <v>157</v>
      </c>
      <c r="I103" s="216" t="s">
        <v>153</v>
      </c>
      <c r="J103" s="216" t="s">
        <v>38</v>
      </c>
      <c r="K103" s="216" t="s">
        <v>154</v>
      </c>
      <c r="L103" s="208">
        <v>3</v>
      </c>
      <c r="N103" s="208">
        <v>3</v>
      </c>
      <c r="O103" s="208">
        <v>0.7</v>
      </c>
      <c r="P103" s="208">
        <v>0.6</v>
      </c>
      <c r="Q103" s="217">
        <f t="shared" si="5"/>
        <v>0.64999999999999991</v>
      </c>
      <c r="R103" s="208">
        <v>14.2</v>
      </c>
      <c r="S103" s="208">
        <v>129</v>
      </c>
      <c r="T103" s="217">
        <f t="shared" si="1"/>
        <v>30</v>
      </c>
      <c r="U103" s="208">
        <v>486</v>
      </c>
      <c r="V103" s="217">
        <f t="shared" si="2"/>
        <v>4860</v>
      </c>
      <c r="W103" s="208">
        <v>3</v>
      </c>
      <c r="X103" s="216" t="s">
        <v>46</v>
      </c>
      <c r="Y103" s="208" t="s">
        <v>90</v>
      </c>
      <c r="Z103" s="208" t="s">
        <v>50</v>
      </c>
      <c r="AA103" s="208" t="s">
        <v>84</v>
      </c>
      <c r="AB103" s="216" t="s">
        <v>310</v>
      </c>
    </row>
    <row r="104" spans="1:28" x14ac:dyDescent="0.15">
      <c r="K104" s="216"/>
    </row>
    <row r="105" spans="1:28" x14ac:dyDescent="0.15">
      <c r="K105" s="216"/>
    </row>
    <row r="106" spans="1:28" x14ac:dyDescent="0.15">
      <c r="K106" s="216"/>
    </row>
    <row r="107" spans="1:28" x14ac:dyDescent="0.15">
      <c r="K107" s="216"/>
    </row>
    <row r="108" spans="1:28" x14ac:dyDescent="0.15">
      <c r="K108" s="216"/>
    </row>
    <row r="109" spans="1:28" x14ac:dyDescent="0.15">
      <c r="K109" s="216"/>
    </row>
    <row r="110" spans="1:28" x14ac:dyDescent="0.15">
      <c r="K110" s="216"/>
    </row>
    <row r="111" spans="1:28" x14ac:dyDescent="0.15">
      <c r="K111" s="216"/>
    </row>
    <row r="112" spans="1:28"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row r="451" spans="11:11" x14ac:dyDescent="0.15">
      <c r="K451" s="216"/>
    </row>
    <row r="452" spans="11:11" x14ac:dyDescent="0.15">
      <c r="K452" s="216"/>
    </row>
    <row r="453" spans="11:11" x14ac:dyDescent="0.15">
      <c r="K453" s="216"/>
    </row>
    <row r="454" spans="11:11" x14ac:dyDescent="0.15">
      <c r="K454" s="216"/>
    </row>
    <row r="455" spans="11:11" x14ac:dyDescent="0.15">
      <c r="K455" s="216"/>
    </row>
    <row r="456" spans="11:11" x14ac:dyDescent="0.15">
      <c r="K456" s="216"/>
    </row>
    <row r="457" spans="11:11" x14ac:dyDescent="0.15">
      <c r="K457" s="216"/>
    </row>
    <row r="458" spans="11:11" x14ac:dyDescent="0.15">
      <c r="K458" s="216"/>
    </row>
    <row r="459" spans="11:11" x14ac:dyDescent="0.15">
      <c r="K459" s="216"/>
    </row>
    <row r="460" spans="11:11" x14ac:dyDescent="0.15">
      <c r="K460" s="216"/>
    </row>
    <row r="461" spans="11:11" x14ac:dyDescent="0.15">
      <c r="K461" s="216"/>
    </row>
    <row r="462" spans="11:11" x14ac:dyDescent="0.15">
      <c r="K462" s="216"/>
    </row>
    <row r="463" spans="11:11" x14ac:dyDescent="0.15">
      <c r="K463" s="216"/>
    </row>
    <row r="464" spans="11:11" x14ac:dyDescent="0.15">
      <c r="K464" s="216"/>
    </row>
    <row r="465" spans="11:11" x14ac:dyDescent="0.15">
      <c r="K465" s="216"/>
    </row>
    <row r="466" spans="11:11" x14ac:dyDescent="0.15">
      <c r="K466" s="216"/>
    </row>
    <row r="467" spans="11:11" x14ac:dyDescent="0.15">
      <c r="K467" s="216"/>
    </row>
    <row r="468" spans="11:11" x14ac:dyDescent="0.15">
      <c r="K468" s="216"/>
    </row>
    <row r="469" spans="11:11" x14ac:dyDescent="0.15">
      <c r="K469" s="216"/>
    </row>
    <row r="470" spans="11:11" x14ac:dyDescent="0.15">
      <c r="K470" s="216"/>
    </row>
    <row r="471" spans="11:11" x14ac:dyDescent="0.15">
      <c r="K471" s="216"/>
    </row>
    <row r="472" spans="11:11" x14ac:dyDescent="0.15">
      <c r="K472" s="216"/>
    </row>
    <row r="473" spans="11:11" x14ac:dyDescent="0.15">
      <c r="K473" s="216"/>
    </row>
    <row r="474" spans="11:11" x14ac:dyDescent="0.15">
      <c r="K474" s="216"/>
    </row>
    <row r="475" spans="11:11" x14ac:dyDescent="0.15">
      <c r="K475" s="216"/>
    </row>
    <row r="476" spans="11:11" x14ac:dyDescent="0.15">
      <c r="K476" s="216"/>
    </row>
    <row r="477" spans="11:11" x14ac:dyDescent="0.15">
      <c r="K477" s="216"/>
    </row>
    <row r="478" spans="11:11" x14ac:dyDescent="0.15">
      <c r="K478" s="216"/>
    </row>
    <row r="479" spans="11:11" x14ac:dyDescent="0.15">
      <c r="K479" s="216"/>
    </row>
    <row r="480" spans="11:11" x14ac:dyDescent="0.15">
      <c r="K480" s="216"/>
    </row>
    <row r="481" spans="11:11" x14ac:dyDescent="0.15">
      <c r="K481" s="216"/>
    </row>
    <row r="482" spans="11:11" x14ac:dyDescent="0.15">
      <c r="K482" s="216"/>
    </row>
    <row r="483" spans="11:11" x14ac:dyDescent="0.15">
      <c r="K483" s="216"/>
    </row>
    <row r="484" spans="11:11" x14ac:dyDescent="0.15">
      <c r="K484" s="216"/>
    </row>
    <row r="485" spans="11:11" x14ac:dyDescent="0.15">
      <c r="K485" s="216"/>
    </row>
    <row r="486" spans="11:11" x14ac:dyDescent="0.15">
      <c r="K486" s="216"/>
    </row>
    <row r="487" spans="11:11" x14ac:dyDescent="0.15">
      <c r="K487" s="216"/>
    </row>
    <row r="488" spans="11:11" x14ac:dyDescent="0.15">
      <c r="K488" s="216"/>
    </row>
    <row r="489" spans="11:11" x14ac:dyDescent="0.15">
      <c r="K489" s="216"/>
    </row>
    <row r="490" spans="11:11" x14ac:dyDescent="0.15">
      <c r="K490" s="216"/>
    </row>
    <row r="491" spans="11:11" x14ac:dyDescent="0.15">
      <c r="K491" s="216"/>
    </row>
    <row r="492" spans="11:11" x14ac:dyDescent="0.15">
      <c r="K492" s="216"/>
    </row>
    <row r="493" spans="11:11" x14ac:dyDescent="0.15">
      <c r="K493" s="216"/>
    </row>
    <row r="494" spans="11:11" x14ac:dyDescent="0.15">
      <c r="K494" s="216"/>
    </row>
    <row r="495" spans="11:11" x14ac:dyDescent="0.15">
      <c r="K495" s="216"/>
    </row>
    <row r="496" spans="11:11" x14ac:dyDescent="0.15">
      <c r="K496" s="216"/>
    </row>
    <row r="497" spans="11:11" x14ac:dyDescent="0.15">
      <c r="K497" s="216"/>
    </row>
    <row r="498" spans="11:11" x14ac:dyDescent="0.15">
      <c r="K498" s="216"/>
    </row>
    <row r="499" spans="11:11" x14ac:dyDescent="0.15">
      <c r="K499" s="216"/>
    </row>
    <row r="500" spans="11:11" x14ac:dyDescent="0.15">
      <c r="K500" s="216"/>
    </row>
    <row r="501" spans="11:11" x14ac:dyDescent="0.15">
      <c r="K501" s="216"/>
    </row>
    <row r="502" spans="11:11" x14ac:dyDescent="0.15">
      <c r="K502" s="216"/>
    </row>
    <row r="503" spans="11:11" x14ac:dyDescent="0.15">
      <c r="K503" s="216"/>
    </row>
    <row r="504" spans="11:11" x14ac:dyDescent="0.15">
      <c r="K504" s="216"/>
    </row>
    <row r="505" spans="11:11" x14ac:dyDescent="0.15">
      <c r="K505" s="216"/>
    </row>
    <row r="506" spans="11:11" x14ac:dyDescent="0.15">
      <c r="K506" s="216"/>
    </row>
    <row r="507" spans="11:11" x14ac:dyDescent="0.15">
      <c r="K507" s="216"/>
    </row>
    <row r="508" spans="11:11" x14ac:dyDescent="0.15">
      <c r="K508" s="216"/>
    </row>
    <row r="509" spans="11:11" x14ac:dyDescent="0.15">
      <c r="K509" s="216"/>
    </row>
    <row r="510" spans="11:11" x14ac:dyDescent="0.15">
      <c r="K510" s="216"/>
    </row>
    <row r="511" spans="11:11" x14ac:dyDescent="0.15">
      <c r="K511" s="216"/>
    </row>
    <row r="512" spans="11:11" x14ac:dyDescent="0.15">
      <c r="K512" s="216"/>
    </row>
    <row r="513" spans="11:11" x14ac:dyDescent="0.15">
      <c r="K513" s="216"/>
    </row>
    <row r="514" spans="11:11" x14ac:dyDescent="0.15">
      <c r="K514" s="216"/>
    </row>
    <row r="515" spans="11:11" x14ac:dyDescent="0.15">
      <c r="K515" s="216"/>
    </row>
    <row r="516" spans="11:11" x14ac:dyDescent="0.15">
      <c r="K516" s="216"/>
    </row>
    <row r="517" spans="11:11" x14ac:dyDescent="0.15">
      <c r="K517" s="216"/>
    </row>
    <row r="518" spans="11:11" x14ac:dyDescent="0.15">
      <c r="K518" s="216"/>
    </row>
    <row r="519" spans="11:11" x14ac:dyDescent="0.15">
      <c r="K519" s="216"/>
    </row>
    <row r="520" spans="11:11" x14ac:dyDescent="0.15">
      <c r="K520" s="216"/>
    </row>
    <row r="521" spans="11:11" x14ac:dyDescent="0.15">
      <c r="K521" s="216"/>
    </row>
    <row r="522" spans="11:11" x14ac:dyDescent="0.15">
      <c r="K522" s="216"/>
    </row>
    <row r="523" spans="11:11" x14ac:dyDescent="0.15">
      <c r="K523" s="216"/>
    </row>
    <row r="524" spans="11:11" x14ac:dyDescent="0.15">
      <c r="K524" s="216"/>
    </row>
    <row r="525" spans="11:11" x14ac:dyDescent="0.15">
      <c r="K525" s="216"/>
    </row>
    <row r="526" spans="11:11" x14ac:dyDescent="0.15">
      <c r="K526" s="216"/>
    </row>
    <row r="527" spans="11:11" x14ac:dyDescent="0.15">
      <c r="K527" s="216"/>
    </row>
    <row r="528" spans="11:11" x14ac:dyDescent="0.15">
      <c r="K528" s="216"/>
    </row>
    <row r="529" spans="11:11" x14ac:dyDescent="0.15">
      <c r="K529" s="216"/>
    </row>
    <row r="530" spans="11:11" x14ac:dyDescent="0.15">
      <c r="K530" s="216"/>
    </row>
    <row r="531" spans="11:11" x14ac:dyDescent="0.15">
      <c r="K531" s="216"/>
    </row>
    <row r="532" spans="11:11" x14ac:dyDescent="0.15">
      <c r="K532" s="216"/>
    </row>
    <row r="533" spans="11:11" x14ac:dyDescent="0.15">
      <c r="K533" s="216"/>
    </row>
    <row r="534" spans="11:11" x14ac:dyDescent="0.15">
      <c r="K534" s="216"/>
    </row>
    <row r="535" spans="11:11" x14ac:dyDescent="0.15">
      <c r="K535" s="216"/>
    </row>
    <row r="536" spans="11:11" x14ac:dyDescent="0.15">
      <c r="K536" s="216"/>
    </row>
    <row r="537" spans="11:11" x14ac:dyDescent="0.15">
      <c r="K537" s="216"/>
    </row>
    <row r="538" spans="11:11" x14ac:dyDescent="0.15">
      <c r="K538" s="216"/>
    </row>
    <row r="539" spans="11:11" x14ac:dyDescent="0.15">
      <c r="K539" s="216"/>
    </row>
    <row r="540" spans="11:11" x14ac:dyDescent="0.15">
      <c r="K540" s="216"/>
    </row>
    <row r="541" spans="11:11" x14ac:dyDescent="0.15">
      <c r="K541" s="216"/>
    </row>
    <row r="542" spans="11:11" x14ac:dyDescent="0.15">
      <c r="K542" s="216"/>
    </row>
    <row r="543" spans="11:11" x14ac:dyDescent="0.15">
      <c r="K543" s="216"/>
    </row>
    <row r="544" spans="11:11" x14ac:dyDescent="0.15">
      <c r="K544" s="216"/>
    </row>
    <row r="545" spans="11:11" x14ac:dyDescent="0.15">
      <c r="K545" s="216"/>
    </row>
    <row r="546" spans="11:11" x14ac:dyDescent="0.15">
      <c r="K546" s="216"/>
    </row>
    <row r="547" spans="11:11" x14ac:dyDescent="0.15">
      <c r="K547" s="216"/>
    </row>
    <row r="548" spans="11:11" x14ac:dyDescent="0.15">
      <c r="K548" s="216"/>
    </row>
    <row r="549" spans="11:11" x14ac:dyDescent="0.15">
      <c r="K549" s="216"/>
    </row>
    <row r="550" spans="11:11" x14ac:dyDescent="0.15">
      <c r="K550" s="216"/>
    </row>
    <row r="551" spans="11:11" x14ac:dyDescent="0.15">
      <c r="K551" s="216"/>
    </row>
    <row r="552" spans="11:11" x14ac:dyDescent="0.15">
      <c r="K552" s="216"/>
    </row>
    <row r="553" spans="11:11" x14ac:dyDescent="0.15">
      <c r="K553" s="216"/>
    </row>
    <row r="554" spans="11:11" x14ac:dyDescent="0.15">
      <c r="K554" s="216"/>
    </row>
    <row r="555" spans="11:11" x14ac:dyDescent="0.15">
      <c r="K555" s="216"/>
    </row>
    <row r="556" spans="11:11" x14ac:dyDescent="0.15">
      <c r="K556" s="216"/>
    </row>
    <row r="557" spans="11:11" x14ac:dyDescent="0.15">
      <c r="K557" s="216"/>
    </row>
    <row r="558" spans="11:11" x14ac:dyDescent="0.15">
      <c r="K558" s="216"/>
    </row>
    <row r="559" spans="11:11" x14ac:dyDescent="0.15">
      <c r="K559" s="216"/>
    </row>
    <row r="560" spans="11:11" x14ac:dyDescent="0.15">
      <c r="K560" s="216"/>
    </row>
    <row r="561" spans="11:11" x14ac:dyDescent="0.15">
      <c r="K561" s="216"/>
    </row>
    <row r="562" spans="11:11" x14ac:dyDescent="0.15">
      <c r="K562" s="216"/>
    </row>
    <row r="563" spans="11:11" x14ac:dyDescent="0.15">
      <c r="K563" s="216"/>
    </row>
    <row r="564" spans="11:11" x14ac:dyDescent="0.15">
      <c r="K564" s="216"/>
    </row>
    <row r="565" spans="11:11" x14ac:dyDescent="0.15">
      <c r="K565" s="216"/>
    </row>
    <row r="566" spans="11:11" x14ac:dyDescent="0.15">
      <c r="K566" s="216"/>
    </row>
    <row r="567" spans="11:11" x14ac:dyDescent="0.15">
      <c r="K567" s="216"/>
    </row>
    <row r="568" spans="11:11" x14ac:dyDescent="0.15">
      <c r="K568" s="216"/>
    </row>
    <row r="569" spans="11:11" x14ac:dyDescent="0.15">
      <c r="K569" s="216"/>
    </row>
    <row r="570" spans="11:11" x14ac:dyDescent="0.15">
      <c r="K570" s="216"/>
    </row>
    <row r="571" spans="11:11" x14ac:dyDescent="0.15">
      <c r="K571" s="216"/>
    </row>
    <row r="572" spans="11:11" x14ac:dyDescent="0.15">
      <c r="K572" s="216"/>
    </row>
    <row r="573" spans="11:11" x14ac:dyDescent="0.15">
      <c r="K573" s="216"/>
    </row>
    <row r="574" spans="11:11" x14ac:dyDescent="0.15">
      <c r="K574" s="216"/>
    </row>
    <row r="575" spans="11:11" x14ac:dyDescent="0.15">
      <c r="K575" s="216"/>
    </row>
    <row r="576" spans="11:11" x14ac:dyDescent="0.15">
      <c r="K576" s="216"/>
    </row>
    <row r="577" spans="11:11" x14ac:dyDescent="0.15">
      <c r="K577" s="216"/>
    </row>
    <row r="578" spans="11:11" x14ac:dyDescent="0.15">
      <c r="K578" s="216"/>
    </row>
    <row r="579" spans="11:11" x14ac:dyDescent="0.15">
      <c r="K579" s="216"/>
    </row>
    <row r="580" spans="11:11" x14ac:dyDescent="0.15">
      <c r="K580" s="216"/>
    </row>
    <row r="581" spans="11:11" x14ac:dyDescent="0.15">
      <c r="K581" s="216"/>
    </row>
    <row r="582" spans="11:11" x14ac:dyDescent="0.15">
      <c r="K582" s="216"/>
    </row>
    <row r="583" spans="11:11" x14ac:dyDescent="0.15">
      <c r="K583" s="216"/>
    </row>
    <row r="584" spans="11:11" x14ac:dyDescent="0.15">
      <c r="K584" s="216"/>
    </row>
    <row r="585" spans="11:11" x14ac:dyDescent="0.15">
      <c r="K585" s="216"/>
    </row>
    <row r="586" spans="11:11" x14ac:dyDescent="0.15">
      <c r="K586" s="216"/>
    </row>
    <row r="587" spans="11:11" x14ac:dyDescent="0.15">
      <c r="K587" s="216"/>
    </row>
    <row r="588" spans="11:11" x14ac:dyDescent="0.15">
      <c r="K588" s="216"/>
    </row>
    <row r="589" spans="11:11" x14ac:dyDescent="0.15">
      <c r="K589" s="216"/>
    </row>
    <row r="590" spans="11:11" x14ac:dyDescent="0.15">
      <c r="K590" s="216"/>
    </row>
    <row r="591" spans="11:11" x14ac:dyDescent="0.15">
      <c r="K591" s="216"/>
    </row>
    <row r="592" spans="11:11" x14ac:dyDescent="0.15">
      <c r="K592" s="216"/>
    </row>
    <row r="593" spans="11:11" x14ac:dyDescent="0.15">
      <c r="K593" s="216"/>
    </row>
    <row r="594" spans="11:11" x14ac:dyDescent="0.15">
      <c r="K594" s="216"/>
    </row>
    <row r="595" spans="11:11" x14ac:dyDescent="0.15">
      <c r="K595" s="216"/>
    </row>
    <row r="596" spans="11:11" x14ac:dyDescent="0.15">
      <c r="K596" s="216"/>
    </row>
    <row r="597" spans="11:11" x14ac:dyDescent="0.15">
      <c r="K597" s="216"/>
    </row>
    <row r="598" spans="11:11" x14ac:dyDescent="0.15">
      <c r="K598" s="216"/>
    </row>
    <row r="599" spans="11:11" x14ac:dyDescent="0.15">
      <c r="K599" s="216"/>
    </row>
    <row r="600" spans="11:11" x14ac:dyDescent="0.15">
      <c r="K600" s="216"/>
    </row>
    <row r="601" spans="11:11" x14ac:dyDescent="0.15">
      <c r="K601" s="216"/>
    </row>
    <row r="602" spans="11:11" x14ac:dyDescent="0.15">
      <c r="K602" s="216"/>
    </row>
    <row r="603" spans="11:11" x14ac:dyDescent="0.15">
      <c r="K603" s="216"/>
    </row>
    <row r="604" spans="11:11" x14ac:dyDescent="0.15">
      <c r="K604" s="216"/>
    </row>
    <row r="605" spans="11:11" x14ac:dyDescent="0.15">
      <c r="K605" s="216"/>
    </row>
    <row r="606" spans="11:11" x14ac:dyDescent="0.15">
      <c r="K606" s="216"/>
    </row>
    <row r="607" spans="11:11" x14ac:dyDescent="0.15">
      <c r="K607" s="216"/>
    </row>
    <row r="608" spans="11:11" x14ac:dyDescent="0.15">
      <c r="K608" s="216"/>
    </row>
    <row r="609" spans="11:11" x14ac:dyDescent="0.15">
      <c r="K609" s="216"/>
    </row>
    <row r="610" spans="11:11" x14ac:dyDescent="0.15">
      <c r="K610" s="216"/>
    </row>
    <row r="611" spans="11:11" x14ac:dyDescent="0.15">
      <c r="K611" s="216"/>
    </row>
    <row r="612" spans="11:11" x14ac:dyDescent="0.15">
      <c r="K612" s="216"/>
    </row>
    <row r="613" spans="11:11" x14ac:dyDescent="0.15">
      <c r="K613" s="216"/>
    </row>
    <row r="614" spans="11:11" x14ac:dyDescent="0.15">
      <c r="K614" s="216"/>
    </row>
    <row r="615" spans="11:11" x14ac:dyDescent="0.15">
      <c r="K615" s="216"/>
    </row>
    <row r="616" spans="11:11" x14ac:dyDescent="0.15">
      <c r="K616" s="216"/>
    </row>
    <row r="617" spans="11:11" x14ac:dyDescent="0.15">
      <c r="K617" s="216"/>
    </row>
    <row r="618" spans="11:11" x14ac:dyDescent="0.15">
      <c r="K618" s="216"/>
    </row>
    <row r="619" spans="11:11" x14ac:dyDescent="0.15">
      <c r="K619" s="216"/>
    </row>
    <row r="620" spans="11:11" x14ac:dyDescent="0.15">
      <c r="K620" s="216"/>
    </row>
    <row r="621" spans="11:11" x14ac:dyDescent="0.15">
      <c r="K621" s="216"/>
    </row>
    <row r="622" spans="11:11" x14ac:dyDescent="0.15">
      <c r="K622" s="216"/>
    </row>
    <row r="623" spans="11:11" x14ac:dyDescent="0.15">
      <c r="K623" s="216"/>
    </row>
    <row r="624" spans="11:11" x14ac:dyDescent="0.15">
      <c r="K624" s="216"/>
    </row>
    <row r="625" spans="11:11" x14ac:dyDescent="0.15">
      <c r="K625" s="216"/>
    </row>
    <row r="626" spans="11:11" x14ac:dyDescent="0.15">
      <c r="K626" s="216"/>
    </row>
    <row r="627" spans="11:11" x14ac:dyDescent="0.15">
      <c r="K627" s="216"/>
    </row>
    <row r="628" spans="11:11" x14ac:dyDescent="0.15">
      <c r="K628" s="216"/>
    </row>
    <row r="629" spans="11:11" x14ac:dyDescent="0.15">
      <c r="K629" s="216"/>
    </row>
    <row r="630" spans="11:11" x14ac:dyDescent="0.15">
      <c r="K630" s="216"/>
    </row>
    <row r="631" spans="11:11" x14ac:dyDescent="0.15">
      <c r="K631" s="216"/>
    </row>
    <row r="632" spans="11:11" x14ac:dyDescent="0.15">
      <c r="K632" s="216"/>
    </row>
    <row r="633" spans="11:11" x14ac:dyDescent="0.15">
      <c r="K633" s="216"/>
    </row>
    <row r="634" spans="11:11" x14ac:dyDescent="0.15">
      <c r="K634" s="216"/>
    </row>
    <row r="635" spans="11:11" x14ac:dyDescent="0.15">
      <c r="K635" s="216"/>
    </row>
    <row r="636" spans="11:11" x14ac:dyDescent="0.15">
      <c r="K636" s="216"/>
    </row>
    <row r="637" spans="11:11" x14ac:dyDescent="0.15">
      <c r="K637" s="216"/>
    </row>
    <row r="638" spans="11:11" x14ac:dyDescent="0.15">
      <c r="K638" s="216"/>
    </row>
    <row r="639" spans="11:11" x14ac:dyDescent="0.15">
      <c r="K639" s="216"/>
    </row>
    <row r="640" spans="11:11" x14ac:dyDescent="0.15">
      <c r="K640" s="216"/>
    </row>
    <row r="641" spans="11:11" x14ac:dyDescent="0.15">
      <c r="K641" s="216"/>
    </row>
    <row r="642" spans="11:11" x14ac:dyDescent="0.15">
      <c r="K642" s="216"/>
    </row>
    <row r="643" spans="11:11" x14ac:dyDescent="0.15">
      <c r="K643" s="216"/>
    </row>
    <row r="644" spans="11:11" x14ac:dyDescent="0.15">
      <c r="K644" s="216"/>
    </row>
    <row r="645" spans="11:11" x14ac:dyDescent="0.15">
      <c r="K645" s="216"/>
    </row>
    <row r="646" spans="11:11" x14ac:dyDescent="0.15">
      <c r="K646" s="216"/>
    </row>
    <row r="647" spans="11:11" x14ac:dyDescent="0.15">
      <c r="K647" s="216"/>
    </row>
    <row r="648" spans="11:11" x14ac:dyDescent="0.15">
      <c r="K648" s="216"/>
    </row>
    <row r="649" spans="11:11" x14ac:dyDescent="0.15">
      <c r="K649" s="216"/>
    </row>
    <row r="650" spans="11:11" x14ac:dyDescent="0.15">
      <c r="K650" s="216"/>
    </row>
    <row r="651" spans="11:11" x14ac:dyDescent="0.15">
      <c r="K651" s="216"/>
    </row>
    <row r="652" spans="11:11" x14ac:dyDescent="0.15">
      <c r="K652" s="216"/>
    </row>
    <row r="653" spans="11:11" x14ac:dyDescent="0.15">
      <c r="K653" s="216"/>
    </row>
    <row r="654" spans="11:11" x14ac:dyDescent="0.15">
      <c r="K654" s="216"/>
    </row>
    <row r="655" spans="11:11" x14ac:dyDescent="0.15">
      <c r="K655" s="216"/>
    </row>
    <row r="656" spans="11:11" x14ac:dyDescent="0.15">
      <c r="K656" s="216"/>
    </row>
    <row r="657" spans="11:11" x14ac:dyDescent="0.15">
      <c r="K657" s="216"/>
    </row>
    <row r="658" spans="11:11" x14ac:dyDescent="0.15">
      <c r="K658" s="216"/>
    </row>
    <row r="659" spans="11:11" x14ac:dyDescent="0.15">
      <c r="K659" s="216"/>
    </row>
    <row r="660" spans="11:11" x14ac:dyDescent="0.15">
      <c r="K660" s="216"/>
    </row>
    <row r="661" spans="11:11" x14ac:dyDescent="0.15">
      <c r="K661" s="216"/>
    </row>
    <row r="662" spans="11:11" x14ac:dyDescent="0.15">
      <c r="K662" s="216"/>
    </row>
    <row r="663" spans="11:11" x14ac:dyDescent="0.15">
      <c r="K663" s="216"/>
    </row>
    <row r="664" spans="11:11" x14ac:dyDescent="0.15">
      <c r="K664" s="216"/>
    </row>
    <row r="665" spans="11:11" x14ac:dyDescent="0.15">
      <c r="K665" s="216"/>
    </row>
    <row r="666" spans="11:11" x14ac:dyDescent="0.15">
      <c r="K666" s="216"/>
    </row>
    <row r="667" spans="11:11" x14ac:dyDescent="0.15">
      <c r="K667" s="216"/>
    </row>
    <row r="668" spans="11:11" x14ac:dyDescent="0.15">
      <c r="K668" s="216"/>
    </row>
    <row r="669" spans="11:11" x14ac:dyDescent="0.15">
      <c r="K669" s="216"/>
    </row>
    <row r="670" spans="11:11" x14ac:dyDescent="0.15">
      <c r="K670" s="216"/>
    </row>
    <row r="671" spans="11:11" x14ac:dyDescent="0.15">
      <c r="K671" s="216"/>
    </row>
    <row r="672" spans="11:11" x14ac:dyDescent="0.15">
      <c r="K672" s="216"/>
    </row>
    <row r="673" spans="11:11" x14ac:dyDescent="0.15">
      <c r="K673" s="216"/>
    </row>
    <row r="674" spans="11:11" x14ac:dyDescent="0.15">
      <c r="K674" s="216"/>
    </row>
    <row r="675" spans="11:11" x14ac:dyDescent="0.15">
      <c r="K675" s="216"/>
    </row>
    <row r="676" spans="11:11" x14ac:dyDescent="0.15">
      <c r="K676" s="216"/>
    </row>
    <row r="677" spans="11:11" x14ac:dyDescent="0.15">
      <c r="K677" s="216"/>
    </row>
    <row r="678" spans="11:11" x14ac:dyDescent="0.15">
      <c r="K678" s="216"/>
    </row>
    <row r="679" spans="11:11" x14ac:dyDescent="0.15">
      <c r="K679" s="216"/>
    </row>
    <row r="680" spans="11:11" x14ac:dyDescent="0.15">
      <c r="K680" s="216"/>
    </row>
    <row r="681" spans="11:11" x14ac:dyDescent="0.15">
      <c r="K681" s="216"/>
    </row>
    <row r="682" spans="11:11" x14ac:dyDescent="0.15">
      <c r="K682" s="216"/>
    </row>
    <row r="683" spans="11:11" x14ac:dyDescent="0.15">
      <c r="K683" s="216"/>
    </row>
    <row r="684" spans="11:11" x14ac:dyDescent="0.15">
      <c r="K684" s="216"/>
    </row>
    <row r="685" spans="11:11" x14ac:dyDescent="0.15">
      <c r="K685" s="216"/>
    </row>
    <row r="686" spans="11:11" x14ac:dyDescent="0.15">
      <c r="K686" s="216"/>
    </row>
    <row r="687" spans="11:11" x14ac:dyDescent="0.15">
      <c r="K687" s="216"/>
    </row>
    <row r="688" spans="11:11" x14ac:dyDescent="0.15">
      <c r="K688" s="216"/>
    </row>
    <row r="689" spans="11:11" x14ac:dyDescent="0.15">
      <c r="K689" s="216"/>
    </row>
    <row r="690" spans="11:11" x14ac:dyDescent="0.15">
      <c r="K690" s="216"/>
    </row>
    <row r="691" spans="11:11" x14ac:dyDescent="0.15">
      <c r="K691" s="216"/>
    </row>
    <row r="692" spans="11:11" x14ac:dyDescent="0.15">
      <c r="K692" s="216"/>
    </row>
    <row r="693" spans="11:11" x14ac:dyDescent="0.15">
      <c r="K693" s="216"/>
    </row>
    <row r="694" spans="11:11" x14ac:dyDescent="0.15">
      <c r="K694" s="216"/>
    </row>
    <row r="695" spans="11:11" x14ac:dyDescent="0.15">
      <c r="K695" s="216"/>
    </row>
    <row r="696" spans="11:11" x14ac:dyDescent="0.15">
      <c r="K696" s="216"/>
    </row>
    <row r="697" spans="11:11" x14ac:dyDescent="0.15">
      <c r="K697" s="216"/>
    </row>
    <row r="698" spans="11:11" x14ac:dyDescent="0.15">
      <c r="K698" s="216"/>
    </row>
    <row r="699" spans="11:11" x14ac:dyDescent="0.15">
      <c r="K699" s="216"/>
    </row>
    <row r="700" spans="11:11" x14ac:dyDescent="0.15">
      <c r="K700" s="216"/>
    </row>
    <row r="701" spans="11:11" x14ac:dyDescent="0.15">
      <c r="K701" s="216"/>
    </row>
    <row r="702" spans="11:11" x14ac:dyDescent="0.15">
      <c r="K702" s="216"/>
    </row>
    <row r="703" spans="11:11" x14ac:dyDescent="0.15">
      <c r="K703" s="216"/>
    </row>
    <row r="704" spans="11:11" x14ac:dyDescent="0.15">
      <c r="K704" s="216"/>
    </row>
    <row r="705" spans="11:11" x14ac:dyDescent="0.15">
      <c r="K705" s="216"/>
    </row>
    <row r="706" spans="11:11" x14ac:dyDescent="0.15">
      <c r="K706" s="216"/>
    </row>
    <row r="707" spans="11:11" x14ac:dyDescent="0.15">
      <c r="K707" s="216"/>
    </row>
    <row r="708" spans="11:11" x14ac:dyDescent="0.15">
      <c r="K708" s="216"/>
    </row>
    <row r="709" spans="11:11" x14ac:dyDescent="0.15">
      <c r="K709" s="216"/>
    </row>
    <row r="710" spans="11:11" x14ac:dyDescent="0.15">
      <c r="K710" s="216"/>
    </row>
    <row r="711" spans="11:11" x14ac:dyDescent="0.15">
      <c r="K711" s="216"/>
    </row>
    <row r="712" spans="11:11" x14ac:dyDescent="0.15">
      <c r="K712" s="216"/>
    </row>
    <row r="713" spans="11:11" x14ac:dyDescent="0.15">
      <c r="K713" s="216"/>
    </row>
    <row r="714" spans="11:11" x14ac:dyDescent="0.15">
      <c r="K714" s="216"/>
    </row>
    <row r="715" spans="11:11" x14ac:dyDescent="0.15">
      <c r="K715" s="216"/>
    </row>
    <row r="716" spans="11:11" x14ac:dyDescent="0.15">
      <c r="K716" s="216"/>
    </row>
    <row r="717" spans="11:11" x14ac:dyDescent="0.15">
      <c r="K717" s="216"/>
    </row>
    <row r="718" spans="11:11" x14ac:dyDescent="0.15">
      <c r="K718" s="216"/>
    </row>
    <row r="719" spans="11:11" x14ac:dyDescent="0.15">
      <c r="K719" s="216"/>
    </row>
    <row r="720" spans="11:11" x14ac:dyDescent="0.15">
      <c r="K720" s="216"/>
    </row>
    <row r="721" spans="11:11" x14ac:dyDescent="0.15">
      <c r="K721" s="216"/>
    </row>
    <row r="722" spans="11:11" x14ac:dyDescent="0.15">
      <c r="K722" s="216"/>
    </row>
    <row r="723" spans="11:11" x14ac:dyDescent="0.15">
      <c r="K723" s="216"/>
    </row>
    <row r="724" spans="11:11" x14ac:dyDescent="0.15">
      <c r="K724" s="216"/>
    </row>
    <row r="725" spans="11:11" x14ac:dyDescent="0.15">
      <c r="K725" s="216"/>
    </row>
    <row r="726" spans="11:11" x14ac:dyDescent="0.15">
      <c r="K726" s="216"/>
    </row>
    <row r="727" spans="11:11" x14ac:dyDescent="0.15">
      <c r="K727" s="216"/>
    </row>
    <row r="728" spans="11:11" x14ac:dyDescent="0.15">
      <c r="K728" s="216"/>
    </row>
    <row r="729" spans="11:11" x14ac:dyDescent="0.15">
      <c r="K729" s="216"/>
    </row>
    <row r="730" spans="11:11" x14ac:dyDescent="0.15">
      <c r="K730" s="216"/>
    </row>
    <row r="731" spans="11:11" x14ac:dyDescent="0.15">
      <c r="K731" s="216"/>
    </row>
    <row r="732" spans="11:11" x14ac:dyDescent="0.15">
      <c r="K732" s="216"/>
    </row>
    <row r="733" spans="11:11" x14ac:dyDescent="0.15">
      <c r="K733" s="216"/>
    </row>
    <row r="734" spans="11:11" x14ac:dyDescent="0.15">
      <c r="K734" s="216"/>
    </row>
    <row r="735" spans="11:11" x14ac:dyDescent="0.15">
      <c r="K735" s="216"/>
    </row>
    <row r="736" spans="11:11" x14ac:dyDescent="0.15">
      <c r="K736" s="216"/>
    </row>
    <row r="737" spans="11:11" x14ac:dyDescent="0.15">
      <c r="K737" s="216"/>
    </row>
    <row r="738" spans="11:11" x14ac:dyDescent="0.15">
      <c r="K738" s="216"/>
    </row>
    <row r="739" spans="11:11" x14ac:dyDescent="0.15">
      <c r="K739" s="216"/>
    </row>
    <row r="740" spans="11:11" x14ac:dyDescent="0.15">
      <c r="K740" s="216"/>
    </row>
    <row r="741" spans="11:11" x14ac:dyDescent="0.15">
      <c r="K741" s="216"/>
    </row>
    <row r="742" spans="11:11" x14ac:dyDescent="0.15">
      <c r="K742" s="216"/>
    </row>
    <row r="743" spans="11:11" x14ac:dyDescent="0.15">
      <c r="K743" s="216"/>
    </row>
    <row r="744" spans="11:11" x14ac:dyDescent="0.15">
      <c r="K744" s="216"/>
    </row>
    <row r="745" spans="11:11" x14ac:dyDescent="0.15">
      <c r="K745" s="216"/>
    </row>
    <row r="746" spans="11:11" x14ac:dyDescent="0.15">
      <c r="K746" s="216"/>
    </row>
    <row r="747" spans="11:11" x14ac:dyDescent="0.15">
      <c r="K747" s="216"/>
    </row>
    <row r="748" spans="11:11" x14ac:dyDescent="0.15">
      <c r="K748" s="216"/>
    </row>
    <row r="749" spans="11:11" x14ac:dyDescent="0.15">
      <c r="K749" s="216"/>
    </row>
    <row r="750" spans="11:11" x14ac:dyDescent="0.15">
      <c r="K750" s="216"/>
    </row>
    <row r="751" spans="11:11" x14ac:dyDescent="0.15">
      <c r="K751" s="216"/>
    </row>
    <row r="752" spans="11:11" x14ac:dyDescent="0.15">
      <c r="K752" s="216"/>
    </row>
    <row r="753" spans="11:11" x14ac:dyDescent="0.15">
      <c r="K753" s="216"/>
    </row>
    <row r="754" spans="11:11" x14ac:dyDescent="0.15">
      <c r="K754" s="216"/>
    </row>
    <row r="755" spans="11:11" x14ac:dyDescent="0.15">
      <c r="K755" s="216"/>
    </row>
  </sheetData>
  <autoFilter ref="A1:BA84"/>
  <phoneticPr fontId="3"/>
  <dataValidations count="12">
    <dataValidation type="list" allowBlank="1" showInputMessage="1" showErrorMessage="1" sqref="K2:K755">
      <formula1>$AR$2:$AR$23</formula1>
    </dataValidation>
    <dataValidation type="list" allowBlank="1" showInputMessage="1" showErrorMessage="1" sqref="A2:A442">
      <formula1>$AE$2:$AE$19</formula1>
    </dataValidation>
    <dataValidation type="list" allowBlank="1" showInputMessage="1" showErrorMessage="1" sqref="Y2:AA443">
      <formula1>$AV$2:$AV$21</formula1>
    </dataValidation>
    <dataValidation type="list" allowBlank="1" showInputMessage="1" showErrorMessage="1" sqref="H2:H443">
      <formula1>$AL$2:$AL$8</formula1>
    </dataValidation>
    <dataValidation type="list" allowBlank="1" showInputMessage="1" showErrorMessage="1" sqref="X2:X443">
      <formula1>$AT$2:$AT$3</formula1>
    </dataValidation>
    <dataValidation type="list" allowBlank="1" showInputMessage="1" showErrorMessage="1" sqref="G2:G443">
      <formula1>$AJ$2:$AJ$4</formula1>
    </dataValidation>
    <dataValidation type="list" allowBlank="1" showInputMessage="1" showErrorMessage="1" sqref="I2:I443">
      <formula1>$AN$5:$AN$6</formula1>
    </dataValidation>
    <dataValidation type="list" allowBlank="1" showInputMessage="1" showErrorMessage="1" sqref="J2:J443">
      <formula1>$AP$2:$AP$24</formula1>
    </dataValidation>
    <dataValidation type="list" allowBlank="1" showInputMessage="1" showErrorMessage="1" sqref="F2:F443">
      <formula1>$AH$2:$AH$11</formula1>
    </dataValidation>
    <dataValidation type="list" allowBlank="1" showInputMessage="1" showErrorMessage="1" sqref="E2:E443">
      <formula1>$AG$2:$AG$11</formula1>
    </dataValidation>
    <dataValidation type="decimal" allowBlank="1" showInputMessage="1" showErrorMessage="1" error="硬度を正しく入力して下さい。" sqref="O2:P49 O59:P443">
      <formula1>0</formula1>
      <formula2>7</formula2>
    </dataValidation>
    <dataValidation operator="equal" allowBlank="1" showInputMessage="1" showErrorMessage="1" sqref="B2:B103"/>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E2E040F-2F11-4CFB-BEBA-2F44166D6833}"/>
</file>

<file path=customXml/itemProps2.xml><?xml version="1.0" encoding="utf-8"?>
<ds:datastoreItem xmlns:ds="http://schemas.openxmlformats.org/officeDocument/2006/customXml" ds:itemID="{4B7B07B5-DD7D-464D-B7CB-F6BE7D1E49CC}"/>
</file>

<file path=customXml/itemProps3.xml><?xml version="1.0" encoding="utf-8"?>
<ds:datastoreItem xmlns:ds="http://schemas.openxmlformats.org/officeDocument/2006/customXml" ds:itemID="{4EE0CB08-DDAB-463D-9005-1511CCDEEDB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2018-11-19T05:58:39Z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